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KISIP\MONITORING REPORTS\"/>
    </mc:Choice>
  </mc:AlternateContent>
  <xr:revisionPtr revIDLastSave="0" documentId="8_{BC4832D5-3A76-46B2-A046-89E1E37BB57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MMARY" sheetId="11" r:id="rId1"/>
    <sheet name="KISUMU KAKAMEGA" sheetId="7" r:id="rId2"/>
    <sheet name="PHASE 1 NAKURUNAIROBI+CLUSTER 1" sheetId="8" r:id="rId3"/>
    <sheet name="PHASE 1 KILIFI + CLUSTER 2 " sheetId="1" r:id="rId4"/>
    <sheet name="CLUSTER 3" sheetId="9" r:id="rId5"/>
    <sheet name="CLUSTER 4" sheetId="6" r:id="rId6"/>
    <sheet name="CLUSTER 5" sheetId="10" r:id="rId7"/>
  </sheets>
  <externalReferences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9" l="1"/>
  <c r="G15" i="6" l="1"/>
  <c r="G17" i="6"/>
  <c r="G16" i="6"/>
  <c r="G21" i="6" s="1"/>
  <c r="G26" i="6"/>
  <c r="R51" i="1" l="1"/>
  <c r="F17" i="1"/>
  <c r="W17" i="7"/>
  <c r="H35" i="1"/>
  <c r="H34" i="1"/>
  <c r="H33" i="1"/>
  <c r="F33" i="1"/>
  <c r="W28" i="7" l="1"/>
  <c r="W27" i="7"/>
  <c r="Y27" i="7"/>
  <c r="Z27" i="7"/>
  <c r="Z17" i="7"/>
  <c r="Z51" i="7" s="1"/>
  <c r="Y17" i="7"/>
  <c r="Y51" i="7" s="1"/>
  <c r="Z28" i="7" l="1"/>
  <c r="Y28" i="7"/>
  <c r="P34" i="1"/>
  <c r="P33" i="1"/>
  <c r="P32" i="1"/>
  <c r="P31" i="1"/>
  <c r="V34" i="1"/>
  <c r="G33" i="1"/>
  <c r="G32" i="1"/>
  <c r="H31" i="1"/>
  <c r="G18" i="1"/>
  <c r="G20" i="1"/>
  <c r="H20" i="1" s="1"/>
  <c r="G21" i="1"/>
  <c r="G23" i="1"/>
  <c r="F30" i="1" l="1"/>
  <c r="H4" i="8" l="1"/>
  <c r="H5" i="8"/>
  <c r="H6" i="8"/>
  <c r="R22" i="9" l="1"/>
  <c r="R16" i="9"/>
  <c r="G6" i="9"/>
  <c r="H6" i="9" s="1"/>
  <c r="F14" i="10" l="1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E14" i="10"/>
  <c r="S26" i="6"/>
  <c r="T26" i="6"/>
  <c r="U26" i="6"/>
  <c r="V26" i="6"/>
  <c r="W26" i="6"/>
  <c r="X26" i="6"/>
  <c r="Y26" i="6"/>
  <c r="Z26" i="6"/>
  <c r="J14" i="6"/>
  <c r="J40" i="6" s="1"/>
  <c r="I21" i="6"/>
  <c r="J21" i="6"/>
  <c r="I26" i="6"/>
  <c r="J26" i="6"/>
  <c r="I39" i="6"/>
  <c r="J39" i="6"/>
  <c r="I27" i="7"/>
  <c r="H20" i="9"/>
  <c r="I20" i="9"/>
  <c r="H30" i="1"/>
  <c r="I30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G47" i="1"/>
  <c r="G46" i="1"/>
  <c r="E45" i="1"/>
  <c r="R29" i="1"/>
  <c r="R28" i="1"/>
  <c r="R27" i="1"/>
  <c r="R26" i="1"/>
  <c r="R25" i="1"/>
  <c r="R24" i="1"/>
  <c r="S16" i="1"/>
  <c r="T15" i="1"/>
  <c r="S15" i="1"/>
  <c r="T14" i="1"/>
  <c r="S14" i="1"/>
  <c r="S13" i="1"/>
  <c r="S12" i="1"/>
  <c r="I14" i="6" l="1"/>
  <c r="I40" i="6" s="1"/>
  <c r="R20" i="6" l="1"/>
  <c r="R19" i="6"/>
  <c r="R18" i="6"/>
  <c r="R19" i="8" l="1"/>
  <c r="E37" i="8" l="1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Z49" i="8"/>
  <c r="Y49" i="8"/>
  <c r="X49" i="8"/>
  <c r="W49" i="8"/>
  <c r="V49" i="8"/>
  <c r="U49" i="8"/>
  <c r="Z32" i="8"/>
  <c r="Y32" i="8"/>
  <c r="X32" i="8"/>
  <c r="W32" i="8"/>
  <c r="V32" i="8"/>
  <c r="U32" i="8"/>
  <c r="V21" i="8"/>
  <c r="U21" i="8"/>
  <c r="Z16" i="8"/>
  <c r="Y16" i="8"/>
  <c r="X16" i="8"/>
  <c r="W16" i="8"/>
  <c r="V16" i="8"/>
  <c r="U16" i="8"/>
  <c r="Z11" i="8"/>
  <c r="Z17" i="8" s="1"/>
  <c r="Y11" i="8"/>
  <c r="X11" i="8"/>
  <c r="W11" i="8"/>
  <c r="V11" i="8"/>
  <c r="U11" i="8"/>
  <c r="X21" i="8" l="1"/>
  <c r="X50" i="8" s="1"/>
  <c r="Y21" i="8"/>
  <c r="Y50" i="8" s="1"/>
  <c r="U50" i="8"/>
  <c r="V50" i="8"/>
  <c r="W21" i="8"/>
  <c r="W50" i="8" s="1"/>
  <c r="Z21" i="8"/>
  <c r="Z50" i="8" s="1"/>
  <c r="V51" i="8" l="1"/>
  <c r="Z24" i="10"/>
  <c r="Y24" i="10"/>
  <c r="X24" i="10"/>
  <c r="W24" i="10"/>
  <c r="V24" i="10"/>
  <c r="U24" i="10"/>
  <c r="Z19" i="10"/>
  <c r="Y19" i="10"/>
  <c r="X19" i="10"/>
  <c r="W19" i="10"/>
  <c r="V19" i="10"/>
  <c r="U19" i="10"/>
  <c r="X25" i="10"/>
  <c r="W25" i="10"/>
  <c r="Y25" i="10" l="1"/>
  <c r="U25" i="10"/>
  <c r="V25" i="10"/>
  <c r="Z25" i="10"/>
  <c r="V37" i="9" l="1"/>
  <c r="U37" i="9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F21" i="8"/>
  <c r="G21" i="8"/>
  <c r="H21" i="8"/>
  <c r="I21" i="8"/>
  <c r="J21" i="8"/>
  <c r="K21" i="8"/>
  <c r="L21" i="8"/>
  <c r="M21" i="8"/>
  <c r="N21" i="8"/>
  <c r="O21" i="8"/>
  <c r="P21" i="8"/>
  <c r="Q21" i="8"/>
  <c r="S21" i="8"/>
  <c r="T21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S11" i="8"/>
  <c r="T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U42" i="1"/>
  <c r="V42" i="1"/>
  <c r="W42" i="1"/>
  <c r="X42" i="1"/>
  <c r="Y42" i="1"/>
  <c r="Z42" i="1"/>
  <c r="U30" i="1"/>
  <c r="V30" i="1"/>
  <c r="W30" i="1"/>
  <c r="X30" i="1"/>
  <c r="Y30" i="1"/>
  <c r="Z30" i="1"/>
  <c r="U17" i="1"/>
  <c r="V17" i="1"/>
  <c r="W17" i="1"/>
  <c r="X17" i="1"/>
  <c r="Y17" i="1"/>
  <c r="Z17" i="1"/>
  <c r="R39" i="6"/>
  <c r="S39" i="6"/>
  <c r="T39" i="6"/>
  <c r="U39" i="6"/>
  <c r="V39" i="6"/>
  <c r="W39" i="6"/>
  <c r="X39" i="6"/>
  <c r="Y39" i="6"/>
  <c r="Z39" i="6"/>
  <c r="Y21" i="6"/>
  <c r="U14" i="6"/>
  <c r="U21" i="6" s="1"/>
  <c r="U40" i="6" s="1"/>
  <c r="V14" i="6"/>
  <c r="V21" i="6" s="1"/>
  <c r="W14" i="6"/>
  <c r="W21" i="6" s="1"/>
  <c r="X14" i="6"/>
  <c r="X21" i="6" s="1"/>
  <c r="Y14" i="6"/>
  <c r="Z14" i="6"/>
  <c r="Z21" i="6" s="1"/>
  <c r="U23" i="9"/>
  <c r="V23" i="9"/>
  <c r="W23" i="9"/>
  <c r="X23" i="9"/>
  <c r="Y23" i="9"/>
  <c r="Z23" i="9"/>
  <c r="U20" i="9"/>
  <c r="V20" i="9"/>
  <c r="W20" i="9"/>
  <c r="X20" i="9"/>
  <c r="Y20" i="9"/>
  <c r="Z20" i="9"/>
  <c r="Z26" i="9"/>
  <c r="Y26" i="9"/>
  <c r="X26" i="9"/>
  <c r="W26" i="9"/>
  <c r="V26" i="9"/>
  <c r="U26" i="9"/>
  <c r="G50" i="8" l="1"/>
  <c r="L50" i="8"/>
  <c r="K50" i="8"/>
  <c r="J50" i="8"/>
  <c r="I50" i="8"/>
  <c r="H50" i="8"/>
  <c r="V51" i="1"/>
  <c r="Y51" i="1"/>
  <c r="S50" i="8"/>
  <c r="X51" i="1"/>
  <c r="Z51" i="1"/>
  <c r="P50" i="8"/>
  <c r="U51" i="1"/>
  <c r="B6" i="11" s="1"/>
  <c r="F50" i="8"/>
  <c r="T50" i="8"/>
  <c r="O50" i="8"/>
  <c r="Q50" i="8"/>
  <c r="N50" i="8"/>
  <c r="W51" i="1"/>
  <c r="M50" i="8"/>
  <c r="Z40" i="6"/>
  <c r="Y40" i="6"/>
  <c r="X40" i="6"/>
  <c r="W40" i="6"/>
  <c r="V40" i="6"/>
  <c r="Z38" i="9"/>
  <c r="X38" i="9"/>
  <c r="W38" i="9"/>
  <c r="V38" i="9"/>
  <c r="Y38" i="9"/>
  <c r="U38" i="9"/>
  <c r="I17" i="7"/>
  <c r="C6" i="11" l="1"/>
  <c r="C10" i="11"/>
  <c r="B10" i="11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T26" i="9"/>
  <c r="S26" i="9"/>
  <c r="R26" i="9"/>
  <c r="Q26" i="9"/>
  <c r="P26" i="9"/>
  <c r="O26" i="9"/>
  <c r="N26" i="9"/>
  <c r="M26" i="9"/>
  <c r="L26" i="9"/>
  <c r="K26" i="9"/>
  <c r="J26" i="9"/>
  <c r="H26" i="9"/>
  <c r="G26" i="9"/>
  <c r="F26" i="9"/>
  <c r="E26" i="9"/>
  <c r="T23" i="9"/>
  <c r="S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R23" i="9"/>
  <c r="T20" i="9"/>
  <c r="S20" i="9"/>
  <c r="R20" i="9"/>
  <c r="Q20" i="9"/>
  <c r="P20" i="9"/>
  <c r="O20" i="9"/>
  <c r="N20" i="9"/>
  <c r="M20" i="9"/>
  <c r="L20" i="9"/>
  <c r="K20" i="9"/>
  <c r="J20" i="9"/>
  <c r="F20" i="9"/>
  <c r="E20" i="9"/>
  <c r="G20" i="9"/>
  <c r="P25" i="10" l="1"/>
  <c r="S38" i="9"/>
  <c r="T38" i="9"/>
  <c r="O25" i="10"/>
  <c r="R25" i="10"/>
  <c r="I38" i="9"/>
  <c r="F38" i="9"/>
  <c r="L38" i="9"/>
  <c r="R38" i="9"/>
  <c r="Q25" i="10"/>
  <c r="G38" i="9"/>
  <c r="M38" i="9"/>
  <c r="K38" i="9"/>
  <c r="G25" i="10"/>
  <c r="N38" i="9"/>
  <c r="Q38" i="9"/>
  <c r="O38" i="9"/>
  <c r="K25" i="10"/>
  <c r="E38" i="9"/>
  <c r="S25" i="10"/>
  <c r="T25" i="10"/>
  <c r="J38" i="9"/>
  <c r="F25" i="10"/>
  <c r="H25" i="10"/>
  <c r="I25" i="10"/>
  <c r="P38" i="9"/>
  <c r="J25" i="10"/>
  <c r="L25" i="10"/>
  <c r="M25" i="10"/>
  <c r="E25" i="10"/>
  <c r="N25" i="10"/>
  <c r="H38" i="9"/>
  <c r="E49" i="8" l="1"/>
  <c r="E32" i="8"/>
  <c r="E21" i="8"/>
  <c r="R21" i="8"/>
  <c r="R50" i="8" s="1"/>
  <c r="E16" i="8"/>
  <c r="E11" i="8"/>
  <c r="E50" i="8" l="1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8" i="7"/>
  <c r="H27" i="7"/>
  <c r="G27" i="7"/>
  <c r="F27" i="7"/>
  <c r="E2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H17" i="7"/>
  <c r="G13" i="7"/>
  <c r="G11" i="7"/>
  <c r="G9" i="7"/>
  <c r="G8" i="7"/>
  <c r="G7" i="7"/>
  <c r="F17" i="7"/>
  <c r="Q39" i="6"/>
  <c r="P39" i="6"/>
  <c r="O39" i="6"/>
  <c r="N39" i="6"/>
  <c r="M39" i="6"/>
  <c r="L39" i="6"/>
  <c r="K39" i="6"/>
  <c r="H39" i="6"/>
  <c r="G39" i="6"/>
  <c r="F39" i="6"/>
  <c r="E39" i="6"/>
  <c r="R26" i="6"/>
  <c r="Q26" i="6"/>
  <c r="P26" i="6"/>
  <c r="O26" i="6"/>
  <c r="N26" i="6"/>
  <c r="M26" i="6"/>
  <c r="L26" i="6"/>
  <c r="K26" i="6"/>
  <c r="F26" i="6"/>
  <c r="E26" i="6"/>
  <c r="H26" i="6"/>
  <c r="T21" i="6"/>
  <c r="S21" i="6"/>
  <c r="Q21" i="6"/>
  <c r="P21" i="6"/>
  <c r="O21" i="6"/>
  <c r="N21" i="6"/>
  <c r="M21" i="6"/>
  <c r="L21" i="6"/>
  <c r="K21" i="6"/>
  <c r="H21" i="6"/>
  <c r="F21" i="6"/>
  <c r="E21" i="6"/>
  <c r="T14" i="6"/>
  <c r="S14" i="6"/>
  <c r="R14" i="6"/>
  <c r="Q14" i="6"/>
  <c r="P14" i="6"/>
  <c r="O14" i="6"/>
  <c r="N14" i="6"/>
  <c r="M14" i="6"/>
  <c r="L14" i="6"/>
  <c r="K14" i="6"/>
  <c r="H14" i="6"/>
  <c r="G14" i="6"/>
  <c r="F14" i="6"/>
  <c r="E14" i="6"/>
  <c r="V28" i="7" l="1"/>
  <c r="C11" i="11" s="1"/>
  <c r="U28" i="7"/>
  <c r="B11" i="11" s="1"/>
  <c r="S28" i="7"/>
  <c r="F28" i="7"/>
  <c r="M40" i="6"/>
  <c r="N40" i="6"/>
  <c r="G17" i="7"/>
  <c r="G28" i="7" s="1"/>
  <c r="K28" i="7"/>
  <c r="L28" i="7"/>
  <c r="F40" i="6"/>
  <c r="M28" i="7"/>
  <c r="E40" i="6"/>
  <c r="N28" i="7"/>
  <c r="O28" i="7"/>
  <c r="G40" i="6"/>
  <c r="E17" i="7"/>
  <c r="E28" i="7" s="1"/>
  <c r="P28" i="7"/>
  <c r="Q28" i="7"/>
  <c r="R28" i="7"/>
  <c r="K40" i="6"/>
  <c r="L40" i="6"/>
  <c r="T28" i="7"/>
  <c r="R21" i="6"/>
  <c r="R40" i="6" s="1"/>
  <c r="O40" i="6"/>
  <c r="P40" i="6"/>
  <c r="Q40" i="6"/>
  <c r="S40" i="6"/>
  <c r="T40" i="6"/>
  <c r="J28" i="7"/>
  <c r="H28" i="7"/>
  <c r="H40" i="6"/>
  <c r="J50" i="1" l="1"/>
  <c r="I50" i="1"/>
  <c r="J42" i="1"/>
  <c r="I42" i="1"/>
  <c r="J30" i="1"/>
  <c r="J17" i="1"/>
  <c r="I17" i="1"/>
  <c r="J51" i="1" l="1"/>
  <c r="C8" i="11" s="1"/>
  <c r="I51" i="1"/>
  <c r="B8" i="11" s="1"/>
  <c r="P50" i="1"/>
  <c r="O50" i="1"/>
  <c r="F50" i="1"/>
  <c r="H50" i="1"/>
  <c r="K50" i="1"/>
  <c r="L50" i="1"/>
  <c r="M50" i="1"/>
  <c r="N50" i="1"/>
  <c r="Q50" i="1"/>
  <c r="R50" i="1"/>
  <c r="S50" i="1"/>
  <c r="T50" i="1"/>
  <c r="E50" i="1"/>
  <c r="G50" i="1"/>
  <c r="E42" i="1"/>
  <c r="F42" i="1"/>
  <c r="G42" i="1"/>
  <c r="H42" i="1"/>
  <c r="K42" i="1"/>
  <c r="L42" i="1"/>
  <c r="M42" i="1"/>
  <c r="N42" i="1"/>
  <c r="P42" i="1"/>
  <c r="Q42" i="1"/>
  <c r="R42" i="1"/>
  <c r="S42" i="1"/>
  <c r="T42" i="1"/>
  <c r="O42" i="1"/>
  <c r="E30" i="1"/>
  <c r="G30" i="1"/>
  <c r="K30" i="1"/>
  <c r="L30" i="1"/>
  <c r="M30" i="1"/>
  <c r="N30" i="1"/>
  <c r="O30" i="1"/>
  <c r="P30" i="1"/>
  <c r="S30" i="1"/>
  <c r="T30" i="1"/>
  <c r="Q30" i="1"/>
  <c r="H17" i="1"/>
  <c r="G17" i="1"/>
  <c r="K17" i="1"/>
  <c r="L17" i="1"/>
  <c r="M17" i="1"/>
  <c r="N17" i="1"/>
  <c r="O17" i="1"/>
  <c r="P17" i="1"/>
  <c r="Q17" i="1"/>
  <c r="R17" i="1"/>
  <c r="E17" i="1"/>
  <c r="Q51" i="1" l="1"/>
  <c r="B13" i="11" s="1"/>
  <c r="K51" i="1"/>
  <c r="B9" i="11" s="1"/>
  <c r="P51" i="1"/>
  <c r="C14" i="11" s="1"/>
  <c r="R30" i="1"/>
  <c r="H51" i="1"/>
  <c r="C7" i="11" s="1"/>
  <c r="L51" i="1"/>
  <c r="C9" i="11" s="1"/>
  <c r="E51" i="1"/>
  <c r="B5" i="11" s="1"/>
  <c r="O51" i="1"/>
  <c r="B14" i="11" s="1"/>
  <c r="G51" i="1"/>
  <c r="B7" i="11" s="1"/>
  <c r="F51" i="1"/>
  <c r="C5" i="11" s="1"/>
  <c r="M51" i="1"/>
  <c r="B15" i="11" s="1"/>
  <c r="C13" i="11"/>
  <c r="N51" i="1"/>
  <c r="C15" i="11" s="1"/>
  <c r="T17" i="1"/>
  <c r="T51" i="1" s="1"/>
  <c r="C12" i="11" s="1"/>
  <c r="S17" i="1"/>
  <c r="S51" i="1" s="1"/>
  <c r="B12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tc={E4217895-F446-43A0-B710-ACFC7F991C9F}</author>
    <author>tc={4F95FFE4-05E4-42FC-8769-5529CDB89259}</author>
    <author>tc={E484DEB5-88FA-466B-B247-CB65FF0308F4}</author>
  </authors>
  <commentList>
    <comment ref="G3" authorId="0" shapeId="0" xr:uid="{E4217895-F446-43A0-B710-ACFC7F991C9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Values for Nyeri both planned and actual keep changing.What happened to drainage works in Ihwagi</t>
      </text>
    </comment>
    <comment ref="G4" authorId="1" shapeId="0" xr:uid="{4F95FFE4-05E4-42FC-8769-5529CDB8925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values for planned for drainage have changed</t>
      </text>
    </comment>
    <comment ref="J26" authorId="2" shapeId="0" xr:uid="{E484DEB5-88FA-466B-B247-CB65FF0308F4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figure is higher than the planned value.Kindly explain why</t>
      </text>
    </comment>
  </commentList>
</comments>
</file>

<file path=xl/sharedStrings.xml><?xml version="1.0" encoding="utf-8"?>
<sst xmlns="http://schemas.openxmlformats.org/spreadsheetml/2006/main" count="620" uniqueCount="187">
  <si>
    <t xml:space="preserve">County </t>
  </si>
  <si>
    <t>Settlement</t>
  </si>
  <si>
    <t>Kibaoni</t>
  </si>
  <si>
    <t>Kalolo</t>
  </si>
  <si>
    <t>Baya Magonzi</t>
  </si>
  <si>
    <t>Mtaani</t>
  </si>
  <si>
    <t>Roads (km)</t>
  </si>
  <si>
    <t>Planned</t>
  </si>
  <si>
    <t>Achieved</t>
  </si>
  <si>
    <t>Total</t>
  </si>
  <si>
    <t>Kilifi</t>
  </si>
  <si>
    <t>Contract</t>
  </si>
  <si>
    <t>Phase 1 Lot 1</t>
  </si>
  <si>
    <t>Phase 1 Lot 2</t>
  </si>
  <si>
    <t>Kisumu Ngogo</t>
  </si>
  <si>
    <t>Muyeye</t>
  </si>
  <si>
    <t>Drainage (km)</t>
  </si>
  <si>
    <t>Water Connections</t>
  </si>
  <si>
    <t>High Masts Lighting</t>
  </si>
  <si>
    <t>Street Lighting</t>
  </si>
  <si>
    <t>Vending Platforms</t>
  </si>
  <si>
    <t>Phase 1 Lot 3</t>
  </si>
  <si>
    <t>Phase 2 RFB</t>
  </si>
  <si>
    <t>Phase 2 RFQ</t>
  </si>
  <si>
    <t>Kibokoni M17E</t>
  </si>
  <si>
    <t>Mombasa</t>
  </si>
  <si>
    <t>Financier</t>
  </si>
  <si>
    <t>IDA</t>
  </si>
  <si>
    <t>AFD</t>
  </si>
  <si>
    <t>Toilets / Ablution</t>
  </si>
  <si>
    <t>Kisumu Ndogo</t>
  </si>
  <si>
    <t>Muyeye 1</t>
  </si>
  <si>
    <t>Likoni 203,</t>
  </si>
  <si>
    <t>Kidunguni,</t>
  </si>
  <si>
    <t>Chaani,</t>
  </si>
  <si>
    <t>Misufini,</t>
  </si>
  <si>
    <t>Majaoni</t>
  </si>
  <si>
    <t>Lamu</t>
  </si>
  <si>
    <t>Phase 2 Lot 1</t>
  </si>
  <si>
    <t>Phase 2 Lot 2</t>
  </si>
  <si>
    <t>Phase 2 Lot 3</t>
  </si>
  <si>
    <t>Faza,</t>
  </si>
  <si>
    <t>Matondoni</t>
  </si>
  <si>
    <t>Mokowe</t>
  </si>
  <si>
    <t>Witu</t>
  </si>
  <si>
    <t>Wiyoni</t>
  </si>
  <si>
    <t>Faza</t>
  </si>
  <si>
    <t>Kiunga</t>
  </si>
  <si>
    <t xml:space="preserve">Kwale </t>
  </si>
  <si>
    <t>Taita Taveta</t>
  </si>
  <si>
    <t>Kombani</t>
  </si>
  <si>
    <t>Aseko/Mlekenyi</t>
  </si>
  <si>
    <t>Upper Kariokor</t>
  </si>
  <si>
    <t>TOTAL</t>
  </si>
  <si>
    <t>Chorongi</t>
  </si>
  <si>
    <t>Kiamwathi</t>
  </si>
  <si>
    <t>Kiawara</t>
  </si>
  <si>
    <t>Ihwagi</t>
  </si>
  <si>
    <t>Mweiga</t>
  </si>
  <si>
    <t>Nyeri</t>
  </si>
  <si>
    <t>Sewer Connections (No)</t>
  </si>
  <si>
    <t>Meru</t>
  </si>
  <si>
    <t>Majengo</t>
  </si>
  <si>
    <t>Mjini</t>
  </si>
  <si>
    <t>Salama</t>
  </si>
  <si>
    <t xml:space="preserve">Kathwana </t>
  </si>
  <si>
    <t xml:space="preserve">Marimanti </t>
  </si>
  <si>
    <t>Tharaka Nithi</t>
  </si>
  <si>
    <t>Wajir</t>
  </si>
  <si>
    <t>Halane</t>
  </si>
  <si>
    <t>Wagberi</t>
  </si>
  <si>
    <t>Hodhan</t>
  </si>
  <si>
    <t>Jogoo</t>
  </si>
  <si>
    <t>Barwaqo</t>
  </si>
  <si>
    <t>Shalletey</t>
  </si>
  <si>
    <t>Nairobi</t>
  </si>
  <si>
    <t>Matopeni</t>
  </si>
  <si>
    <t>Huruma Fire Victims</t>
  </si>
  <si>
    <t>Kiambu</t>
  </si>
  <si>
    <t>Kajiado</t>
  </si>
  <si>
    <t>Gichagi</t>
  </si>
  <si>
    <t>Nyandarua</t>
  </si>
  <si>
    <t>KISIP 2 PHASE 2 CLUSTER 3 PDOs</t>
  </si>
  <si>
    <t xml:space="preserve">Mitume </t>
  </si>
  <si>
    <t>Elgeyo Marakwet</t>
  </si>
  <si>
    <t>Chebiemit</t>
  </si>
  <si>
    <t>Cheptongei</t>
  </si>
  <si>
    <t>KISIP 2  PHASE 2 CLUSTER 2 PDOs</t>
  </si>
  <si>
    <t>Maili Nne</t>
  </si>
  <si>
    <t>Uasin Gishu</t>
  </si>
  <si>
    <t>Makongeni</t>
  </si>
  <si>
    <t>Shauri Yako</t>
  </si>
  <si>
    <t>Sofia</t>
  </si>
  <si>
    <t>Nyandiwa</t>
  </si>
  <si>
    <t>Nandi</t>
  </si>
  <si>
    <t>Nyamira</t>
  </si>
  <si>
    <t>KISIP 2 PHASE 2 CLUSTER 4 PDOs</t>
  </si>
  <si>
    <t>KISIP 2 PHASE 1 KISUMU AND KAKAMEGA PDOs</t>
  </si>
  <si>
    <t>Kisumu</t>
  </si>
  <si>
    <t>Kisumu Lot 1 Phase 1 RFB</t>
  </si>
  <si>
    <t>Bandani</t>
  </si>
  <si>
    <t>Nyawita</t>
  </si>
  <si>
    <t>Migosi</t>
  </si>
  <si>
    <t>Manyatta A</t>
  </si>
  <si>
    <t>Manyatta B</t>
  </si>
  <si>
    <t>Kisumu Lot 2 Phase 1 RFB</t>
  </si>
  <si>
    <t>Kibuye</t>
  </si>
  <si>
    <t>Shauri Moyo</t>
  </si>
  <si>
    <t>Swahili/ Sangoro</t>
  </si>
  <si>
    <t>Bondeni</t>
  </si>
  <si>
    <t>Phase 1 RFQ</t>
  </si>
  <si>
    <t>Kakamega</t>
  </si>
  <si>
    <t>Kakamega Lot 1 Phase 1 RFB</t>
  </si>
  <si>
    <t>Shibale</t>
  </si>
  <si>
    <t>Lukoye</t>
  </si>
  <si>
    <t>Kakamega Lot 2 Phase 1 RFB</t>
  </si>
  <si>
    <t>Amalemba</t>
  </si>
  <si>
    <t>Kambi Somali</t>
  </si>
  <si>
    <t>KISIP 2 PHASE 1 NAKURU/NAIROBI AND PHASE 2 CLUSTER 1 PDOs</t>
  </si>
  <si>
    <t>Nakuru</t>
  </si>
  <si>
    <t>RFB Phase 1 Lot 1</t>
  </si>
  <si>
    <t>Kwa Murogi</t>
  </si>
  <si>
    <t>London Hilton</t>
  </si>
  <si>
    <t>Lakeview</t>
  </si>
  <si>
    <t>RFB Phase 1 Lot 2</t>
  </si>
  <si>
    <t>Karagita</t>
  </si>
  <si>
    <t>RFQ</t>
  </si>
  <si>
    <t>Kahawa Soweto</t>
  </si>
  <si>
    <t>Kayole Soweto</t>
  </si>
  <si>
    <t>Embakasi</t>
  </si>
  <si>
    <t>Kambi Moto</t>
  </si>
  <si>
    <t>Njabini</t>
  </si>
  <si>
    <t>Huruma</t>
  </si>
  <si>
    <t>Umoja</t>
  </si>
  <si>
    <t>Fort Jesus</t>
  </si>
  <si>
    <t>Kiangombe</t>
  </si>
  <si>
    <t>Misri</t>
  </si>
  <si>
    <t>Bosnia</t>
  </si>
  <si>
    <t>Spring Valley</t>
  </si>
  <si>
    <t>Mathare Fire Victims</t>
  </si>
  <si>
    <t>City Carton</t>
  </si>
  <si>
    <t>Homa Bay</t>
  </si>
  <si>
    <t>Phase 2 Lot 1 RFB</t>
  </si>
  <si>
    <t>1000 Street</t>
  </si>
  <si>
    <t>Rusinga</t>
  </si>
  <si>
    <t>Mosoriot</t>
  </si>
  <si>
    <t>Keroka Block 'B'</t>
  </si>
  <si>
    <t>Mwanzo</t>
  </si>
  <si>
    <t>Kipkaren</t>
  </si>
  <si>
    <t>Shauri</t>
  </si>
  <si>
    <t>Segero</t>
  </si>
  <si>
    <t>KK</t>
  </si>
  <si>
    <t>Kasarani</t>
  </si>
  <si>
    <t>KISIP 2 PHASE 2 CLUSTER 5 PDOs</t>
  </si>
  <si>
    <t>Trans Nzoia</t>
  </si>
  <si>
    <t>Matisi</t>
  </si>
  <si>
    <t>Tuwani</t>
  </si>
  <si>
    <t>Shanti</t>
  </si>
  <si>
    <t>Kipsongo</t>
  </si>
  <si>
    <t xml:space="preserve">Bungoma </t>
  </si>
  <si>
    <t>Landi Matope</t>
  </si>
  <si>
    <t>Sewer Pipelines (km)</t>
  </si>
  <si>
    <t>Footpaths (km)</t>
  </si>
  <si>
    <t>Water Supply Pipelines(km)</t>
  </si>
  <si>
    <t>GRAND TOTAL</t>
  </si>
  <si>
    <t xml:space="preserve"> GRAND TOTAL</t>
  </si>
  <si>
    <t>Water Supply Pipelines (km)</t>
  </si>
  <si>
    <t>Water Pipelines (Km)</t>
  </si>
  <si>
    <t>Water Supply Pipelines (Km)</t>
  </si>
  <si>
    <t>Water supply Pipelines (Km)</t>
  </si>
  <si>
    <t>INDICATOR</t>
  </si>
  <si>
    <t>Foothpath (Km)</t>
  </si>
  <si>
    <t>Roads (Km)</t>
  </si>
  <si>
    <t>Stormwater Drainage (Km)</t>
  </si>
  <si>
    <t>Water Supply Pipeline (Km)</t>
  </si>
  <si>
    <t>Water Connnections (Nos)</t>
  </si>
  <si>
    <t>Sewer Supply Pipeline (Km)</t>
  </si>
  <si>
    <t>Sewer Connnections (Nos)</t>
  </si>
  <si>
    <t>Vending Platforms (Nos)</t>
  </si>
  <si>
    <t>Streetlights (Nos)</t>
  </si>
  <si>
    <t>Highmast Lights (Nos)</t>
  </si>
  <si>
    <t>Ablution Blocks</t>
  </si>
  <si>
    <t>SUMMARY OF PDOs</t>
  </si>
  <si>
    <t>Phase 2 Lot 2 RFB</t>
  </si>
  <si>
    <t>Water Kiosks</t>
  </si>
  <si>
    <t>`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</si>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</sst>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0_-;\-* #,##0.000_-;_-* &quot;-&quot;??_-;_-@_-"/>
    <numFmt numFmtId="165" formatCode="_-* #,##0_-;\-* #,##0_-;_-* &quot;-&quot;??_-;_-@_-"/>
    <numFmt numFmtId="166" formatCode="0.000"/>
    <numFmt numFmtId="167" formatCode="0.0"/>
    <numFmt numFmtId="168" formatCode="_-* #,##0_-;\-* #,##0_-;_-* &quot;-&quot;??_-;_-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</font>
  </fonts>
  <fills count="1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EEAF6"/>
        <bgColor rgb="FFDEEAF6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rgb="FF000000"/>
      </top>
      <bottom/>
      <diagonal/>
    </border>
  </borders>
  <cellStyleXfs count="132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>
      <alignment vertical="top"/>
      <protection locked="0"/>
    </xf>
    <xf numFmtId="43" fontId="9" fillId="0" borderId="0">
      <alignment vertical="top"/>
      <protection locked="0"/>
    </xf>
    <xf numFmtId="43" fontId="9" fillId="0" borderId="0">
      <alignment vertical="top"/>
      <protection locked="0"/>
    </xf>
    <xf numFmtId="43" fontId="9" fillId="0" borderId="0">
      <alignment vertical="top"/>
      <protection locked="0"/>
    </xf>
    <xf numFmtId="43" fontId="9" fillId="0" borderId="0">
      <alignment vertical="top"/>
      <protection locked="0"/>
    </xf>
    <xf numFmtId="43" fontId="9" fillId="0" borderId="0">
      <alignment vertical="top"/>
      <protection locked="0"/>
    </xf>
    <xf numFmtId="0" fontId="8" fillId="0" borderId="0">
      <alignment vertical="center"/>
    </xf>
    <xf numFmtId="43" fontId="9" fillId="0" borderId="0">
      <alignment vertical="top"/>
      <protection locked="0"/>
    </xf>
    <xf numFmtId="0" fontId="7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>
      <alignment vertical="top"/>
      <protection locked="0"/>
    </xf>
    <xf numFmtId="43" fontId="9" fillId="0" borderId="0">
      <alignment vertical="top"/>
      <protection locked="0"/>
    </xf>
    <xf numFmtId="43" fontId="9" fillId="0" borderId="0">
      <alignment vertical="top"/>
      <protection locked="0"/>
    </xf>
    <xf numFmtId="43" fontId="9" fillId="0" borderId="0">
      <alignment vertical="top"/>
      <protection locked="0"/>
    </xf>
    <xf numFmtId="43" fontId="9" fillId="0" borderId="0">
      <alignment vertical="top"/>
      <protection locked="0"/>
    </xf>
    <xf numFmtId="43" fontId="9" fillId="0" borderId="0">
      <alignment vertical="top"/>
      <protection locked="0"/>
    </xf>
    <xf numFmtId="43" fontId="9" fillId="0" borderId="0">
      <alignment vertical="top"/>
      <protection locked="0"/>
    </xf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>
      <alignment vertical="top"/>
      <protection locked="0"/>
    </xf>
    <xf numFmtId="43" fontId="9" fillId="0" borderId="0">
      <alignment vertical="top"/>
      <protection locked="0"/>
    </xf>
    <xf numFmtId="43" fontId="9" fillId="0" borderId="0">
      <alignment vertical="top"/>
      <protection locked="0"/>
    </xf>
    <xf numFmtId="43" fontId="9" fillId="0" borderId="0">
      <alignment vertical="top"/>
      <protection locked="0"/>
    </xf>
    <xf numFmtId="43" fontId="9" fillId="0" borderId="0">
      <alignment vertical="top"/>
      <protection locked="0"/>
    </xf>
    <xf numFmtId="43" fontId="9" fillId="0" borderId="0">
      <alignment vertical="top"/>
      <protection locked="0"/>
    </xf>
    <xf numFmtId="43" fontId="9" fillId="0" borderId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>
      <alignment vertical="top"/>
      <protection locked="0"/>
    </xf>
    <xf numFmtId="43" fontId="9" fillId="0" borderId="0">
      <alignment vertical="top"/>
      <protection locked="0"/>
    </xf>
    <xf numFmtId="43" fontId="9" fillId="0" borderId="0">
      <alignment vertical="top"/>
      <protection locked="0"/>
    </xf>
    <xf numFmtId="43" fontId="9" fillId="0" borderId="0">
      <alignment vertical="top"/>
      <protection locked="0"/>
    </xf>
    <xf numFmtId="43" fontId="9" fillId="0" borderId="0">
      <alignment vertical="top"/>
      <protection locked="0"/>
    </xf>
    <xf numFmtId="43" fontId="9" fillId="0" borderId="0">
      <alignment vertical="top"/>
      <protection locked="0"/>
    </xf>
    <xf numFmtId="43" fontId="9" fillId="0" borderId="0">
      <alignment vertical="top"/>
      <protection locked="0"/>
    </xf>
  </cellStyleXfs>
  <cellXfs count="31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2" fillId="0" borderId="5" xfId="0" applyFont="1" applyBorder="1"/>
    <xf numFmtId="164" fontId="0" fillId="0" borderId="3" xfId="1" applyNumberFormat="1" applyFont="1" applyBorder="1"/>
    <xf numFmtId="164" fontId="0" fillId="0" borderId="0" xfId="1" applyNumberFormat="1" applyFont="1" applyBorder="1"/>
    <xf numFmtId="164" fontId="2" fillId="0" borderId="4" xfId="1" applyNumberFormat="1" applyFont="1" applyBorder="1"/>
    <xf numFmtId="164" fontId="0" fillId="0" borderId="1" xfId="1" applyNumberFormat="1" applyFont="1" applyBorder="1"/>
    <xf numFmtId="164" fontId="2" fillId="0" borderId="5" xfId="1" applyNumberFormat="1" applyFont="1" applyBorder="1"/>
    <xf numFmtId="165" fontId="0" fillId="0" borderId="3" xfId="1" applyNumberFormat="1" applyFont="1" applyBorder="1"/>
    <xf numFmtId="165" fontId="0" fillId="0" borderId="0" xfId="1" applyNumberFormat="1" applyFont="1" applyBorder="1"/>
    <xf numFmtId="165" fontId="2" fillId="0" borderId="4" xfId="1" applyNumberFormat="1" applyFont="1" applyBorder="1"/>
    <xf numFmtId="165" fontId="0" fillId="0" borderId="1" xfId="1" applyNumberFormat="1" applyFont="1" applyBorder="1"/>
    <xf numFmtId="165" fontId="2" fillId="0" borderId="5" xfId="1" applyNumberFormat="1" applyFont="1" applyBorder="1"/>
    <xf numFmtId="0" fontId="2" fillId="2" borderId="2" xfId="0" applyFont="1" applyFill="1" applyBorder="1"/>
    <xf numFmtId="164" fontId="0" fillId="2" borderId="0" xfId="1" applyNumberFormat="1" applyFont="1" applyFill="1" applyBorder="1"/>
    <xf numFmtId="164" fontId="0" fillId="2" borderId="1" xfId="1" applyNumberFormat="1" applyFont="1" applyFill="1" applyBorder="1"/>
    <xf numFmtId="164" fontId="2" fillId="2" borderId="5" xfId="1" applyNumberFormat="1" applyFont="1" applyFill="1" applyBorder="1"/>
    <xf numFmtId="165" fontId="0" fillId="2" borderId="0" xfId="1" applyNumberFormat="1" applyFont="1" applyFill="1" applyBorder="1"/>
    <xf numFmtId="165" fontId="2" fillId="2" borderId="4" xfId="1" applyNumberFormat="1" applyFont="1" applyFill="1" applyBorder="1"/>
    <xf numFmtId="165" fontId="0" fillId="2" borderId="1" xfId="1" applyNumberFormat="1" applyFont="1" applyFill="1" applyBorder="1"/>
    <xf numFmtId="165" fontId="2" fillId="2" borderId="0" xfId="1" applyNumberFormat="1" applyFont="1" applyFill="1" applyBorder="1"/>
    <xf numFmtId="165" fontId="2" fillId="2" borderId="5" xfId="1" applyNumberFormat="1" applyFont="1" applyFill="1" applyBorder="1"/>
    <xf numFmtId="0" fontId="2" fillId="2" borderId="4" xfId="0" applyFont="1" applyFill="1" applyBorder="1"/>
    <xf numFmtId="165" fontId="0" fillId="0" borderId="4" xfId="1" applyNumberFormat="1" applyFont="1" applyBorder="1"/>
    <xf numFmtId="2" fontId="0" fillId="2" borderId="3" xfId="1" applyNumberFormat="1" applyFont="1" applyFill="1" applyBorder="1"/>
    <xf numFmtId="1" fontId="0" fillId="2" borderId="3" xfId="1" applyNumberFormat="1" applyFont="1" applyFill="1" applyBorder="1"/>
    <xf numFmtId="167" fontId="0" fillId="2" borderId="3" xfId="1" applyNumberFormat="1" applyFont="1" applyFill="1" applyBorder="1"/>
    <xf numFmtId="1" fontId="0" fillId="2" borderId="0" xfId="1" applyNumberFormat="1" applyFont="1" applyFill="1" applyBorder="1"/>
    <xf numFmtId="166" fontId="0" fillId="2" borderId="0" xfId="1" applyNumberFormat="1" applyFont="1" applyFill="1" applyBorder="1"/>
    <xf numFmtId="167" fontId="0" fillId="2" borderId="0" xfId="1" applyNumberFormat="1" applyFont="1" applyFill="1" applyBorder="1"/>
    <xf numFmtId="167" fontId="0" fillId="0" borderId="0" xfId="1" applyNumberFormat="1" applyFont="1" applyBorder="1"/>
    <xf numFmtId="166" fontId="2" fillId="0" borderId="5" xfId="1" applyNumberFormat="1" applyFont="1" applyBorder="1"/>
    <xf numFmtId="167" fontId="2" fillId="0" borderId="5" xfId="1" applyNumberFormat="1" applyFont="1" applyBorder="1"/>
    <xf numFmtId="1" fontId="2" fillId="0" borderId="5" xfId="1" applyNumberFormat="1" applyFont="1" applyBorder="1"/>
    <xf numFmtId="164" fontId="0" fillId="0" borderId="0" xfId="1" applyNumberFormat="1" applyFont="1" applyFill="1" applyBorder="1"/>
    <xf numFmtId="165" fontId="0" fillId="0" borderId="0" xfId="1" applyNumberFormat="1" applyFont="1" applyFill="1" applyBorder="1"/>
    <xf numFmtId="0" fontId="0" fillId="0" borderId="0" xfId="0" applyAlignment="1">
      <alignment wrapText="1"/>
    </xf>
    <xf numFmtId="164" fontId="0" fillId="0" borderId="0" xfId="1" applyNumberFormat="1" applyFont="1" applyBorder="1" applyAlignment="1">
      <alignment vertical="center"/>
    </xf>
    <xf numFmtId="164" fontId="0" fillId="2" borderId="0" xfId="1" applyNumberFormat="1" applyFont="1" applyFill="1" applyBorder="1" applyAlignment="1">
      <alignment vertical="center"/>
    </xf>
    <xf numFmtId="165" fontId="0" fillId="0" borderId="0" xfId="1" applyNumberFormat="1" applyFont="1" applyBorder="1" applyAlignment="1">
      <alignment vertical="center"/>
    </xf>
    <xf numFmtId="165" fontId="0" fillId="2" borderId="0" xfId="1" applyNumberFormat="1" applyFont="1" applyFill="1" applyBorder="1" applyAlignment="1">
      <alignment vertical="center"/>
    </xf>
    <xf numFmtId="165" fontId="0" fillId="0" borderId="0" xfId="1" applyNumberFormat="1" applyFont="1" applyBorder="1" applyAlignment="1"/>
    <xf numFmtId="165" fontId="0" fillId="2" borderId="0" xfId="1" applyNumberFormat="1" applyFont="1" applyFill="1" applyBorder="1" applyAlignment="1"/>
    <xf numFmtId="0" fontId="2" fillId="3" borderId="2" xfId="0" applyFont="1" applyFill="1" applyBorder="1"/>
    <xf numFmtId="164" fontId="0" fillId="3" borderId="0" xfId="1" applyNumberFormat="1" applyFont="1" applyFill="1" applyBorder="1"/>
    <xf numFmtId="165" fontId="0" fillId="3" borderId="0" xfId="1" applyNumberFormat="1" applyFont="1" applyFill="1" applyBorder="1"/>
    <xf numFmtId="164" fontId="2" fillId="3" borderId="0" xfId="1" applyNumberFormat="1" applyFont="1" applyFill="1" applyBorder="1"/>
    <xf numFmtId="164" fontId="0" fillId="3" borderId="4" xfId="1" applyNumberFormat="1" applyFont="1" applyFill="1" applyBorder="1"/>
    <xf numFmtId="0" fontId="0" fillId="0" borderId="6" xfId="0" applyBorder="1"/>
    <xf numFmtId="43" fontId="2" fillId="0" borderId="5" xfId="0" applyNumberFormat="1" applyFont="1" applyBorder="1"/>
    <xf numFmtId="165" fontId="2" fillId="2" borderId="1" xfId="1" applyNumberFormat="1" applyFont="1" applyFill="1" applyBorder="1"/>
    <xf numFmtId="0" fontId="0" fillId="4" borderId="0" xfId="0" applyFill="1"/>
    <xf numFmtId="0" fontId="2" fillId="4" borderId="2" xfId="0" applyFont="1" applyFill="1" applyBorder="1"/>
    <xf numFmtId="164" fontId="0" fillId="4" borderId="0" xfId="1" applyNumberFormat="1" applyFont="1" applyFill="1" applyBorder="1"/>
    <xf numFmtId="165" fontId="0" fillId="4" borderId="0" xfId="1" applyNumberFormat="1" applyFont="1" applyFill="1" applyBorder="1"/>
    <xf numFmtId="1" fontId="0" fillId="4" borderId="0" xfId="1" applyNumberFormat="1" applyFont="1" applyFill="1" applyBorder="1"/>
    <xf numFmtId="165" fontId="0" fillId="4" borderId="0" xfId="1" applyNumberFormat="1" applyFont="1" applyFill="1" applyBorder="1" applyAlignment="1">
      <alignment vertical="center"/>
    </xf>
    <xf numFmtId="165" fontId="0" fillId="4" borderId="1" xfId="1" applyNumberFormat="1" applyFont="1" applyFill="1" applyBorder="1"/>
    <xf numFmtId="43" fontId="0" fillId="4" borderId="0" xfId="1" applyFont="1" applyFill="1" applyBorder="1"/>
    <xf numFmtId="164" fontId="2" fillId="4" borderId="5" xfId="1" applyNumberFormat="1" applyFont="1" applyFill="1" applyBorder="1"/>
    <xf numFmtId="0" fontId="0" fillId="4" borderId="4" xfId="0" applyFill="1" applyBorder="1"/>
    <xf numFmtId="0" fontId="0" fillId="0" borderId="3" xfId="0" applyBorder="1" applyAlignment="1">
      <alignment vertical="top"/>
    </xf>
    <xf numFmtId="0" fontId="0" fillId="0" borderId="3" xfId="0" applyBorder="1" applyAlignment="1">
      <alignment vertical="top" wrapText="1"/>
    </xf>
    <xf numFmtId="164" fontId="0" fillId="2" borderId="3" xfId="1" applyNumberFormat="1" applyFont="1" applyFill="1" applyBorder="1" applyAlignment="1">
      <alignment vertical="center"/>
    </xf>
    <xf numFmtId="165" fontId="0" fillId="0" borderId="3" xfId="1" applyNumberFormat="1" applyFont="1" applyBorder="1" applyAlignment="1">
      <alignment vertical="center"/>
    </xf>
    <xf numFmtId="165" fontId="0" fillId="2" borderId="3" xfId="1" applyNumberFormat="1" applyFont="1" applyFill="1" applyBorder="1" applyAlignment="1">
      <alignment vertical="center"/>
    </xf>
    <xf numFmtId="165" fontId="0" fillId="4" borderId="3" xfId="1" applyNumberFormat="1" applyFont="1" applyFill="1" applyBorder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2" fontId="0" fillId="0" borderId="0" xfId="1" applyNumberFormat="1" applyFont="1" applyFill="1" applyBorder="1"/>
    <xf numFmtId="1" fontId="0" fillId="0" borderId="0" xfId="1" applyNumberFormat="1" applyFont="1" applyFill="1" applyBorder="1"/>
    <xf numFmtId="2" fontId="2" fillId="0" borderId="5" xfId="1" applyNumberFormat="1" applyFont="1" applyFill="1" applyBorder="1"/>
    <xf numFmtId="0" fontId="0" fillId="5" borderId="0" xfId="0" applyFill="1"/>
    <xf numFmtId="0" fontId="2" fillId="5" borderId="4" xfId="0" applyFont="1" applyFill="1" applyBorder="1"/>
    <xf numFmtId="1" fontId="0" fillId="5" borderId="0" xfId="1" applyNumberFormat="1" applyFont="1" applyFill="1" applyBorder="1"/>
    <xf numFmtId="2" fontId="2" fillId="5" borderId="5" xfId="1" applyNumberFormat="1" applyFont="1" applyFill="1" applyBorder="1"/>
    <xf numFmtId="0" fontId="2" fillId="5" borderId="0" xfId="0" applyFont="1" applyFill="1"/>
    <xf numFmtId="0" fontId="2" fillId="5" borderId="2" xfId="0" applyFont="1" applyFill="1" applyBorder="1"/>
    <xf numFmtId="165" fontId="0" fillId="5" borderId="3" xfId="1" applyNumberFormat="1" applyFont="1" applyFill="1" applyBorder="1" applyAlignment="1">
      <alignment vertical="center"/>
    </xf>
    <xf numFmtId="165" fontId="0" fillId="5" borderId="0" xfId="1" applyNumberFormat="1" applyFont="1" applyFill="1" applyBorder="1"/>
    <xf numFmtId="165" fontId="0" fillId="5" borderId="0" xfId="1" applyNumberFormat="1" applyFont="1" applyFill="1" applyBorder="1" applyAlignment="1">
      <alignment vertical="center"/>
    </xf>
    <xf numFmtId="165" fontId="0" fillId="5" borderId="1" xfId="1" applyNumberFormat="1" applyFont="1" applyFill="1" applyBorder="1"/>
    <xf numFmtId="164" fontId="2" fillId="5" borderId="5" xfId="1" applyNumberFormat="1" applyFont="1" applyFill="1" applyBorder="1"/>
    <xf numFmtId="164" fontId="0" fillId="5" borderId="0" xfId="1" applyNumberFormat="1" applyFont="1" applyFill="1" applyBorder="1"/>
    <xf numFmtId="43" fontId="0" fillId="5" borderId="0" xfId="1" applyFont="1" applyFill="1" applyBorder="1"/>
    <xf numFmtId="166" fontId="0" fillId="5" borderId="0" xfId="1" applyNumberFormat="1" applyFont="1" applyFill="1" applyBorder="1"/>
    <xf numFmtId="165" fontId="2" fillId="5" borderId="0" xfId="1" applyNumberFormat="1" applyFont="1" applyFill="1" applyBorder="1"/>
    <xf numFmtId="43" fontId="2" fillId="5" borderId="5" xfId="0" applyNumberFormat="1" applyFont="1" applyFill="1" applyBorder="1"/>
    <xf numFmtId="165" fontId="2" fillId="5" borderId="1" xfId="1" applyNumberFormat="1" applyFont="1" applyFill="1" applyBorder="1"/>
    <xf numFmtId="164" fontId="1" fillId="0" borderId="0" xfId="1" applyNumberFormat="1" applyFont="1" applyFill="1" applyBorder="1"/>
    <xf numFmtId="165" fontId="1" fillId="0" borderId="0" xfId="1" applyNumberFormat="1" applyFont="1" applyFill="1" applyBorder="1"/>
    <xf numFmtId="166" fontId="0" fillId="4" borderId="0" xfId="0" applyNumberFormat="1" applyFill="1"/>
    <xf numFmtId="166" fontId="0" fillId="5" borderId="0" xfId="0" applyNumberFormat="1" applyFill="1"/>
    <xf numFmtId="165" fontId="0" fillId="5" borderId="0" xfId="0" applyNumberFormat="1" applyFill="1"/>
    <xf numFmtId="166" fontId="3" fillId="6" borderId="0" xfId="0" applyNumberFormat="1" applyFont="1" applyFill="1"/>
    <xf numFmtId="164" fontId="3" fillId="0" borderId="0" xfId="0" applyNumberFormat="1" applyFont="1"/>
    <xf numFmtId="2" fontId="3" fillId="6" borderId="0" xfId="0" applyNumberFormat="1" applyFont="1" applyFill="1"/>
    <xf numFmtId="167" fontId="3" fillId="6" borderId="0" xfId="0" applyNumberFormat="1" applyFont="1" applyFill="1"/>
    <xf numFmtId="1" fontId="3" fillId="6" borderId="0" xfId="0" applyNumberFormat="1" applyFont="1" applyFill="1"/>
    <xf numFmtId="165" fontId="3" fillId="0" borderId="0" xfId="0" applyNumberFormat="1" applyFont="1"/>
    <xf numFmtId="2" fontId="0" fillId="5" borderId="0" xfId="1" applyNumberFormat="1" applyFont="1" applyFill="1" applyBorder="1"/>
    <xf numFmtId="1" fontId="0" fillId="5" borderId="0" xfId="0" applyNumberFormat="1" applyFill="1"/>
    <xf numFmtId="167" fontId="0" fillId="5" borderId="0" xfId="1" applyNumberFormat="1" applyFont="1" applyFill="1" applyBorder="1"/>
    <xf numFmtId="1" fontId="2" fillId="5" borderId="5" xfId="1" applyNumberFormat="1" applyFont="1" applyFill="1" applyBorder="1"/>
    <xf numFmtId="164" fontId="0" fillId="4" borderId="0" xfId="0" applyNumberFormat="1" applyFill="1"/>
    <xf numFmtId="165" fontId="0" fillId="4" borderId="0" xfId="0" applyNumberFormat="1" applyFill="1"/>
    <xf numFmtId="1" fontId="2" fillId="4" borderId="5" xfId="1" applyNumberFormat="1" applyFont="1" applyFill="1" applyBorder="1"/>
    <xf numFmtId="165" fontId="0" fillId="0" borderId="1" xfId="1" applyNumberFormat="1" applyFont="1" applyBorder="1" applyAlignment="1">
      <alignment horizontal="left"/>
    </xf>
    <xf numFmtId="165" fontId="0" fillId="2" borderId="1" xfId="1" applyNumberFormat="1" applyFont="1" applyFill="1" applyBorder="1" applyAlignment="1">
      <alignment horizontal="left"/>
    </xf>
    <xf numFmtId="165" fontId="0" fillId="0" borderId="0" xfId="1" applyNumberFormat="1" applyFont="1" applyBorder="1" applyAlignment="1">
      <alignment horizontal="left"/>
    </xf>
    <xf numFmtId="165" fontId="0" fillId="2" borderId="0" xfId="1" applyNumberFormat="1" applyFont="1" applyFill="1" applyBorder="1" applyAlignment="1">
      <alignment horizontal="left"/>
    </xf>
    <xf numFmtId="166" fontId="0" fillId="0" borderId="0" xfId="1" applyNumberFormat="1" applyFont="1" applyFill="1" applyBorder="1"/>
    <xf numFmtId="0" fontId="2" fillId="4" borderId="0" xfId="0" applyFont="1" applyFill="1"/>
    <xf numFmtId="165" fontId="2" fillId="4" borderId="5" xfId="1" applyNumberFormat="1" applyFont="1" applyFill="1" applyBorder="1"/>
    <xf numFmtId="165" fontId="2" fillId="5" borderId="5" xfId="1" applyNumberFormat="1" applyFont="1" applyFill="1" applyBorder="1"/>
    <xf numFmtId="0" fontId="2" fillId="0" borderId="8" xfId="0" applyFont="1" applyBorder="1"/>
    <xf numFmtId="164" fontId="2" fillId="0" borderId="5" xfId="0" applyNumberFormat="1" applyFont="1" applyBorder="1"/>
    <xf numFmtId="0" fontId="2" fillId="5" borderId="5" xfId="0" applyFont="1" applyFill="1" applyBorder="1"/>
    <xf numFmtId="0" fontId="2" fillId="5" borderId="9" xfId="0" applyFont="1" applyFill="1" applyBorder="1"/>
    <xf numFmtId="0" fontId="0" fillId="0" borderId="8" xfId="0" applyBorder="1"/>
    <xf numFmtId="0" fontId="0" fillId="0" borderId="5" xfId="0" applyBorder="1"/>
    <xf numFmtId="165" fontId="2" fillId="5" borderId="9" xfId="1" applyNumberFormat="1" applyFont="1" applyFill="1" applyBorder="1"/>
    <xf numFmtId="0" fontId="2" fillId="4" borderId="5" xfId="0" applyFont="1" applyFill="1" applyBorder="1"/>
    <xf numFmtId="43" fontId="2" fillId="4" borderId="5" xfId="1" applyFont="1" applyFill="1" applyBorder="1"/>
    <xf numFmtId="43" fontId="2" fillId="5" borderId="5" xfId="1" applyFont="1" applyFill="1" applyBorder="1"/>
    <xf numFmtId="166" fontId="2" fillId="4" borderId="5" xfId="0" applyNumberFormat="1" applyFont="1" applyFill="1" applyBorder="1"/>
    <xf numFmtId="0" fontId="0" fillId="4" borderId="5" xfId="0" applyFill="1" applyBorder="1"/>
    <xf numFmtId="0" fontId="0" fillId="5" borderId="5" xfId="0" applyFill="1" applyBorder="1"/>
    <xf numFmtId="0" fontId="0" fillId="5" borderId="9" xfId="0" applyFill="1" applyBorder="1"/>
    <xf numFmtId="164" fontId="0" fillId="0" borderId="4" xfId="1" applyNumberFormat="1" applyFont="1" applyBorder="1"/>
    <xf numFmtId="166" fontId="2" fillId="2" borderId="5" xfId="1" applyNumberFormat="1" applyFont="1" applyFill="1" applyBorder="1"/>
    <xf numFmtId="1" fontId="2" fillId="2" borderId="5" xfId="1" applyNumberFormat="1" applyFont="1" applyFill="1" applyBorder="1"/>
    <xf numFmtId="167" fontId="2" fillId="2" borderId="5" xfId="1" applyNumberFormat="1" applyFont="1" applyFill="1" applyBorder="1"/>
    <xf numFmtId="2" fontId="2" fillId="2" borderId="5" xfId="1" applyNumberFormat="1" applyFont="1" applyFill="1" applyBorder="1"/>
    <xf numFmtId="1" fontId="2" fillId="5" borderId="9" xfId="1" applyNumberFormat="1" applyFont="1" applyFill="1" applyBorder="1"/>
    <xf numFmtId="166" fontId="2" fillId="0" borderId="5" xfId="1" applyNumberFormat="1" applyFont="1" applyFill="1" applyBorder="1"/>
    <xf numFmtId="165" fontId="0" fillId="4" borderId="4" xfId="0" applyNumberFormat="1" applyFill="1" applyBorder="1"/>
    <xf numFmtId="165" fontId="0" fillId="5" borderId="4" xfId="0" applyNumberFormat="1" applyFill="1" applyBorder="1"/>
    <xf numFmtId="164" fontId="2" fillId="4" borderId="4" xfId="0" applyNumberFormat="1" applyFont="1" applyFill="1" applyBorder="1"/>
    <xf numFmtId="164" fontId="2" fillId="2" borderId="4" xfId="0" applyNumberFormat="1" applyFont="1" applyFill="1" applyBorder="1"/>
    <xf numFmtId="164" fontId="2" fillId="3" borderId="5" xfId="1" applyNumberFormat="1" applyFont="1" applyFill="1" applyBorder="1"/>
    <xf numFmtId="164" fontId="0" fillId="3" borderId="5" xfId="1" applyNumberFormat="1" applyFont="1" applyFill="1" applyBorder="1"/>
    <xf numFmtId="0" fontId="2" fillId="2" borderId="5" xfId="0" applyFont="1" applyFill="1" applyBorder="1"/>
    <xf numFmtId="0" fontId="2" fillId="0" borderId="0" xfId="0" applyFont="1" applyAlignment="1">
      <alignment horizontal="center"/>
    </xf>
    <xf numFmtId="164" fontId="2" fillId="0" borderId="7" xfId="1" applyNumberFormat="1" applyFont="1" applyBorder="1"/>
    <xf numFmtId="0" fontId="4" fillId="0" borderId="8" xfId="0" applyFont="1" applyBorder="1"/>
    <xf numFmtId="0" fontId="5" fillId="0" borderId="5" xfId="0" applyFont="1" applyBorder="1" applyAlignment="1">
      <alignment horizontal="center"/>
    </xf>
    <xf numFmtId="0" fontId="4" fillId="0" borderId="9" xfId="0" applyFont="1" applyBorder="1"/>
    <xf numFmtId="0" fontId="5" fillId="0" borderId="8" xfId="0" applyFont="1" applyBorder="1"/>
    <xf numFmtId="0" fontId="6" fillId="0" borderId="7" xfId="0" applyFont="1" applyBorder="1"/>
    <xf numFmtId="0" fontId="6" fillId="0" borderId="9" xfId="0" applyFont="1" applyBorder="1"/>
    <xf numFmtId="0" fontId="5" fillId="0" borderId="6" xfId="0" applyFont="1" applyBorder="1"/>
    <xf numFmtId="43" fontId="4" fillId="0" borderId="0" xfId="0" applyNumberFormat="1" applyFont="1"/>
    <xf numFmtId="43" fontId="4" fillId="0" borderId="10" xfId="0" applyNumberFormat="1" applyFont="1" applyBorder="1"/>
    <xf numFmtId="0" fontId="5" fillId="0" borderId="11" xfId="0" applyFont="1" applyBorder="1"/>
    <xf numFmtId="43" fontId="4" fillId="0" borderId="4" xfId="0" applyNumberFormat="1" applyFont="1" applyBorder="1"/>
    <xf numFmtId="43" fontId="4" fillId="0" borderId="12" xfId="0" applyNumberFormat="1" applyFont="1" applyBorder="1"/>
    <xf numFmtId="164" fontId="2" fillId="2" borderId="5" xfId="0" applyNumberFormat="1" applyFont="1" applyFill="1" applyBorder="1"/>
    <xf numFmtId="165" fontId="2" fillId="3" borderId="5" xfId="1" applyNumberFormat="1" applyFont="1" applyFill="1" applyBorder="1"/>
    <xf numFmtId="164" fontId="2" fillId="7" borderId="5" xfId="1" applyNumberFormat="1" applyFont="1" applyFill="1" applyBorder="1"/>
    <xf numFmtId="165" fontId="2" fillId="8" borderId="5" xfId="1" applyNumberFormat="1" applyFont="1" applyFill="1" applyBorder="1"/>
    <xf numFmtId="0" fontId="0" fillId="9" borderId="0" xfId="0" applyFill="1"/>
    <xf numFmtId="164" fontId="0" fillId="9" borderId="0" xfId="1" applyNumberFormat="1" applyFont="1" applyFill="1" applyBorder="1"/>
    <xf numFmtId="165" fontId="0" fillId="9" borderId="0" xfId="1" applyNumberFormat="1" applyFont="1" applyFill="1" applyBorder="1"/>
    <xf numFmtId="166" fontId="0" fillId="9" borderId="0" xfId="1" applyNumberFormat="1" applyFont="1" applyFill="1" applyBorder="1"/>
    <xf numFmtId="1" fontId="0" fillId="9" borderId="0" xfId="1" applyNumberFormat="1" applyFont="1" applyFill="1" applyBorder="1"/>
    <xf numFmtId="165" fontId="0" fillId="9" borderId="0" xfId="0" applyNumberFormat="1" applyFill="1"/>
    <xf numFmtId="0" fontId="2" fillId="9" borderId="8" xfId="0" applyFont="1" applyFill="1" applyBorder="1"/>
    <xf numFmtId="0" fontId="2" fillId="9" borderId="5" xfId="0" applyFont="1" applyFill="1" applyBorder="1"/>
    <xf numFmtId="164" fontId="2" fillId="9" borderId="5" xfId="0" applyNumberFormat="1" applyFont="1" applyFill="1" applyBorder="1"/>
    <xf numFmtId="1" fontId="2" fillId="9" borderId="7" xfId="1" applyNumberFormat="1" applyFont="1" applyFill="1" applyBorder="1"/>
    <xf numFmtId="164" fontId="2" fillId="9" borderId="9" xfId="0" applyNumberFormat="1" applyFont="1" applyFill="1" applyBorder="1"/>
    <xf numFmtId="166" fontId="2" fillId="9" borderId="5" xfId="0" applyNumberFormat="1" applyFont="1" applyFill="1" applyBorder="1"/>
    <xf numFmtId="0" fontId="2" fillId="9" borderId="9" xfId="0" applyFont="1" applyFill="1" applyBorder="1"/>
    <xf numFmtId="0" fontId="2" fillId="9" borderId="0" xfId="0" applyFont="1" applyFill="1"/>
    <xf numFmtId="0" fontId="0" fillId="9" borderId="3" xfId="0" applyFill="1" applyBorder="1"/>
    <xf numFmtId="164" fontId="0" fillId="9" borderId="3" xfId="1" applyNumberFormat="1" applyFont="1" applyFill="1" applyBorder="1"/>
    <xf numFmtId="165" fontId="0" fillId="9" borderId="3" xfId="1" applyNumberFormat="1" applyFont="1" applyFill="1" applyBorder="1"/>
    <xf numFmtId="0" fontId="2" fillId="9" borderId="1" xfId="0" applyFont="1" applyFill="1" applyBorder="1"/>
    <xf numFmtId="0" fontId="2" fillId="9" borderId="2" xfId="0" applyFont="1" applyFill="1" applyBorder="1"/>
    <xf numFmtId="0" fontId="2" fillId="9" borderId="4" xfId="0" applyFont="1" applyFill="1" applyBorder="1"/>
    <xf numFmtId="0" fontId="0" fillId="9" borderId="4" xfId="0" applyFill="1" applyBorder="1"/>
    <xf numFmtId="2" fontId="0" fillId="9" borderId="3" xfId="1" applyNumberFormat="1" applyFont="1" applyFill="1" applyBorder="1"/>
    <xf numFmtId="1" fontId="0" fillId="9" borderId="3" xfId="1" applyNumberFormat="1" applyFont="1" applyFill="1" applyBorder="1"/>
    <xf numFmtId="167" fontId="0" fillId="9" borderId="3" xfId="1" applyNumberFormat="1" applyFont="1" applyFill="1" applyBorder="1"/>
    <xf numFmtId="2" fontId="0" fillId="9" borderId="0" xfId="1" applyNumberFormat="1" applyFont="1" applyFill="1" applyBorder="1"/>
    <xf numFmtId="167" fontId="0" fillId="9" borderId="0" xfId="1" applyNumberFormat="1" applyFont="1" applyFill="1" applyBorder="1"/>
    <xf numFmtId="0" fontId="0" fillId="9" borderId="8" xfId="0" applyFill="1" applyBorder="1"/>
    <xf numFmtId="0" fontId="0" fillId="9" borderId="5" xfId="0" applyFill="1" applyBorder="1"/>
    <xf numFmtId="166" fontId="2" fillId="9" borderId="5" xfId="1" applyNumberFormat="1" applyFont="1" applyFill="1" applyBorder="1"/>
    <xf numFmtId="164" fontId="2" fillId="9" borderId="5" xfId="1" applyNumberFormat="1" applyFont="1" applyFill="1" applyBorder="1"/>
    <xf numFmtId="165" fontId="2" fillId="9" borderId="5" xfId="1" applyNumberFormat="1" applyFont="1" applyFill="1" applyBorder="1"/>
    <xf numFmtId="1" fontId="2" fillId="9" borderId="5" xfId="1" applyNumberFormat="1" applyFont="1" applyFill="1" applyBorder="1"/>
    <xf numFmtId="167" fontId="2" fillId="9" borderId="5" xfId="1" applyNumberFormat="1" applyFont="1" applyFill="1" applyBorder="1"/>
    <xf numFmtId="0" fontId="0" fillId="9" borderId="1" xfId="0" applyFill="1" applyBorder="1"/>
    <xf numFmtId="166" fontId="0" fillId="9" borderId="1" xfId="1" applyNumberFormat="1" applyFont="1" applyFill="1" applyBorder="1"/>
    <xf numFmtId="164" fontId="0" fillId="9" borderId="1" xfId="1" applyNumberFormat="1" applyFont="1" applyFill="1" applyBorder="1"/>
    <xf numFmtId="2" fontId="0" fillId="9" borderId="1" xfId="1" applyNumberFormat="1" applyFont="1" applyFill="1" applyBorder="1"/>
    <xf numFmtId="165" fontId="0" fillId="9" borderId="1" xfId="1" applyNumberFormat="1" applyFont="1" applyFill="1" applyBorder="1"/>
    <xf numFmtId="1" fontId="0" fillId="9" borderId="1" xfId="1" applyNumberFormat="1" applyFont="1" applyFill="1" applyBorder="1"/>
    <xf numFmtId="167" fontId="0" fillId="9" borderId="1" xfId="1" applyNumberFormat="1" applyFont="1" applyFill="1" applyBorder="1"/>
    <xf numFmtId="2" fontId="2" fillId="9" borderId="5" xfId="1" applyNumberFormat="1" applyFont="1" applyFill="1" applyBorder="1"/>
    <xf numFmtId="165" fontId="0" fillId="9" borderId="3" xfId="3" applyNumberFormat="1" applyFont="1" applyFill="1" applyBorder="1"/>
    <xf numFmtId="1" fontId="0" fillId="9" borderId="0" xfId="3" applyNumberFormat="1" applyFont="1" applyFill="1" applyBorder="1"/>
    <xf numFmtId="165" fontId="0" fillId="9" borderId="0" xfId="3" applyNumberFormat="1" applyFont="1" applyFill="1" applyBorder="1"/>
    <xf numFmtId="165" fontId="2" fillId="9" borderId="4" xfId="3" applyNumberFormat="1" applyFont="1" applyFill="1" applyBorder="1"/>
    <xf numFmtId="166" fontId="2" fillId="9" borderId="5" xfId="3" applyNumberFormat="1" applyFont="1" applyFill="1" applyBorder="1"/>
    <xf numFmtId="165" fontId="2" fillId="9" borderId="5" xfId="3" applyNumberFormat="1" applyFont="1" applyFill="1" applyBorder="1"/>
    <xf numFmtId="1" fontId="2" fillId="9" borderId="9" xfId="3" applyNumberFormat="1" applyFont="1" applyFill="1" applyBorder="1"/>
    <xf numFmtId="1" fontId="2" fillId="9" borderId="4" xfId="1" applyNumberFormat="1" applyFont="1" applyFill="1" applyBorder="1"/>
    <xf numFmtId="1" fontId="0" fillId="9" borderId="4" xfId="1" applyNumberFormat="1" applyFont="1" applyFill="1" applyBorder="1"/>
    <xf numFmtId="165" fontId="0" fillId="9" borderId="4" xfId="3" applyNumberFormat="1" applyFont="1" applyFill="1" applyBorder="1"/>
    <xf numFmtId="1" fontId="0" fillId="9" borderId="4" xfId="3" applyNumberFormat="1" applyFont="1" applyFill="1" applyBorder="1"/>
    <xf numFmtId="166" fontId="2" fillId="9" borderId="4" xfId="3" applyNumberFormat="1" applyFont="1" applyFill="1" applyBorder="1"/>
    <xf numFmtId="164" fontId="0" fillId="2" borderId="0" xfId="5" applyNumberFormat="1" applyFont="1" applyFill="1" applyBorder="1"/>
    <xf numFmtId="165" fontId="0" fillId="2" borderId="0" xfId="5" applyNumberFormat="1" applyFont="1" applyFill="1" applyBorder="1"/>
    <xf numFmtId="1" fontId="0" fillId="5" borderId="0" xfId="5" applyNumberFormat="1" applyFont="1" applyFill="1" applyBorder="1"/>
    <xf numFmtId="166" fontId="0" fillId="9" borderId="0" xfId="1" applyNumberFormat="1" applyFont="1" applyFill="1"/>
    <xf numFmtId="164" fontId="0" fillId="9" borderId="0" xfId="1" applyNumberFormat="1" applyFont="1" applyFill="1"/>
    <xf numFmtId="164" fontId="0" fillId="0" borderId="0" xfId="1" applyNumberFormat="1" applyFont="1"/>
    <xf numFmtId="164" fontId="0" fillId="0" borderId="0" xfId="6" applyNumberFormat="1" applyFont="1" applyBorder="1"/>
    <xf numFmtId="164" fontId="0" fillId="2" borderId="0" xfId="1" applyNumberFormat="1" applyFont="1" applyFill="1"/>
    <xf numFmtId="165" fontId="0" fillId="0" borderId="0" xfId="6" applyNumberFormat="1" applyFont="1" applyBorder="1"/>
    <xf numFmtId="164" fontId="0" fillId="0" borderId="1" xfId="6" applyNumberFormat="1" applyFont="1" applyBorder="1"/>
    <xf numFmtId="164" fontId="0" fillId="2" borderId="0" xfId="6" applyNumberFormat="1" applyFont="1" applyFill="1" applyBorder="1"/>
    <xf numFmtId="164" fontId="0" fillId="2" borderId="1" xfId="6" applyNumberFormat="1" applyFont="1" applyFill="1" applyBorder="1"/>
    <xf numFmtId="165" fontId="0" fillId="0" borderId="0" xfId="1" applyNumberFormat="1" applyFont="1"/>
    <xf numFmtId="0" fontId="2" fillId="2" borderId="0" xfId="0" applyFont="1" applyFill="1"/>
    <xf numFmtId="0" fontId="0" fillId="2" borderId="0" xfId="0" applyFill="1"/>
    <xf numFmtId="165" fontId="0" fillId="2" borderId="0" xfId="1" applyNumberFormat="1" applyFont="1" applyFill="1"/>
    <xf numFmtId="166" fontId="0" fillId="2" borderId="0" xfId="1" applyNumberFormat="1" applyFont="1" applyFill="1"/>
    <xf numFmtId="166" fontId="2" fillId="10" borderId="5" xfId="1" applyNumberFormat="1" applyFont="1" applyFill="1" applyBorder="1"/>
    <xf numFmtId="2" fontId="0" fillId="2" borderId="0" xfId="1" applyNumberFormat="1" applyFont="1" applyFill="1"/>
    <xf numFmtId="1" fontId="0" fillId="5" borderId="0" xfId="1" applyNumberFormat="1" applyFont="1" applyFill="1"/>
    <xf numFmtId="165" fontId="0" fillId="4" borderId="0" xfId="1" applyNumberFormat="1" applyFont="1" applyFill="1"/>
    <xf numFmtId="166" fontId="0" fillId="10" borderId="0" xfId="7" applyNumberFormat="1" applyFont="1" applyFill="1" applyBorder="1"/>
    <xf numFmtId="0" fontId="2" fillId="10" borderId="5" xfId="0" applyFont="1" applyFill="1" applyBorder="1"/>
    <xf numFmtId="164" fontId="0" fillId="10" borderId="0" xfId="7" applyNumberFormat="1" applyFont="1" applyFill="1" applyBorder="1"/>
    <xf numFmtId="0" fontId="0" fillId="10" borderId="0" xfId="0" applyFill="1"/>
    <xf numFmtId="0" fontId="7" fillId="5" borderId="0" xfId="0" applyFont="1" applyFill="1"/>
    <xf numFmtId="165" fontId="0" fillId="9" borderId="0" xfId="10" applyNumberFormat="1" applyFont="1" applyFill="1" applyBorder="1"/>
    <xf numFmtId="165" fontId="0" fillId="9" borderId="3" xfId="10" applyNumberFormat="1" applyFont="1" applyFill="1" applyBorder="1"/>
    <xf numFmtId="165" fontId="2" fillId="4" borderId="0" xfId="1" applyNumberFormat="1" applyFont="1" applyFill="1" applyBorder="1"/>
    <xf numFmtId="164" fontId="2" fillId="0" borderId="0" xfId="1" applyNumberFormat="1" applyFont="1" applyBorder="1"/>
    <xf numFmtId="164" fontId="2" fillId="2" borderId="0" xfId="1" applyNumberFormat="1" applyFont="1" applyFill="1" applyBorder="1"/>
    <xf numFmtId="165" fontId="0" fillId="7" borderId="0" xfId="1" applyNumberFormat="1" applyFont="1" applyFill="1" applyBorder="1"/>
    <xf numFmtId="165" fontId="2" fillId="7" borderId="5" xfId="1" applyNumberFormat="1" applyFont="1" applyFill="1" applyBorder="1"/>
    <xf numFmtId="1" fontId="2" fillId="7" borderId="5" xfId="1" applyNumberFormat="1" applyFont="1" applyFill="1" applyBorder="1"/>
    <xf numFmtId="164" fontId="2" fillId="8" borderId="5" xfId="1" applyNumberFormat="1" applyFont="1" applyFill="1" applyBorder="1"/>
    <xf numFmtId="164" fontId="2" fillId="0" borderId="1" xfId="1" applyNumberFormat="1" applyFont="1" applyBorder="1"/>
    <xf numFmtId="164" fontId="0" fillId="4" borderId="13" xfId="1" applyNumberFormat="1" applyFont="1" applyFill="1" applyBorder="1"/>
    <xf numFmtId="164" fontId="0" fillId="2" borderId="0" xfId="19" applyNumberFormat="1" applyFont="1" applyFill="1" applyBorder="1"/>
    <xf numFmtId="164" fontId="0" fillId="0" borderId="1" xfId="19" applyNumberFormat="1" applyFont="1" applyBorder="1"/>
    <xf numFmtId="164" fontId="0" fillId="2" borderId="1" xfId="19" applyNumberFormat="1" applyFont="1" applyFill="1" applyBorder="1"/>
    <xf numFmtId="164" fontId="0" fillId="8" borderId="0" xfId="19" applyNumberFormat="1" applyFont="1" applyFill="1" applyBorder="1"/>
    <xf numFmtId="164" fontId="0" fillId="0" borderId="3" xfId="19" applyNumberFormat="1" applyFont="1" applyBorder="1"/>
    <xf numFmtId="164" fontId="0" fillId="0" borderId="0" xfId="19" applyNumberFormat="1" applyFont="1" applyBorder="1"/>
    <xf numFmtId="166" fontId="7" fillId="2" borderId="0" xfId="19" applyNumberFormat="1" applyFont="1" applyFill="1" applyBorder="1"/>
    <xf numFmtId="166" fontId="7" fillId="2" borderId="3" xfId="19" applyNumberFormat="1" applyFont="1" applyFill="1" applyBorder="1"/>
    <xf numFmtId="1" fontId="0" fillId="5" borderId="0" xfId="19" applyNumberFormat="1" applyFont="1" applyFill="1" applyBorder="1"/>
    <xf numFmtId="0" fontId="0" fillId="5" borderId="0" xfId="19" applyNumberFormat="1" applyFont="1" applyFill="1" applyBorder="1"/>
    <xf numFmtId="0" fontId="0" fillId="4" borderId="0" xfId="19" applyNumberFormat="1" applyFont="1" applyFill="1" applyBorder="1"/>
    <xf numFmtId="2" fontId="0" fillId="5" borderId="0" xfId="19" applyNumberFormat="1" applyFont="1" applyFill="1" applyBorder="1"/>
    <xf numFmtId="165" fontId="3" fillId="2" borderId="0" xfId="0" applyNumberFormat="1" applyFont="1" applyFill="1"/>
    <xf numFmtId="166" fontId="7" fillId="6" borderId="0" xfId="0" applyNumberFormat="1" applyFont="1" applyFill="1"/>
    <xf numFmtId="164" fontId="0" fillId="3" borderId="0" xfId="19" applyNumberFormat="1" applyFont="1" applyFill="1" applyBorder="1"/>
    <xf numFmtId="164" fontId="0" fillId="3" borderId="0" xfId="18" applyNumberFormat="1" applyFont="1" applyFill="1" applyBorder="1"/>
    <xf numFmtId="165" fontId="0" fillId="0" borderId="0" xfId="19" applyNumberFormat="1" applyFont="1" applyBorder="1"/>
    <xf numFmtId="164" fontId="0" fillId="0" borderId="0" xfId="19" applyNumberFormat="1" applyFont="1" applyFill="1" applyBorder="1"/>
    <xf numFmtId="165" fontId="0" fillId="0" borderId="0" xfId="19" applyNumberFormat="1" applyFont="1" applyFill="1" applyBorder="1"/>
    <xf numFmtId="2" fontId="0" fillId="0" borderId="0" xfId="19" applyNumberFormat="1" applyFont="1" applyFill="1" applyBorder="1"/>
    <xf numFmtId="164" fontId="0" fillId="9" borderId="0" xfId="19" applyNumberFormat="1" applyFont="1" applyFill="1" applyBorder="1"/>
    <xf numFmtId="164" fontId="0" fillId="9" borderId="3" xfId="19" applyNumberFormat="1" applyFont="1" applyFill="1" applyBorder="1"/>
    <xf numFmtId="165" fontId="0" fillId="9" borderId="0" xfId="24" applyNumberFormat="1" applyFont="1" applyFill="1" applyBorder="1"/>
    <xf numFmtId="166" fontId="9" fillId="11" borderId="0" xfId="27" applyNumberFormat="1" applyFill="1" applyAlignment="1" applyProtection="1"/>
    <xf numFmtId="166" fontId="9" fillId="11" borderId="1" xfId="27" applyNumberFormat="1" applyFill="1" applyBorder="1" applyAlignment="1" applyProtection="1"/>
    <xf numFmtId="165" fontId="2" fillId="9" borderId="8" xfId="1" applyNumberFormat="1" applyFont="1" applyFill="1" applyBorder="1"/>
    <xf numFmtId="165" fontId="9" fillId="7" borderId="0" xfId="29" applyNumberFormat="1" applyFill="1" applyAlignment="1" applyProtection="1"/>
    <xf numFmtId="164" fontId="9" fillId="7" borderId="0" xfId="29" applyNumberFormat="1" applyFill="1" applyAlignment="1" applyProtection="1"/>
    <xf numFmtId="164" fontId="0" fillId="8" borderId="0" xfId="1" applyNumberFormat="1" applyFont="1" applyFill="1" applyBorder="1"/>
    <xf numFmtId="166" fontId="0" fillId="9" borderId="0" xfId="35" applyNumberFormat="1" applyFont="1" applyFill="1" applyBorder="1"/>
    <xf numFmtId="166" fontId="0" fillId="9" borderId="3" xfId="35" applyNumberFormat="1" applyFont="1" applyFill="1" applyBorder="1"/>
    <xf numFmtId="166" fontId="1" fillId="9" borderId="0" xfId="56" applyNumberFormat="1" applyFont="1" applyFill="1" applyBorder="1"/>
    <xf numFmtId="164" fontId="0" fillId="9" borderId="0" xfId="35" applyNumberFormat="1" applyFont="1" applyFill="1" applyBorder="1"/>
    <xf numFmtId="165" fontId="0" fillId="9" borderId="0" xfId="35" applyNumberFormat="1" applyFont="1" applyFill="1" applyBorder="1"/>
    <xf numFmtId="164" fontId="0" fillId="5" borderId="0" xfId="35" applyNumberFormat="1" applyFont="1" applyFill="1" applyBorder="1"/>
    <xf numFmtId="164" fontId="0" fillId="4" borderId="1" xfId="1" applyNumberFormat="1" applyFont="1" applyFill="1" applyBorder="1"/>
    <xf numFmtId="164" fontId="0" fillId="12" borderId="0" xfId="1" applyNumberFormat="1" applyFont="1" applyFill="1" applyBorder="1"/>
    <xf numFmtId="165" fontId="10" fillId="0" borderId="0" xfId="1" applyNumberFormat="1" applyFont="1" applyBorder="1"/>
    <xf numFmtId="166" fontId="0" fillId="4" borderId="0" xfId="1" applyNumberFormat="1" applyFont="1" applyFill="1" applyBorder="1"/>
    <xf numFmtId="166" fontId="0" fillId="2" borderId="3" xfId="68" applyNumberFormat="1" applyFont="1" applyFill="1" applyBorder="1"/>
    <xf numFmtId="166" fontId="0" fillId="2" borderId="0" xfId="68" applyNumberFormat="1" applyFont="1" applyFill="1" applyBorder="1"/>
    <xf numFmtId="1" fontId="3" fillId="13" borderId="0" xfId="0" applyNumberFormat="1" applyFont="1" applyFill="1"/>
    <xf numFmtId="166" fontId="3" fillId="13" borderId="0" xfId="0" applyNumberFormat="1" applyFont="1" applyFill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6" fontId="11" fillId="14" borderId="14" xfId="0" applyNumberFormat="1" applyFont="1" applyFill="1" applyBorder="1"/>
    <xf numFmtId="166" fontId="11" fillId="14" borderId="0" xfId="0" applyNumberFormat="1" applyFont="1" applyFill="1"/>
    <xf numFmtId="166" fontId="11" fillId="0" borderId="0" xfId="0" applyNumberFormat="1" applyFont="1" applyFill="1"/>
    <xf numFmtId="168" fontId="11" fillId="14" borderId="14" xfId="0" applyNumberFormat="1" applyFont="1" applyFill="1" applyBorder="1"/>
    <xf numFmtId="168" fontId="11" fillId="14" borderId="0" xfId="0" applyNumberFormat="1" applyFont="1" applyFill="1"/>
    <xf numFmtId="1" fontId="11" fillId="14" borderId="0" xfId="0" applyNumberFormat="1" applyFont="1" applyFill="1"/>
  </cellXfs>
  <cellStyles count="132">
    <cellStyle name="Comma" xfId="1" builtinId="3"/>
    <cellStyle name="Comma 10" xfId="35" xr:uid="{F1E94233-5A3E-4435-A688-0E0810BB1DD2}"/>
    <cellStyle name="Comma 10 2" xfId="100" xr:uid="{FE4DEFB5-27E7-40F2-91CE-3BBAB2313D01}"/>
    <cellStyle name="Comma 11" xfId="68" xr:uid="{E978E34E-327E-40ED-A346-CD5F4360039E}"/>
    <cellStyle name="Comma 2" xfId="2" xr:uid="{AC1F8C77-1C77-4E6D-A8A0-5931DC3DD837}"/>
    <cellStyle name="Comma 2 2" xfId="5" xr:uid="{5606350A-459D-4E55-9546-3912C9FDE5EE}"/>
    <cellStyle name="Comma 2 2 2" xfId="19" xr:uid="{3388A9E9-104F-44FE-897B-0DFC5C742E2A}"/>
    <cellStyle name="Comma 2 2 2 2" xfId="53" xr:uid="{30C687F2-4C29-4D29-8BDF-8426EB440122}"/>
    <cellStyle name="Comma 2 2 2 2 2" xfId="118" xr:uid="{31BD6F99-26D2-4BFE-9277-36A14842E012}"/>
    <cellStyle name="Comma 2 2 2 3" xfId="86" xr:uid="{0CF70796-B8A8-4640-9824-337FCCC451B8}"/>
    <cellStyle name="Comma 2 2 3" xfId="29" xr:uid="{F3DDEEDE-3B86-40B1-8F20-8B1C0333F8DF}"/>
    <cellStyle name="Comma 2 2 3 2" xfId="63" xr:uid="{FC125C15-BBB2-44EE-8BD7-D44A5A4727F5}"/>
    <cellStyle name="Comma 2 2 3 2 2" xfId="128" xr:uid="{36C1B4FE-88F9-4065-9F3D-01D34069B543}"/>
    <cellStyle name="Comma 2 2 3 3" xfId="96" xr:uid="{A208ED79-F464-410B-93AD-86D19712F8AE}"/>
    <cellStyle name="Comma 2 2 4" xfId="39" xr:uid="{212E9EB0-3A3C-41EA-925A-392EC3FAE835}"/>
    <cellStyle name="Comma 2 2 4 2" xfId="104" xr:uid="{44F90BF6-EC27-4A1F-AFC5-53E8E70ACBA4}"/>
    <cellStyle name="Comma 2 2 5" xfId="72" xr:uid="{661FBDA6-B491-4D39-8187-DFF420612096}"/>
    <cellStyle name="Comma 2 3" xfId="7" xr:uid="{84397ADE-BF6F-48A0-A89F-46EA55793072}"/>
    <cellStyle name="Comma 2 3 2" xfId="21" xr:uid="{96C3BB13-BF46-4FA4-948E-6AABFDEEDF36}"/>
    <cellStyle name="Comma 2 3 2 2" xfId="55" xr:uid="{90270F0D-1AF3-4BE9-819E-A3A6D96DD5A2}"/>
    <cellStyle name="Comma 2 3 2 2 2" xfId="120" xr:uid="{141D44BC-4F63-42E0-8209-EF4E63F02390}"/>
    <cellStyle name="Comma 2 3 2 3" xfId="88" xr:uid="{32BD5443-B274-4BBF-B169-F270E94BB3D5}"/>
    <cellStyle name="Comma 2 3 3" xfId="31" xr:uid="{160CF493-7EDB-4CED-BF1D-7F1279AD6ECC}"/>
    <cellStyle name="Comma 2 3 3 2" xfId="65" xr:uid="{F12F4E3A-E888-4158-9051-4A143D10890E}"/>
    <cellStyle name="Comma 2 3 3 2 2" xfId="130" xr:uid="{F30E4467-1BF7-4C78-B470-6A484E1A7768}"/>
    <cellStyle name="Comma 2 3 3 3" xfId="98" xr:uid="{CF67059E-CE15-4A20-9D32-767D293D1EA3}"/>
    <cellStyle name="Comma 2 3 4" xfId="41" xr:uid="{B9F4489F-FD63-44E5-8817-C0DA5C9E9E31}"/>
    <cellStyle name="Comma 2 3 4 2" xfId="106" xr:uid="{D557615D-F20F-4856-B48E-3FA60714FB88}"/>
    <cellStyle name="Comma 2 3 5" xfId="74" xr:uid="{E1359B31-DC4C-4CD3-84D7-9488B748AC5B}"/>
    <cellStyle name="Comma 2 4" xfId="10" xr:uid="{12F04087-4E85-4AF0-B0DE-CB064813BDDC}"/>
    <cellStyle name="Comma 2 4 2" xfId="24" xr:uid="{EE1D2737-E8D9-4B53-8984-C1D664C996C9}"/>
    <cellStyle name="Comma 2 4 2 2" xfId="58" xr:uid="{C803B1FF-CE8E-4A08-A73E-9283B74DAA18}"/>
    <cellStyle name="Comma 2 4 2 2 2" xfId="123" xr:uid="{7E1139EE-F0D4-4E00-9DDC-C5A685CB2239}"/>
    <cellStyle name="Comma 2 4 2 3" xfId="91" xr:uid="{4C5CC00A-3975-49FA-B5EC-1EE2E01D3A24}"/>
    <cellStyle name="Comma 2 4 3" xfId="26" xr:uid="{EE1A57AE-4EF4-4615-90A3-07A94994A335}"/>
    <cellStyle name="Comma 2 4 3 2" xfId="60" xr:uid="{3B5EE99E-1361-4365-974A-D9D8222CC8B9}"/>
    <cellStyle name="Comma 2 4 3 2 2" xfId="125" xr:uid="{DD15C66D-9792-4F9A-B548-9B8D20634FAD}"/>
    <cellStyle name="Comma 2 4 3 3" xfId="93" xr:uid="{83D82948-6223-4844-A09A-98C16B98B3A7}"/>
    <cellStyle name="Comma 2 4 4" xfId="44" xr:uid="{930FDB52-6051-4F82-9189-4C4BD53DBB33}"/>
    <cellStyle name="Comma 2 4 4 2" xfId="109" xr:uid="{57A3A90F-0D96-4896-B494-B4AE95850B6F}"/>
    <cellStyle name="Comma 2 4 5" xfId="77" xr:uid="{64C930AC-BEA6-4A8D-B039-839BE37015DC}"/>
    <cellStyle name="Comma 2 5" xfId="16" xr:uid="{39D3F600-7430-4F55-B726-80E685825FAD}"/>
    <cellStyle name="Comma 2 5 2" xfId="50" xr:uid="{0BDDE53E-DE67-4B72-9E86-0EFA685C9187}"/>
    <cellStyle name="Comma 2 5 2 2" xfId="115" xr:uid="{7C985D92-3734-4B98-9F99-FB6A86C6DE87}"/>
    <cellStyle name="Comma 2 5 3" xfId="83" xr:uid="{9F924E2E-5F2F-4F4A-8F68-33AFC439AD59}"/>
    <cellStyle name="Comma 2 6" xfId="13" xr:uid="{CA2AA512-5240-49F2-9CE6-87E2E126F489}"/>
    <cellStyle name="Comma 2 6 2" xfId="47" xr:uid="{663C88A0-54B3-44C3-A9B8-EBE943EDF899}"/>
    <cellStyle name="Comma 2 6 2 2" xfId="112" xr:uid="{B80CB9DD-E261-4030-A332-5229F2FE1745}"/>
    <cellStyle name="Comma 2 6 3" xfId="80" xr:uid="{96D8A139-4E34-4E0F-BFEE-2FCD817F4BF8}"/>
    <cellStyle name="Comma 2 7" xfId="36" xr:uid="{80FE9CDA-1DE0-456B-AB40-60B509786B34}"/>
    <cellStyle name="Comma 2 7 2" xfId="101" xr:uid="{9916FD89-AF13-48BA-9FE5-708E66088459}"/>
    <cellStyle name="Comma 2 8" xfId="69" xr:uid="{7E37C904-CFC3-4113-95AA-2A319E11951A}"/>
    <cellStyle name="Comma 3" xfId="3" xr:uid="{61BF9993-6217-4157-BC7D-1C2B3B8B2F6B}"/>
    <cellStyle name="Comma 3 2" xfId="8" xr:uid="{CB4EC334-57A2-4FC6-BA78-D8B0745BDEAA}"/>
    <cellStyle name="Comma 3 2 2" xfId="22" xr:uid="{7ABC1EC6-691B-402F-AD2D-0664CA1845C2}"/>
    <cellStyle name="Comma 3 2 2 2" xfId="56" xr:uid="{966FEEFC-EF21-4FFB-9B2A-E7C0A1022ED8}"/>
    <cellStyle name="Comma 3 2 2 2 2" xfId="121" xr:uid="{7564092C-39A2-4538-92E3-CE9B7CF5F3B8}"/>
    <cellStyle name="Comma 3 2 2 3" xfId="89" xr:uid="{DB695D55-2451-4907-9AAE-BF8DF3E16CD7}"/>
    <cellStyle name="Comma 3 2 3" xfId="42" xr:uid="{10BDD33C-3792-4DB3-A987-2709BB84156A}"/>
    <cellStyle name="Comma 3 2 3 2" xfId="107" xr:uid="{19BD085A-EA00-48B3-92A4-6250EBE4BAC3}"/>
    <cellStyle name="Comma 3 2 4" xfId="75" xr:uid="{E285210E-0F6D-4054-80DB-B76EE650138F}"/>
    <cellStyle name="Comma 3 3" xfId="11" xr:uid="{882DDFC4-5C8B-4AAB-B3A6-79F590CBFAFC}"/>
    <cellStyle name="Comma 3 3 2" xfId="25" xr:uid="{BE9D72AF-C3F8-4034-9426-C3A5AE8AF3A3}"/>
    <cellStyle name="Comma 3 3 2 2" xfId="59" xr:uid="{283F96AD-BAEE-4D84-A5F2-4216BD8D24E5}"/>
    <cellStyle name="Comma 3 3 2 2 2" xfId="124" xr:uid="{B8BF6BB2-ADAB-4710-82A9-5E6264EB710F}"/>
    <cellStyle name="Comma 3 3 2 3" xfId="92" xr:uid="{D2BF6D5D-31A7-44C2-B3A8-BE162D5456FC}"/>
    <cellStyle name="Comma 3 3 3" xfId="45" xr:uid="{E7F4B2D1-6CC0-4A6D-B787-3A4121FE3B2A}"/>
    <cellStyle name="Comma 3 3 3 2" xfId="110" xr:uid="{8FA2684C-4AA9-456F-AF4E-6489D2DF54EC}"/>
    <cellStyle name="Comma 3 3 4" xfId="78" xr:uid="{EA2C608C-38AB-44D2-9F65-E0CC8EE50464}"/>
    <cellStyle name="Comma 3 4" xfId="17" xr:uid="{41F93AB5-E227-46AE-A9A8-75CBB9B952E6}"/>
    <cellStyle name="Comma 3 4 2" xfId="51" xr:uid="{9872C85E-8BBB-49EB-9709-0072BC4D861B}"/>
    <cellStyle name="Comma 3 4 2 2" xfId="116" xr:uid="{55AA4C13-3F10-4DE7-9512-018B6B03B43C}"/>
    <cellStyle name="Comma 3 4 3" xfId="84" xr:uid="{130F4E91-5D6F-4F78-B5B6-6CAF9D05BDE5}"/>
    <cellStyle name="Comma 3 5" xfId="14" xr:uid="{05FC831A-061D-4917-A7DA-74D588E4647F}"/>
    <cellStyle name="Comma 3 5 2" xfId="48" xr:uid="{79F285A6-E5B2-4A05-B1C2-9B75F545D13F}"/>
    <cellStyle name="Comma 3 5 2 2" xfId="113" xr:uid="{7128B30E-0DD6-447A-8FEE-C6CD8D03C8D9}"/>
    <cellStyle name="Comma 3 5 3" xfId="81" xr:uid="{E828B01C-59EC-42E1-8861-49A23B40655A}"/>
    <cellStyle name="Comma 3 6" xfId="30" xr:uid="{F5A13124-FA9A-4BB1-8F44-477F69B90AE2}"/>
    <cellStyle name="Comma 3 6 2" xfId="64" xr:uid="{E774BB83-31AB-438E-A805-33CED9B879AF}"/>
    <cellStyle name="Comma 3 6 2 2" xfId="129" xr:uid="{E2EA946A-41F9-4112-AB07-6CE012CC29D5}"/>
    <cellStyle name="Comma 3 6 3" xfId="97" xr:uid="{2EF04055-FC95-4735-849C-6CA9B345882E}"/>
    <cellStyle name="Comma 3 7" xfId="37" xr:uid="{C0925852-EB83-40B8-B314-51BED2F0EAA0}"/>
    <cellStyle name="Comma 3 7 2" xfId="102" xr:uid="{40C64BD8-7A4F-4075-AA4E-AA0E02C5408D}"/>
    <cellStyle name="Comma 3 8" xfId="70" xr:uid="{48C3260C-ADFC-4B8C-A1D8-AF862BAF5E1C}"/>
    <cellStyle name="Comma 4" xfId="4" xr:uid="{CF924741-984E-4159-A7A5-0DB1BB677EA8}"/>
    <cellStyle name="Comma 4 2" xfId="18" xr:uid="{B523EF55-E9BA-4E1E-A78E-2C736B7B2622}"/>
    <cellStyle name="Comma 4 2 2" xfId="52" xr:uid="{FC5AF970-9E79-4A91-BC39-45BC06062408}"/>
    <cellStyle name="Comma 4 2 2 2" xfId="117" xr:uid="{66ABC10C-E8BB-45B7-9CB6-943659D24D6A}"/>
    <cellStyle name="Comma 4 2 3" xfId="85" xr:uid="{35AF7C4E-2680-49D4-9A32-0F7FE7288C72}"/>
    <cellStyle name="Comma 4 3" xfId="28" xr:uid="{6B52CAD9-7146-4576-97A1-228DEDE862F0}"/>
    <cellStyle name="Comma 4 3 2" xfId="62" xr:uid="{543020F2-17FE-48C6-A209-4FF0811569FD}"/>
    <cellStyle name="Comma 4 3 2 2" xfId="127" xr:uid="{BC28D41B-4C7B-4BE6-93B6-3EF569F5DFEC}"/>
    <cellStyle name="Comma 4 3 3" xfId="95" xr:uid="{41B4C864-0D29-4E31-A060-4B7214BC2867}"/>
    <cellStyle name="Comma 4 4" xfId="38" xr:uid="{CEE782A9-23C5-466B-BC71-4567243037FE}"/>
    <cellStyle name="Comma 4 4 2" xfId="103" xr:uid="{EBDB72C1-FEB5-4F40-B848-0CF1B0698FBE}"/>
    <cellStyle name="Comma 4 5" xfId="71" xr:uid="{8CA54ACC-3B28-4A67-B98E-E1D6766A9622}"/>
    <cellStyle name="Comma 5" xfId="6" xr:uid="{82367687-0DFD-44E9-848F-704311D08758}"/>
    <cellStyle name="Comma 5 2" xfId="20" xr:uid="{2BB8328D-1344-4B0B-B588-C14F35136B79}"/>
    <cellStyle name="Comma 5 2 2" xfId="54" xr:uid="{90CCB37C-9B7F-4F7B-ADA2-A7E649386AB5}"/>
    <cellStyle name="Comma 5 2 2 2" xfId="119" xr:uid="{2EBC45C0-F383-4118-B6E7-8C1FEC2D4C77}"/>
    <cellStyle name="Comma 5 2 3" xfId="87" xr:uid="{C09F5F12-B347-4E87-A19E-E36E35F75583}"/>
    <cellStyle name="Comma 5 3" xfId="33" xr:uid="{FF1586D8-A059-46BE-AA32-8145399E0665}"/>
    <cellStyle name="Comma 5 3 2" xfId="66" xr:uid="{445BC749-4845-4167-9D24-27D640FBC469}"/>
    <cellStyle name="Comma 5 3 2 2" xfId="131" xr:uid="{FBFDA298-A599-459E-827B-6045B8791A1E}"/>
    <cellStyle name="Comma 5 3 3" xfId="99" xr:uid="{3664517D-6EE8-43B9-99D9-5289E092438C}"/>
    <cellStyle name="Comma 5 4" xfId="40" xr:uid="{930951C1-E9B7-4EFE-9186-4CEFFDC7D19A}"/>
    <cellStyle name="Comma 5 4 2" xfId="105" xr:uid="{265F6E68-4701-46CD-BE3B-65D5C85CE18B}"/>
    <cellStyle name="Comma 5 5" xfId="73" xr:uid="{5DA0D3F4-C45E-4F83-B380-6947023551F9}"/>
    <cellStyle name="Comma 6" xfId="9" xr:uid="{BD6130B0-B1F6-4E69-962B-0D111FEA2466}"/>
    <cellStyle name="Comma 6 2" xfId="23" xr:uid="{490D91CC-C6BA-439E-9B3A-9D67C2B98C50}"/>
    <cellStyle name="Comma 6 2 2" xfId="57" xr:uid="{BE38FE26-A39A-4AE6-9A0C-518ACA4EB71F}"/>
    <cellStyle name="Comma 6 2 2 2" xfId="122" xr:uid="{CD5926CE-E799-47F8-8500-45270D654886}"/>
    <cellStyle name="Comma 6 2 3" xfId="90" xr:uid="{B6258E48-C19B-409C-9F90-F23F79B15A62}"/>
    <cellStyle name="Comma 6 3" xfId="43" xr:uid="{4F74E932-3685-47C6-A374-C4987FD8408D}"/>
    <cellStyle name="Comma 6 3 2" xfId="108" xr:uid="{29A72867-EC67-47C3-B4FB-17348D4C7AD9}"/>
    <cellStyle name="Comma 6 4" xfId="76" xr:uid="{3733C05F-B951-4C86-80E3-32863C649AED}"/>
    <cellStyle name="Comma 7" xfId="15" xr:uid="{309794AE-87F6-4B15-9CAE-2486A0BAD17B}"/>
    <cellStyle name="Comma 7 2" xfId="49" xr:uid="{2E419D63-B0A7-497F-8AA9-2783118276E6}"/>
    <cellStyle name="Comma 7 2 2" xfId="114" xr:uid="{342D2351-931A-4729-BCB5-E3837CED001C}"/>
    <cellStyle name="Comma 7 3" xfId="82" xr:uid="{E9967428-702F-4479-80EB-A491C6A8F045}"/>
    <cellStyle name="Comma 8" xfId="12" xr:uid="{E7024112-8ACD-43DD-AA6D-9DCC620C287E}"/>
    <cellStyle name="Comma 8 2" xfId="46" xr:uid="{F1ECCCEE-3915-4B7E-BD20-DA45DF54A68F}"/>
    <cellStyle name="Comma 8 2 2" xfId="111" xr:uid="{C4899D38-DC2E-46F2-A9AE-99B49DE695A1}"/>
    <cellStyle name="Comma 8 3" xfId="79" xr:uid="{F2B663F5-FC1E-46C4-B149-4C365C3D221E}"/>
    <cellStyle name="Comma 9" xfId="27" xr:uid="{B0BB39C3-B002-4542-85F4-A8D24E973860}"/>
    <cellStyle name="Comma 9 2" xfId="61" xr:uid="{5AAE9384-EACA-4D7A-9D95-10CE232949F7}"/>
    <cellStyle name="Comma 9 2 2" xfId="126" xr:uid="{44BEA500-FC79-4BFB-AEF3-35E672E9FFB0}"/>
    <cellStyle name="Comma 9 3" xfId="94" xr:uid="{5922CF24-55CF-446B-93B5-EDEC8154D702}"/>
    <cellStyle name="Normal" xfId="0" builtinId="0"/>
    <cellStyle name="Normal 2" xfId="32" xr:uid="{2E5DF9BD-B8FC-43BF-B777-5F30C9267630}"/>
    <cellStyle name="Normal 3" xfId="34" xr:uid="{DB7C8760-0B32-43C1-B39B-BDB981F2E80C}"/>
    <cellStyle name="Normal 4" xfId="67" xr:uid="{A0208F59-27A5-4A4D-8F52-9C25236354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PDO%20Tracking%20Matrix%20OCTOBER%202025%207-10-2025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PDO_Achievements_08-10-2025(Cluster%20II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KISUMU KAKAMEGA"/>
      <sheetName val="NAKURUNAIROBI CLUSTER 1"/>
      <sheetName val="CLUSTER 2 "/>
      <sheetName val="CLUSTER 3"/>
      <sheetName val="CLUSTER 4"/>
      <sheetName val="CLUSTER 5"/>
    </sheetNames>
    <sheetDataSet>
      <sheetData sheetId="0"/>
      <sheetData sheetId="1"/>
      <sheetData sheetId="2">
        <row r="4">
          <cell r="H4">
            <v>1.0449999999999999</v>
          </cell>
        </row>
        <row r="5">
          <cell r="H5">
            <v>1.292</v>
          </cell>
        </row>
        <row r="6">
          <cell r="H6">
            <v>0.95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KURUNAIROBI CLUSTER 1"/>
      <sheetName val="KILIFI PHASE 1 + CLUSTER 2 "/>
      <sheetName val="CLUSTER 3"/>
      <sheetName val="CLUSTER 4 ,"/>
      <sheetName val="CLUSTER 5"/>
      <sheetName val="KISUMU KAKAMEGA"/>
    </sheetNames>
    <sheetDataSet>
      <sheetData sheetId="0" refreshError="1"/>
      <sheetData sheetId="1">
        <row r="18">
          <cell r="I18">
            <v>3.2559999999999998</v>
          </cell>
        </row>
        <row r="20">
          <cell r="I20">
            <v>0.61748999999999998</v>
          </cell>
        </row>
        <row r="21">
          <cell r="I21">
            <v>1.4093500000000001</v>
          </cell>
        </row>
        <row r="23">
          <cell r="I23">
            <v>3.879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chieng Aondo" id="{DBC1A70F-DDEB-40CC-92E1-132EB87AC91F}" userId="2b0feaaf9072e1c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" dT="2026-01-06T09:55:26.90" personId="{DBC1A70F-DDEB-40CC-92E1-132EB87AC91F}" id="{E4217895-F446-43A0-B710-ACFC7F991C9F}">
    <text>Values for Nyeri both planned and actual keep changing.What happened to drainage works in Ihwagi</text>
  </threadedComment>
  <threadedComment ref="G4" dT="2026-01-06T09:54:42.40" personId="{DBC1A70F-DDEB-40CC-92E1-132EB87AC91F}" id="{4F95FFE4-05E4-42FC-8769-5529CDB89259}">
    <text>The values for planned for drainage have changed</text>
  </threadedComment>
  <threadedComment ref="J26" dT="2026-01-06T10:08:43.20" personId="{DBC1A70F-DDEB-40CC-92E1-132EB87AC91F}" id="{E484DEB5-88FA-466B-B247-CB65FF0308F4}">
    <text>This figure is higher than the planned value.Kindly explain why</text>
  </threadedComment>
</ThreadedComment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544B5-BFE3-406C-A062-CFAD58DF2045}">
  <dimension ref="A2:C22"/>
  <sheetViews>
    <sheetView tabSelected="1" topLeftCell="A6" workbookViewId="0">
      <selection activeCell="B8" sqref="B8"/>
    </sheetView>
  </sheetViews>
  <sheetFormatPr defaultRowHeight="14.25" x14ac:dyDescent="0.45"/>
  <cols>
    <col min="1" max="1" width="25.73046875" customWidth="1"/>
    <col min="2" max="2" width="29" customWidth="1"/>
    <col min="3" max="3" width="24.265625" customWidth="1"/>
  </cols>
  <sheetData>
    <row r="2" spans="1:3" ht="14.25" customHeight="1" thickBot="1" x14ac:dyDescent="0.5">
      <c r="B2" s="148"/>
    </row>
    <row r="3" spans="1:3" ht="39" customHeight="1" thickBot="1" x14ac:dyDescent="0.5">
      <c r="A3" s="150"/>
      <c r="B3" s="151" t="s">
        <v>182</v>
      </c>
      <c r="C3" s="152"/>
    </row>
    <row r="4" spans="1:3" ht="27.4" customHeight="1" thickBot="1" x14ac:dyDescent="0.5">
      <c r="A4" s="153" t="s">
        <v>170</v>
      </c>
      <c r="B4" s="154" t="s">
        <v>7</v>
      </c>
      <c r="C4" s="155" t="s">
        <v>8</v>
      </c>
    </row>
    <row r="5" spans="1:3" ht="24.4" customHeight="1" x14ac:dyDescent="0.45">
      <c r="A5" s="156" t="s">
        <v>172</v>
      </c>
      <c r="B5" s="157">
        <f>'KISUMU KAKAMEGA'!E28+'PHASE 1 NAKURUNAIROBI+CLUSTER 1'!E50+'CLUSTER 3'!E38+'CLUSTER 4'!E40+'CLUSTER 5'!E25+'PHASE 1 KILIFI + CLUSTER 2 '!E51</f>
        <v>131.02292</v>
      </c>
      <c r="C5" s="158">
        <f>'KISUMU KAKAMEGA'!F28+'PHASE 1 NAKURUNAIROBI+CLUSTER 1'!F50+'PHASE 1 KILIFI + CLUSTER 2 '!F51+'CLUSTER 3'!F38+'CLUSTER 4'!F40+'CLUSTER 5'!F25</f>
        <v>97.0114631</v>
      </c>
    </row>
    <row r="6" spans="1:3" ht="33.4" customHeight="1" x14ac:dyDescent="0.45">
      <c r="A6" s="156" t="s">
        <v>171</v>
      </c>
      <c r="B6" s="157">
        <f>'KISUMU KAKAMEGA'!Y28+'PHASE 1 NAKURUNAIROBI+CLUSTER 1'!U50+'PHASE 1 KILIFI + CLUSTER 2 '!U51+'CLUSTER 3'!U38+'CLUSTER 4'!U40+'CLUSTER 5'!U25</f>
        <v>133.69200000000001</v>
      </c>
      <c r="C6" s="158">
        <f>'KISUMU KAKAMEGA'!Z28+'PHASE 1 NAKURUNAIROBI+CLUSTER 1'!V50+'PHASE 1 KILIFI + CLUSTER 2 '!V51+'CLUSTER 3'!V38+'CLUSTER 4'!V40+'CLUSTER 5'!V25</f>
        <v>64.647999999999996</v>
      </c>
    </row>
    <row r="7" spans="1:3" ht="25.9" customHeight="1" x14ac:dyDescent="0.45">
      <c r="A7" s="156" t="s">
        <v>173</v>
      </c>
      <c r="B7" s="157">
        <f>'KISUMU KAKAMEGA'!G28+'PHASE 1 NAKURUNAIROBI+CLUSTER 1'!G50+'PHASE 1 KILIFI + CLUSTER 2 '!G51+'CLUSTER 3'!G38+'CLUSTER 4'!G40+'CLUSTER 5'!G25</f>
        <v>176.51884000000001</v>
      </c>
      <c r="C7" s="158">
        <f>'KISUMU KAKAMEGA'!H28+'PHASE 1 NAKURUNAIROBI+CLUSTER 1'!H50+'PHASE 1 KILIFI + CLUSTER 2 '!H51+'CLUSTER 3'!H38+'CLUSTER 4'!H40+'CLUSTER 5'!H25</f>
        <v>116.15349000000001</v>
      </c>
    </row>
    <row r="8" spans="1:3" ht="28.9" customHeight="1" x14ac:dyDescent="0.45">
      <c r="A8" s="156" t="s">
        <v>174</v>
      </c>
      <c r="B8" s="157">
        <f>'KISUMU KAKAMEGA'!I28+'PHASE 1 NAKURUNAIROBI+CLUSTER 1'!I50+'PHASE 1 KILIFI + CLUSTER 2 '!I51+'CLUSTER 3'!I38+'CLUSTER 4'!I40+'CLUSTER 5'!I25</f>
        <v>71.656000000000006</v>
      </c>
      <c r="C8" s="158">
        <f>'KISUMU KAKAMEGA'!J28+'PHASE 1 NAKURUNAIROBI+CLUSTER 1'!J50+'PHASE 1 KILIFI + CLUSTER 2 '!J51+'CLUSTER 3'!J38+'CLUSTER 4'!J40+'CLUSTER 5'!J25</f>
        <v>46.755000000000003</v>
      </c>
    </row>
    <row r="9" spans="1:3" ht="25.15" customHeight="1" x14ac:dyDescent="0.45">
      <c r="A9" s="156" t="s">
        <v>175</v>
      </c>
      <c r="B9" s="157">
        <f>'KISUMU KAKAMEGA'!K28+'PHASE 1 NAKURUNAIROBI+CLUSTER 1'!K50+'PHASE 1 KILIFI + CLUSTER 2 '!K51+'CLUSTER 3'!K38+'CLUSTER 4'!K40+'CLUSTER 5'!K25</f>
        <v>6086</v>
      </c>
      <c r="C9" s="158">
        <f>'KISUMU KAKAMEGA'!L28+'PHASE 1 NAKURUNAIROBI+CLUSTER 1'!L50+'PHASE 1 KILIFI + CLUSTER 2 '!L51+'CLUSTER 3'!L38+'CLUSTER 4'!L40+'CLUSTER 5'!L25</f>
        <v>1281</v>
      </c>
    </row>
    <row r="10" spans="1:3" ht="32.25" customHeight="1" x14ac:dyDescent="0.45">
      <c r="A10" s="156" t="s">
        <v>176</v>
      </c>
      <c r="B10" s="157">
        <f>'PHASE 1 NAKURUNAIROBI+CLUSTER 1'!W50+'PHASE 1 KILIFI + CLUSTER 2 '!W51+'CLUSTER 3'!W38+'CLUSTER 4'!W40+'CLUSTER 5'!W25</f>
        <v>6.2460000000000004</v>
      </c>
      <c r="C10" s="158">
        <f>'PHASE 1 NAKURUNAIROBI+CLUSTER 1'!X50+'PHASE 1 KILIFI + CLUSTER 2 '!X51+'CLUSTER 3'!X38+'CLUSTER 4'!X40+'CLUSTER 5'!X25</f>
        <v>1.341</v>
      </c>
    </row>
    <row r="11" spans="1:3" ht="28.5" customHeight="1" x14ac:dyDescent="0.45">
      <c r="A11" s="156" t="s">
        <v>177</v>
      </c>
      <c r="B11" s="157">
        <f>'KISUMU KAKAMEGA'!U28+'PHASE 1 NAKURUNAIROBI+CLUSTER 1'!Y50+'PHASE 1 KILIFI + CLUSTER 2 '!Y51+'CLUSTER 3'!Y38+'CLUSTER 4'!Y40+'CLUSTER 5'!Y25</f>
        <v>807</v>
      </c>
      <c r="C11" s="158">
        <f>'KISUMU KAKAMEGA'!V28+'PHASE 1 NAKURUNAIROBI+CLUSTER 1'!Z50+'PHASE 1 KILIFI + CLUSTER 2 '!Z51+'CLUSTER 3'!Z38+'CLUSTER 4'!Z40+'CLUSTER 5'!Z25</f>
        <v>0</v>
      </c>
    </row>
    <row r="12" spans="1:3" ht="28.5" customHeight="1" x14ac:dyDescent="0.45">
      <c r="A12" s="156" t="s">
        <v>178</v>
      </c>
      <c r="B12" s="157">
        <f>'KISUMU KAKAMEGA'!S28+'PHASE 1 NAKURUNAIROBI+CLUSTER 1'!S50+'PHASE 1 KILIFI + CLUSTER 2 '!S51+'CLUSTER 3'!S38+'CLUSTER 4'!S40+'CLUSTER 5'!S25</f>
        <v>395</v>
      </c>
      <c r="C12" s="158">
        <f>'KISUMU KAKAMEGA'!T28+'PHASE 1 NAKURUNAIROBI+CLUSTER 1'!T50+'PHASE 1 KILIFI + CLUSTER 2 '!T51+'CLUSTER 3'!T38+'CLUSTER 4'!T40+'CLUSTER 5'!T25</f>
        <v>389</v>
      </c>
    </row>
    <row r="13" spans="1:3" ht="31.15" customHeight="1" x14ac:dyDescent="0.45">
      <c r="A13" s="156" t="s">
        <v>179</v>
      </c>
      <c r="B13" s="157">
        <f>'KISUMU KAKAMEGA'!Q28+'PHASE 1 NAKURUNAIROBI+CLUSTER 1'!Q50+'PHASE 1 KILIFI + CLUSTER 2 '!Q51+'CLUSTER 3'!Q38+'CLUSTER 4'!Q40+'CLUSTER 5'!Q25</f>
        <v>4870</v>
      </c>
      <c r="C13" s="158">
        <f>'KISUMU KAKAMEGA'!R28+'PHASE 1 NAKURUNAIROBI+CLUSTER 1'!R50+'PHASE 1 KILIFI + CLUSTER 2 '!R51+'CLUSTER 3'!R38+'CLUSTER 4'!R40+'CLUSTER 5'!R25</f>
        <v>2445</v>
      </c>
    </row>
    <row r="14" spans="1:3" ht="31.15" customHeight="1" x14ac:dyDescent="0.45">
      <c r="A14" s="156" t="s">
        <v>180</v>
      </c>
      <c r="B14" s="157">
        <f>'KISUMU KAKAMEGA'!O28+'PHASE 1 NAKURUNAIROBI+CLUSTER 1'!O50+'PHASE 1 KILIFI + CLUSTER 2 '!O51+'CLUSTER 3'!O38+'CLUSTER 4'!O40+'CLUSTER 5'!O25</f>
        <v>189</v>
      </c>
      <c r="C14" s="158">
        <f>'KISUMU KAKAMEGA'!P28+'PHASE 1 NAKURUNAIROBI+CLUSTER 1'!P50+'PHASE 1 KILIFI + CLUSTER 2 '!P51+'CLUSTER 3'!P38+'CLUSTER 4'!P40+'CLUSTER 5'!P25</f>
        <v>116</v>
      </c>
    </row>
    <row r="15" spans="1:3" ht="32.65" customHeight="1" thickBot="1" x14ac:dyDescent="0.5">
      <c r="A15" s="159" t="s">
        <v>181</v>
      </c>
      <c r="B15" s="160">
        <f>'KISUMU KAKAMEGA'!M28+'PHASE 1 NAKURUNAIROBI+CLUSTER 1'!M50+'PHASE 1 KILIFI + CLUSTER 2 '!M51+'CLUSTER 3'!M38+'CLUSTER 4'!M40+'CLUSTER 5'!M25</f>
        <v>267</v>
      </c>
      <c r="C15" s="161">
        <f>'KISUMU KAKAMEGA'!N28+'PHASE 1 NAKURUNAIROBI+CLUSTER 1'!N50+'PHASE 1 KILIFI + CLUSTER 2 '!N51+'CLUSTER 3'!N38+'CLUSTER 4'!N40+'CLUSTER 5'!N25</f>
        <v>229</v>
      </c>
    </row>
    <row r="16" spans="1:3" x14ac:dyDescent="0.45">
      <c r="A16" s="53"/>
    </row>
    <row r="17" spans="1:1" x14ac:dyDescent="0.45">
      <c r="A17" s="53"/>
    </row>
    <row r="18" spans="1:1" x14ac:dyDescent="0.45">
      <c r="A18" s="53"/>
    </row>
    <row r="19" spans="1:1" x14ac:dyDescent="0.45">
      <c r="A19" s="53"/>
    </row>
    <row r="20" spans="1:1" x14ac:dyDescent="0.45">
      <c r="A20" s="53"/>
    </row>
    <row r="21" spans="1:1" x14ac:dyDescent="0.45">
      <c r="A21" s="53"/>
    </row>
    <row r="22" spans="1:1" x14ac:dyDescent="0.45">
      <c r="A22" s="5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6692F-68B8-42E9-A952-5CA62CDAC10F}">
  <dimension ref="A1:Z51"/>
  <sheetViews>
    <sheetView topLeftCell="I5" workbookViewId="0">
      <selection activeCell="W18" sqref="W18"/>
    </sheetView>
  </sheetViews>
  <sheetFormatPr defaultRowHeight="14.25" x14ac:dyDescent="0.45"/>
  <cols>
    <col min="1" max="1" width="16.86328125" customWidth="1"/>
    <col min="2" max="2" width="26.3984375" customWidth="1"/>
    <col min="4" max="4" width="16.1328125" customWidth="1"/>
    <col min="5" max="5" width="14.86328125" customWidth="1"/>
    <col min="9" max="9" width="8.86328125" customWidth="1"/>
    <col min="10" max="10" width="14" customWidth="1"/>
    <col min="11" max="11" width="11.86328125" customWidth="1"/>
    <col min="17" max="17" width="10.86328125" customWidth="1"/>
    <col min="21" max="22" width="11.1328125" customWidth="1"/>
  </cols>
  <sheetData>
    <row r="1" spans="1:26" ht="14.65" thickBot="1" x14ac:dyDescent="0.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Y1" s="166"/>
      <c r="Z1" s="166"/>
    </row>
    <row r="2" spans="1:26" x14ac:dyDescent="0.45">
      <c r="A2" s="183" t="s">
        <v>0</v>
      </c>
      <c r="B2" s="183" t="s">
        <v>11</v>
      </c>
      <c r="C2" s="183" t="s">
        <v>26</v>
      </c>
      <c r="D2" s="183" t="s">
        <v>1</v>
      </c>
      <c r="E2" s="301" t="s">
        <v>6</v>
      </c>
      <c r="F2" s="302"/>
      <c r="G2" s="301" t="s">
        <v>16</v>
      </c>
      <c r="H2" s="302"/>
      <c r="I2" s="301" t="s">
        <v>168</v>
      </c>
      <c r="J2" s="302"/>
      <c r="K2" s="301" t="s">
        <v>17</v>
      </c>
      <c r="L2" s="302"/>
      <c r="M2" s="301" t="s">
        <v>29</v>
      </c>
      <c r="N2" s="302"/>
      <c r="O2" s="301" t="s">
        <v>18</v>
      </c>
      <c r="P2" s="302"/>
      <c r="Q2" s="301" t="s">
        <v>19</v>
      </c>
      <c r="R2" s="302"/>
      <c r="S2" s="301" t="s">
        <v>20</v>
      </c>
      <c r="T2" s="302"/>
      <c r="U2" s="301" t="s">
        <v>60</v>
      </c>
      <c r="V2" s="302"/>
      <c r="W2" s="301" t="s">
        <v>184</v>
      </c>
      <c r="X2" s="302"/>
      <c r="Y2" s="301" t="s">
        <v>162</v>
      </c>
      <c r="Z2" s="302"/>
    </row>
    <row r="3" spans="1:26" ht="14.65" thickBot="1" x14ac:dyDescent="0.5">
      <c r="A3" s="184"/>
      <c r="B3" s="184"/>
      <c r="C3" s="184"/>
      <c r="D3" s="184"/>
      <c r="E3" s="184" t="s">
        <v>7</v>
      </c>
      <c r="F3" s="184" t="s">
        <v>8</v>
      </c>
      <c r="G3" s="184" t="s">
        <v>7</v>
      </c>
      <c r="H3" s="184" t="s">
        <v>8</v>
      </c>
      <c r="I3" s="184" t="s">
        <v>7</v>
      </c>
      <c r="J3" s="184" t="s">
        <v>8</v>
      </c>
      <c r="K3" s="184" t="s">
        <v>7</v>
      </c>
      <c r="L3" s="184" t="s">
        <v>8</v>
      </c>
      <c r="M3" s="184" t="s">
        <v>7</v>
      </c>
      <c r="N3" s="184" t="s">
        <v>8</v>
      </c>
      <c r="O3" s="184" t="s">
        <v>7</v>
      </c>
      <c r="P3" s="184" t="s">
        <v>8</v>
      </c>
      <c r="Q3" s="184" t="s">
        <v>7</v>
      </c>
      <c r="R3" s="184" t="s">
        <v>8</v>
      </c>
      <c r="S3" s="184" t="s">
        <v>7</v>
      </c>
      <c r="T3" s="185" t="s">
        <v>8</v>
      </c>
      <c r="U3" s="186" t="s">
        <v>7</v>
      </c>
      <c r="V3" s="185" t="s">
        <v>8</v>
      </c>
      <c r="W3" s="184" t="s">
        <v>7</v>
      </c>
      <c r="X3" s="185" t="s">
        <v>8</v>
      </c>
      <c r="Y3" s="186" t="s">
        <v>7</v>
      </c>
      <c r="Z3" s="185" t="s">
        <v>8</v>
      </c>
    </row>
    <row r="4" spans="1:26" ht="14.65" thickTop="1" x14ac:dyDescent="0.45">
      <c r="A4" s="180" t="s">
        <v>98</v>
      </c>
      <c r="B4" s="180" t="s">
        <v>99</v>
      </c>
      <c r="C4" s="180" t="s">
        <v>27</v>
      </c>
      <c r="D4" s="180" t="s">
        <v>100</v>
      </c>
      <c r="E4" s="286">
        <v>2.5840000000000001</v>
      </c>
      <c r="F4" s="286">
        <v>0.93</v>
      </c>
      <c r="G4" s="181">
        <v>5.3680000000000003</v>
      </c>
      <c r="H4" s="305">
        <v>5.3680000000000003</v>
      </c>
      <c r="I4" s="181">
        <v>0</v>
      </c>
      <c r="J4" s="187">
        <v>0</v>
      </c>
      <c r="K4" s="308">
        <v>0</v>
      </c>
      <c r="L4" s="188">
        <v>0</v>
      </c>
      <c r="M4" s="182">
        <v>0</v>
      </c>
      <c r="N4" s="189">
        <v>0</v>
      </c>
      <c r="O4" s="182">
        <v>0</v>
      </c>
      <c r="P4" s="188">
        <v>0</v>
      </c>
      <c r="Q4" s="182">
        <v>0</v>
      </c>
      <c r="R4" s="188">
        <v>0</v>
      </c>
      <c r="S4" s="182">
        <v>0</v>
      </c>
      <c r="T4" s="170">
        <v>0</v>
      </c>
      <c r="U4" s="168">
        <v>0</v>
      </c>
      <c r="V4" s="170">
        <v>0</v>
      </c>
      <c r="W4" s="207">
        <v>0</v>
      </c>
      <c r="X4" s="208">
        <v>0</v>
      </c>
      <c r="Y4" s="288">
        <v>5.1680000000000001</v>
      </c>
      <c r="Z4" s="310">
        <v>0</v>
      </c>
    </row>
    <row r="5" spans="1:26" x14ac:dyDescent="0.45">
      <c r="A5" s="166"/>
      <c r="B5" s="166"/>
      <c r="C5" s="166"/>
      <c r="D5" s="166" t="s">
        <v>101</v>
      </c>
      <c r="E5" s="285">
        <v>0.86899999999999999</v>
      </c>
      <c r="F5" s="285">
        <v>0.8</v>
      </c>
      <c r="G5" s="167">
        <v>0.86899999999999999</v>
      </c>
      <c r="H5" s="307">
        <v>0.75</v>
      </c>
      <c r="I5" s="167">
        <v>0</v>
      </c>
      <c r="J5" s="190">
        <v>0</v>
      </c>
      <c r="K5" s="309">
        <v>0</v>
      </c>
      <c r="L5" s="170">
        <v>0</v>
      </c>
      <c r="M5" s="168">
        <v>0</v>
      </c>
      <c r="N5" s="191">
        <v>0</v>
      </c>
      <c r="O5" s="168">
        <v>0</v>
      </c>
      <c r="P5" s="170">
        <v>0</v>
      </c>
      <c r="Q5" s="168">
        <v>0</v>
      </c>
      <c r="R5" s="170">
        <v>0</v>
      </c>
      <c r="S5" s="168">
        <v>0</v>
      </c>
      <c r="T5" s="170">
        <v>0</v>
      </c>
      <c r="U5" s="168">
        <v>0</v>
      </c>
      <c r="V5" s="170">
        <v>0</v>
      </c>
      <c r="W5" s="209">
        <v>0</v>
      </c>
      <c r="X5" s="208">
        <v>0</v>
      </c>
      <c r="Y5" s="288">
        <v>0.86899999999999999</v>
      </c>
      <c r="Z5" s="310">
        <v>0</v>
      </c>
    </row>
    <row r="6" spans="1:26" x14ac:dyDescent="0.45">
      <c r="A6" s="166"/>
      <c r="B6" s="166"/>
      <c r="C6" s="166"/>
      <c r="D6" s="166" t="s">
        <v>102</v>
      </c>
      <c r="E6" s="285">
        <v>0</v>
      </c>
      <c r="F6" s="287">
        <v>0</v>
      </c>
      <c r="G6" s="167">
        <v>4.0430000000000001</v>
      </c>
      <c r="H6" s="307">
        <v>1.875</v>
      </c>
      <c r="I6" s="167">
        <v>0</v>
      </c>
      <c r="J6" s="190">
        <v>0</v>
      </c>
      <c r="K6" s="309">
        <v>0</v>
      </c>
      <c r="L6" s="170">
        <v>0</v>
      </c>
      <c r="M6" s="168">
        <v>0</v>
      </c>
      <c r="N6" s="191">
        <v>0</v>
      </c>
      <c r="O6" s="168">
        <v>3</v>
      </c>
      <c r="P6" s="170">
        <v>0</v>
      </c>
      <c r="Q6" s="168">
        <v>0</v>
      </c>
      <c r="R6" s="170">
        <v>0</v>
      </c>
      <c r="S6" s="168">
        <v>0</v>
      </c>
      <c r="T6" s="170">
        <v>0</v>
      </c>
      <c r="U6" s="168">
        <v>40</v>
      </c>
      <c r="V6" s="170">
        <v>0</v>
      </c>
      <c r="W6" s="209">
        <v>0</v>
      </c>
      <c r="X6" s="208">
        <v>0</v>
      </c>
      <c r="Y6" s="289">
        <v>0</v>
      </c>
      <c r="Z6" s="310">
        <v>0</v>
      </c>
    </row>
    <row r="7" spans="1:26" x14ac:dyDescent="0.45">
      <c r="A7" s="166"/>
      <c r="B7" s="166"/>
      <c r="C7" s="166"/>
      <c r="D7" s="166" t="s">
        <v>103</v>
      </c>
      <c r="E7" s="285">
        <v>2.4980000000000002</v>
      </c>
      <c r="F7" s="287">
        <v>2.4980000000000002</v>
      </c>
      <c r="G7" s="167">
        <f>1.368+1.776+0.966+0.443</f>
        <v>4.5529999999999999</v>
      </c>
      <c r="H7" s="307">
        <v>2.95</v>
      </c>
      <c r="I7" s="167">
        <v>0</v>
      </c>
      <c r="J7" s="190">
        <v>0</v>
      </c>
      <c r="K7" s="309">
        <v>0</v>
      </c>
      <c r="L7" s="170">
        <v>0</v>
      </c>
      <c r="M7" s="168">
        <v>0</v>
      </c>
      <c r="N7" s="191">
        <v>0</v>
      </c>
      <c r="O7" s="168">
        <v>6</v>
      </c>
      <c r="P7" s="170">
        <v>0</v>
      </c>
      <c r="Q7" s="168">
        <v>0</v>
      </c>
      <c r="R7" s="170">
        <v>0</v>
      </c>
      <c r="S7" s="168">
        <v>0</v>
      </c>
      <c r="T7" s="170">
        <v>0</v>
      </c>
      <c r="U7" s="168">
        <v>0</v>
      </c>
      <c r="V7" s="170">
        <v>0</v>
      </c>
      <c r="W7" s="209">
        <v>0</v>
      </c>
      <c r="X7" s="208">
        <v>0</v>
      </c>
      <c r="Y7" s="288">
        <v>4.5529999999999999</v>
      </c>
      <c r="Z7" s="310">
        <v>0</v>
      </c>
    </row>
    <row r="8" spans="1:26" x14ac:dyDescent="0.45">
      <c r="A8" s="166"/>
      <c r="B8" s="166"/>
      <c r="C8" s="166"/>
      <c r="D8" s="166" t="s">
        <v>104</v>
      </c>
      <c r="E8" s="285">
        <v>4.0910000000000002</v>
      </c>
      <c r="F8" s="285">
        <v>4.0910000000000002</v>
      </c>
      <c r="G8" s="167">
        <f>0.463+1.806+0.654+2.62+1.522</f>
        <v>7.0650000000000004</v>
      </c>
      <c r="H8" s="307">
        <v>4.1050000000000004</v>
      </c>
      <c r="I8" s="167">
        <v>1.44</v>
      </c>
      <c r="J8" s="190">
        <v>0</v>
      </c>
      <c r="K8" s="309">
        <v>46</v>
      </c>
      <c r="L8" s="170">
        <v>0</v>
      </c>
      <c r="M8" s="168">
        <v>0</v>
      </c>
      <c r="N8" s="191">
        <v>0</v>
      </c>
      <c r="O8" s="168">
        <v>0</v>
      </c>
      <c r="P8" s="170">
        <v>0</v>
      </c>
      <c r="Q8" s="168">
        <v>0</v>
      </c>
      <c r="R8" s="170">
        <v>0</v>
      </c>
      <c r="S8" s="168">
        <v>0</v>
      </c>
      <c r="T8" s="170">
        <v>0</v>
      </c>
      <c r="U8" s="168">
        <v>200</v>
      </c>
      <c r="V8" s="170">
        <v>0</v>
      </c>
      <c r="W8" s="209">
        <v>2</v>
      </c>
      <c r="X8" s="208">
        <v>0</v>
      </c>
      <c r="Y8" s="288">
        <v>7.0650000000000004</v>
      </c>
      <c r="Z8" s="307">
        <v>0.97499999999999998</v>
      </c>
    </row>
    <row r="9" spans="1:26" x14ac:dyDescent="0.45">
      <c r="A9" s="166"/>
      <c r="B9" s="166" t="s">
        <v>105</v>
      </c>
      <c r="C9" s="166" t="s">
        <v>28</v>
      </c>
      <c r="D9" s="166" t="s">
        <v>106</v>
      </c>
      <c r="E9" s="285">
        <v>0.68100000000000005</v>
      </c>
      <c r="F9" s="287">
        <v>0.68100000000000005</v>
      </c>
      <c r="G9" s="167">
        <f>0.57+0.79</f>
        <v>1.3599999999999999</v>
      </c>
      <c r="H9" s="307">
        <v>1.36</v>
      </c>
      <c r="I9" s="167">
        <v>0.89</v>
      </c>
      <c r="J9" s="190">
        <v>0</v>
      </c>
      <c r="K9" s="309">
        <v>3</v>
      </c>
      <c r="L9" s="170">
        <v>0</v>
      </c>
      <c r="M9" s="168">
        <v>1</v>
      </c>
      <c r="N9" s="191">
        <v>0</v>
      </c>
      <c r="O9" s="168">
        <v>0</v>
      </c>
      <c r="P9" s="170">
        <v>0</v>
      </c>
      <c r="Q9" s="168">
        <v>0</v>
      </c>
      <c r="R9" s="170">
        <v>0</v>
      </c>
      <c r="S9" s="168">
        <v>0</v>
      </c>
      <c r="T9" s="170">
        <v>0</v>
      </c>
      <c r="U9" s="168">
        <v>0</v>
      </c>
      <c r="V9" s="170">
        <v>0</v>
      </c>
      <c r="W9" s="209">
        <v>1</v>
      </c>
      <c r="X9" s="208">
        <v>0</v>
      </c>
      <c r="Y9" s="288">
        <v>1.3620000000000001</v>
      </c>
      <c r="Z9" s="306">
        <v>1.3620000000000001</v>
      </c>
    </row>
    <row r="10" spans="1:26" x14ac:dyDescent="0.45">
      <c r="A10" s="166"/>
      <c r="B10" s="166"/>
      <c r="C10" s="166"/>
      <c r="D10" s="166" t="s">
        <v>107</v>
      </c>
      <c r="E10" s="285">
        <v>0</v>
      </c>
      <c r="F10" s="169">
        <v>0</v>
      </c>
      <c r="G10" s="167">
        <v>0</v>
      </c>
      <c r="H10" s="307">
        <v>0</v>
      </c>
      <c r="I10" s="167">
        <v>1.71</v>
      </c>
      <c r="J10" s="190">
        <v>1.07</v>
      </c>
      <c r="K10" s="309">
        <v>55</v>
      </c>
      <c r="L10" s="170">
        <v>4</v>
      </c>
      <c r="M10" s="168">
        <v>0</v>
      </c>
      <c r="N10" s="191">
        <v>0</v>
      </c>
      <c r="O10" s="168">
        <v>1</v>
      </c>
      <c r="P10" s="170">
        <v>0</v>
      </c>
      <c r="Q10" s="168">
        <v>0</v>
      </c>
      <c r="R10" s="170">
        <v>0</v>
      </c>
      <c r="S10" s="168">
        <v>0</v>
      </c>
      <c r="T10" s="170">
        <v>0</v>
      </c>
      <c r="U10" s="168">
        <v>0</v>
      </c>
      <c r="V10" s="170">
        <v>0</v>
      </c>
      <c r="W10" s="209">
        <v>2</v>
      </c>
      <c r="X10" s="208">
        <v>0</v>
      </c>
      <c r="Y10" s="289">
        <v>0</v>
      </c>
      <c r="Z10" s="310">
        <v>0</v>
      </c>
    </row>
    <row r="11" spans="1:26" x14ac:dyDescent="0.45">
      <c r="A11" s="166"/>
      <c r="B11" s="166"/>
      <c r="C11" s="166"/>
      <c r="D11" s="166" t="s">
        <v>91</v>
      </c>
      <c r="E11" s="285">
        <v>1.069</v>
      </c>
      <c r="F11" s="169">
        <v>0</v>
      </c>
      <c r="G11" s="167">
        <f>0.55+1.8</f>
        <v>2.35</v>
      </c>
      <c r="H11" s="307">
        <v>0</v>
      </c>
      <c r="I11" s="167">
        <v>0</v>
      </c>
      <c r="J11" s="190">
        <v>0</v>
      </c>
      <c r="K11" s="309">
        <v>0</v>
      </c>
      <c r="L11" s="170">
        <v>0</v>
      </c>
      <c r="M11" s="168">
        <v>0</v>
      </c>
      <c r="N11" s="191">
        <v>0</v>
      </c>
      <c r="O11" s="168">
        <v>0</v>
      </c>
      <c r="P11" s="170">
        <v>0</v>
      </c>
      <c r="Q11" s="168">
        <v>0</v>
      </c>
      <c r="R11" s="170">
        <v>0</v>
      </c>
      <c r="S11" s="168">
        <v>0</v>
      </c>
      <c r="T11" s="170">
        <v>0</v>
      </c>
      <c r="U11" s="168">
        <v>0</v>
      </c>
      <c r="V11" s="170">
        <v>0</v>
      </c>
      <c r="W11" s="209">
        <v>0</v>
      </c>
      <c r="X11" s="208">
        <v>0</v>
      </c>
      <c r="Y11" s="288">
        <v>2.1379999999999999</v>
      </c>
      <c r="Z11" s="310"/>
    </row>
    <row r="12" spans="1:26" x14ac:dyDescent="0.45">
      <c r="A12" s="166"/>
      <c r="B12" s="166"/>
      <c r="C12" s="166"/>
      <c r="D12" s="166" t="s">
        <v>108</v>
      </c>
      <c r="E12" s="169">
        <v>0</v>
      </c>
      <c r="F12" s="169">
        <v>0</v>
      </c>
      <c r="G12" s="167">
        <v>0</v>
      </c>
      <c r="H12" s="307">
        <v>0</v>
      </c>
      <c r="I12" s="167">
        <v>0.8</v>
      </c>
      <c r="J12" s="190">
        <v>0.5</v>
      </c>
      <c r="K12" s="309">
        <v>107</v>
      </c>
      <c r="L12" s="170">
        <v>7</v>
      </c>
      <c r="M12" s="168">
        <v>0</v>
      </c>
      <c r="N12" s="191">
        <v>0</v>
      </c>
      <c r="O12" s="168">
        <v>0</v>
      </c>
      <c r="P12" s="170">
        <v>0</v>
      </c>
      <c r="Q12" s="168">
        <v>0</v>
      </c>
      <c r="R12" s="170">
        <v>0</v>
      </c>
      <c r="S12" s="168">
        <v>0</v>
      </c>
      <c r="T12" s="170">
        <v>0</v>
      </c>
      <c r="U12" s="168">
        <v>0</v>
      </c>
      <c r="V12" s="170">
        <v>0</v>
      </c>
      <c r="W12" s="209">
        <v>1</v>
      </c>
      <c r="X12" s="208">
        <v>0</v>
      </c>
      <c r="Y12" s="289">
        <v>0</v>
      </c>
      <c r="Z12" s="310">
        <v>0</v>
      </c>
    </row>
    <row r="13" spans="1:26" x14ac:dyDescent="0.45">
      <c r="A13" s="166"/>
      <c r="B13" s="166"/>
      <c r="C13" s="166"/>
      <c r="D13" s="166" t="s">
        <v>109</v>
      </c>
      <c r="E13" s="169">
        <v>0</v>
      </c>
      <c r="F13" s="169">
        <v>0</v>
      </c>
      <c r="G13" s="167">
        <f>1.449</f>
        <v>1.4490000000000001</v>
      </c>
      <c r="H13" s="307">
        <v>0.748</v>
      </c>
      <c r="I13" s="167">
        <v>0</v>
      </c>
      <c r="J13" s="190">
        <v>0</v>
      </c>
      <c r="K13" s="309">
        <v>0</v>
      </c>
      <c r="L13" s="170">
        <v>0</v>
      </c>
      <c r="M13" s="168">
        <v>0</v>
      </c>
      <c r="N13" s="191">
        <v>0</v>
      </c>
      <c r="O13" s="168">
        <v>1</v>
      </c>
      <c r="P13" s="170">
        <v>0</v>
      </c>
      <c r="Q13" s="168">
        <v>0</v>
      </c>
      <c r="R13" s="170">
        <v>0</v>
      </c>
      <c r="S13" s="168">
        <v>0</v>
      </c>
      <c r="T13" s="170">
        <v>0</v>
      </c>
      <c r="U13" s="168">
        <v>0</v>
      </c>
      <c r="V13" s="170">
        <v>0</v>
      </c>
      <c r="W13" s="209">
        <v>0</v>
      </c>
      <c r="X13" s="208">
        <v>0</v>
      </c>
      <c r="Y13" s="289">
        <v>0</v>
      </c>
      <c r="Z13" s="310">
        <v>0</v>
      </c>
    </row>
    <row r="14" spans="1:26" x14ac:dyDescent="0.45">
      <c r="A14" s="166"/>
      <c r="B14" s="166" t="s">
        <v>110</v>
      </c>
      <c r="C14" s="166" t="s">
        <v>27</v>
      </c>
      <c r="D14" s="166" t="s">
        <v>100</v>
      </c>
      <c r="E14" s="169">
        <v>0</v>
      </c>
      <c r="F14" s="169">
        <v>0</v>
      </c>
      <c r="G14" s="167">
        <v>0</v>
      </c>
      <c r="H14" s="306">
        <v>0</v>
      </c>
      <c r="I14" s="168">
        <v>0</v>
      </c>
      <c r="J14" s="190">
        <v>0</v>
      </c>
      <c r="K14" s="309">
        <v>0</v>
      </c>
      <c r="L14" s="170">
        <v>0</v>
      </c>
      <c r="M14" s="168">
        <v>0</v>
      </c>
      <c r="N14" s="191">
        <v>0</v>
      </c>
      <c r="O14" s="168">
        <v>0</v>
      </c>
      <c r="P14" s="170">
        <v>0</v>
      </c>
      <c r="Q14" s="168">
        <v>0</v>
      </c>
      <c r="R14" s="170">
        <v>0</v>
      </c>
      <c r="S14" s="168">
        <v>37</v>
      </c>
      <c r="T14" s="170">
        <v>37</v>
      </c>
      <c r="U14" s="168">
        <v>0</v>
      </c>
      <c r="V14" s="170">
        <v>0</v>
      </c>
      <c r="W14" s="209">
        <v>0</v>
      </c>
      <c r="X14" s="208">
        <v>0</v>
      </c>
      <c r="Y14" s="289">
        <v>0</v>
      </c>
      <c r="Z14" s="310">
        <v>0</v>
      </c>
    </row>
    <row r="15" spans="1:26" x14ac:dyDescent="0.45">
      <c r="A15" s="166"/>
      <c r="B15" s="166"/>
      <c r="C15" s="166"/>
      <c r="D15" s="166" t="s">
        <v>103</v>
      </c>
      <c r="E15" s="169">
        <v>0</v>
      </c>
      <c r="F15" s="169">
        <v>0</v>
      </c>
      <c r="G15" s="167">
        <v>0</v>
      </c>
      <c r="H15" s="306">
        <v>0</v>
      </c>
      <c r="I15" s="168">
        <v>0</v>
      </c>
      <c r="J15" s="190">
        <v>0</v>
      </c>
      <c r="K15" s="309">
        <v>0</v>
      </c>
      <c r="L15" s="170">
        <v>0</v>
      </c>
      <c r="M15" s="168">
        <v>0</v>
      </c>
      <c r="N15" s="191">
        <v>0</v>
      </c>
      <c r="O15" s="168">
        <v>0</v>
      </c>
      <c r="P15" s="170">
        <v>0</v>
      </c>
      <c r="Q15" s="168">
        <v>0</v>
      </c>
      <c r="R15" s="170">
        <v>0</v>
      </c>
      <c r="S15" s="168">
        <v>37</v>
      </c>
      <c r="T15" s="170">
        <v>37</v>
      </c>
      <c r="U15" s="168">
        <v>0</v>
      </c>
      <c r="V15" s="170">
        <v>0</v>
      </c>
      <c r="W15" s="209">
        <v>0</v>
      </c>
      <c r="X15" s="208">
        <v>0</v>
      </c>
      <c r="Y15" s="289">
        <v>0</v>
      </c>
      <c r="Z15" s="310">
        <v>0</v>
      </c>
    </row>
    <row r="16" spans="1:26" ht="14.65" thickBot="1" x14ac:dyDescent="0.5">
      <c r="A16" s="166"/>
      <c r="B16" s="166"/>
      <c r="C16" s="166"/>
      <c r="D16" s="166" t="s">
        <v>104</v>
      </c>
      <c r="E16" s="169">
        <v>0</v>
      </c>
      <c r="F16" s="169">
        <v>0</v>
      </c>
      <c r="G16" s="167">
        <v>0</v>
      </c>
      <c r="H16" s="306">
        <v>0</v>
      </c>
      <c r="I16" s="168">
        <v>0</v>
      </c>
      <c r="J16" s="190">
        <v>0</v>
      </c>
      <c r="K16" s="309">
        <v>0</v>
      </c>
      <c r="L16" s="170">
        <v>0</v>
      </c>
      <c r="M16" s="168">
        <v>0</v>
      </c>
      <c r="N16" s="191">
        <v>0</v>
      </c>
      <c r="O16" s="168">
        <v>0</v>
      </c>
      <c r="P16" s="170">
        <v>0</v>
      </c>
      <c r="Q16" s="168">
        <v>0</v>
      </c>
      <c r="R16" s="170">
        <v>0</v>
      </c>
      <c r="S16" s="168">
        <v>37</v>
      </c>
      <c r="T16" s="170">
        <v>37</v>
      </c>
      <c r="U16" s="168">
        <v>0</v>
      </c>
      <c r="V16" s="215">
        <v>0</v>
      </c>
      <c r="W16" s="209">
        <v>0</v>
      </c>
      <c r="X16" s="208">
        <v>0</v>
      </c>
      <c r="Y16" s="289">
        <v>0</v>
      </c>
      <c r="Z16" s="310">
        <v>0</v>
      </c>
    </row>
    <row r="17" spans="1:26" ht="14.65" thickBot="1" x14ac:dyDescent="0.5">
      <c r="A17" s="192"/>
      <c r="B17" s="193"/>
      <c r="C17" s="193"/>
      <c r="D17" s="173" t="s">
        <v>9</v>
      </c>
      <c r="E17" s="194">
        <f t="shared" ref="E17:V17" si="0">SUM(E4:E16)</f>
        <v>11.792000000000002</v>
      </c>
      <c r="F17" s="194">
        <f t="shared" si="0"/>
        <v>9</v>
      </c>
      <c r="G17" s="195">
        <f t="shared" si="0"/>
        <v>27.057000000000006</v>
      </c>
      <c r="H17" s="194">
        <f t="shared" si="0"/>
        <v>17.156000000000002</v>
      </c>
      <c r="I17" s="194">
        <f t="shared" si="0"/>
        <v>4.84</v>
      </c>
      <c r="J17" s="194">
        <f t="shared" si="0"/>
        <v>1.57</v>
      </c>
      <c r="K17" s="196">
        <f t="shared" si="0"/>
        <v>211</v>
      </c>
      <c r="L17" s="197">
        <f t="shared" si="0"/>
        <v>11</v>
      </c>
      <c r="M17" s="196">
        <f t="shared" si="0"/>
        <v>1</v>
      </c>
      <c r="N17" s="198">
        <f t="shared" si="0"/>
        <v>0</v>
      </c>
      <c r="O17" s="196">
        <f t="shared" si="0"/>
        <v>11</v>
      </c>
      <c r="P17" s="197">
        <f t="shared" si="0"/>
        <v>0</v>
      </c>
      <c r="Q17" s="196">
        <f t="shared" si="0"/>
        <v>0</v>
      </c>
      <c r="R17" s="197">
        <f t="shared" si="0"/>
        <v>0</v>
      </c>
      <c r="S17" s="196">
        <f t="shared" si="0"/>
        <v>111</v>
      </c>
      <c r="T17" s="197">
        <f t="shared" si="0"/>
        <v>111</v>
      </c>
      <c r="U17" s="196">
        <f t="shared" si="0"/>
        <v>240</v>
      </c>
      <c r="V17" s="214">
        <f t="shared" si="0"/>
        <v>0</v>
      </c>
      <c r="W17" s="212">
        <f>SUM(W4:W16)</f>
        <v>6</v>
      </c>
      <c r="X17" s="213">
        <v>0</v>
      </c>
      <c r="Y17" s="196">
        <f t="shared" ref="Y17:Z17" si="1">SUM(Y4:Y16)</f>
        <v>21.155000000000001</v>
      </c>
      <c r="Z17" s="196">
        <f t="shared" si="1"/>
        <v>2.3370000000000002</v>
      </c>
    </row>
    <row r="18" spans="1:26" x14ac:dyDescent="0.45">
      <c r="A18" s="199" t="s">
        <v>111</v>
      </c>
      <c r="B18" s="199" t="s">
        <v>112</v>
      </c>
      <c r="C18" s="199" t="s">
        <v>27</v>
      </c>
      <c r="D18" s="199" t="s">
        <v>113</v>
      </c>
      <c r="E18" s="200">
        <v>0.52300000000000002</v>
      </c>
      <c r="F18" s="200">
        <v>0</v>
      </c>
      <c r="G18" s="201">
        <v>2.8460000000000001</v>
      </c>
      <c r="H18" s="280">
        <v>0.193</v>
      </c>
      <c r="I18" s="201">
        <v>0</v>
      </c>
      <c r="J18" s="202">
        <v>0</v>
      </c>
      <c r="K18" s="203">
        <v>70</v>
      </c>
      <c r="L18" s="204">
        <v>0</v>
      </c>
      <c r="M18" s="203">
        <v>0</v>
      </c>
      <c r="N18" s="205">
        <v>0</v>
      </c>
      <c r="O18" s="203">
        <v>1</v>
      </c>
      <c r="P18" s="204">
        <v>0</v>
      </c>
      <c r="Q18" s="203">
        <v>0</v>
      </c>
      <c r="R18" s="204">
        <v>0</v>
      </c>
      <c r="S18" s="203">
        <v>0</v>
      </c>
      <c r="T18" s="204">
        <v>0</v>
      </c>
      <c r="U18" s="168">
        <v>0</v>
      </c>
      <c r="V18" s="170">
        <v>0</v>
      </c>
      <c r="W18" s="209">
        <v>5</v>
      </c>
      <c r="X18" s="208">
        <v>0</v>
      </c>
      <c r="Y18" s="283">
        <v>0.82299999999999995</v>
      </c>
      <c r="Z18" s="250">
        <v>0</v>
      </c>
    </row>
    <row r="19" spans="1:26" x14ac:dyDescent="0.45">
      <c r="A19" s="166"/>
      <c r="B19" s="166"/>
      <c r="C19" s="166"/>
      <c r="D19" s="166" t="s">
        <v>63</v>
      </c>
      <c r="E19" s="169">
        <v>0.47199999999999998</v>
      </c>
      <c r="F19" s="169">
        <v>0</v>
      </c>
      <c r="G19" s="167">
        <v>0.94399999999999995</v>
      </c>
      <c r="H19" s="279">
        <v>0</v>
      </c>
      <c r="I19" s="167">
        <v>2.3759999999999999</v>
      </c>
      <c r="J19" s="190">
        <v>1.7849999999999999</v>
      </c>
      <c r="K19" s="168">
        <v>85</v>
      </c>
      <c r="L19" s="170">
        <v>0</v>
      </c>
      <c r="M19" s="168">
        <v>0</v>
      </c>
      <c r="N19" s="191">
        <v>0</v>
      </c>
      <c r="O19" s="168">
        <v>0</v>
      </c>
      <c r="P19" s="170">
        <v>0</v>
      </c>
      <c r="Q19" s="168">
        <v>26</v>
      </c>
      <c r="R19" s="170">
        <v>0</v>
      </c>
      <c r="S19" s="168">
        <v>0</v>
      </c>
      <c r="T19" s="170">
        <v>0</v>
      </c>
      <c r="U19" s="168">
        <v>0</v>
      </c>
      <c r="V19" s="170">
        <v>0</v>
      </c>
      <c r="W19" s="209">
        <v>0</v>
      </c>
      <c r="X19" s="208">
        <v>0</v>
      </c>
      <c r="Y19" s="283">
        <v>0.94399999999999995</v>
      </c>
      <c r="Z19" s="250">
        <v>0</v>
      </c>
    </row>
    <row r="20" spans="1:26" x14ac:dyDescent="0.45">
      <c r="A20" s="166"/>
      <c r="B20" s="166"/>
      <c r="C20" s="166"/>
      <c r="D20" s="166" t="s">
        <v>114</v>
      </c>
      <c r="E20" s="169">
        <v>0.88</v>
      </c>
      <c r="F20" s="169">
        <v>0</v>
      </c>
      <c r="G20" s="167">
        <v>2.21</v>
      </c>
      <c r="H20" s="279">
        <v>0</v>
      </c>
      <c r="I20" s="167">
        <v>0</v>
      </c>
      <c r="J20" s="190">
        <v>0</v>
      </c>
      <c r="K20" s="168">
        <v>0</v>
      </c>
      <c r="L20" s="170">
        <v>0</v>
      </c>
      <c r="M20" s="168">
        <v>0</v>
      </c>
      <c r="N20" s="191">
        <v>0</v>
      </c>
      <c r="O20" s="168">
        <v>0</v>
      </c>
      <c r="P20" s="170">
        <v>0</v>
      </c>
      <c r="Q20" s="168">
        <v>0</v>
      </c>
      <c r="R20" s="170">
        <v>0</v>
      </c>
      <c r="S20" s="168">
        <v>0</v>
      </c>
      <c r="T20" s="170">
        <v>0</v>
      </c>
      <c r="U20" s="168">
        <v>0</v>
      </c>
      <c r="V20" s="170">
        <v>0</v>
      </c>
      <c r="W20" s="209">
        <v>0</v>
      </c>
      <c r="X20" s="208">
        <v>0</v>
      </c>
      <c r="Y20" s="282">
        <v>0</v>
      </c>
      <c r="Z20" s="250">
        <v>0</v>
      </c>
    </row>
    <row r="21" spans="1:26" x14ac:dyDescent="0.45">
      <c r="A21" s="166"/>
      <c r="B21" s="166" t="s">
        <v>115</v>
      </c>
      <c r="C21" s="166" t="s">
        <v>28</v>
      </c>
      <c r="D21" s="166" t="s">
        <v>116</v>
      </c>
      <c r="E21" s="169">
        <v>0.84799999999999998</v>
      </c>
      <c r="F21" s="169">
        <v>0.77700000000000002</v>
      </c>
      <c r="G21" s="167">
        <v>1.696</v>
      </c>
      <c r="H21" s="279">
        <v>1.4</v>
      </c>
      <c r="I21" s="167">
        <v>0</v>
      </c>
      <c r="J21" s="190">
        <v>0</v>
      </c>
      <c r="K21" s="168">
        <v>0</v>
      </c>
      <c r="L21" s="170">
        <v>0</v>
      </c>
      <c r="M21" s="168">
        <v>0</v>
      </c>
      <c r="N21" s="191">
        <v>0</v>
      </c>
      <c r="O21" s="168">
        <v>1</v>
      </c>
      <c r="P21" s="170">
        <v>1</v>
      </c>
      <c r="Q21" s="168">
        <v>25</v>
      </c>
      <c r="R21" s="170">
        <v>23</v>
      </c>
      <c r="S21" s="168">
        <v>0</v>
      </c>
      <c r="T21" s="170">
        <v>0</v>
      </c>
      <c r="U21" s="168">
        <v>80</v>
      </c>
      <c r="V21" s="170">
        <v>0</v>
      </c>
      <c r="W21" s="209">
        <v>0</v>
      </c>
      <c r="X21" s="208">
        <v>0</v>
      </c>
      <c r="Y21" s="283">
        <v>1.696</v>
      </c>
      <c r="Z21" s="283">
        <v>0.85</v>
      </c>
    </row>
    <row r="22" spans="1:26" x14ac:dyDescent="0.45">
      <c r="A22" s="166"/>
      <c r="B22" s="166"/>
      <c r="C22" s="166"/>
      <c r="D22" s="166" t="s">
        <v>117</v>
      </c>
      <c r="E22" s="169">
        <v>0.19</v>
      </c>
      <c r="F22" s="169">
        <v>0</v>
      </c>
      <c r="G22" s="167">
        <v>0.38</v>
      </c>
      <c r="H22" s="279">
        <v>0.26500000000000001</v>
      </c>
      <c r="I22" s="167">
        <v>0</v>
      </c>
      <c r="J22" s="190">
        <v>0</v>
      </c>
      <c r="K22" s="168">
        <v>0</v>
      </c>
      <c r="L22" s="170">
        <v>0</v>
      </c>
      <c r="M22" s="168">
        <v>0</v>
      </c>
      <c r="N22" s="191">
        <v>0</v>
      </c>
      <c r="O22" s="168">
        <v>0</v>
      </c>
      <c r="P22" s="170">
        <v>0</v>
      </c>
      <c r="Q22" s="168">
        <v>0</v>
      </c>
      <c r="R22" s="170">
        <v>0</v>
      </c>
      <c r="S22" s="168">
        <v>0</v>
      </c>
      <c r="T22" s="170">
        <v>0</v>
      </c>
      <c r="U22" s="168">
        <v>20</v>
      </c>
      <c r="V22" s="170">
        <v>0</v>
      </c>
      <c r="W22" s="209">
        <v>0</v>
      </c>
      <c r="X22" s="208">
        <v>0</v>
      </c>
      <c r="Y22" s="250">
        <v>0</v>
      </c>
      <c r="Z22" s="250">
        <v>0</v>
      </c>
    </row>
    <row r="23" spans="1:26" x14ac:dyDescent="0.45">
      <c r="A23" s="166"/>
      <c r="B23" s="166" t="s">
        <v>110</v>
      </c>
      <c r="C23" s="166" t="s">
        <v>27</v>
      </c>
      <c r="D23" s="166" t="s">
        <v>63</v>
      </c>
      <c r="E23" s="169">
        <v>0</v>
      </c>
      <c r="F23" s="169">
        <v>0</v>
      </c>
      <c r="G23" s="167">
        <v>0</v>
      </c>
      <c r="H23" s="169">
        <v>0</v>
      </c>
      <c r="I23" s="168">
        <v>0</v>
      </c>
      <c r="J23" s="190">
        <v>0</v>
      </c>
      <c r="K23" s="168">
        <v>0</v>
      </c>
      <c r="L23" s="170">
        <v>0</v>
      </c>
      <c r="M23" s="168">
        <v>0</v>
      </c>
      <c r="N23" s="191">
        <v>0</v>
      </c>
      <c r="O23" s="168">
        <v>1</v>
      </c>
      <c r="P23" s="170">
        <v>0</v>
      </c>
      <c r="Q23" s="168"/>
      <c r="R23" s="170">
        <v>0</v>
      </c>
      <c r="S23" s="168">
        <v>0</v>
      </c>
      <c r="T23" s="170">
        <v>0</v>
      </c>
      <c r="U23" s="168">
        <v>0</v>
      </c>
      <c r="V23" s="170">
        <v>0</v>
      </c>
      <c r="W23" s="209">
        <v>0</v>
      </c>
      <c r="X23" s="208">
        <v>0</v>
      </c>
      <c r="Y23" s="250">
        <v>0</v>
      </c>
      <c r="Z23" s="250">
        <v>0</v>
      </c>
    </row>
    <row r="24" spans="1:26" x14ac:dyDescent="0.45">
      <c r="A24" s="166"/>
      <c r="B24" s="166"/>
      <c r="C24" s="166"/>
      <c r="D24" s="166" t="s">
        <v>114</v>
      </c>
      <c r="E24" s="169">
        <v>0</v>
      </c>
      <c r="F24" s="169">
        <v>0</v>
      </c>
      <c r="G24" s="167">
        <v>0</v>
      </c>
      <c r="H24" s="169">
        <v>0</v>
      </c>
      <c r="I24" s="168">
        <v>0</v>
      </c>
      <c r="J24" s="190">
        <v>0</v>
      </c>
      <c r="K24" s="168">
        <v>0</v>
      </c>
      <c r="L24" s="170">
        <v>0</v>
      </c>
      <c r="M24" s="168">
        <v>0</v>
      </c>
      <c r="N24" s="191">
        <v>0</v>
      </c>
      <c r="O24" s="168">
        <v>1</v>
      </c>
      <c r="P24" s="170">
        <v>0</v>
      </c>
      <c r="Q24" s="168">
        <v>25</v>
      </c>
      <c r="R24" s="170">
        <v>0</v>
      </c>
      <c r="S24" s="168">
        <v>0</v>
      </c>
      <c r="T24" s="170">
        <v>0</v>
      </c>
      <c r="U24" s="168">
        <v>0</v>
      </c>
      <c r="V24" s="170">
        <v>0</v>
      </c>
      <c r="W24" s="209">
        <v>0</v>
      </c>
      <c r="X24" s="208">
        <v>0</v>
      </c>
      <c r="Y24" s="250">
        <v>0</v>
      </c>
      <c r="Z24" s="250">
        <v>0</v>
      </c>
    </row>
    <row r="25" spans="1:26" x14ac:dyDescent="0.45">
      <c r="A25" s="166"/>
      <c r="B25" s="166"/>
      <c r="C25" s="166"/>
      <c r="D25" s="166" t="s">
        <v>116</v>
      </c>
      <c r="E25" s="169">
        <v>0</v>
      </c>
      <c r="F25" s="169">
        <v>0</v>
      </c>
      <c r="G25" s="167">
        <v>0</v>
      </c>
      <c r="H25" s="169">
        <v>0</v>
      </c>
      <c r="I25" s="168">
        <v>0</v>
      </c>
      <c r="J25" s="190">
        <v>0</v>
      </c>
      <c r="K25" s="168">
        <v>0</v>
      </c>
      <c r="L25" s="170">
        <v>0</v>
      </c>
      <c r="M25" s="168">
        <v>0</v>
      </c>
      <c r="N25" s="191">
        <v>0</v>
      </c>
      <c r="O25" s="168">
        <v>0</v>
      </c>
      <c r="P25" s="170">
        <v>0</v>
      </c>
      <c r="Q25" s="168">
        <v>7</v>
      </c>
      <c r="R25" s="170">
        <v>0</v>
      </c>
      <c r="S25" s="168">
        <v>0</v>
      </c>
      <c r="T25" s="170">
        <v>0</v>
      </c>
      <c r="U25" s="168">
        <v>0</v>
      </c>
      <c r="V25" s="170">
        <v>0</v>
      </c>
      <c r="W25" s="209">
        <v>0</v>
      </c>
      <c r="X25" s="208">
        <v>0</v>
      </c>
      <c r="Y25" s="250">
        <v>0</v>
      </c>
      <c r="Z25" s="250">
        <v>0</v>
      </c>
    </row>
    <row r="26" spans="1:26" ht="14.65" thickBot="1" x14ac:dyDescent="0.5">
      <c r="A26" s="166"/>
      <c r="B26" s="166"/>
      <c r="C26" s="166"/>
      <c r="D26" s="166" t="s">
        <v>117</v>
      </c>
      <c r="E26" s="169">
        <v>0</v>
      </c>
      <c r="F26" s="169">
        <v>0</v>
      </c>
      <c r="G26" s="167">
        <v>0</v>
      </c>
      <c r="H26" s="169">
        <v>0</v>
      </c>
      <c r="I26" s="168">
        <v>0</v>
      </c>
      <c r="J26" s="190">
        <v>0</v>
      </c>
      <c r="K26" s="168">
        <v>0</v>
      </c>
      <c r="L26" s="170">
        <v>0</v>
      </c>
      <c r="M26" s="168">
        <v>0</v>
      </c>
      <c r="N26" s="191">
        <v>0</v>
      </c>
      <c r="O26" s="168">
        <v>0</v>
      </c>
      <c r="P26" s="170">
        <v>0</v>
      </c>
      <c r="Q26" s="168">
        <v>1</v>
      </c>
      <c r="R26" s="170">
        <v>0</v>
      </c>
      <c r="S26" s="168">
        <v>0</v>
      </c>
      <c r="T26" s="170">
        <v>0</v>
      </c>
      <c r="U26" s="168">
        <v>0</v>
      </c>
      <c r="V26" s="170">
        <v>0</v>
      </c>
      <c r="W26" s="216">
        <v>0</v>
      </c>
      <c r="X26" s="217">
        <v>0</v>
      </c>
      <c r="Y26" s="250">
        <v>0</v>
      </c>
      <c r="Z26" s="250">
        <v>0</v>
      </c>
    </row>
    <row r="27" spans="1:26" ht="14.65" thickBot="1" x14ac:dyDescent="0.5">
      <c r="A27" s="172"/>
      <c r="B27" s="173"/>
      <c r="C27" s="173"/>
      <c r="D27" s="173" t="s">
        <v>9</v>
      </c>
      <c r="E27" s="194">
        <f t="shared" ref="E27:V27" si="2">SUM(E18:E26)</f>
        <v>2.9129999999999998</v>
      </c>
      <c r="F27" s="194">
        <f t="shared" si="2"/>
        <v>0.77700000000000002</v>
      </c>
      <c r="G27" s="195">
        <f t="shared" si="2"/>
        <v>8.0760000000000005</v>
      </c>
      <c r="H27" s="194">
        <f t="shared" si="2"/>
        <v>1.8580000000000001</v>
      </c>
      <c r="I27" s="194">
        <f t="shared" si="2"/>
        <v>2.3759999999999999</v>
      </c>
      <c r="J27" s="206">
        <f t="shared" si="2"/>
        <v>1.7849999999999999</v>
      </c>
      <c r="K27" s="196">
        <f t="shared" si="2"/>
        <v>155</v>
      </c>
      <c r="L27" s="197">
        <f t="shared" si="2"/>
        <v>0</v>
      </c>
      <c r="M27" s="196">
        <f t="shared" si="2"/>
        <v>0</v>
      </c>
      <c r="N27" s="198">
        <f t="shared" si="2"/>
        <v>0</v>
      </c>
      <c r="O27" s="196">
        <f t="shared" si="2"/>
        <v>4</v>
      </c>
      <c r="P27" s="197">
        <f t="shared" si="2"/>
        <v>1</v>
      </c>
      <c r="Q27" s="196">
        <f t="shared" si="2"/>
        <v>84</v>
      </c>
      <c r="R27" s="197">
        <f t="shared" si="2"/>
        <v>23</v>
      </c>
      <c r="S27" s="196">
        <f t="shared" si="2"/>
        <v>0</v>
      </c>
      <c r="T27" s="197">
        <f t="shared" si="2"/>
        <v>0</v>
      </c>
      <c r="U27" s="196">
        <f>SUM(U18:U26)</f>
        <v>100</v>
      </c>
      <c r="V27" s="197">
        <f t="shared" si="2"/>
        <v>0</v>
      </c>
      <c r="W27" s="210">
        <f>SUM(W18:W26)</f>
        <v>5</v>
      </c>
      <c r="X27" s="213">
        <v>0</v>
      </c>
      <c r="Y27" s="252">
        <f t="shared" ref="Y27:Z27" si="3">SUM(Y18:Y26)</f>
        <v>3.4630000000000001</v>
      </c>
      <c r="Z27" s="206">
        <f t="shared" si="3"/>
        <v>0.85</v>
      </c>
    </row>
    <row r="28" spans="1:26" ht="14.65" thickBot="1" x14ac:dyDescent="0.5">
      <c r="A28" s="173" t="s">
        <v>53</v>
      </c>
      <c r="B28" s="173"/>
      <c r="C28" s="173"/>
      <c r="D28" s="173"/>
      <c r="E28" s="194">
        <f t="shared" ref="E28:V28" si="4">SUM(E17,E27)</f>
        <v>14.705000000000002</v>
      </c>
      <c r="F28" s="194">
        <f t="shared" si="4"/>
        <v>9.7769999999999992</v>
      </c>
      <c r="G28" s="195">
        <f t="shared" si="4"/>
        <v>35.13300000000001</v>
      </c>
      <c r="H28" s="194">
        <f t="shared" si="4"/>
        <v>19.014000000000003</v>
      </c>
      <c r="I28" s="194">
        <f t="shared" si="4"/>
        <v>7.2159999999999993</v>
      </c>
      <c r="J28" s="194">
        <f t="shared" si="4"/>
        <v>3.355</v>
      </c>
      <c r="K28" s="196">
        <f t="shared" si="4"/>
        <v>366</v>
      </c>
      <c r="L28" s="197">
        <f t="shared" si="4"/>
        <v>11</v>
      </c>
      <c r="M28" s="196">
        <f t="shared" si="4"/>
        <v>1</v>
      </c>
      <c r="N28" s="198">
        <f t="shared" si="4"/>
        <v>0</v>
      </c>
      <c r="O28" s="196">
        <f t="shared" si="4"/>
        <v>15</v>
      </c>
      <c r="P28" s="197">
        <f t="shared" si="4"/>
        <v>1</v>
      </c>
      <c r="Q28" s="196">
        <f t="shared" si="4"/>
        <v>84</v>
      </c>
      <c r="R28" s="197">
        <f t="shared" si="4"/>
        <v>23</v>
      </c>
      <c r="S28" s="196">
        <f>SUM(S17,S27)</f>
        <v>111</v>
      </c>
      <c r="T28" s="197">
        <f t="shared" si="4"/>
        <v>111</v>
      </c>
      <c r="U28" s="281">
        <f t="shared" si="4"/>
        <v>340</v>
      </c>
      <c r="V28" s="215">
        <f t="shared" si="4"/>
        <v>0</v>
      </c>
      <c r="W28" s="218">
        <f>W17+W27</f>
        <v>11</v>
      </c>
      <c r="X28" s="211">
        <v>0</v>
      </c>
      <c r="Y28" s="251">
        <f>SUM(Y17,Y27)</f>
        <v>24.618000000000002</v>
      </c>
      <c r="Z28" s="252">
        <f t="shared" ref="Z28" si="5">SUM(Z17,Z27)</f>
        <v>3.1870000000000003</v>
      </c>
    </row>
    <row r="29" spans="1:26" x14ac:dyDescent="0.45">
      <c r="Y29" s="56"/>
      <c r="Z29" s="233"/>
    </row>
    <row r="30" spans="1:26" x14ac:dyDescent="0.45">
      <c r="Y30" s="247"/>
      <c r="Z30" s="25"/>
    </row>
    <row r="31" spans="1:26" x14ac:dyDescent="0.45">
      <c r="Z31" s="233"/>
    </row>
    <row r="32" spans="1:26" x14ac:dyDescent="0.45">
      <c r="Z32" s="233"/>
    </row>
    <row r="33" spans="25:26" x14ac:dyDescent="0.45">
      <c r="Z33" s="233"/>
    </row>
    <row r="34" spans="25:26" x14ac:dyDescent="0.45">
      <c r="Z34" s="233"/>
    </row>
    <row r="35" spans="25:26" x14ac:dyDescent="0.45">
      <c r="Z35" s="233"/>
    </row>
    <row r="36" spans="25:26" x14ac:dyDescent="0.45">
      <c r="Z36" s="233"/>
    </row>
    <row r="37" spans="25:26" x14ac:dyDescent="0.45">
      <c r="Z37" s="233"/>
    </row>
    <row r="38" spans="25:26" x14ac:dyDescent="0.45">
      <c r="Z38" s="233"/>
    </row>
    <row r="39" spans="25:26" x14ac:dyDescent="0.45">
      <c r="Z39" s="233"/>
    </row>
    <row r="40" spans="25:26" x14ac:dyDescent="0.45">
      <c r="Z40" s="233"/>
    </row>
    <row r="41" spans="25:26" x14ac:dyDescent="0.45">
      <c r="Z41" s="233"/>
    </row>
    <row r="42" spans="25:26" x14ac:dyDescent="0.45">
      <c r="Y42" s="248"/>
      <c r="Z42" s="249"/>
    </row>
    <row r="43" spans="25:26" x14ac:dyDescent="0.45">
      <c r="Y43" s="56"/>
      <c r="Z43" s="233"/>
    </row>
    <row r="44" spans="25:26" x14ac:dyDescent="0.45">
      <c r="Y44" s="56"/>
      <c r="Z44" s="233"/>
    </row>
    <row r="45" spans="25:26" x14ac:dyDescent="0.45">
      <c r="Y45" s="117"/>
      <c r="Z45" s="232"/>
    </row>
    <row r="46" spans="25:26" x14ac:dyDescent="0.45">
      <c r="Y46" s="56"/>
      <c r="Z46" s="233"/>
    </row>
    <row r="47" spans="25:26" x14ac:dyDescent="0.45">
      <c r="Y47" s="56"/>
      <c r="Z47" s="233"/>
    </row>
    <row r="48" spans="25:26" x14ac:dyDescent="0.45">
      <c r="Y48" s="56"/>
      <c r="Z48" s="233"/>
    </row>
    <row r="49" spans="25:26" ht="14.65" thickBot="1" x14ac:dyDescent="0.5">
      <c r="Y49" s="56"/>
      <c r="Z49" s="233"/>
    </row>
    <row r="50" spans="25:26" ht="14.65" thickBot="1" x14ac:dyDescent="0.5">
      <c r="Y50" s="127"/>
      <c r="Z50" s="147"/>
    </row>
    <row r="51" spans="25:26" ht="14.65" thickBot="1" x14ac:dyDescent="0.5">
      <c r="Y51" s="118">
        <f t="shared" ref="Y51:Z51" si="6">SUM(Y17,Y30,Y42,Y45,Y50)</f>
        <v>21.155000000000001</v>
      </c>
      <c r="Z51" s="26">
        <f t="shared" si="6"/>
        <v>2.3370000000000002</v>
      </c>
    </row>
  </sheetData>
  <mergeCells count="11">
    <mergeCell ref="Y2:Z2"/>
    <mergeCell ref="W2:X2"/>
    <mergeCell ref="Q2:R2"/>
    <mergeCell ref="S2:T2"/>
    <mergeCell ref="U2:V2"/>
    <mergeCell ref="O2:P2"/>
    <mergeCell ref="E2:F2"/>
    <mergeCell ref="G2:H2"/>
    <mergeCell ref="I2:J2"/>
    <mergeCell ref="K2:L2"/>
    <mergeCell ref="M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4DEFD-AC98-4CA7-98CE-219B2B1302B8}">
  <dimension ref="A1:AA51"/>
  <sheetViews>
    <sheetView topLeftCell="I41" workbookViewId="0">
      <selection activeCell="R56" sqref="R56"/>
    </sheetView>
  </sheetViews>
  <sheetFormatPr defaultRowHeight="14.25" x14ac:dyDescent="0.45"/>
  <cols>
    <col min="2" max="2" width="18.86328125" customWidth="1"/>
    <col min="4" max="4" width="16" customWidth="1"/>
    <col min="6" max="6" width="9.1328125" style="77"/>
    <col min="8" max="8" width="9.1328125" style="77"/>
    <col min="10" max="10" width="13.265625" style="77" customWidth="1"/>
    <col min="12" max="12" width="9.1328125" style="77"/>
    <col min="14" max="14" width="9.1328125" style="77"/>
    <col min="16" max="16" width="9.1328125" style="77"/>
    <col min="17" max="17" width="14.86328125" customWidth="1"/>
    <col min="18" max="18" width="9.1328125" style="77"/>
    <col min="20" max="20" width="9.1328125" style="77"/>
    <col min="22" max="22" width="8.86328125" style="77"/>
    <col min="24" max="24" width="8.86328125" style="77"/>
    <col min="26" max="26" width="8.86328125" style="77"/>
  </cols>
  <sheetData>
    <row r="1" spans="1:27" ht="14.65" thickBot="1" x14ac:dyDescent="0.5">
      <c r="A1" s="1" t="s">
        <v>118</v>
      </c>
      <c r="B1" s="1"/>
      <c r="C1" s="1"/>
      <c r="D1" s="1"/>
      <c r="E1" s="1"/>
      <c r="F1" s="81"/>
      <c r="G1" s="1"/>
      <c r="H1" s="81"/>
      <c r="I1" s="1"/>
      <c r="J1" s="81"/>
      <c r="K1" s="1"/>
      <c r="L1" s="81"/>
      <c r="M1" s="1"/>
      <c r="N1" s="81"/>
      <c r="O1" s="1"/>
      <c r="P1" s="81"/>
      <c r="Q1" s="1"/>
      <c r="R1" s="81"/>
      <c r="S1" s="1"/>
      <c r="T1" s="81"/>
    </row>
    <row r="2" spans="1:27" x14ac:dyDescent="0.45">
      <c r="A2" s="2" t="s">
        <v>0</v>
      </c>
      <c r="B2" s="2" t="s">
        <v>11</v>
      </c>
      <c r="C2" s="2" t="s">
        <v>26</v>
      </c>
      <c r="D2" s="2" t="s">
        <v>1</v>
      </c>
      <c r="E2" s="299" t="s">
        <v>6</v>
      </c>
      <c r="F2" s="300"/>
      <c r="G2" s="299" t="s">
        <v>16</v>
      </c>
      <c r="H2" s="300"/>
      <c r="I2" s="299" t="s">
        <v>163</v>
      </c>
      <c r="J2" s="300"/>
      <c r="K2" s="299" t="s">
        <v>17</v>
      </c>
      <c r="L2" s="300"/>
      <c r="M2" s="299" t="s">
        <v>29</v>
      </c>
      <c r="N2" s="300"/>
      <c r="O2" s="299" t="s">
        <v>18</v>
      </c>
      <c r="P2" s="300"/>
      <c r="Q2" s="299" t="s">
        <v>19</v>
      </c>
      <c r="R2" s="300"/>
      <c r="S2" s="299" t="s">
        <v>20</v>
      </c>
      <c r="T2" s="300"/>
      <c r="U2" s="299" t="s">
        <v>162</v>
      </c>
      <c r="V2" s="300"/>
      <c r="W2" s="299" t="s">
        <v>161</v>
      </c>
      <c r="X2" s="300"/>
      <c r="Y2" s="299" t="s">
        <v>60</v>
      </c>
      <c r="Z2" s="300"/>
    </row>
    <row r="3" spans="1:27" ht="14.65" thickBot="1" x14ac:dyDescent="0.5">
      <c r="A3" s="3"/>
      <c r="B3" s="3"/>
      <c r="C3" s="3"/>
      <c r="D3" s="3"/>
      <c r="E3" s="3" t="s">
        <v>7</v>
      </c>
      <c r="F3" s="82" t="s">
        <v>8</v>
      </c>
      <c r="G3" s="3" t="s">
        <v>7</v>
      </c>
      <c r="H3" s="82" t="s">
        <v>8</v>
      </c>
      <c r="I3" s="3" t="s">
        <v>7</v>
      </c>
      <c r="J3" s="82" t="s">
        <v>8</v>
      </c>
      <c r="K3" s="3" t="s">
        <v>7</v>
      </c>
      <c r="L3" s="82" t="s">
        <v>8</v>
      </c>
      <c r="M3" s="3" t="s">
        <v>7</v>
      </c>
      <c r="N3" s="82" t="s">
        <v>8</v>
      </c>
      <c r="O3" s="3" t="s">
        <v>7</v>
      </c>
      <c r="P3" s="82" t="s">
        <v>8</v>
      </c>
      <c r="Q3" s="3" t="s">
        <v>7</v>
      </c>
      <c r="R3" s="82" t="s">
        <v>8</v>
      </c>
      <c r="S3" s="3" t="s">
        <v>7</v>
      </c>
      <c r="T3" s="82" t="s">
        <v>8</v>
      </c>
      <c r="U3" s="5" t="s">
        <v>7</v>
      </c>
      <c r="V3" s="78" t="s">
        <v>8</v>
      </c>
      <c r="W3" s="5" t="s">
        <v>7</v>
      </c>
      <c r="X3" s="78" t="s">
        <v>8</v>
      </c>
      <c r="Y3" s="5" t="s">
        <v>7</v>
      </c>
      <c r="Z3" s="78" t="s">
        <v>8</v>
      </c>
    </row>
    <row r="4" spans="1:27" ht="14.65" thickTop="1" x14ac:dyDescent="0.45">
      <c r="A4" s="166" t="s">
        <v>119</v>
      </c>
      <c r="B4" s="166" t="s">
        <v>120</v>
      </c>
      <c r="C4" s="166" t="s">
        <v>27</v>
      </c>
      <c r="D4" s="166" t="s">
        <v>121</v>
      </c>
      <c r="E4" s="167">
        <v>1.0449999999999999</v>
      </c>
      <c r="F4" s="167">
        <v>1.0449999999999999</v>
      </c>
      <c r="G4" s="166">
        <v>1.0449999999999999</v>
      </c>
      <c r="H4" s="167">
        <f>'[1]NAKURUNAIROBI CLUSTER 1'!H4</f>
        <v>1.0449999999999999</v>
      </c>
      <c r="I4" s="168">
        <v>0</v>
      </c>
      <c r="J4" s="168">
        <v>0</v>
      </c>
      <c r="K4" s="168">
        <v>0</v>
      </c>
      <c r="L4" s="168">
        <v>0</v>
      </c>
      <c r="M4" s="168">
        <v>0</v>
      </c>
      <c r="N4" s="168">
        <v>0</v>
      </c>
      <c r="O4" s="168">
        <v>4</v>
      </c>
      <c r="P4" s="168">
        <v>0</v>
      </c>
      <c r="Q4" s="168">
        <v>0</v>
      </c>
      <c r="R4" s="168">
        <v>0</v>
      </c>
      <c r="S4" s="168">
        <v>0</v>
      </c>
      <c r="T4" s="168">
        <v>0</v>
      </c>
      <c r="U4" s="167">
        <v>1.0449999999999999</v>
      </c>
      <c r="V4" s="222">
        <v>1.0449999999999999</v>
      </c>
      <c r="W4" s="167">
        <v>0</v>
      </c>
      <c r="X4" s="170">
        <v>0</v>
      </c>
      <c r="Y4" s="168">
        <v>0</v>
      </c>
      <c r="Z4" s="170">
        <v>0</v>
      </c>
      <c r="AA4" s="166"/>
    </row>
    <row r="5" spans="1:27" x14ac:dyDescent="0.45">
      <c r="A5" s="166"/>
      <c r="B5" s="166"/>
      <c r="C5" s="166"/>
      <c r="D5" s="166" t="s">
        <v>122</v>
      </c>
      <c r="E5" s="167">
        <v>1.292</v>
      </c>
      <c r="F5" s="167">
        <v>1.292</v>
      </c>
      <c r="G5" s="166">
        <v>1.292</v>
      </c>
      <c r="H5" s="167">
        <f>'[1]NAKURUNAIROBI CLUSTER 1'!H5</f>
        <v>1.292</v>
      </c>
      <c r="I5" s="168">
        <v>0</v>
      </c>
      <c r="J5" s="168">
        <v>0</v>
      </c>
      <c r="K5" s="168">
        <v>0</v>
      </c>
      <c r="L5" s="168">
        <v>0</v>
      </c>
      <c r="M5" s="168">
        <v>0</v>
      </c>
      <c r="N5" s="168">
        <v>0</v>
      </c>
      <c r="O5" s="168">
        <v>4</v>
      </c>
      <c r="P5" s="168">
        <v>0</v>
      </c>
      <c r="Q5" s="168">
        <v>0</v>
      </c>
      <c r="R5" s="168">
        <v>0</v>
      </c>
      <c r="S5" s="168">
        <v>0</v>
      </c>
      <c r="T5" s="168">
        <v>0</v>
      </c>
      <c r="U5" s="167">
        <v>1.292</v>
      </c>
      <c r="V5" s="222">
        <v>1.292</v>
      </c>
      <c r="W5" s="167">
        <v>0.28000000000000003</v>
      </c>
      <c r="X5" s="169">
        <v>0.28000000000000003</v>
      </c>
      <c r="Y5" s="170">
        <v>114</v>
      </c>
      <c r="Z5" s="170">
        <v>0</v>
      </c>
      <c r="AA5" s="166"/>
    </row>
    <row r="6" spans="1:27" x14ac:dyDescent="0.45">
      <c r="A6" s="166"/>
      <c r="B6" s="166"/>
      <c r="C6" s="166"/>
      <c r="D6" s="166" t="s">
        <v>123</v>
      </c>
      <c r="E6" s="167">
        <v>0.95</v>
      </c>
      <c r="F6" s="167">
        <v>0.95</v>
      </c>
      <c r="G6" s="166">
        <v>0.95</v>
      </c>
      <c r="H6" s="167">
        <f>'[1]NAKURUNAIROBI CLUSTER 1'!H6</f>
        <v>0.95</v>
      </c>
      <c r="I6" s="168">
        <v>0</v>
      </c>
      <c r="J6" s="168">
        <v>0</v>
      </c>
      <c r="K6" s="168">
        <v>0</v>
      </c>
      <c r="L6" s="168">
        <v>0</v>
      </c>
      <c r="M6" s="168">
        <v>0</v>
      </c>
      <c r="N6" s="168">
        <v>0</v>
      </c>
      <c r="O6" s="168">
        <v>3</v>
      </c>
      <c r="P6" s="168">
        <v>0</v>
      </c>
      <c r="Q6" s="168">
        <v>0</v>
      </c>
      <c r="R6" s="168">
        <v>0</v>
      </c>
      <c r="S6" s="168">
        <v>0</v>
      </c>
      <c r="T6" s="168">
        <v>0</v>
      </c>
      <c r="U6" s="167">
        <v>0.95</v>
      </c>
      <c r="V6" s="223">
        <v>0.95</v>
      </c>
      <c r="W6" s="168">
        <v>0</v>
      </c>
      <c r="X6" s="170">
        <v>0</v>
      </c>
      <c r="Y6" s="168">
        <v>0</v>
      </c>
      <c r="Z6" s="170">
        <v>0</v>
      </c>
      <c r="AA6" s="166"/>
    </row>
    <row r="7" spans="1:27" x14ac:dyDescent="0.45">
      <c r="A7" s="166"/>
      <c r="B7" s="166" t="s">
        <v>124</v>
      </c>
      <c r="C7" s="166" t="s">
        <v>27</v>
      </c>
      <c r="D7" s="166" t="s">
        <v>125</v>
      </c>
      <c r="E7" s="166">
        <v>0</v>
      </c>
      <c r="F7" s="167">
        <v>0</v>
      </c>
      <c r="G7" s="166">
        <v>0</v>
      </c>
      <c r="H7" s="167">
        <v>0</v>
      </c>
      <c r="I7" s="166">
        <v>7.8</v>
      </c>
      <c r="J7" s="166">
        <v>7.8</v>
      </c>
      <c r="K7" s="168">
        <v>0</v>
      </c>
      <c r="L7" s="168">
        <v>0</v>
      </c>
      <c r="M7" s="168">
        <v>0</v>
      </c>
      <c r="N7" s="168">
        <v>0</v>
      </c>
      <c r="O7" s="168">
        <v>0</v>
      </c>
      <c r="P7" s="168">
        <v>0</v>
      </c>
      <c r="Q7" s="166">
        <v>0</v>
      </c>
      <c r="R7" s="171">
        <v>0</v>
      </c>
      <c r="S7" s="168">
        <v>0</v>
      </c>
      <c r="T7" s="168">
        <v>0</v>
      </c>
      <c r="U7" s="168">
        <v>0</v>
      </c>
      <c r="V7" s="170">
        <v>0</v>
      </c>
      <c r="W7" s="168">
        <v>0</v>
      </c>
      <c r="X7" s="170">
        <v>0</v>
      </c>
      <c r="Y7" s="168">
        <v>0</v>
      </c>
      <c r="Z7" s="170">
        <v>0</v>
      </c>
      <c r="AA7" s="166"/>
    </row>
    <row r="8" spans="1:27" x14ac:dyDescent="0.45">
      <c r="A8" s="166"/>
      <c r="B8" s="166" t="s">
        <v>126</v>
      </c>
      <c r="C8" s="166" t="s">
        <v>27</v>
      </c>
      <c r="D8" s="166" t="s">
        <v>121</v>
      </c>
      <c r="E8" s="167">
        <v>0</v>
      </c>
      <c r="F8" s="167">
        <v>0</v>
      </c>
      <c r="G8" s="166"/>
      <c r="H8" s="167">
        <v>0</v>
      </c>
      <c r="I8" s="168">
        <v>0</v>
      </c>
      <c r="J8" s="168">
        <v>0</v>
      </c>
      <c r="K8" s="168">
        <v>0</v>
      </c>
      <c r="L8" s="168"/>
      <c r="M8" s="168">
        <v>0</v>
      </c>
      <c r="N8" s="166">
        <v>0</v>
      </c>
      <c r="O8" s="168">
        <v>3</v>
      </c>
      <c r="P8" s="168">
        <v>3</v>
      </c>
      <c r="Q8" s="166">
        <v>15</v>
      </c>
      <c r="R8" s="171">
        <v>15</v>
      </c>
      <c r="S8" s="168">
        <v>18</v>
      </c>
      <c r="T8" s="168">
        <v>18</v>
      </c>
      <c r="U8" s="168">
        <v>0</v>
      </c>
      <c r="V8" s="170">
        <v>0</v>
      </c>
      <c r="W8" s="168">
        <v>0</v>
      </c>
      <c r="X8" s="170">
        <v>0</v>
      </c>
      <c r="Y8" s="168">
        <v>0</v>
      </c>
      <c r="Z8" s="170">
        <v>0</v>
      </c>
      <c r="AA8" s="166"/>
    </row>
    <row r="9" spans="1:27" x14ac:dyDescent="0.45">
      <c r="A9" s="166"/>
      <c r="B9" s="166"/>
      <c r="C9" s="166"/>
      <c r="D9" s="166" t="s">
        <v>122</v>
      </c>
      <c r="E9" s="167">
        <v>0</v>
      </c>
      <c r="F9" s="167">
        <v>0</v>
      </c>
      <c r="G9" s="166"/>
      <c r="H9" s="167"/>
      <c r="I9" s="168">
        <v>0</v>
      </c>
      <c r="J9" s="168">
        <v>0</v>
      </c>
      <c r="K9" s="168">
        <v>0</v>
      </c>
      <c r="L9" s="168"/>
      <c r="M9" s="168">
        <v>0</v>
      </c>
      <c r="N9" s="166">
        <v>0</v>
      </c>
      <c r="O9" s="168">
        <v>4</v>
      </c>
      <c r="P9" s="168">
        <v>3</v>
      </c>
      <c r="Q9" s="166">
        <v>15</v>
      </c>
      <c r="R9" s="171">
        <v>15</v>
      </c>
      <c r="S9" s="168">
        <v>12</v>
      </c>
      <c r="T9" s="168">
        <v>12</v>
      </c>
      <c r="U9" s="168">
        <v>0</v>
      </c>
      <c r="V9" s="170">
        <v>0</v>
      </c>
      <c r="W9" s="168">
        <v>0</v>
      </c>
      <c r="X9" s="170">
        <v>0</v>
      </c>
      <c r="Y9" s="168">
        <v>0</v>
      </c>
      <c r="Z9" s="170">
        <v>0</v>
      </c>
      <c r="AA9" s="166"/>
    </row>
    <row r="10" spans="1:27" ht="14.65" thickBot="1" x14ac:dyDescent="0.5">
      <c r="A10" s="166"/>
      <c r="B10" s="166"/>
      <c r="C10" s="166"/>
      <c r="D10" s="166" t="s">
        <v>123</v>
      </c>
      <c r="E10" s="167">
        <v>0</v>
      </c>
      <c r="F10" s="167">
        <v>0</v>
      </c>
      <c r="G10" s="166"/>
      <c r="H10" s="167">
        <v>0</v>
      </c>
      <c r="I10" s="168"/>
      <c r="J10" s="168">
        <v>0</v>
      </c>
      <c r="K10" s="168"/>
      <c r="L10" s="168"/>
      <c r="M10" s="168"/>
      <c r="N10" s="166">
        <v>0</v>
      </c>
      <c r="O10" s="168">
        <v>3</v>
      </c>
      <c r="P10" s="168">
        <v>3</v>
      </c>
      <c r="Q10" s="166">
        <v>10</v>
      </c>
      <c r="R10" s="171">
        <v>10</v>
      </c>
      <c r="S10" s="168">
        <v>10</v>
      </c>
      <c r="T10" s="168">
        <v>10</v>
      </c>
      <c r="U10" s="168">
        <v>0</v>
      </c>
      <c r="V10" s="170">
        <v>0</v>
      </c>
      <c r="W10" s="168">
        <v>0</v>
      </c>
      <c r="X10" s="170">
        <v>0</v>
      </c>
      <c r="Y10" s="168">
        <v>0</v>
      </c>
      <c r="Z10" s="170">
        <v>0</v>
      </c>
      <c r="AA10" s="166"/>
    </row>
    <row r="11" spans="1:27" ht="14.65" thickBot="1" x14ac:dyDescent="0.5">
      <c r="A11" s="172"/>
      <c r="B11" s="173"/>
      <c r="C11" s="173"/>
      <c r="D11" s="173"/>
      <c r="E11" s="174">
        <f>SUM(E4:E10)</f>
        <v>3.2869999999999999</v>
      </c>
      <c r="F11" s="174">
        <f t="shared" ref="F11:R11" si="0">SUM(F4:F10)</f>
        <v>3.2869999999999999</v>
      </c>
      <c r="G11" s="174">
        <f t="shared" si="0"/>
        <v>3.2869999999999999</v>
      </c>
      <c r="H11" s="174">
        <f t="shared" si="0"/>
        <v>3.2869999999999999</v>
      </c>
      <c r="I11" s="174">
        <f t="shared" si="0"/>
        <v>7.8</v>
      </c>
      <c r="J11" s="174">
        <f t="shared" si="0"/>
        <v>7.8</v>
      </c>
      <c r="K11" s="174">
        <f t="shared" si="0"/>
        <v>0</v>
      </c>
      <c r="L11" s="174">
        <f t="shared" si="0"/>
        <v>0</v>
      </c>
      <c r="M11" s="174">
        <f t="shared" si="0"/>
        <v>0</v>
      </c>
      <c r="N11" s="174">
        <f t="shared" si="0"/>
        <v>0</v>
      </c>
      <c r="O11" s="173">
        <f t="shared" si="0"/>
        <v>21</v>
      </c>
      <c r="P11" s="174">
        <f t="shared" si="0"/>
        <v>9</v>
      </c>
      <c r="Q11" s="173">
        <f t="shared" si="0"/>
        <v>40</v>
      </c>
      <c r="R11" s="173">
        <f t="shared" si="0"/>
        <v>40</v>
      </c>
      <c r="S11" s="173">
        <f t="shared" ref="S11" si="1">SUM(S4:S10)</f>
        <v>40</v>
      </c>
      <c r="T11" s="173">
        <f t="shared" ref="T11:Z11" si="2">SUM(T4:T10)</f>
        <v>40</v>
      </c>
      <c r="U11" s="174">
        <f t="shared" si="2"/>
        <v>3.2869999999999999</v>
      </c>
      <c r="V11" s="174">
        <f t="shared" si="2"/>
        <v>3.2869999999999999</v>
      </c>
      <c r="W11" s="174">
        <f t="shared" si="2"/>
        <v>0.28000000000000003</v>
      </c>
      <c r="X11" s="174">
        <f t="shared" si="2"/>
        <v>0.28000000000000003</v>
      </c>
      <c r="Y11" s="175">
        <f t="shared" si="2"/>
        <v>114</v>
      </c>
      <c r="Z11" s="176">
        <f t="shared" si="2"/>
        <v>0</v>
      </c>
      <c r="AA11" s="166"/>
    </row>
    <row r="12" spans="1:27" x14ac:dyDescent="0.45">
      <c r="A12" s="166" t="s">
        <v>75</v>
      </c>
      <c r="B12" s="166" t="s">
        <v>12</v>
      </c>
      <c r="C12" s="166" t="s">
        <v>27</v>
      </c>
      <c r="D12" s="166" t="s">
        <v>127</v>
      </c>
      <c r="E12" s="166">
        <v>0.54500000000000004</v>
      </c>
      <c r="F12" s="167">
        <v>0</v>
      </c>
      <c r="G12" s="166">
        <v>0.83</v>
      </c>
      <c r="H12" s="243">
        <v>0.82</v>
      </c>
      <c r="I12" s="168">
        <v>0</v>
      </c>
      <c r="J12" s="168">
        <v>0</v>
      </c>
      <c r="K12" s="168">
        <v>0</v>
      </c>
      <c r="L12" s="168">
        <v>0</v>
      </c>
      <c r="M12" s="168">
        <v>0</v>
      </c>
      <c r="N12" s="168">
        <v>0</v>
      </c>
      <c r="O12" s="168">
        <v>0</v>
      </c>
      <c r="P12" s="168">
        <v>0</v>
      </c>
      <c r="Q12" s="166">
        <v>43</v>
      </c>
      <c r="R12" s="166">
        <v>0</v>
      </c>
      <c r="S12" s="168">
        <v>0</v>
      </c>
      <c r="T12" s="168">
        <v>0</v>
      </c>
      <c r="U12" s="167">
        <v>0.54500000000000004</v>
      </c>
      <c r="V12" s="170">
        <v>0</v>
      </c>
      <c r="W12" s="242">
        <v>1.27</v>
      </c>
      <c r="X12" s="242">
        <v>0.28000000000000003</v>
      </c>
      <c r="Y12" s="168">
        <v>0</v>
      </c>
      <c r="Z12" s="170">
        <v>0</v>
      </c>
      <c r="AA12" s="166"/>
    </row>
    <row r="13" spans="1:27" x14ac:dyDescent="0.45">
      <c r="A13" s="166"/>
      <c r="B13" s="166"/>
      <c r="C13" s="166"/>
      <c r="D13" s="166" t="s">
        <v>128</v>
      </c>
      <c r="E13" s="166">
        <v>3.347</v>
      </c>
      <c r="F13" s="167">
        <v>0</v>
      </c>
      <c r="G13" s="166">
        <v>3.6</v>
      </c>
      <c r="H13" s="243">
        <v>0.59</v>
      </c>
      <c r="I13" s="168">
        <v>0</v>
      </c>
      <c r="J13" s="168">
        <v>0</v>
      </c>
      <c r="K13" s="168">
        <v>0</v>
      </c>
      <c r="L13" s="168">
        <v>0</v>
      </c>
      <c r="M13" s="168">
        <v>0</v>
      </c>
      <c r="N13" s="168">
        <v>0</v>
      </c>
      <c r="O13" s="168">
        <v>0</v>
      </c>
      <c r="P13" s="168">
        <v>0</v>
      </c>
      <c r="Q13" s="166">
        <v>147</v>
      </c>
      <c r="R13" s="166">
        <v>0</v>
      </c>
      <c r="S13" s="168">
        <v>0</v>
      </c>
      <c r="T13" s="168">
        <v>0</v>
      </c>
      <c r="U13" s="167">
        <v>3.25</v>
      </c>
      <c r="V13" s="170">
        <v>0</v>
      </c>
      <c r="W13" s="242">
        <v>0</v>
      </c>
      <c r="X13" s="242">
        <v>0</v>
      </c>
      <c r="Y13" s="168">
        <v>0</v>
      </c>
      <c r="Z13" s="170">
        <v>0</v>
      </c>
      <c r="AA13" s="166"/>
    </row>
    <row r="14" spans="1:27" x14ac:dyDescent="0.45">
      <c r="A14" s="166"/>
      <c r="B14" s="166"/>
      <c r="C14" s="166"/>
      <c r="D14" s="166" t="s">
        <v>129</v>
      </c>
      <c r="E14" s="166">
        <v>0.55500000000000005</v>
      </c>
      <c r="F14" s="167">
        <v>0</v>
      </c>
      <c r="G14" s="166">
        <v>0.70499999999999996</v>
      </c>
      <c r="H14" s="243">
        <v>0.83</v>
      </c>
      <c r="I14" s="168">
        <v>0</v>
      </c>
      <c r="J14" s="168">
        <v>0</v>
      </c>
      <c r="K14" s="168">
        <v>0</v>
      </c>
      <c r="L14" s="168">
        <v>0</v>
      </c>
      <c r="M14" s="168">
        <v>0</v>
      </c>
      <c r="N14" s="168">
        <v>0</v>
      </c>
      <c r="O14" s="168">
        <v>0</v>
      </c>
      <c r="P14" s="168">
        <v>0</v>
      </c>
      <c r="Q14" s="166">
        <v>28</v>
      </c>
      <c r="R14" s="166">
        <v>0</v>
      </c>
      <c r="S14" s="168">
        <v>0</v>
      </c>
      <c r="T14" s="168">
        <v>0</v>
      </c>
      <c r="U14" s="167">
        <v>0.45500000000000002</v>
      </c>
      <c r="V14" s="168">
        <v>0</v>
      </c>
      <c r="W14" s="242">
        <v>0.26</v>
      </c>
      <c r="X14" s="242">
        <v>0.35</v>
      </c>
      <c r="Y14" s="168">
        <v>0</v>
      </c>
      <c r="Z14" s="168">
        <v>0</v>
      </c>
      <c r="AA14" s="166"/>
    </row>
    <row r="15" spans="1:27" ht="14.65" thickBot="1" x14ac:dyDescent="0.5">
      <c r="A15" s="166"/>
      <c r="B15" s="166" t="s">
        <v>13</v>
      </c>
      <c r="C15" s="166" t="s">
        <v>28</v>
      </c>
      <c r="D15" s="166" t="s">
        <v>130</v>
      </c>
      <c r="E15" s="166">
        <v>0.55000000000000004</v>
      </c>
      <c r="F15" s="167">
        <v>0.55000000000000004</v>
      </c>
      <c r="G15" s="166">
        <v>0.55000000000000004</v>
      </c>
      <c r="H15" s="243">
        <v>0.55000000000000004</v>
      </c>
      <c r="I15" s="168">
        <v>0</v>
      </c>
      <c r="J15" s="168">
        <v>0</v>
      </c>
      <c r="K15" s="168">
        <v>0</v>
      </c>
      <c r="L15" s="168">
        <v>0</v>
      </c>
      <c r="M15" s="168">
        <v>0</v>
      </c>
      <c r="N15" s="166"/>
      <c r="O15" s="168">
        <v>0</v>
      </c>
      <c r="P15" s="168">
        <v>0</v>
      </c>
      <c r="Q15" s="166">
        <v>14</v>
      </c>
      <c r="R15" s="166">
        <v>0</v>
      </c>
      <c r="S15" s="168">
        <v>0</v>
      </c>
      <c r="T15" s="168">
        <v>0</v>
      </c>
      <c r="U15" s="167">
        <v>0.55000000000000004</v>
      </c>
      <c r="V15" s="240">
        <v>0.55000000000000004</v>
      </c>
      <c r="W15" s="242">
        <v>0.43099999999999999</v>
      </c>
      <c r="X15" s="242">
        <v>0.43099999999999999</v>
      </c>
      <c r="Y15" s="168">
        <v>0</v>
      </c>
      <c r="Z15" s="170">
        <v>0</v>
      </c>
      <c r="AA15" s="166"/>
    </row>
    <row r="16" spans="1:27" ht="14.65" thickBot="1" x14ac:dyDescent="0.5">
      <c r="A16" s="172"/>
      <c r="B16" s="173"/>
      <c r="C16" s="173"/>
      <c r="D16" s="173" t="s">
        <v>9</v>
      </c>
      <c r="E16" s="173">
        <f t="shared" ref="E16:Z16" si="3">SUM(E12:E15)</f>
        <v>4.9969999999999999</v>
      </c>
      <c r="F16" s="173">
        <f t="shared" si="3"/>
        <v>0.55000000000000004</v>
      </c>
      <c r="G16" s="173">
        <f t="shared" si="3"/>
        <v>5.6849999999999996</v>
      </c>
      <c r="H16" s="173">
        <f t="shared" si="3"/>
        <v>2.79</v>
      </c>
      <c r="I16" s="173">
        <f t="shared" si="3"/>
        <v>0</v>
      </c>
      <c r="J16" s="173">
        <f t="shared" si="3"/>
        <v>0</v>
      </c>
      <c r="K16" s="173">
        <f t="shared" si="3"/>
        <v>0</v>
      </c>
      <c r="L16" s="173">
        <f t="shared" si="3"/>
        <v>0</v>
      </c>
      <c r="M16" s="173">
        <f t="shared" si="3"/>
        <v>0</v>
      </c>
      <c r="N16" s="173">
        <f t="shared" si="3"/>
        <v>0</v>
      </c>
      <c r="O16" s="173">
        <f t="shared" si="3"/>
        <v>0</v>
      </c>
      <c r="P16" s="173">
        <f t="shared" si="3"/>
        <v>0</v>
      </c>
      <c r="Q16" s="173">
        <f t="shared" si="3"/>
        <v>232</v>
      </c>
      <c r="R16" s="173">
        <f t="shared" si="3"/>
        <v>0</v>
      </c>
      <c r="S16" s="173">
        <f t="shared" si="3"/>
        <v>0</v>
      </c>
      <c r="T16" s="173">
        <f t="shared" si="3"/>
        <v>0</v>
      </c>
      <c r="U16" s="177">
        <f t="shared" si="3"/>
        <v>4.8</v>
      </c>
      <c r="V16" s="173">
        <f t="shared" si="3"/>
        <v>0.55000000000000004</v>
      </c>
      <c r="W16" s="241">
        <f t="shared" si="3"/>
        <v>1.9610000000000001</v>
      </c>
      <c r="X16" s="241">
        <f t="shared" si="3"/>
        <v>1.0609999999999999</v>
      </c>
      <c r="Y16" s="173">
        <f t="shared" si="3"/>
        <v>0</v>
      </c>
      <c r="Z16" s="178">
        <f t="shared" si="3"/>
        <v>0</v>
      </c>
      <c r="AA16" s="179"/>
    </row>
    <row r="17" spans="1:26" x14ac:dyDescent="0.45">
      <c r="A17" t="s">
        <v>81</v>
      </c>
      <c r="B17" t="s">
        <v>22</v>
      </c>
      <c r="C17" t="s">
        <v>27</v>
      </c>
      <c r="D17" t="s">
        <v>131</v>
      </c>
      <c r="E17">
        <v>1.282</v>
      </c>
      <c r="F17" s="290">
        <v>0.51100000000000001</v>
      </c>
      <c r="G17">
        <v>1.282</v>
      </c>
      <c r="H17">
        <v>1.05</v>
      </c>
      <c r="I17" s="40">
        <v>0</v>
      </c>
      <c r="J17" s="84">
        <v>0</v>
      </c>
      <c r="K17" s="40">
        <v>0</v>
      </c>
      <c r="L17" s="98">
        <v>0</v>
      </c>
      <c r="M17" s="40">
        <v>0</v>
      </c>
      <c r="N17" s="84">
        <v>0</v>
      </c>
      <c r="O17" s="40">
        <v>0</v>
      </c>
      <c r="Q17">
        <v>81</v>
      </c>
      <c r="R17" s="77">
        <v>0</v>
      </c>
      <c r="S17" s="40">
        <v>0</v>
      </c>
      <c r="T17" s="84">
        <v>0</v>
      </c>
      <c r="U17" s="94">
        <v>1.282</v>
      </c>
      <c r="V17" s="91">
        <v>1</v>
      </c>
      <c r="W17" s="94">
        <v>0</v>
      </c>
      <c r="X17" s="84">
        <v>0</v>
      </c>
      <c r="Y17" s="95">
        <v>0</v>
      </c>
      <c r="Z17" s="91">
        <f t="shared" ref="Z17" si="4">SUM(Z4:Z16)</f>
        <v>0</v>
      </c>
    </row>
    <row r="18" spans="1:26" x14ac:dyDescent="0.45">
      <c r="D18" t="s">
        <v>132</v>
      </c>
      <c r="E18">
        <v>1.8120000000000001</v>
      </c>
      <c r="F18" s="88">
        <v>0</v>
      </c>
      <c r="G18">
        <v>1.8120000000000001</v>
      </c>
      <c r="H18">
        <v>1.7</v>
      </c>
      <c r="I18" s="40">
        <v>0</v>
      </c>
      <c r="J18" s="84">
        <v>0</v>
      </c>
      <c r="K18" s="40">
        <v>0</v>
      </c>
      <c r="L18" s="84">
        <v>0</v>
      </c>
      <c r="M18" s="40">
        <v>0</v>
      </c>
      <c r="N18" s="84">
        <v>0</v>
      </c>
      <c r="O18" s="40">
        <v>0</v>
      </c>
      <c r="P18" s="84">
        <v>0</v>
      </c>
      <c r="Q18">
        <v>93</v>
      </c>
      <c r="R18" s="77">
        <v>0</v>
      </c>
      <c r="S18" s="40">
        <v>0</v>
      </c>
      <c r="T18" s="84">
        <v>0</v>
      </c>
      <c r="U18" s="39">
        <v>1.8120000000000001</v>
      </c>
      <c r="V18" s="84">
        <v>0</v>
      </c>
      <c r="W18" s="40">
        <v>0</v>
      </c>
      <c r="X18" s="84">
        <v>0</v>
      </c>
      <c r="Y18" s="40" t="s">
        <v>185</v>
      </c>
      <c r="Z18" s="84">
        <v>0</v>
      </c>
    </row>
    <row r="19" spans="1:26" x14ac:dyDescent="0.45">
      <c r="B19" t="s">
        <v>126</v>
      </c>
      <c r="C19" t="s">
        <v>27</v>
      </c>
      <c r="D19" t="s">
        <v>131</v>
      </c>
      <c r="E19">
        <v>0</v>
      </c>
      <c r="F19" s="88">
        <v>0</v>
      </c>
      <c r="G19">
        <v>0</v>
      </c>
      <c r="H19" s="77">
        <v>0</v>
      </c>
      <c r="I19" s="40">
        <v>0</v>
      </c>
      <c r="J19" s="84">
        <v>0</v>
      </c>
      <c r="K19" s="40">
        <v>0</v>
      </c>
      <c r="L19" s="84">
        <v>0</v>
      </c>
      <c r="M19" s="40">
        <v>0</v>
      </c>
      <c r="N19" s="84">
        <v>0</v>
      </c>
      <c r="O19">
        <v>2</v>
      </c>
      <c r="P19" s="77">
        <v>2</v>
      </c>
      <c r="Q19">
        <v>0</v>
      </c>
      <c r="R19" s="77">
        <f>SUM(R17:R18)</f>
        <v>0</v>
      </c>
      <c r="S19">
        <v>0</v>
      </c>
      <c r="T19" s="77">
        <v>0</v>
      </c>
      <c r="U19" s="40">
        <v>0</v>
      </c>
      <c r="V19" s="84">
        <v>0</v>
      </c>
      <c r="W19" s="40">
        <v>0</v>
      </c>
      <c r="X19" s="84">
        <v>0</v>
      </c>
      <c r="Y19" s="40">
        <v>0</v>
      </c>
      <c r="Z19" s="84">
        <v>0</v>
      </c>
    </row>
    <row r="20" spans="1:26" ht="14.65" thickBot="1" x14ac:dyDescent="0.5">
      <c r="D20" t="s">
        <v>132</v>
      </c>
      <c r="E20">
        <v>0</v>
      </c>
      <c r="F20" s="77">
        <v>0</v>
      </c>
      <c r="G20">
        <v>0</v>
      </c>
      <c r="H20" s="77">
        <v>0</v>
      </c>
      <c r="I20" s="40">
        <v>0</v>
      </c>
      <c r="J20" s="84">
        <v>0</v>
      </c>
      <c r="K20" s="40">
        <v>0</v>
      </c>
      <c r="L20" s="84">
        <v>0</v>
      </c>
      <c r="M20" s="40">
        <v>0</v>
      </c>
      <c r="N20" s="84">
        <v>0</v>
      </c>
      <c r="O20">
        <v>3</v>
      </c>
      <c r="P20" s="77">
        <v>3</v>
      </c>
      <c r="Q20">
        <v>0</v>
      </c>
      <c r="R20" s="77">
        <v>0</v>
      </c>
      <c r="S20">
        <v>34</v>
      </c>
      <c r="T20" s="77">
        <v>34</v>
      </c>
      <c r="U20" s="40">
        <v>0</v>
      </c>
      <c r="V20" s="84">
        <v>0</v>
      </c>
      <c r="W20" s="40">
        <v>0</v>
      </c>
      <c r="X20" s="84">
        <v>0</v>
      </c>
      <c r="Y20" s="40">
        <v>0</v>
      </c>
      <c r="Z20" s="84">
        <v>0</v>
      </c>
    </row>
    <row r="21" spans="1:26" ht="14.65" thickBot="1" x14ac:dyDescent="0.5">
      <c r="A21" s="120"/>
      <c r="B21" s="7"/>
      <c r="C21" s="7"/>
      <c r="D21" s="7" t="s">
        <v>9</v>
      </c>
      <c r="E21" s="7">
        <f t="shared" ref="E21:Z21" si="5">SUM(E17:E20)</f>
        <v>3.0940000000000003</v>
      </c>
      <c r="F21" s="122">
        <f t="shared" si="5"/>
        <v>0.51100000000000001</v>
      </c>
      <c r="G21" s="7">
        <f t="shared" si="5"/>
        <v>3.0940000000000003</v>
      </c>
      <c r="H21" s="122">
        <f t="shared" si="5"/>
        <v>2.75</v>
      </c>
      <c r="I21" s="7">
        <f t="shared" si="5"/>
        <v>0</v>
      </c>
      <c r="J21" s="122">
        <f t="shared" si="5"/>
        <v>0</v>
      </c>
      <c r="K21" s="7">
        <f t="shared" si="5"/>
        <v>0</v>
      </c>
      <c r="L21" s="122">
        <f t="shared" si="5"/>
        <v>0</v>
      </c>
      <c r="M21" s="7">
        <f t="shared" si="5"/>
        <v>0</v>
      </c>
      <c r="N21" s="122">
        <f t="shared" si="5"/>
        <v>0</v>
      </c>
      <c r="O21" s="7">
        <f t="shared" si="5"/>
        <v>5</v>
      </c>
      <c r="P21" s="122">
        <f t="shared" si="5"/>
        <v>5</v>
      </c>
      <c r="Q21" s="7">
        <f t="shared" si="5"/>
        <v>174</v>
      </c>
      <c r="R21" s="122">
        <f t="shared" si="5"/>
        <v>0</v>
      </c>
      <c r="S21" s="7">
        <f t="shared" si="5"/>
        <v>34</v>
      </c>
      <c r="T21" s="122">
        <f t="shared" si="5"/>
        <v>34</v>
      </c>
      <c r="U21" s="7">
        <f t="shared" si="5"/>
        <v>3.0940000000000003</v>
      </c>
      <c r="V21" s="122">
        <f t="shared" si="5"/>
        <v>1</v>
      </c>
      <c r="W21" s="7">
        <f t="shared" si="5"/>
        <v>0</v>
      </c>
      <c r="X21" s="122">
        <f t="shared" si="5"/>
        <v>0</v>
      </c>
      <c r="Y21" s="7">
        <f t="shared" si="5"/>
        <v>0</v>
      </c>
      <c r="Z21" s="123">
        <f t="shared" si="5"/>
        <v>0</v>
      </c>
    </row>
    <row r="22" spans="1:26" x14ac:dyDescent="0.45">
      <c r="A22" t="s">
        <v>78</v>
      </c>
      <c r="B22" t="s">
        <v>22</v>
      </c>
      <c r="C22" t="s">
        <v>28</v>
      </c>
      <c r="D22" t="s">
        <v>133</v>
      </c>
      <c r="E22">
        <v>0.65</v>
      </c>
      <c r="F22" s="77">
        <v>0.65</v>
      </c>
      <c r="G22">
        <v>0.65</v>
      </c>
      <c r="H22" s="77">
        <v>0.65</v>
      </c>
      <c r="I22">
        <v>0</v>
      </c>
      <c r="J22" s="77">
        <v>0</v>
      </c>
      <c r="K22">
        <v>0</v>
      </c>
      <c r="L22" s="77">
        <v>0</v>
      </c>
      <c r="M22">
        <v>0</v>
      </c>
      <c r="N22" s="77">
        <v>0</v>
      </c>
      <c r="O22">
        <v>0</v>
      </c>
      <c r="P22" s="77">
        <v>0</v>
      </c>
      <c r="Q22">
        <v>65</v>
      </c>
      <c r="R22" s="77">
        <v>0</v>
      </c>
      <c r="S22">
        <v>0</v>
      </c>
      <c r="T22" s="77">
        <v>0</v>
      </c>
      <c r="U22" s="39">
        <v>0.42899999999999999</v>
      </c>
      <c r="V22" s="88">
        <v>0.42899999999999999</v>
      </c>
      <c r="W22" s="40">
        <v>0</v>
      </c>
      <c r="X22" s="84">
        <v>0</v>
      </c>
      <c r="Y22" s="40">
        <v>0</v>
      </c>
      <c r="Z22" s="84">
        <v>0</v>
      </c>
    </row>
    <row r="23" spans="1:26" x14ac:dyDescent="0.45">
      <c r="D23" t="s">
        <v>134</v>
      </c>
      <c r="E23">
        <v>1.83</v>
      </c>
      <c r="F23" s="77">
        <v>1.83</v>
      </c>
      <c r="G23">
        <v>1.83</v>
      </c>
      <c r="H23" s="77">
        <v>1.8</v>
      </c>
      <c r="I23">
        <v>0</v>
      </c>
      <c r="J23" s="77">
        <v>0</v>
      </c>
      <c r="K23">
        <v>0</v>
      </c>
      <c r="L23" s="77">
        <v>0</v>
      </c>
      <c r="M23">
        <v>0</v>
      </c>
      <c r="N23" s="77">
        <v>0</v>
      </c>
      <c r="O23">
        <v>0</v>
      </c>
      <c r="Q23">
        <v>98</v>
      </c>
      <c r="R23" s="77">
        <v>1</v>
      </c>
      <c r="S23">
        <v>0</v>
      </c>
      <c r="T23" s="77">
        <v>0</v>
      </c>
      <c r="U23" s="39">
        <v>1.83</v>
      </c>
      <c r="V23" s="84">
        <v>0</v>
      </c>
      <c r="W23" s="40">
        <v>0</v>
      </c>
      <c r="X23" s="84">
        <v>0</v>
      </c>
      <c r="Y23" s="40">
        <v>0</v>
      </c>
      <c r="Z23" s="84">
        <v>0</v>
      </c>
    </row>
    <row r="24" spans="1:26" x14ac:dyDescent="0.45">
      <c r="D24" t="s">
        <v>135</v>
      </c>
      <c r="E24">
        <v>1.77</v>
      </c>
      <c r="F24" s="77">
        <v>1.74</v>
      </c>
      <c r="G24">
        <v>1.77</v>
      </c>
      <c r="H24" s="77">
        <v>1.77</v>
      </c>
      <c r="I24">
        <v>0</v>
      </c>
      <c r="J24" s="77">
        <v>0</v>
      </c>
      <c r="K24">
        <v>0</v>
      </c>
      <c r="L24" s="77">
        <v>0</v>
      </c>
      <c r="N24" s="77">
        <v>0</v>
      </c>
      <c r="O24">
        <v>0</v>
      </c>
      <c r="P24" s="77">
        <v>0</v>
      </c>
      <c r="Q24">
        <v>95</v>
      </c>
      <c r="R24" s="77">
        <v>0</v>
      </c>
      <c r="S24">
        <v>0</v>
      </c>
      <c r="T24" s="77">
        <v>0</v>
      </c>
      <c r="U24" s="39">
        <v>1.77</v>
      </c>
      <c r="V24" s="84">
        <v>0</v>
      </c>
      <c r="W24" s="40">
        <v>0</v>
      </c>
      <c r="X24" s="84">
        <v>0</v>
      </c>
      <c r="Y24" s="40">
        <v>0</v>
      </c>
      <c r="Z24" s="84">
        <v>0</v>
      </c>
    </row>
    <row r="25" spans="1:26" x14ac:dyDescent="0.45">
      <c r="D25" t="s">
        <v>136</v>
      </c>
      <c r="E25">
        <v>1.1599999999999999</v>
      </c>
      <c r="F25" s="77">
        <v>1.1599999999999999</v>
      </c>
      <c r="G25">
        <v>1.1599999999999999</v>
      </c>
      <c r="H25" s="77">
        <v>1.1599999999999999</v>
      </c>
      <c r="I25">
        <v>0</v>
      </c>
      <c r="J25" s="77">
        <v>0</v>
      </c>
      <c r="K25">
        <v>0</v>
      </c>
      <c r="L25" s="77">
        <v>0</v>
      </c>
      <c r="M25">
        <v>0</v>
      </c>
      <c r="N25" s="77">
        <v>0</v>
      </c>
      <c r="O25">
        <v>0</v>
      </c>
      <c r="P25" s="77">
        <v>0</v>
      </c>
      <c r="Q25">
        <v>90</v>
      </c>
      <c r="R25" s="77">
        <v>0</v>
      </c>
      <c r="S25">
        <v>0</v>
      </c>
      <c r="T25" s="77">
        <v>0</v>
      </c>
      <c r="U25" s="39">
        <v>1.1499999999999999</v>
      </c>
      <c r="V25" s="84">
        <v>0</v>
      </c>
      <c r="W25" s="40">
        <v>0</v>
      </c>
      <c r="X25" s="84">
        <v>0</v>
      </c>
      <c r="Y25" s="40">
        <v>0</v>
      </c>
      <c r="Z25" s="84">
        <v>0</v>
      </c>
    </row>
    <row r="26" spans="1:26" x14ac:dyDescent="0.45">
      <c r="D26" t="s">
        <v>137</v>
      </c>
      <c r="E26">
        <v>1.6</v>
      </c>
      <c r="F26" s="77">
        <v>0</v>
      </c>
      <c r="G26">
        <v>1.6</v>
      </c>
      <c r="H26" s="77">
        <v>0</v>
      </c>
      <c r="I26">
        <v>0</v>
      </c>
      <c r="J26" s="77">
        <v>0</v>
      </c>
      <c r="K26">
        <v>0</v>
      </c>
      <c r="L26" s="77">
        <v>0</v>
      </c>
      <c r="M26">
        <v>0</v>
      </c>
      <c r="N26" s="77">
        <v>0</v>
      </c>
      <c r="O26">
        <v>0</v>
      </c>
      <c r="P26" s="77">
        <v>0</v>
      </c>
      <c r="Q26">
        <v>47</v>
      </c>
      <c r="R26" s="77">
        <v>0</v>
      </c>
      <c r="S26">
        <v>0</v>
      </c>
      <c r="T26" s="77">
        <v>0</v>
      </c>
      <c r="U26" s="39">
        <v>1.6</v>
      </c>
      <c r="V26" s="84">
        <v>0</v>
      </c>
      <c r="W26" s="40">
        <v>0</v>
      </c>
      <c r="X26" s="84">
        <v>0</v>
      </c>
      <c r="Y26" s="40">
        <v>0</v>
      </c>
      <c r="Z26" s="84">
        <v>0</v>
      </c>
    </row>
    <row r="27" spans="1:26" x14ac:dyDescent="0.45">
      <c r="B27" t="s">
        <v>126</v>
      </c>
      <c r="C27" t="s">
        <v>27</v>
      </c>
      <c r="D27" t="s">
        <v>133</v>
      </c>
      <c r="E27">
        <v>0</v>
      </c>
      <c r="F27" s="77">
        <v>0</v>
      </c>
      <c r="G27">
        <v>0</v>
      </c>
      <c r="H27" s="77">
        <v>0</v>
      </c>
      <c r="I27">
        <v>0</v>
      </c>
      <c r="J27" s="77">
        <v>0</v>
      </c>
      <c r="K27">
        <v>0</v>
      </c>
      <c r="L27" s="77">
        <v>0</v>
      </c>
      <c r="M27">
        <v>0</v>
      </c>
      <c r="N27" s="77">
        <v>0</v>
      </c>
      <c r="O27">
        <v>0</v>
      </c>
      <c r="P27" s="77">
        <v>0</v>
      </c>
      <c r="Q27">
        <v>40</v>
      </c>
      <c r="R27" s="77">
        <v>40</v>
      </c>
      <c r="S27">
        <v>0</v>
      </c>
      <c r="T27" s="77">
        <v>0</v>
      </c>
      <c r="U27" s="40">
        <v>0</v>
      </c>
      <c r="V27" s="84">
        <v>0</v>
      </c>
      <c r="W27" s="40">
        <v>0</v>
      </c>
      <c r="X27" s="84">
        <v>0</v>
      </c>
      <c r="Y27" s="40">
        <v>0</v>
      </c>
      <c r="Z27" s="84">
        <v>0</v>
      </c>
    </row>
    <row r="28" spans="1:26" x14ac:dyDescent="0.45">
      <c r="D28" t="s">
        <v>134</v>
      </c>
      <c r="E28">
        <v>0</v>
      </c>
      <c r="F28" s="77">
        <v>0</v>
      </c>
      <c r="G28">
        <v>0</v>
      </c>
      <c r="H28" s="77">
        <v>0</v>
      </c>
      <c r="I28">
        <v>0</v>
      </c>
      <c r="J28" s="77">
        <v>0</v>
      </c>
      <c r="K28">
        <v>0</v>
      </c>
      <c r="L28" s="77">
        <v>0</v>
      </c>
      <c r="M28">
        <v>0</v>
      </c>
      <c r="N28" s="77">
        <v>0</v>
      </c>
      <c r="O28">
        <v>0</v>
      </c>
      <c r="P28" s="77">
        <v>0</v>
      </c>
      <c r="Q28">
        <v>35</v>
      </c>
      <c r="R28" s="77">
        <v>35</v>
      </c>
      <c r="S28">
        <v>0</v>
      </c>
      <c r="T28" s="77">
        <v>0</v>
      </c>
      <c r="U28" s="40">
        <v>0</v>
      </c>
      <c r="W28" s="40">
        <v>0</v>
      </c>
      <c r="X28" s="84">
        <v>0</v>
      </c>
      <c r="Y28" s="40">
        <v>0</v>
      </c>
      <c r="Z28" s="84">
        <v>0</v>
      </c>
    </row>
    <row r="29" spans="1:26" x14ac:dyDescent="0.45">
      <c r="D29" t="s">
        <v>135</v>
      </c>
      <c r="E29">
        <v>0</v>
      </c>
      <c r="F29" s="77">
        <v>0</v>
      </c>
      <c r="G29">
        <v>0</v>
      </c>
      <c r="H29" s="77">
        <v>0</v>
      </c>
      <c r="I29">
        <v>0</v>
      </c>
      <c r="J29" s="77">
        <v>0</v>
      </c>
      <c r="K29">
        <v>0</v>
      </c>
      <c r="L29" s="77">
        <v>0</v>
      </c>
      <c r="M29">
        <v>0</v>
      </c>
      <c r="N29" s="77">
        <v>0</v>
      </c>
      <c r="O29">
        <v>0</v>
      </c>
      <c r="P29" s="77">
        <v>0</v>
      </c>
      <c r="Q29">
        <v>65</v>
      </c>
      <c r="R29" s="77">
        <v>65</v>
      </c>
      <c r="S29">
        <v>0</v>
      </c>
      <c r="T29" s="77">
        <v>0</v>
      </c>
      <c r="U29" s="40">
        <v>0</v>
      </c>
      <c r="Y29" s="40">
        <v>0</v>
      </c>
    </row>
    <row r="30" spans="1:26" x14ac:dyDescent="0.45">
      <c r="D30" t="s">
        <v>136</v>
      </c>
      <c r="E30">
        <v>0</v>
      </c>
      <c r="F30" s="77">
        <v>0</v>
      </c>
      <c r="G30">
        <v>0</v>
      </c>
      <c r="H30" s="77">
        <v>0</v>
      </c>
      <c r="I30">
        <v>0</v>
      </c>
      <c r="J30" s="77">
        <v>0</v>
      </c>
      <c r="K30">
        <v>0</v>
      </c>
      <c r="L30" s="77">
        <v>0</v>
      </c>
      <c r="M30">
        <v>0</v>
      </c>
      <c r="N30" s="77">
        <v>0</v>
      </c>
      <c r="O30">
        <v>0</v>
      </c>
      <c r="P30" s="77">
        <v>0</v>
      </c>
      <c r="Q30">
        <v>30</v>
      </c>
      <c r="R30" s="77">
        <v>30</v>
      </c>
      <c r="S30">
        <v>0</v>
      </c>
      <c r="T30" s="77">
        <v>0</v>
      </c>
      <c r="U30" s="40">
        <v>0</v>
      </c>
      <c r="V30" s="84">
        <v>0</v>
      </c>
      <c r="W30" s="40">
        <v>0</v>
      </c>
      <c r="X30" s="84">
        <v>0</v>
      </c>
      <c r="Y30" s="40">
        <v>0</v>
      </c>
      <c r="Z30" s="84">
        <v>0</v>
      </c>
    </row>
    <row r="31" spans="1:26" ht="14.65" thickBot="1" x14ac:dyDescent="0.5">
      <c r="D31" t="s">
        <v>137</v>
      </c>
      <c r="E31">
        <v>0</v>
      </c>
      <c r="F31" s="77">
        <v>0</v>
      </c>
      <c r="G31">
        <v>0</v>
      </c>
      <c r="H31" s="77">
        <v>0</v>
      </c>
      <c r="I31">
        <v>0</v>
      </c>
      <c r="J31" s="77">
        <v>0</v>
      </c>
      <c r="K31">
        <v>0</v>
      </c>
      <c r="L31" s="77">
        <v>0</v>
      </c>
      <c r="M31">
        <v>0</v>
      </c>
      <c r="N31" s="77">
        <v>0</v>
      </c>
      <c r="O31">
        <v>0</v>
      </c>
      <c r="P31" s="77">
        <v>0</v>
      </c>
      <c r="Q31">
        <v>25</v>
      </c>
      <c r="R31" s="77">
        <v>25</v>
      </c>
      <c r="S31">
        <v>0</v>
      </c>
      <c r="T31" s="77" t="s">
        <v>186</v>
      </c>
      <c r="U31" s="40">
        <v>0</v>
      </c>
    </row>
    <row r="32" spans="1:26" ht="14.65" thickBot="1" x14ac:dyDescent="0.5">
      <c r="A32" s="120"/>
      <c r="B32" s="7"/>
      <c r="C32" s="7"/>
      <c r="D32" s="7" t="s">
        <v>9</v>
      </c>
      <c r="E32" s="7">
        <f>SUM(E22:E31)</f>
        <v>7.01</v>
      </c>
      <c r="F32" s="122">
        <f t="shared" ref="F32:Z32" si="6">SUM(F22:F31)</f>
        <v>5.38</v>
      </c>
      <c r="G32" s="7">
        <f t="shared" si="6"/>
        <v>7.01</v>
      </c>
      <c r="H32" s="122">
        <f t="shared" si="6"/>
        <v>5.3800000000000008</v>
      </c>
      <c r="I32" s="7">
        <f t="shared" si="6"/>
        <v>0</v>
      </c>
      <c r="J32" s="122">
        <f t="shared" si="6"/>
        <v>0</v>
      </c>
      <c r="K32" s="7">
        <f t="shared" si="6"/>
        <v>0</v>
      </c>
      <c r="L32" s="122">
        <f t="shared" si="6"/>
        <v>0</v>
      </c>
      <c r="M32" s="7">
        <f t="shared" si="6"/>
        <v>0</v>
      </c>
      <c r="N32" s="122">
        <f t="shared" si="6"/>
        <v>0</v>
      </c>
      <c r="O32" s="7">
        <f t="shared" si="6"/>
        <v>0</v>
      </c>
      <c r="P32" s="122">
        <f t="shared" si="6"/>
        <v>0</v>
      </c>
      <c r="Q32" s="7">
        <f t="shared" si="6"/>
        <v>590</v>
      </c>
      <c r="R32" s="122">
        <f t="shared" si="6"/>
        <v>196</v>
      </c>
      <c r="S32" s="7">
        <f t="shared" si="6"/>
        <v>0</v>
      </c>
      <c r="T32" s="122">
        <f t="shared" si="6"/>
        <v>0</v>
      </c>
      <c r="U32" s="7">
        <f t="shared" si="6"/>
        <v>6.7789999999999999</v>
      </c>
      <c r="V32" s="122">
        <f t="shared" si="6"/>
        <v>0.42899999999999999</v>
      </c>
      <c r="W32" s="7">
        <f t="shared" si="6"/>
        <v>0</v>
      </c>
      <c r="X32" s="122">
        <f t="shared" si="6"/>
        <v>0</v>
      </c>
      <c r="Y32" s="7">
        <f t="shared" si="6"/>
        <v>0</v>
      </c>
      <c r="Z32" s="123">
        <f t="shared" si="6"/>
        <v>0</v>
      </c>
    </row>
    <row r="33" spans="1:26" x14ac:dyDescent="0.45">
      <c r="A33" t="s">
        <v>79</v>
      </c>
      <c r="B33" t="s">
        <v>22</v>
      </c>
      <c r="C33" t="s">
        <v>28</v>
      </c>
      <c r="D33" t="s">
        <v>80</v>
      </c>
      <c r="E33">
        <v>1.17</v>
      </c>
      <c r="F33" s="244">
        <v>1.01</v>
      </c>
      <c r="G33">
        <v>1.4830000000000001</v>
      </c>
      <c r="H33" s="244">
        <v>1.01</v>
      </c>
      <c r="I33">
        <v>0</v>
      </c>
      <c r="J33" s="77">
        <v>0</v>
      </c>
      <c r="K33">
        <v>0</v>
      </c>
      <c r="L33" s="77">
        <v>0</v>
      </c>
      <c r="M33">
        <v>0</v>
      </c>
      <c r="N33" s="77">
        <v>0</v>
      </c>
      <c r="O33">
        <v>0</v>
      </c>
      <c r="P33" s="77">
        <v>0</v>
      </c>
      <c r="Q33">
        <v>63</v>
      </c>
      <c r="R33" s="81">
        <v>0</v>
      </c>
      <c r="S33">
        <v>0</v>
      </c>
      <c r="T33" s="77">
        <v>0</v>
      </c>
      <c r="U33">
        <v>1.17</v>
      </c>
      <c r="V33" s="81">
        <v>1.01</v>
      </c>
    </row>
    <row r="34" spans="1:26" x14ac:dyDescent="0.45">
      <c r="D34" t="s">
        <v>62</v>
      </c>
      <c r="E34">
        <v>1.2689999999999999</v>
      </c>
      <c r="F34" s="244">
        <v>1.2090000000000001</v>
      </c>
      <c r="G34">
        <v>1.415</v>
      </c>
      <c r="H34" s="244">
        <v>1.2090000000000001</v>
      </c>
      <c r="I34">
        <v>0</v>
      </c>
      <c r="J34" s="77">
        <v>0</v>
      </c>
      <c r="K34">
        <v>0</v>
      </c>
      <c r="L34" s="77">
        <v>0</v>
      </c>
      <c r="M34">
        <v>0</v>
      </c>
      <c r="N34" s="77">
        <v>0</v>
      </c>
      <c r="O34">
        <v>0</v>
      </c>
      <c r="P34" s="77">
        <v>0</v>
      </c>
      <c r="Q34">
        <v>63</v>
      </c>
      <c r="R34" s="81">
        <v>0</v>
      </c>
      <c r="S34">
        <v>0</v>
      </c>
      <c r="T34" s="77">
        <v>0</v>
      </c>
      <c r="U34">
        <v>1.2</v>
      </c>
      <c r="V34" s="81">
        <v>1.2090000000000001</v>
      </c>
    </row>
    <row r="35" spans="1:26" x14ac:dyDescent="0.45">
      <c r="B35" t="s">
        <v>126</v>
      </c>
      <c r="C35" t="s">
        <v>27</v>
      </c>
      <c r="D35" t="s">
        <v>80</v>
      </c>
      <c r="E35">
        <v>0</v>
      </c>
      <c r="F35" s="77">
        <v>0</v>
      </c>
      <c r="G35">
        <v>0</v>
      </c>
      <c r="H35" s="77">
        <v>0</v>
      </c>
      <c r="I35">
        <v>0</v>
      </c>
      <c r="J35" s="77">
        <v>0</v>
      </c>
      <c r="K35">
        <v>0</v>
      </c>
      <c r="L35" s="77">
        <v>0</v>
      </c>
      <c r="M35">
        <v>0</v>
      </c>
      <c r="O35">
        <v>3</v>
      </c>
      <c r="P35" s="77">
        <v>3</v>
      </c>
      <c r="Q35">
        <v>0</v>
      </c>
      <c r="R35" s="77">
        <v>0</v>
      </c>
      <c r="S35">
        <v>0</v>
      </c>
      <c r="T35" s="77">
        <v>0</v>
      </c>
      <c r="U35">
        <v>0</v>
      </c>
      <c r="V35" s="77">
        <v>0</v>
      </c>
    </row>
    <row r="36" spans="1:26" ht="14.65" thickBot="1" x14ac:dyDescent="0.5">
      <c r="D36" t="s">
        <v>62</v>
      </c>
      <c r="E36">
        <v>0</v>
      </c>
      <c r="F36" s="77">
        <v>0</v>
      </c>
      <c r="G36">
        <v>0</v>
      </c>
      <c r="H36" s="77">
        <v>0</v>
      </c>
      <c r="I36">
        <v>0</v>
      </c>
      <c r="J36" s="77">
        <v>0</v>
      </c>
      <c r="K36">
        <v>0</v>
      </c>
      <c r="L36" s="77">
        <v>0</v>
      </c>
      <c r="M36">
        <v>0</v>
      </c>
      <c r="N36" s="77">
        <v>0</v>
      </c>
      <c r="O36">
        <v>3</v>
      </c>
      <c r="P36" s="77">
        <v>3</v>
      </c>
      <c r="Q36">
        <v>0</v>
      </c>
      <c r="R36" s="77">
        <v>0</v>
      </c>
      <c r="S36">
        <v>0</v>
      </c>
      <c r="T36" s="77">
        <v>0</v>
      </c>
      <c r="U36">
        <v>0</v>
      </c>
      <c r="V36" s="77">
        <v>0</v>
      </c>
    </row>
    <row r="37" spans="1:26" ht="14.65" thickBot="1" x14ac:dyDescent="0.5">
      <c r="A37" s="120"/>
      <c r="B37" s="7"/>
      <c r="C37" s="7"/>
      <c r="D37" s="7" t="s">
        <v>9</v>
      </c>
      <c r="E37" s="7">
        <f>SUM(E33:E36)</f>
        <v>2.4390000000000001</v>
      </c>
      <c r="F37" s="122">
        <f t="shared" ref="F37:Z37" si="7">SUM(F33:F36)</f>
        <v>2.2190000000000003</v>
      </c>
      <c r="G37" s="7">
        <f t="shared" si="7"/>
        <v>2.8980000000000001</v>
      </c>
      <c r="H37" s="122">
        <f t="shared" si="7"/>
        <v>2.2190000000000003</v>
      </c>
      <c r="I37" s="7">
        <f t="shared" si="7"/>
        <v>0</v>
      </c>
      <c r="J37" s="122">
        <f t="shared" si="7"/>
        <v>0</v>
      </c>
      <c r="K37" s="7">
        <f t="shared" si="7"/>
        <v>0</v>
      </c>
      <c r="L37" s="122">
        <f t="shared" si="7"/>
        <v>0</v>
      </c>
      <c r="M37" s="7">
        <f t="shared" si="7"/>
        <v>0</v>
      </c>
      <c r="N37" s="122">
        <f t="shared" si="7"/>
        <v>0</v>
      </c>
      <c r="O37" s="7">
        <f t="shared" si="7"/>
        <v>6</v>
      </c>
      <c r="P37" s="122">
        <f t="shared" si="7"/>
        <v>6</v>
      </c>
      <c r="Q37" s="7">
        <f t="shared" si="7"/>
        <v>126</v>
      </c>
      <c r="R37" s="122">
        <f t="shared" si="7"/>
        <v>0</v>
      </c>
      <c r="S37" s="7">
        <f t="shared" si="7"/>
        <v>0</v>
      </c>
      <c r="T37" s="122">
        <f t="shared" si="7"/>
        <v>0</v>
      </c>
      <c r="U37" s="7">
        <f t="shared" si="7"/>
        <v>2.37</v>
      </c>
      <c r="V37" s="122">
        <f t="shared" si="7"/>
        <v>2.2190000000000003</v>
      </c>
      <c r="W37" s="7">
        <f t="shared" si="7"/>
        <v>0</v>
      </c>
      <c r="X37" s="122">
        <f t="shared" si="7"/>
        <v>0</v>
      </c>
      <c r="Y37" s="7">
        <f t="shared" si="7"/>
        <v>0</v>
      </c>
      <c r="Z37" s="123">
        <f t="shared" si="7"/>
        <v>0</v>
      </c>
    </row>
    <row r="38" spans="1:26" x14ac:dyDescent="0.45">
      <c r="A38" t="s">
        <v>75</v>
      </c>
      <c r="B38" t="s">
        <v>22</v>
      </c>
      <c r="C38" t="s">
        <v>28</v>
      </c>
      <c r="D38" t="s">
        <v>76</v>
      </c>
      <c r="E38">
        <v>1.8169999999999999</v>
      </c>
      <c r="F38" s="77">
        <v>0</v>
      </c>
      <c r="G38">
        <v>0.80500000000000005</v>
      </c>
      <c r="H38" s="77">
        <v>0</v>
      </c>
      <c r="I38">
        <v>0</v>
      </c>
      <c r="J38" s="77">
        <v>0</v>
      </c>
      <c r="K38">
        <v>0</v>
      </c>
      <c r="L38" s="77">
        <v>0</v>
      </c>
      <c r="M38">
        <v>0</v>
      </c>
      <c r="N38" s="77">
        <v>0</v>
      </c>
      <c r="P38" s="77">
        <v>0</v>
      </c>
      <c r="Q38">
        <v>110</v>
      </c>
      <c r="R38" s="77">
        <v>0</v>
      </c>
      <c r="S38">
        <v>0</v>
      </c>
      <c r="T38" s="77">
        <v>0</v>
      </c>
      <c r="U38">
        <v>1.81</v>
      </c>
      <c r="V38" s="77">
        <v>0</v>
      </c>
    </row>
    <row r="39" spans="1:26" x14ac:dyDescent="0.45">
      <c r="D39" t="s">
        <v>138</v>
      </c>
      <c r="E39">
        <v>1.177</v>
      </c>
      <c r="F39" s="77">
        <v>0</v>
      </c>
      <c r="G39">
        <v>0.34499999999999997</v>
      </c>
      <c r="H39" s="77">
        <v>0</v>
      </c>
      <c r="I39">
        <v>0</v>
      </c>
      <c r="J39" s="77">
        <v>0</v>
      </c>
      <c r="K39">
        <v>0</v>
      </c>
      <c r="L39" s="77">
        <v>0</v>
      </c>
      <c r="M39">
        <v>0</v>
      </c>
      <c r="N39" s="77">
        <v>0</v>
      </c>
      <c r="O39">
        <v>0</v>
      </c>
      <c r="P39" s="77">
        <v>0</v>
      </c>
      <c r="Q39">
        <v>66</v>
      </c>
      <c r="R39" s="77">
        <v>0</v>
      </c>
      <c r="S39">
        <v>0</v>
      </c>
      <c r="T39" s="77">
        <v>0</v>
      </c>
      <c r="U39">
        <v>1.1499999999999999</v>
      </c>
    </row>
    <row r="40" spans="1:26" ht="28.5" x14ac:dyDescent="0.45">
      <c r="D40" s="41" t="s">
        <v>139</v>
      </c>
      <c r="E40">
        <v>0.248</v>
      </c>
      <c r="F40" s="77">
        <v>0</v>
      </c>
      <c r="G40">
        <v>0.106</v>
      </c>
      <c r="H40" s="77">
        <v>0</v>
      </c>
      <c r="I40">
        <v>0</v>
      </c>
      <c r="J40" s="77">
        <v>0</v>
      </c>
      <c r="K40">
        <v>0</v>
      </c>
      <c r="L40" s="77">
        <v>0</v>
      </c>
      <c r="M40">
        <v>0</v>
      </c>
      <c r="N40" s="77">
        <v>0</v>
      </c>
      <c r="O40">
        <v>0</v>
      </c>
      <c r="P40" s="77">
        <v>0</v>
      </c>
      <c r="Q40">
        <v>24</v>
      </c>
      <c r="R40" s="77">
        <v>0</v>
      </c>
      <c r="S40">
        <v>0</v>
      </c>
      <c r="T40" s="77">
        <v>0</v>
      </c>
      <c r="U40">
        <v>0.22</v>
      </c>
      <c r="V40" s="77">
        <v>0</v>
      </c>
    </row>
    <row r="41" spans="1:26" ht="28.5" x14ac:dyDescent="0.45">
      <c r="D41" s="41" t="s">
        <v>77</v>
      </c>
      <c r="E41">
        <v>0.91800000000000004</v>
      </c>
      <c r="F41" s="77">
        <v>0</v>
      </c>
      <c r="G41">
        <v>0</v>
      </c>
      <c r="H41" s="77">
        <v>0</v>
      </c>
      <c r="I41">
        <v>0</v>
      </c>
      <c r="J41" s="77">
        <v>0</v>
      </c>
      <c r="K41">
        <v>0</v>
      </c>
      <c r="L41" s="77">
        <v>0</v>
      </c>
      <c r="M41">
        <v>0</v>
      </c>
      <c r="N41" s="77">
        <v>0</v>
      </c>
      <c r="O41">
        <v>0</v>
      </c>
      <c r="P41" s="77">
        <v>0</v>
      </c>
      <c r="Q41">
        <v>55</v>
      </c>
      <c r="R41" s="77">
        <v>0</v>
      </c>
      <c r="S41">
        <v>0</v>
      </c>
      <c r="T41" s="77">
        <v>0</v>
      </c>
      <c r="U41">
        <v>0.92</v>
      </c>
      <c r="V41" s="77">
        <v>0</v>
      </c>
      <c r="W41">
        <v>1.0049999999999999</v>
      </c>
      <c r="X41" s="77">
        <v>0</v>
      </c>
      <c r="Y41">
        <v>1</v>
      </c>
      <c r="Z41" s="77">
        <v>0</v>
      </c>
    </row>
    <row r="42" spans="1:26" x14ac:dyDescent="0.45">
      <c r="D42" t="s">
        <v>62</v>
      </c>
      <c r="E42">
        <v>0.82099999999999995</v>
      </c>
      <c r="F42" s="77">
        <v>0</v>
      </c>
      <c r="G42">
        <v>0</v>
      </c>
      <c r="H42" s="77">
        <v>0</v>
      </c>
      <c r="I42">
        <v>0</v>
      </c>
      <c r="J42" s="77">
        <v>0</v>
      </c>
      <c r="K42">
        <v>0</v>
      </c>
      <c r="L42" s="77">
        <v>0</v>
      </c>
      <c r="M42">
        <v>0</v>
      </c>
      <c r="N42" s="77">
        <v>0</v>
      </c>
      <c r="P42" s="77">
        <v>0</v>
      </c>
      <c r="Q42">
        <v>46</v>
      </c>
      <c r="R42" s="77">
        <v>0</v>
      </c>
      <c r="S42">
        <v>0</v>
      </c>
      <c r="T42" s="77">
        <v>0</v>
      </c>
    </row>
    <row r="43" spans="1:26" x14ac:dyDescent="0.45">
      <c r="B43" t="s">
        <v>126</v>
      </c>
      <c r="C43" t="s">
        <v>27</v>
      </c>
      <c r="D43" t="s">
        <v>76</v>
      </c>
      <c r="E43">
        <v>0</v>
      </c>
      <c r="G43">
        <v>0</v>
      </c>
      <c r="H43" s="77">
        <v>0</v>
      </c>
      <c r="I43">
        <v>0</v>
      </c>
      <c r="J43" s="77">
        <v>0</v>
      </c>
      <c r="K43">
        <v>0</v>
      </c>
      <c r="L43" s="77">
        <v>0</v>
      </c>
      <c r="M43">
        <v>0</v>
      </c>
      <c r="N43" s="77">
        <v>0</v>
      </c>
      <c r="O43">
        <v>1</v>
      </c>
      <c r="P43" s="77">
        <v>1</v>
      </c>
      <c r="Q43">
        <v>0</v>
      </c>
      <c r="R43" s="77">
        <v>0</v>
      </c>
      <c r="S43">
        <v>0</v>
      </c>
      <c r="T43" s="77">
        <v>0</v>
      </c>
      <c r="U43">
        <v>0.82</v>
      </c>
      <c r="V43" s="77">
        <v>0</v>
      </c>
    </row>
    <row r="44" spans="1:26" x14ac:dyDescent="0.45">
      <c r="D44" t="s">
        <v>138</v>
      </c>
      <c r="E44">
        <v>0</v>
      </c>
      <c r="F44" s="77">
        <v>0</v>
      </c>
      <c r="G44">
        <v>0</v>
      </c>
      <c r="H44" s="77">
        <v>0</v>
      </c>
      <c r="I44">
        <v>0</v>
      </c>
      <c r="J44" s="77">
        <v>0</v>
      </c>
      <c r="K44">
        <v>0</v>
      </c>
      <c r="L44" s="77">
        <v>0</v>
      </c>
      <c r="M44">
        <v>0</v>
      </c>
      <c r="N44" s="77">
        <v>0</v>
      </c>
      <c r="O44">
        <v>1</v>
      </c>
      <c r="P44" s="77">
        <v>1</v>
      </c>
      <c r="Q44">
        <v>0</v>
      </c>
      <c r="R44" s="77">
        <v>0</v>
      </c>
      <c r="S44">
        <v>0</v>
      </c>
      <c r="T44" s="77">
        <v>0</v>
      </c>
    </row>
    <row r="45" spans="1:26" ht="28.5" x14ac:dyDescent="0.45">
      <c r="D45" s="41" t="s">
        <v>139</v>
      </c>
      <c r="E45">
        <v>0</v>
      </c>
      <c r="F45" s="77">
        <v>0</v>
      </c>
      <c r="G45">
        <v>0</v>
      </c>
      <c r="H45" s="77">
        <v>0</v>
      </c>
      <c r="I45">
        <v>0</v>
      </c>
      <c r="J45" s="77">
        <v>0</v>
      </c>
      <c r="K45">
        <v>0</v>
      </c>
      <c r="L45" s="77">
        <v>0</v>
      </c>
      <c r="M45">
        <v>0</v>
      </c>
      <c r="N45" s="77">
        <v>0</v>
      </c>
      <c r="O45">
        <v>1</v>
      </c>
      <c r="P45" s="77">
        <v>1</v>
      </c>
      <c r="Q45">
        <v>0</v>
      </c>
      <c r="R45" s="77">
        <v>0</v>
      </c>
      <c r="S45">
        <v>0</v>
      </c>
      <c r="T45" s="77">
        <v>0</v>
      </c>
      <c r="U45" s="1">
        <v>0</v>
      </c>
      <c r="V45" s="81">
        <v>0</v>
      </c>
      <c r="W45" s="1"/>
      <c r="X45" s="81"/>
      <c r="Y45" s="1"/>
      <c r="Z45" s="81"/>
    </row>
    <row r="46" spans="1:26" ht="28.5" x14ac:dyDescent="0.45">
      <c r="D46" s="41" t="s">
        <v>77</v>
      </c>
      <c r="E46">
        <v>0</v>
      </c>
      <c r="F46" s="77">
        <v>0</v>
      </c>
      <c r="G46">
        <v>0</v>
      </c>
      <c r="H46" s="77">
        <v>0</v>
      </c>
      <c r="I46">
        <v>0</v>
      </c>
      <c r="J46" s="77">
        <v>0</v>
      </c>
      <c r="K46">
        <v>0</v>
      </c>
      <c r="L46" s="77">
        <v>0</v>
      </c>
      <c r="M46">
        <v>0</v>
      </c>
      <c r="N46" s="77">
        <v>0</v>
      </c>
      <c r="O46">
        <v>1</v>
      </c>
      <c r="P46" s="77">
        <v>1</v>
      </c>
      <c r="Q46">
        <v>0</v>
      </c>
      <c r="R46" s="77">
        <v>0</v>
      </c>
      <c r="S46">
        <v>0</v>
      </c>
      <c r="T46" s="77">
        <v>0</v>
      </c>
      <c r="U46">
        <v>0</v>
      </c>
      <c r="V46" s="77">
        <v>0</v>
      </c>
    </row>
    <row r="47" spans="1:26" x14ac:dyDescent="0.45">
      <c r="D47" t="s">
        <v>62</v>
      </c>
      <c r="E47">
        <v>0</v>
      </c>
      <c r="F47" s="77">
        <v>0</v>
      </c>
      <c r="G47">
        <v>0</v>
      </c>
      <c r="H47" s="77">
        <v>0</v>
      </c>
      <c r="I47">
        <v>0</v>
      </c>
      <c r="J47" s="77">
        <v>0</v>
      </c>
      <c r="K47">
        <v>0</v>
      </c>
      <c r="L47" s="77">
        <v>0</v>
      </c>
      <c r="M47">
        <v>0</v>
      </c>
      <c r="O47">
        <v>1</v>
      </c>
      <c r="P47" s="77">
        <v>1</v>
      </c>
      <c r="Q47">
        <v>0</v>
      </c>
      <c r="R47" s="77">
        <v>0</v>
      </c>
      <c r="S47">
        <v>0</v>
      </c>
      <c r="T47" s="77">
        <v>0</v>
      </c>
      <c r="U47">
        <v>0</v>
      </c>
      <c r="V47" s="77">
        <v>0</v>
      </c>
    </row>
    <row r="48" spans="1:26" ht="14.65" thickBot="1" x14ac:dyDescent="0.5">
      <c r="D48" t="s">
        <v>140</v>
      </c>
      <c r="E48">
        <v>0</v>
      </c>
      <c r="F48" s="77">
        <v>0</v>
      </c>
      <c r="G48">
        <v>0</v>
      </c>
      <c r="H48" s="77">
        <v>0</v>
      </c>
      <c r="I48">
        <v>0</v>
      </c>
      <c r="J48" s="77">
        <v>0</v>
      </c>
      <c r="K48">
        <v>0</v>
      </c>
      <c r="L48" s="77">
        <v>0</v>
      </c>
      <c r="M48">
        <v>0</v>
      </c>
      <c r="N48" s="77">
        <v>0</v>
      </c>
      <c r="O48">
        <v>1</v>
      </c>
      <c r="P48" s="77">
        <v>1</v>
      </c>
      <c r="Q48">
        <v>0</v>
      </c>
      <c r="R48" s="77">
        <v>0</v>
      </c>
      <c r="S48">
        <v>0</v>
      </c>
      <c r="T48" s="77">
        <v>0</v>
      </c>
      <c r="U48">
        <v>0</v>
      </c>
    </row>
    <row r="49" spans="1:26" ht="14.65" thickBot="1" x14ac:dyDescent="0.5">
      <c r="A49" s="120"/>
      <c r="B49" s="7"/>
      <c r="C49" s="7"/>
      <c r="D49" s="7" t="s">
        <v>9</v>
      </c>
      <c r="E49" s="7">
        <f>SUM(E38:E48)</f>
        <v>4.9809999999999999</v>
      </c>
      <c r="F49" s="122">
        <f t="shared" ref="F49:Z49" si="8">SUM(F38:F48)</f>
        <v>0</v>
      </c>
      <c r="G49" s="7">
        <f t="shared" si="8"/>
        <v>1.256</v>
      </c>
      <c r="H49" s="122">
        <f t="shared" si="8"/>
        <v>0</v>
      </c>
      <c r="I49" s="7">
        <f t="shared" si="8"/>
        <v>0</v>
      </c>
      <c r="J49" s="122">
        <f t="shared" si="8"/>
        <v>0</v>
      </c>
      <c r="K49" s="7">
        <f t="shared" si="8"/>
        <v>0</v>
      </c>
      <c r="L49" s="122">
        <f t="shared" si="8"/>
        <v>0</v>
      </c>
      <c r="M49" s="7">
        <f t="shared" si="8"/>
        <v>0</v>
      </c>
      <c r="N49" s="122">
        <f t="shared" si="8"/>
        <v>0</v>
      </c>
      <c r="O49" s="7">
        <f t="shared" si="8"/>
        <v>6</v>
      </c>
      <c r="P49" s="241">
        <f t="shared" si="8"/>
        <v>6</v>
      </c>
      <c r="Q49" s="7">
        <f t="shared" si="8"/>
        <v>301</v>
      </c>
      <c r="R49" s="122">
        <f t="shared" si="8"/>
        <v>0</v>
      </c>
      <c r="S49" s="7">
        <f t="shared" si="8"/>
        <v>0</v>
      </c>
      <c r="T49" s="122">
        <f t="shared" si="8"/>
        <v>0</v>
      </c>
      <c r="U49" s="7">
        <f t="shared" si="8"/>
        <v>4.9200000000000008</v>
      </c>
      <c r="V49" s="122">
        <f t="shared" si="8"/>
        <v>0</v>
      </c>
      <c r="W49" s="7">
        <f t="shared" si="8"/>
        <v>1.0049999999999999</v>
      </c>
      <c r="X49" s="122">
        <f t="shared" si="8"/>
        <v>0</v>
      </c>
      <c r="Y49" s="7">
        <f t="shared" si="8"/>
        <v>1</v>
      </c>
      <c r="Z49" s="123">
        <f t="shared" si="8"/>
        <v>0</v>
      </c>
    </row>
    <row r="50" spans="1:26" ht="14.65" thickBot="1" x14ac:dyDescent="0.5">
      <c r="A50" s="7" t="s">
        <v>164</v>
      </c>
      <c r="B50" s="7"/>
      <c r="C50" s="7"/>
      <c r="D50" s="7"/>
      <c r="E50" s="54">
        <f>E11+E16+E21+E32+E37+E49</f>
        <v>25.808</v>
      </c>
      <c r="F50" s="92">
        <f t="shared" ref="F50:Z50" si="9">F11+F16+F21+F32+F37+F49</f>
        <v>11.946999999999999</v>
      </c>
      <c r="G50" s="54">
        <f t="shared" si="9"/>
        <v>23.23</v>
      </c>
      <c r="H50" s="92">
        <f t="shared" si="9"/>
        <v>16.426000000000002</v>
      </c>
      <c r="I50" s="54">
        <f t="shared" si="9"/>
        <v>7.8</v>
      </c>
      <c r="J50" s="92">
        <f t="shared" si="9"/>
        <v>7.8</v>
      </c>
      <c r="K50" s="54">
        <f t="shared" si="9"/>
        <v>0</v>
      </c>
      <c r="L50" s="92">
        <f t="shared" si="9"/>
        <v>0</v>
      </c>
      <c r="M50" s="54">
        <f t="shared" si="9"/>
        <v>0</v>
      </c>
      <c r="N50" s="92">
        <f t="shared" si="9"/>
        <v>0</v>
      </c>
      <c r="O50" s="7">
        <f t="shared" si="9"/>
        <v>38</v>
      </c>
      <c r="P50" s="122">
        <f t="shared" si="9"/>
        <v>26</v>
      </c>
      <c r="Q50" s="7">
        <f t="shared" si="9"/>
        <v>1463</v>
      </c>
      <c r="R50" s="122">
        <f t="shared" si="9"/>
        <v>236</v>
      </c>
      <c r="S50" s="7">
        <f t="shared" si="9"/>
        <v>74</v>
      </c>
      <c r="T50" s="122">
        <f t="shared" si="9"/>
        <v>74</v>
      </c>
      <c r="U50" s="54">
        <f t="shared" si="9"/>
        <v>25.250000000000004</v>
      </c>
      <c r="V50" s="92">
        <f t="shared" si="9"/>
        <v>7.4850000000000003</v>
      </c>
      <c r="W50" s="54">
        <f t="shared" si="9"/>
        <v>3.246</v>
      </c>
      <c r="X50" s="92">
        <f t="shared" si="9"/>
        <v>1.341</v>
      </c>
      <c r="Y50" s="7">
        <f>Y11+Y16+Y21+Y32+Y37+Y49</f>
        <v>115</v>
      </c>
      <c r="Z50" s="92">
        <f t="shared" si="9"/>
        <v>0</v>
      </c>
    </row>
    <row r="51" spans="1:26" x14ac:dyDescent="0.45">
      <c r="U51" s="55"/>
      <c r="V51" s="93">
        <f t="shared" ref="V51" si="10">SUM(V17,V30,V42,V45,V50)</f>
        <v>8.4849999999999994</v>
      </c>
      <c r="W51" s="55"/>
      <c r="X51" s="93"/>
      <c r="Y51" s="25"/>
      <c r="Z51" s="93"/>
    </row>
  </sheetData>
  <mergeCells count="11">
    <mergeCell ref="O2:P2"/>
    <mergeCell ref="E2:F2"/>
    <mergeCell ref="G2:H2"/>
    <mergeCell ref="I2:J2"/>
    <mergeCell ref="K2:L2"/>
    <mergeCell ref="M2:N2"/>
    <mergeCell ref="U2:V2"/>
    <mergeCell ref="W2:X2"/>
    <mergeCell ref="Y2:Z2"/>
    <mergeCell ref="Q2:R2"/>
    <mergeCell ref="S2:T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1"/>
  <sheetViews>
    <sheetView workbookViewId="0">
      <pane xSplit="4" ySplit="3" topLeftCell="E4" activePane="bottomRight" state="frozen"/>
      <selection pane="topRight" activeCell="E1" sqref="E1"/>
      <selection pane="bottomLeft" activeCell="A3" sqref="A3"/>
      <selection pane="bottomRight" activeCell="H46" sqref="H46"/>
    </sheetView>
  </sheetViews>
  <sheetFormatPr defaultRowHeight="14.25" x14ac:dyDescent="0.45"/>
  <cols>
    <col min="1" max="1" width="11.59765625" customWidth="1"/>
    <col min="2" max="2" width="13.3984375" customWidth="1"/>
    <col min="3" max="3" width="15.59765625" customWidth="1"/>
    <col min="4" max="4" width="13.1328125" customWidth="1"/>
    <col min="6" max="6" width="11.1328125" customWidth="1"/>
    <col min="7" max="7" width="10.73046875" customWidth="1"/>
    <col min="8" max="8" width="14" customWidth="1"/>
    <col min="9" max="9" width="10.73046875" customWidth="1"/>
    <col min="10" max="10" width="12.265625" customWidth="1"/>
    <col min="11" max="11" width="9.59765625" bestFit="1" customWidth="1"/>
    <col min="12" max="16" width="9" bestFit="1" customWidth="1"/>
    <col min="17" max="18" width="9.59765625" bestFit="1" customWidth="1"/>
    <col min="19" max="20" width="9" bestFit="1" customWidth="1"/>
    <col min="21" max="21" width="9.1328125" style="56"/>
    <col min="22" max="22" width="9.1328125" style="233"/>
    <col min="23" max="23" width="9.1328125" style="56"/>
    <col min="24" max="24" width="9.1328125" style="77"/>
    <col min="25" max="25" width="9.1328125" style="56"/>
    <col min="26" max="26" width="9.1328125" style="77"/>
  </cols>
  <sheetData>
    <row r="1" spans="1:26" s="1" customFormat="1" ht="14.65" thickBot="1" x14ac:dyDescent="0.5">
      <c r="A1" s="1" t="s">
        <v>87</v>
      </c>
      <c r="U1" s="117"/>
      <c r="V1" s="232"/>
      <c r="W1" s="117"/>
      <c r="X1" s="81"/>
      <c r="Y1" s="117"/>
      <c r="Z1" s="81"/>
    </row>
    <row r="2" spans="1:26" s="1" customFormat="1" x14ac:dyDescent="0.45">
      <c r="A2" s="2" t="s">
        <v>0</v>
      </c>
      <c r="B2" s="2" t="s">
        <v>11</v>
      </c>
      <c r="C2" s="2" t="s">
        <v>26</v>
      </c>
      <c r="D2" s="2" t="s">
        <v>1</v>
      </c>
      <c r="E2" s="299" t="s">
        <v>6</v>
      </c>
      <c r="F2" s="300"/>
      <c r="G2" s="299" t="s">
        <v>16</v>
      </c>
      <c r="H2" s="300"/>
      <c r="I2" s="299" t="s">
        <v>166</v>
      </c>
      <c r="J2" s="300"/>
      <c r="K2" s="299" t="s">
        <v>17</v>
      </c>
      <c r="L2" s="300"/>
      <c r="M2" s="299" t="s">
        <v>29</v>
      </c>
      <c r="N2" s="300"/>
      <c r="O2" s="299" t="s">
        <v>18</v>
      </c>
      <c r="P2" s="300"/>
      <c r="Q2" s="299" t="s">
        <v>19</v>
      </c>
      <c r="R2" s="300"/>
      <c r="S2" s="299" t="s">
        <v>20</v>
      </c>
      <c r="T2" s="300"/>
      <c r="U2" s="303" t="s">
        <v>162</v>
      </c>
      <c r="V2" s="304"/>
      <c r="W2" s="303" t="s">
        <v>161</v>
      </c>
      <c r="X2" s="304"/>
      <c r="Y2" s="303" t="s">
        <v>60</v>
      </c>
      <c r="Z2" s="304"/>
    </row>
    <row r="3" spans="1:26" s="1" customFormat="1" ht="14.65" thickBot="1" x14ac:dyDescent="0.5">
      <c r="A3" s="3"/>
      <c r="B3" s="3"/>
      <c r="C3" s="3"/>
      <c r="D3" s="3"/>
      <c r="E3" s="3" t="s">
        <v>7</v>
      </c>
      <c r="F3" s="18" t="s">
        <v>8</v>
      </c>
      <c r="G3" s="3" t="s">
        <v>7</v>
      </c>
      <c r="H3" s="18" t="s">
        <v>8</v>
      </c>
      <c r="I3" s="3" t="s">
        <v>7</v>
      </c>
      <c r="J3" s="18" t="s">
        <v>8</v>
      </c>
      <c r="K3" s="3" t="s">
        <v>7</v>
      </c>
      <c r="L3" s="18" t="s">
        <v>8</v>
      </c>
      <c r="M3" s="3" t="s">
        <v>7</v>
      </c>
      <c r="N3" s="18" t="s">
        <v>8</v>
      </c>
      <c r="O3" s="3" t="s">
        <v>7</v>
      </c>
      <c r="P3" s="18" t="s">
        <v>8</v>
      </c>
      <c r="Q3" s="3" t="s">
        <v>7</v>
      </c>
      <c r="R3" s="18" t="s">
        <v>8</v>
      </c>
      <c r="S3" s="3" t="s">
        <v>7</v>
      </c>
      <c r="T3" s="18" t="s">
        <v>8</v>
      </c>
      <c r="U3" s="65" t="s">
        <v>7</v>
      </c>
      <c r="V3" s="27" t="s">
        <v>8</v>
      </c>
      <c r="W3" s="65" t="s">
        <v>7</v>
      </c>
      <c r="X3" s="78" t="s">
        <v>8</v>
      </c>
      <c r="Y3" s="65" t="s">
        <v>7</v>
      </c>
      <c r="Z3" s="78" t="s">
        <v>8</v>
      </c>
    </row>
    <row r="4" spans="1:26" ht="14.65" thickTop="1" x14ac:dyDescent="0.45">
      <c r="A4" s="180" t="s">
        <v>10</v>
      </c>
      <c r="B4" s="180" t="s">
        <v>12</v>
      </c>
      <c r="C4" s="180" t="s">
        <v>27</v>
      </c>
      <c r="D4" s="180" t="s">
        <v>2</v>
      </c>
      <c r="E4" s="181">
        <v>0.90400000000000003</v>
      </c>
      <c r="F4" s="277">
        <v>0.92800000000000005</v>
      </c>
      <c r="G4" s="181">
        <v>0.90400000000000003</v>
      </c>
      <c r="H4" s="277">
        <v>1.141</v>
      </c>
      <c r="I4" s="182">
        <v>0</v>
      </c>
      <c r="J4" s="182">
        <v>0</v>
      </c>
      <c r="K4" s="182">
        <v>600</v>
      </c>
      <c r="L4" s="246">
        <v>270</v>
      </c>
      <c r="M4" s="182">
        <v>0</v>
      </c>
      <c r="N4" s="182">
        <v>0</v>
      </c>
      <c r="O4" s="182">
        <v>0</v>
      </c>
      <c r="P4" s="182">
        <v>0</v>
      </c>
      <c r="Q4" s="182">
        <v>0</v>
      </c>
      <c r="R4" s="182">
        <v>10</v>
      </c>
      <c r="S4" s="182">
        <v>0</v>
      </c>
      <c r="T4" s="182">
        <v>0</v>
      </c>
      <c r="U4" s="168">
        <v>0</v>
      </c>
      <c r="V4" s="32">
        <v>0</v>
      </c>
      <c r="W4" s="168">
        <v>0</v>
      </c>
      <c r="X4" s="170">
        <v>0</v>
      </c>
      <c r="Y4" s="168">
        <v>0</v>
      </c>
      <c r="Z4" s="170">
        <v>0</v>
      </c>
    </row>
    <row r="5" spans="1:26" x14ac:dyDescent="0.45">
      <c r="A5" s="166"/>
      <c r="B5" s="166"/>
      <c r="C5" s="166"/>
      <c r="D5" s="166" t="s">
        <v>3</v>
      </c>
      <c r="E5" s="167">
        <v>1.343</v>
      </c>
      <c r="F5" s="276">
        <v>1.4039999999999999</v>
      </c>
      <c r="G5" s="167">
        <v>1.343</v>
      </c>
      <c r="H5" s="276">
        <v>1.5429999999999999</v>
      </c>
      <c r="I5" s="168">
        <v>0</v>
      </c>
      <c r="J5" s="168">
        <v>0</v>
      </c>
      <c r="K5" s="168">
        <v>400</v>
      </c>
      <c r="L5" s="245">
        <v>193</v>
      </c>
      <c r="M5" s="168">
        <v>0</v>
      </c>
      <c r="N5" s="168">
        <v>0</v>
      </c>
      <c r="O5" s="168">
        <v>0</v>
      </c>
      <c r="P5" s="168">
        <v>0</v>
      </c>
      <c r="Q5" s="168">
        <v>0</v>
      </c>
      <c r="R5" s="168">
        <v>0</v>
      </c>
      <c r="S5" s="168">
        <v>0</v>
      </c>
      <c r="T5" s="168">
        <v>0</v>
      </c>
      <c r="U5" s="168">
        <v>0</v>
      </c>
      <c r="V5" s="32">
        <v>0</v>
      </c>
      <c r="W5" s="168">
        <v>0</v>
      </c>
      <c r="X5" s="170">
        <v>0</v>
      </c>
      <c r="Y5" s="168">
        <v>0</v>
      </c>
      <c r="Z5" s="170">
        <v>0</v>
      </c>
    </row>
    <row r="6" spans="1:26" x14ac:dyDescent="0.45">
      <c r="A6" s="166"/>
      <c r="B6" s="166"/>
      <c r="C6" s="166"/>
      <c r="D6" s="166" t="s">
        <v>4</v>
      </c>
      <c r="E6" s="167">
        <v>1.47</v>
      </c>
      <c r="F6" s="276">
        <v>2.1720000000000002</v>
      </c>
      <c r="G6" s="167">
        <v>1.47</v>
      </c>
      <c r="H6" s="276">
        <v>1.696</v>
      </c>
      <c r="I6" s="168">
        <v>0</v>
      </c>
      <c r="J6" s="168">
        <v>0</v>
      </c>
      <c r="K6" s="168">
        <v>500</v>
      </c>
      <c r="L6" s="245">
        <v>237</v>
      </c>
      <c r="M6" s="168">
        <v>0</v>
      </c>
      <c r="N6" s="168">
        <v>0</v>
      </c>
      <c r="O6" s="168">
        <v>0</v>
      </c>
      <c r="P6" s="168">
        <v>0</v>
      </c>
      <c r="Q6" s="168">
        <v>0</v>
      </c>
      <c r="R6" s="168">
        <v>0</v>
      </c>
      <c r="S6" s="168">
        <v>0</v>
      </c>
      <c r="T6" s="168">
        <v>0</v>
      </c>
      <c r="U6" s="168">
        <v>0</v>
      </c>
      <c r="V6" s="32">
        <v>0</v>
      </c>
      <c r="W6" s="168">
        <v>0</v>
      </c>
      <c r="X6" s="170">
        <v>0</v>
      </c>
      <c r="Y6" s="168">
        <v>0</v>
      </c>
      <c r="Z6" s="170">
        <v>0</v>
      </c>
    </row>
    <row r="7" spans="1:26" x14ac:dyDescent="0.45">
      <c r="A7" s="166"/>
      <c r="B7" s="166"/>
      <c r="C7" s="166"/>
      <c r="D7" s="166" t="s">
        <v>5</v>
      </c>
      <c r="E7" s="167">
        <v>1.306</v>
      </c>
      <c r="F7" s="276">
        <v>0.85699999999999998</v>
      </c>
      <c r="G7" s="167">
        <v>1.306</v>
      </c>
      <c r="H7" s="276">
        <v>0.81699999999999995</v>
      </c>
      <c r="I7" s="168">
        <v>0</v>
      </c>
      <c r="J7" s="168">
        <v>0</v>
      </c>
      <c r="K7" s="168">
        <v>0</v>
      </c>
      <c r="L7" s="168">
        <v>0</v>
      </c>
      <c r="M7" s="168">
        <v>0</v>
      </c>
      <c r="N7" s="168">
        <v>0</v>
      </c>
      <c r="O7" s="168">
        <v>0</v>
      </c>
      <c r="P7" s="168">
        <v>0</v>
      </c>
      <c r="Q7" s="168">
        <v>39</v>
      </c>
      <c r="R7" s="245">
        <v>29</v>
      </c>
      <c r="S7" s="168">
        <v>0</v>
      </c>
      <c r="T7" s="168">
        <v>0</v>
      </c>
      <c r="U7" s="168">
        <v>0</v>
      </c>
      <c r="V7" s="32">
        <v>0</v>
      </c>
      <c r="W7" s="168">
        <v>0</v>
      </c>
      <c r="X7" s="170">
        <v>0</v>
      </c>
      <c r="Y7" s="168">
        <v>0</v>
      </c>
      <c r="Z7" s="170">
        <v>0</v>
      </c>
    </row>
    <row r="8" spans="1:26" x14ac:dyDescent="0.45">
      <c r="A8" s="166"/>
      <c r="B8" s="166" t="s">
        <v>13</v>
      </c>
      <c r="C8" s="166" t="s">
        <v>28</v>
      </c>
      <c r="D8" s="166" t="s">
        <v>14</v>
      </c>
      <c r="E8" s="167">
        <v>0.80300000000000005</v>
      </c>
      <c r="F8" s="167"/>
      <c r="G8" s="167">
        <v>0.80300000000000005</v>
      </c>
      <c r="H8" s="276">
        <v>0.80300000000000005</v>
      </c>
      <c r="I8" s="168">
        <v>0</v>
      </c>
      <c r="J8" s="168">
        <v>0</v>
      </c>
      <c r="K8" s="168">
        <v>0</v>
      </c>
      <c r="L8" s="168">
        <v>0</v>
      </c>
      <c r="M8" s="168">
        <v>0</v>
      </c>
      <c r="N8" s="168">
        <v>0</v>
      </c>
      <c r="O8" s="168">
        <v>0</v>
      </c>
      <c r="P8" s="168">
        <v>0</v>
      </c>
      <c r="Q8" s="168">
        <v>29</v>
      </c>
      <c r="R8" s="168">
        <v>0</v>
      </c>
      <c r="S8" s="168">
        <v>0</v>
      </c>
      <c r="T8" s="168">
        <v>0</v>
      </c>
      <c r="U8" s="168">
        <v>0</v>
      </c>
      <c r="V8" s="32">
        <v>0</v>
      </c>
      <c r="W8" s="168">
        <v>0</v>
      </c>
      <c r="X8" s="170">
        <v>0</v>
      </c>
      <c r="Y8" s="168">
        <v>0</v>
      </c>
      <c r="Z8" s="170">
        <v>0</v>
      </c>
    </row>
    <row r="9" spans="1:26" x14ac:dyDescent="0.45">
      <c r="A9" s="166"/>
      <c r="B9" s="166"/>
      <c r="C9" s="166"/>
      <c r="D9" s="166" t="s">
        <v>15</v>
      </c>
      <c r="E9" s="167">
        <v>4.5910000000000002</v>
      </c>
      <c r="F9" s="167">
        <v>4.2290000000000001</v>
      </c>
      <c r="G9" s="167">
        <v>2.2250000000000001</v>
      </c>
      <c r="H9" s="276">
        <v>1.41</v>
      </c>
      <c r="I9" s="168">
        <v>0</v>
      </c>
      <c r="J9" s="168">
        <v>0</v>
      </c>
      <c r="K9" s="168">
        <v>0</v>
      </c>
      <c r="L9" s="168">
        <v>0</v>
      </c>
      <c r="M9" s="168">
        <v>0</v>
      </c>
      <c r="N9" s="168">
        <v>0</v>
      </c>
      <c r="O9" s="168">
        <v>0</v>
      </c>
      <c r="P9" s="168">
        <v>0</v>
      </c>
      <c r="Q9" s="168">
        <v>0</v>
      </c>
      <c r="R9" s="168">
        <v>0</v>
      </c>
      <c r="S9" s="168">
        <v>0</v>
      </c>
      <c r="T9" s="168">
        <v>0</v>
      </c>
      <c r="U9" s="168">
        <v>0</v>
      </c>
      <c r="V9" s="32">
        <v>0</v>
      </c>
      <c r="W9" s="168">
        <v>0</v>
      </c>
      <c r="X9" s="170">
        <v>0</v>
      </c>
      <c r="Y9" s="168">
        <v>0</v>
      </c>
      <c r="Z9" s="170">
        <v>0</v>
      </c>
    </row>
    <row r="10" spans="1:26" x14ac:dyDescent="0.45">
      <c r="A10" s="166"/>
      <c r="B10" s="166" t="s">
        <v>21</v>
      </c>
      <c r="C10" s="166" t="s">
        <v>27</v>
      </c>
      <c r="D10" s="166" t="s">
        <v>15</v>
      </c>
      <c r="E10" s="167">
        <v>0</v>
      </c>
      <c r="F10" s="167">
        <v>0</v>
      </c>
      <c r="G10" s="167">
        <v>0</v>
      </c>
      <c r="H10" s="167">
        <v>0</v>
      </c>
      <c r="I10" s="168">
        <v>0</v>
      </c>
      <c r="J10" s="168">
        <v>0</v>
      </c>
      <c r="K10" s="168">
        <v>0</v>
      </c>
      <c r="L10" s="168">
        <v>0</v>
      </c>
      <c r="M10" s="168">
        <v>250</v>
      </c>
      <c r="N10" s="278">
        <v>220</v>
      </c>
      <c r="O10" s="168">
        <v>0</v>
      </c>
      <c r="P10" s="168">
        <v>0</v>
      </c>
      <c r="Q10" s="168">
        <v>0</v>
      </c>
      <c r="R10" s="168">
        <v>0</v>
      </c>
      <c r="S10" s="168">
        <v>0</v>
      </c>
      <c r="T10" s="168">
        <v>0</v>
      </c>
      <c r="U10" s="168">
        <v>0</v>
      </c>
      <c r="V10" s="32">
        <v>0</v>
      </c>
      <c r="W10" s="168">
        <v>0</v>
      </c>
      <c r="X10" s="170">
        <v>0</v>
      </c>
      <c r="Y10" s="168">
        <v>0</v>
      </c>
      <c r="Z10" s="170">
        <v>0</v>
      </c>
    </row>
    <row r="11" spans="1:26" x14ac:dyDescent="0.45">
      <c r="B11" t="s">
        <v>22</v>
      </c>
      <c r="C11" t="s">
        <v>27</v>
      </c>
      <c r="D11" t="s">
        <v>24</v>
      </c>
      <c r="E11" s="225">
        <v>2.2040000000000002</v>
      </c>
      <c r="F11" s="19">
        <v>2.2040000000000002</v>
      </c>
      <c r="G11" s="9">
        <v>2.3719999999999999</v>
      </c>
      <c r="H11" s="19">
        <v>2.3719999999999999</v>
      </c>
      <c r="I11" s="14">
        <v>0</v>
      </c>
      <c r="J11" s="22">
        <v>0</v>
      </c>
      <c r="K11" s="14">
        <v>0</v>
      </c>
      <c r="L11" s="22">
        <v>0</v>
      </c>
      <c r="M11" s="14">
        <v>0</v>
      </c>
      <c r="N11" s="22">
        <v>0</v>
      </c>
      <c r="O11" s="227">
        <v>4</v>
      </c>
      <c r="P11" s="22">
        <v>4</v>
      </c>
      <c r="Q11" s="14">
        <v>0</v>
      </c>
      <c r="R11" s="22">
        <v>0</v>
      </c>
      <c r="S11" s="14">
        <v>0</v>
      </c>
      <c r="T11" s="22">
        <v>0</v>
      </c>
      <c r="U11" s="59">
        <v>0</v>
      </c>
      <c r="V11" s="32">
        <v>0</v>
      </c>
      <c r="W11" s="59">
        <v>0</v>
      </c>
      <c r="X11" s="79">
        <v>0</v>
      </c>
      <c r="Y11" s="59">
        <v>0</v>
      </c>
      <c r="Z11" s="79">
        <v>0</v>
      </c>
    </row>
    <row r="12" spans="1:26" x14ac:dyDescent="0.45">
      <c r="B12" t="s">
        <v>23</v>
      </c>
      <c r="C12" t="s">
        <v>27</v>
      </c>
      <c r="D12" t="s">
        <v>5</v>
      </c>
      <c r="E12" s="9">
        <v>0</v>
      </c>
      <c r="F12" s="19">
        <v>0</v>
      </c>
      <c r="G12" s="9">
        <v>0</v>
      </c>
      <c r="H12" s="19">
        <v>0</v>
      </c>
      <c r="I12" s="14">
        <v>0</v>
      </c>
      <c r="J12" s="22">
        <v>0</v>
      </c>
      <c r="K12" s="14">
        <v>0</v>
      </c>
      <c r="L12" s="22">
        <v>0</v>
      </c>
      <c r="M12" s="14">
        <v>0</v>
      </c>
      <c r="N12" s="22">
        <v>0</v>
      </c>
      <c r="O12" s="14">
        <v>0</v>
      </c>
      <c r="P12" s="22">
        <v>0</v>
      </c>
      <c r="Q12" s="14">
        <v>0</v>
      </c>
      <c r="R12" s="22">
        <v>0</v>
      </c>
      <c r="S12" s="14">
        <f>3*6</f>
        <v>18</v>
      </c>
      <c r="T12" s="22">
        <v>18</v>
      </c>
      <c r="U12" s="59">
        <v>0</v>
      </c>
      <c r="V12" s="32">
        <v>0</v>
      </c>
      <c r="W12" s="59">
        <v>0</v>
      </c>
      <c r="X12" s="79">
        <v>0</v>
      </c>
      <c r="Y12" s="59">
        <v>0</v>
      </c>
      <c r="Z12" s="79">
        <v>0</v>
      </c>
    </row>
    <row r="13" spans="1:26" x14ac:dyDescent="0.45">
      <c r="D13" t="s">
        <v>30</v>
      </c>
      <c r="E13" s="9">
        <v>0</v>
      </c>
      <c r="F13" s="19">
        <v>0</v>
      </c>
      <c r="G13" s="9">
        <v>0</v>
      </c>
      <c r="H13" s="19">
        <v>0</v>
      </c>
      <c r="I13" s="14">
        <v>0</v>
      </c>
      <c r="J13" s="22">
        <v>0</v>
      </c>
      <c r="K13" s="14">
        <v>0</v>
      </c>
      <c r="L13" s="22">
        <v>0</v>
      </c>
      <c r="M13" s="14">
        <v>0</v>
      </c>
      <c r="N13" s="22">
        <v>0</v>
      </c>
      <c r="O13" s="14">
        <v>0</v>
      </c>
      <c r="P13" s="22">
        <v>0</v>
      </c>
      <c r="Q13" s="14">
        <v>0</v>
      </c>
      <c r="R13" s="22">
        <v>0</v>
      </c>
      <c r="S13" s="14">
        <f>(1+1)*6</f>
        <v>12</v>
      </c>
      <c r="T13" s="22">
        <v>12</v>
      </c>
      <c r="U13" s="59">
        <v>0</v>
      </c>
      <c r="V13" s="32">
        <v>0</v>
      </c>
      <c r="W13" s="59">
        <v>0</v>
      </c>
      <c r="X13" s="79">
        <v>0</v>
      </c>
      <c r="Y13" s="59">
        <v>0</v>
      </c>
      <c r="Z13" s="79">
        <v>0</v>
      </c>
    </row>
    <row r="14" spans="1:26" x14ac:dyDescent="0.45">
      <c r="D14" t="s">
        <v>2</v>
      </c>
      <c r="E14" s="9">
        <v>0</v>
      </c>
      <c r="F14" s="19">
        <v>0</v>
      </c>
      <c r="G14" s="9">
        <v>0</v>
      </c>
      <c r="H14" s="19">
        <v>0</v>
      </c>
      <c r="I14" s="14">
        <v>0</v>
      </c>
      <c r="J14" s="22">
        <v>0</v>
      </c>
      <c r="K14" s="14">
        <v>0</v>
      </c>
      <c r="L14" s="22">
        <v>0</v>
      </c>
      <c r="M14" s="14">
        <v>0</v>
      </c>
      <c r="N14" s="22">
        <v>0</v>
      </c>
      <c r="O14" s="14">
        <v>0</v>
      </c>
      <c r="P14" s="22">
        <v>0</v>
      </c>
      <c r="Q14" s="14">
        <v>0</v>
      </c>
      <c r="R14" s="22">
        <v>0</v>
      </c>
      <c r="S14" s="14">
        <f>(2+2)*6</f>
        <v>24</v>
      </c>
      <c r="T14" s="22">
        <f>4*6</f>
        <v>24</v>
      </c>
      <c r="U14" s="59">
        <v>0</v>
      </c>
      <c r="V14" s="22">
        <v>0</v>
      </c>
      <c r="W14" s="59">
        <v>0</v>
      </c>
      <c r="X14" s="84">
        <v>0</v>
      </c>
      <c r="Y14" s="59">
        <v>0</v>
      </c>
      <c r="Z14" s="84">
        <v>0</v>
      </c>
    </row>
    <row r="15" spans="1:26" x14ac:dyDescent="0.45">
      <c r="D15" t="s">
        <v>3</v>
      </c>
      <c r="E15" s="9">
        <v>0</v>
      </c>
      <c r="F15" s="19">
        <v>0</v>
      </c>
      <c r="G15" s="9">
        <v>0</v>
      </c>
      <c r="H15" s="19">
        <v>0</v>
      </c>
      <c r="I15" s="14">
        <v>0</v>
      </c>
      <c r="J15" s="22">
        <v>0</v>
      </c>
      <c r="K15" s="14">
        <v>0</v>
      </c>
      <c r="L15" s="22">
        <v>0</v>
      </c>
      <c r="M15" s="14">
        <v>0</v>
      </c>
      <c r="N15" s="22">
        <v>0</v>
      </c>
      <c r="O15" s="14">
        <v>0</v>
      </c>
      <c r="P15" s="22">
        <v>0</v>
      </c>
      <c r="Q15" s="14">
        <v>0</v>
      </c>
      <c r="R15" s="22">
        <v>0</v>
      </c>
      <c r="S15" s="14">
        <f>(5-2)*6</f>
        <v>18</v>
      </c>
      <c r="T15" s="22">
        <f>3*6</f>
        <v>18</v>
      </c>
      <c r="U15" s="59">
        <v>0</v>
      </c>
      <c r="V15" s="32">
        <v>0</v>
      </c>
      <c r="W15" s="59">
        <v>0</v>
      </c>
      <c r="X15" s="79">
        <v>0</v>
      </c>
      <c r="Y15" s="59">
        <v>0</v>
      </c>
      <c r="Z15" s="79">
        <v>0</v>
      </c>
    </row>
    <row r="16" spans="1:26" ht="14.65" thickBot="1" x14ac:dyDescent="0.5">
      <c r="D16" t="s">
        <v>31</v>
      </c>
      <c r="E16" s="9">
        <v>0</v>
      </c>
      <c r="F16" s="19">
        <v>0</v>
      </c>
      <c r="G16" s="9">
        <v>0</v>
      </c>
      <c r="H16" s="19">
        <v>0</v>
      </c>
      <c r="I16" s="14">
        <v>0</v>
      </c>
      <c r="J16" s="22">
        <v>0</v>
      </c>
      <c r="K16" s="14">
        <v>0</v>
      </c>
      <c r="L16" s="22">
        <v>0</v>
      </c>
      <c r="M16" s="14">
        <v>0</v>
      </c>
      <c r="N16" s="22">
        <v>0</v>
      </c>
      <c r="O16" s="14">
        <v>0</v>
      </c>
      <c r="P16" s="22">
        <v>0</v>
      </c>
      <c r="Q16" s="14">
        <v>0</v>
      </c>
      <c r="R16" s="22">
        <v>0</v>
      </c>
      <c r="S16" s="14">
        <f>(2+2)*6</f>
        <v>24</v>
      </c>
      <c r="T16" s="22">
        <v>24</v>
      </c>
      <c r="U16" s="59">
        <v>0</v>
      </c>
      <c r="V16" s="32">
        <v>0</v>
      </c>
      <c r="W16" s="59">
        <v>0</v>
      </c>
      <c r="X16" s="79">
        <v>0</v>
      </c>
      <c r="Y16" s="59">
        <v>0</v>
      </c>
      <c r="Z16" s="79">
        <v>0</v>
      </c>
    </row>
    <row r="17" spans="1:26" ht="14.65" thickBot="1" x14ac:dyDescent="0.5">
      <c r="A17" s="124"/>
      <c r="B17" s="125"/>
      <c r="C17" s="125"/>
      <c r="D17" s="7" t="s">
        <v>9</v>
      </c>
      <c r="E17" s="12">
        <f t="shared" ref="E17:Z17" si="0">SUM(E4:E16)</f>
        <v>12.621</v>
      </c>
      <c r="F17" s="21">
        <f>SUM(F4:F16)</f>
        <v>11.794</v>
      </c>
      <c r="G17" s="12">
        <f t="shared" si="0"/>
        <v>10.423</v>
      </c>
      <c r="H17" s="21">
        <f t="shared" si="0"/>
        <v>9.782</v>
      </c>
      <c r="I17" s="17">
        <f t="shared" si="0"/>
        <v>0</v>
      </c>
      <c r="J17" s="26">
        <f t="shared" si="0"/>
        <v>0</v>
      </c>
      <c r="K17" s="17">
        <f t="shared" si="0"/>
        <v>1500</v>
      </c>
      <c r="L17" s="26">
        <f t="shared" si="0"/>
        <v>700</v>
      </c>
      <c r="M17" s="17">
        <f t="shared" si="0"/>
        <v>250</v>
      </c>
      <c r="N17" s="26">
        <f t="shared" si="0"/>
        <v>220</v>
      </c>
      <c r="O17" s="17">
        <f t="shared" si="0"/>
        <v>4</v>
      </c>
      <c r="P17" s="26">
        <f t="shared" si="0"/>
        <v>4</v>
      </c>
      <c r="Q17" s="17">
        <f t="shared" si="0"/>
        <v>68</v>
      </c>
      <c r="R17" s="26">
        <f t="shared" si="0"/>
        <v>39</v>
      </c>
      <c r="S17" s="17">
        <f t="shared" si="0"/>
        <v>96</v>
      </c>
      <c r="T17" s="26">
        <f t="shared" si="0"/>
        <v>96</v>
      </c>
      <c r="U17" s="118">
        <f t="shared" si="0"/>
        <v>0</v>
      </c>
      <c r="V17" s="26">
        <f t="shared" si="0"/>
        <v>0</v>
      </c>
      <c r="W17" s="118">
        <f t="shared" si="0"/>
        <v>0</v>
      </c>
      <c r="X17" s="119">
        <f t="shared" si="0"/>
        <v>0</v>
      </c>
      <c r="Y17" s="118">
        <f t="shared" si="0"/>
        <v>0</v>
      </c>
      <c r="Z17" s="126">
        <f t="shared" si="0"/>
        <v>0</v>
      </c>
    </row>
    <row r="18" spans="1:26" x14ac:dyDescent="0.45">
      <c r="A18" s="6" t="s">
        <v>25</v>
      </c>
      <c r="B18" s="6" t="s">
        <v>22</v>
      </c>
      <c r="C18" s="6" t="s">
        <v>27</v>
      </c>
      <c r="D18" s="6" t="s">
        <v>32</v>
      </c>
      <c r="E18" s="228">
        <v>3.2559999999999998</v>
      </c>
      <c r="F18" s="230">
        <v>3.2559999999999998</v>
      </c>
      <c r="G18" s="11">
        <f>'[2]KILIFI PHASE 1 + CLUSTER 2 '!I18</f>
        <v>3.2559999999999998</v>
      </c>
      <c r="H18" s="20">
        <v>0.67600000000000005</v>
      </c>
      <c r="I18" s="11">
        <v>9.2189999999999994</v>
      </c>
      <c r="J18" s="24">
        <v>0</v>
      </c>
      <c r="K18" s="16">
        <v>1200</v>
      </c>
      <c r="L18" s="24">
        <v>0</v>
      </c>
      <c r="M18" s="16">
        <v>0</v>
      </c>
      <c r="N18" s="24">
        <v>0</v>
      </c>
      <c r="O18" s="16">
        <v>5</v>
      </c>
      <c r="P18" s="24">
        <v>0</v>
      </c>
      <c r="Q18" s="16">
        <v>0</v>
      </c>
      <c r="R18" s="24">
        <v>0</v>
      </c>
      <c r="S18" s="16">
        <v>0</v>
      </c>
      <c r="T18" s="24">
        <v>0</v>
      </c>
      <c r="U18" s="59">
        <v>0</v>
      </c>
      <c r="V18" s="22">
        <v>0</v>
      </c>
      <c r="W18" s="59">
        <v>0</v>
      </c>
      <c r="X18" s="84">
        <v>0</v>
      </c>
      <c r="Y18" s="59">
        <v>0</v>
      </c>
      <c r="Z18" s="84">
        <v>0</v>
      </c>
    </row>
    <row r="19" spans="1:26" x14ac:dyDescent="0.45">
      <c r="D19" t="s">
        <v>33</v>
      </c>
      <c r="E19" s="225">
        <v>0.56308000000000002</v>
      </c>
      <c r="F19" s="229">
        <v>0.19012000000000001</v>
      </c>
      <c r="G19" s="58">
        <v>1.35</v>
      </c>
      <c r="H19" s="19">
        <v>0.52500000000000002</v>
      </c>
      <c r="I19" s="231">
        <v>0</v>
      </c>
      <c r="J19" s="22">
        <v>0</v>
      </c>
      <c r="K19" s="14">
        <v>0</v>
      </c>
      <c r="L19" s="22">
        <v>0</v>
      </c>
      <c r="M19" s="14">
        <v>0</v>
      </c>
      <c r="N19" s="22">
        <v>0</v>
      </c>
      <c r="O19" s="14">
        <v>3</v>
      </c>
      <c r="P19" s="22">
        <v>0</v>
      </c>
      <c r="Q19" s="14">
        <v>0</v>
      </c>
      <c r="R19" s="22">
        <v>0</v>
      </c>
      <c r="S19" s="14">
        <v>0</v>
      </c>
      <c r="T19" s="22">
        <v>0</v>
      </c>
      <c r="U19" s="59">
        <v>0</v>
      </c>
      <c r="V19" s="22">
        <v>0</v>
      </c>
      <c r="W19" s="59">
        <v>0</v>
      </c>
      <c r="X19" s="84">
        <v>0</v>
      </c>
      <c r="Y19" s="59">
        <v>0</v>
      </c>
      <c r="Z19" s="84">
        <v>0</v>
      </c>
    </row>
    <row r="20" spans="1:26" x14ac:dyDescent="0.45">
      <c r="D20" t="s">
        <v>34</v>
      </c>
      <c r="E20" s="225">
        <v>0.61748999999999998</v>
      </c>
      <c r="F20" s="229">
        <v>0.61748999999999998</v>
      </c>
      <c r="G20" s="9">
        <f>'[2]KILIFI PHASE 1 + CLUSTER 2 '!I20</f>
        <v>0.61748999999999998</v>
      </c>
      <c r="H20" s="226">
        <f>G20</f>
        <v>0.61748999999999998</v>
      </c>
      <c r="I20" s="9">
        <v>4.8860000000000001</v>
      </c>
      <c r="J20" s="22">
        <v>0</v>
      </c>
      <c r="K20" s="14">
        <v>860</v>
      </c>
      <c r="L20" s="22">
        <v>0</v>
      </c>
      <c r="M20" s="14">
        <v>0</v>
      </c>
      <c r="N20" s="22">
        <v>0</v>
      </c>
      <c r="O20" s="14">
        <v>3</v>
      </c>
      <c r="P20" s="22">
        <v>0</v>
      </c>
      <c r="Q20" s="14">
        <v>0</v>
      </c>
      <c r="R20" s="22">
        <v>0</v>
      </c>
      <c r="S20" s="14">
        <v>0</v>
      </c>
      <c r="T20" s="22">
        <v>0</v>
      </c>
      <c r="U20" s="59">
        <v>0</v>
      </c>
      <c r="V20" s="22">
        <v>0</v>
      </c>
      <c r="W20" s="59">
        <v>0</v>
      </c>
      <c r="X20" s="84">
        <v>0</v>
      </c>
      <c r="Y20" s="59">
        <v>0</v>
      </c>
      <c r="Z20" s="84">
        <v>0</v>
      </c>
    </row>
    <row r="21" spans="1:26" x14ac:dyDescent="0.45">
      <c r="D21" t="s">
        <v>35</v>
      </c>
      <c r="E21" s="225">
        <v>1.4093500000000001</v>
      </c>
      <c r="F21" s="229">
        <v>0</v>
      </c>
      <c r="G21" s="9">
        <f>'[2]KILIFI PHASE 1 + CLUSTER 2 '!I21</f>
        <v>1.4093500000000001</v>
      </c>
      <c r="H21" s="226">
        <v>0</v>
      </c>
      <c r="I21" s="9">
        <v>5.6360000000000001</v>
      </c>
      <c r="J21" s="22">
        <v>0</v>
      </c>
      <c r="K21" s="14">
        <v>591</v>
      </c>
      <c r="L21" s="22">
        <v>0</v>
      </c>
      <c r="M21" s="14">
        <v>0</v>
      </c>
      <c r="N21" s="22">
        <v>0</v>
      </c>
      <c r="O21" s="14">
        <v>4</v>
      </c>
      <c r="P21" s="22">
        <v>0</v>
      </c>
      <c r="Q21" s="14">
        <v>0</v>
      </c>
      <c r="R21" s="22">
        <v>0</v>
      </c>
      <c r="S21" s="14">
        <v>0</v>
      </c>
      <c r="T21" s="22">
        <v>0</v>
      </c>
      <c r="U21" s="59">
        <v>0</v>
      </c>
      <c r="V21" s="22">
        <v>0</v>
      </c>
      <c r="W21" s="59">
        <v>0</v>
      </c>
      <c r="X21" s="84">
        <v>0</v>
      </c>
      <c r="Y21" s="59">
        <v>0</v>
      </c>
      <c r="Z21" s="84">
        <v>0</v>
      </c>
    </row>
    <row r="22" spans="1:26" x14ac:dyDescent="0.45">
      <c r="D22" t="s">
        <v>30</v>
      </c>
      <c r="E22" s="225">
        <v>1.2190000000000001</v>
      </c>
      <c r="F22" s="229">
        <v>1.115</v>
      </c>
      <c r="G22" s="9">
        <v>3.4489999999999998</v>
      </c>
      <c r="H22" s="226">
        <v>1.214</v>
      </c>
      <c r="I22" s="14">
        <v>0</v>
      </c>
      <c r="J22" s="22">
        <v>0</v>
      </c>
      <c r="K22" s="14">
        <v>0</v>
      </c>
      <c r="L22" s="22">
        <v>0</v>
      </c>
      <c r="M22" s="14">
        <v>0</v>
      </c>
      <c r="N22" s="22">
        <v>0</v>
      </c>
      <c r="O22" s="14">
        <v>4</v>
      </c>
      <c r="P22" s="22">
        <v>0</v>
      </c>
      <c r="Q22" s="14">
        <v>0</v>
      </c>
      <c r="R22" s="22">
        <v>0</v>
      </c>
      <c r="S22" s="14">
        <v>0</v>
      </c>
      <c r="T22" s="22">
        <v>0</v>
      </c>
      <c r="U22" s="59">
        <v>0</v>
      </c>
      <c r="V22" s="22">
        <v>0</v>
      </c>
      <c r="W22" s="59">
        <v>0</v>
      </c>
      <c r="X22" s="84">
        <v>0</v>
      </c>
      <c r="Y22" s="59">
        <v>0</v>
      </c>
      <c r="Z22" s="84">
        <v>0</v>
      </c>
    </row>
    <row r="23" spans="1:26" x14ac:dyDescent="0.45">
      <c r="D23" t="s">
        <v>36</v>
      </c>
      <c r="E23" s="225">
        <v>3.879</v>
      </c>
      <c r="F23" s="229">
        <v>0.93085309999999999</v>
      </c>
      <c r="G23" s="9">
        <f>'[2]KILIFI PHASE 1 + CLUSTER 2 '!I23</f>
        <v>3.879</v>
      </c>
      <c r="H23" s="226">
        <v>0.308</v>
      </c>
      <c r="I23" s="14">
        <v>0</v>
      </c>
      <c r="J23" s="22">
        <v>0</v>
      </c>
      <c r="K23" s="14">
        <v>0</v>
      </c>
      <c r="L23" s="22">
        <v>0</v>
      </c>
      <c r="M23" s="14">
        <v>0</v>
      </c>
      <c r="N23" s="22">
        <v>0</v>
      </c>
      <c r="O23" s="14">
        <v>3</v>
      </c>
      <c r="P23" s="22">
        <v>0</v>
      </c>
      <c r="Q23" s="14">
        <v>0</v>
      </c>
      <c r="R23" s="22">
        <v>0</v>
      </c>
      <c r="S23" s="14">
        <v>0</v>
      </c>
      <c r="T23" s="22">
        <v>0</v>
      </c>
      <c r="U23" s="59">
        <v>0</v>
      </c>
      <c r="V23" s="22">
        <v>0</v>
      </c>
      <c r="W23" s="59">
        <v>0</v>
      </c>
      <c r="X23" s="84">
        <v>0</v>
      </c>
      <c r="Y23" s="59">
        <v>0</v>
      </c>
      <c r="Z23" s="84">
        <v>0</v>
      </c>
    </row>
    <row r="24" spans="1:26" x14ac:dyDescent="0.45">
      <c r="B24" t="s">
        <v>23</v>
      </c>
      <c r="C24" t="s">
        <v>27</v>
      </c>
      <c r="D24" t="s">
        <v>32</v>
      </c>
      <c r="E24" s="9">
        <v>0</v>
      </c>
      <c r="F24" s="19">
        <v>0</v>
      </c>
      <c r="G24" s="9">
        <v>0</v>
      </c>
      <c r="H24" s="19">
        <v>0</v>
      </c>
      <c r="I24" s="14">
        <v>0</v>
      </c>
      <c r="J24" s="22">
        <v>0</v>
      </c>
      <c r="K24" s="14">
        <v>0</v>
      </c>
      <c r="L24" s="22">
        <v>0</v>
      </c>
      <c r="M24" s="14">
        <v>0</v>
      </c>
      <c r="N24" s="22">
        <v>0</v>
      </c>
      <c r="O24" s="14">
        <v>0</v>
      </c>
      <c r="P24" s="22">
        <v>0</v>
      </c>
      <c r="Q24" s="14">
        <v>200</v>
      </c>
      <c r="R24" s="22">
        <f t="shared" ref="R24:R29" si="1">Q24</f>
        <v>200</v>
      </c>
      <c r="S24" s="14">
        <v>0</v>
      </c>
      <c r="T24" s="22">
        <v>0</v>
      </c>
      <c r="U24" s="59">
        <v>0</v>
      </c>
      <c r="V24" s="22">
        <v>0</v>
      </c>
      <c r="W24" s="59">
        <v>0</v>
      </c>
      <c r="X24" s="84">
        <v>0</v>
      </c>
      <c r="Y24" s="59">
        <v>0</v>
      </c>
      <c r="Z24" s="84">
        <v>0</v>
      </c>
    </row>
    <row r="25" spans="1:26" x14ac:dyDescent="0.45">
      <c r="D25" t="s">
        <v>33</v>
      </c>
      <c r="E25" s="9">
        <v>0</v>
      </c>
      <c r="F25" s="19">
        <v>0</v>
      </c>
      <c r="G25" s="9">
        <v>0</v>
      </c>
      <c r="H25" s="19">
        <v>0</v>
      </c>
      <c r="I25" s="14">
        <v>0</v>
      </c>
      <c r="J25" s="22">
        <v>0</v>
      </c>
      <c r="K25" s="14">
        <v>0</v>
      </c>
      <c r="L25" s="22">
        <v>0</v>
      </c>
      <c r="M25" s="14">
        <v>0</v>
      </c>
      <c r="N25" s="22">
        <v>0</v>
      </c>
      <c r="O25" s="14">
        <v>0</v>
      </c>
      <c r="P25" s="22">
        <v>0</v>
      </c>
      <c r="Q25" s="14">
        <v>200</v>
      </c>
      <c r="R25" s="22">
        <f t="shared" si="1"/>
        <v>200</v>
      </c>
      <c r="S25" s="14">
        <v>0</v>
      </c>
      <c r="T25" s="22">
        <v>0</v>
      </c>
      <c r="U25" s="59">
        <v>0</v>
      </c>
      <c r="V25" s="22">
        <v>0</v>
      </c>
      <c r="W25" s="59">
        <v>0</v>
      </c>
      <c r="X25" s="84">
        <v>0</v>
      </c>
      <c r="Y25" s="59">
        <v>0</v>
      </c>
      <c r="Z25" s="84">
        <v>0</v>
      </c>
    </row>
    <row r="26" spans="1:26" x14ac:dyDescent="0.45">
      <c r="D26" t="s">
        <v>34</v>
      </c>
      <c r="E26" s="9">
        <v>0</v>
      </c>
      <c r="F26" s="19">
        <v>0</v>
      </c>
      <c r="G26" s="9">
        <v>0</v>
      </c>
      <c r="H26" s="19">
        <v>0</v>
      </c>
      <c r="I26" s="14">
        <v>0</v>
      </c>
      <c r="J26" s="22">
        <v>0</v>
      </c>
      <c r="K26" s="14">
        <v>0</v>
      </c>
      <c r="L26" s="22">
        <v>0</v>
      </c>
      <c r="M26" s="14">
        <v>0</v>
      </c>
      <c r="N26" s="22">
        <v>0</v>
      </c>
      <c r="O26" s="14">
        <v>0</v>
      </c>
      <c r="P26" s="22">
        <v>0</v>
      </c>
      <c r="Q26" s="14">
        <v>200</v>
      </c>
      <c r="R26" s="22">
        <f t="shared" si="1"/>
        <v>200</v>
      </c>
      <c r="S26" s="14">
        <v>0</v>
      </c>
      <c r="T26" s="22">
        <v>0</v>
      </c>
      <c r="U26" s="59">
        <v>0</v>
      </c>
      <c r="V26" s="22">
        <v>0</v>
      </c>
      <c r="W26" s="59">
        <v>0</v>
      </c>
      <c r="X26" s="84">
        <v>0</v>
      </c>
      <c r="Y26" s="59">
        <v>0</v>
      </c>
      <c r="Z26" s="84">
        <v>0</v>
      </c>
    </row>
    <row r="27" spans="1:26" x14ac:dyDescent="0.45">
      <c r="D27" t="s">
        <v>35</v>
      </c>
      <c r="E27" s="9">
        <v>0</v>
      </c>
      <c r="F27" s="19">
        <v>0</v>
      </c>
      <c r="G27" s="9">
        <v>0</v>
      </c>
      <c r="H27" s="19">
        <v>0</v>
      </c>
      <c r="I27" s="14">
        <v>0</v>
      </c>
      <c r="J27" s="22">
        <v>0</v>
      </c>
      <c r="K27" s="14">
        <v>0</v>
      </c>
      <c r="L27" s="22">
        <v>0</v>
      </c>
      <c r="M27" s="14">
        <v>0</v>
      </c>
      <c r="N27" s="22">
        <v>0</v>
      </c>
      <c r="O27" s="14">
        <v>0</v>
      </c>
      <c r="P27" s="22">
        <v>0</v>
      </c>
      <c r="Q27" s="14">
        <v>200</v>
      </c>
      <c r="R27" s="22">
        <f t="shared" si="1"/>
        <v>200</v>
      </c>
      <c r="S27" s="14">
        <v>0</v>
      </c>
      <c r="T27" s="22">
        <v>0</v>
      </c>
      <c r="U27" s="59">
        <v>0</v>
      </c>
      <c r="V27" s="22">
        <v>0</v>
      </c>
      <c r="W27" s="59">
        <v>0</v>
      </c>
      <c r="X27" s="84">
        <v>0</v>
      </c>
      <c r="Y27" s="59">
        <v>0</v>
      </c>
      <c r="Z27" s="84">
        <v>0</v>
      </c>
    </row>
    <row r="28" spans="1:26" x14ac:dyDescent="0.45">
      <c r="D28" t="s">
        <v>30</v>
      </c>
      <c r="E28" s="9">
        <v>0</v>
      </c>
      <c r="F28" s="19">
        <v>0</v>
      </c>
      <c r="G28" s="9">
        <v>0</v>
      </c>
      <c r="H28" s="19">
        <v>0</v>
      </c>
      <c r="I28" s="14">
        <v>0</v>
      </c>
      <c r="J28" s="22">
        <v>0</v>
      </c>
      <c r="K28" s="14">
        <v>0</v>
      </c>
      <c r="L28" s="22">
        <v>0</v>
      </c>
      <c r="M28" s="14">
        <v>0</v>
      </c>
      <c r="N28" s="22">
        <v>0</v>
      </c>
      <c r="O28" s="14">
        <v>0</v>
      </c>
      <c r="P28" s="22">
        <v>0</v>
      </c>
      <c r="Q28" s="14">
        <v>300</v>
      </c>
      <c r="R28" s="22">
        <f t="shared" si="1"/>
        <v>300</v>
      </c>
      <c r="S28" s="14">
        <v>0</v>
      </c>
      <c r="T28" s="22">
        <v>0</v>
      </c>
      <c r="U28" s="59">
        <v>0</v>
      </c>
      <c r="W28" s="59">
        <v>0</v>
      </c>
      <c r="X28" s="84">
        <v>0</v>
      </c>
      <c r="Y28" s="59">
        <v>0</v>
      </c>
      <c r="Z28" s="84">
        <v>0</v>
      </c>
    </row>
    <row r="29" spans="1:26" ht="14.65" thickBot="1" x14ac:dyDescent="0.5">
      <c r="D29" t="s">
        <v>36</v>
      </c>
      <c r="E29" s="9">
        <v>0</v>
      </c>
      <c r="F29" s="19">
        <v>0</v>
      </c>
      <c r="G29" s="9">
        <v>0</v>
      </c>
      <c r="H29" s="19">
        <v>0</v>
      </c>
      <c r="I29" s="14">
        <v>0</v>
      </c>
      <c r="J29" s="22">
        <v>0</v>
      </c>
      <c r="K29" s="14">
        <v>0</v>
      </c>
      <c r="L29" s="22">
        <v>0</v>
      </c>
      <c r="M29" s="14">
        <v>0</v>
      </c>
      <c r="N29" s="22">
        <v>0</v>
      </c>
      <c r="O29" s="14">
        <v>0</v>
      </c>
      <c r="P29" s="22">
        <v>0</v>
      </c>
      <c r="Q29" s="14">
        <v>300</v>
      </c>
      <c r="R29" s="22">
        <f t="shared" si="1"/>
        <v>300</v>
      </c>
      <c r="S29" s="14">
        <v>0</v>
      </c>
      <c r="T29" s="22">
        <v>0</v>
      </c>
      <c r="Y29" s="59">
        <v>0</v>
      </c>
    </row>
    <row r="30" spans="1:26" s="1" customFormat="1" ht="14.65" thickBot="1" x14ac:dyDescent="0.5">
      <c r="A30" s="120"/>
      <c r="B30" s="7"/>
      <c r="C30" s="7"/>
      <c r="D30" s="7" t="s">
        <v>9</v>
      </c>
      <c r="E30" s="12">
        <f t="shared" ref="E30:P30" si="2">SUM(E18:E29)</f>
        <v>10.94392</v>
      </c>
      <c r="F30" s="12">
        <f>SUM(F18:F29)</f>
        <v>6.1094631000000001</v>
      </c>
      <c r="G30" s="12">
        <f t="shared" si="2"/>
        <v>13.960839999999999</v>
      </c>
      <c r="H30" s="12">
        <f t="shared" si="2"/>
        <v>3.34049</v>
      </c>
      <c r="I30" s="12">
        <f t="shared" si="2"/>
        <v>19.741</v>
      </c>
      <c r="J30" s="26">
        <f>SUM(J18:J29)</f>
        <v>0</v>
      </c>
      <c r="K30" s="17">
        <f t="shared" si="2"/>
        <v>2651</v>
      </c>
      <c r="L30" s="26">
        <f t="shared" si="2"/>
        <v>0</v>
      </c>
      <c r="M30" s="17">
        <f t="shared" si="2"/>
        <v>0</v>
      </c>
      <c r="N30" s="26">
        <f t="shared" si="2"/>
        <v>0</v>
      </c>
      <c r="O30" s="17">
        <f t="shared" si="2"/>
        <v>22</v>
      </c>
      <c r="P30" s="26">
        <f t="shared" si="2"/>
        <v>0</v>
      </c>
      <c r="Q30" s="17">
        <f>SUM(Q18:Q29)</f>
        <v>1400</v>
      </c>
      <c r="R30" s="26">
        <f>SUM(R18:R29)</f>
        <v>1400</v>
      </c>
      <c r="S30" s="17">
        <f>SUM(S18:S29)</f>
        <v>0</v>
      </c>
      <c r="T30" s="26">
        <f>SUM(T18:T29)</f>
        <v>0</v>
      </c>
      <c r="U30" s="118">
        <f t="shared" ref="U30:Z30" si="3">SUM(U18:U29)</f>
        <v>0</v>
      </c>
      <c r="V30" s="26">
        <f t="shared" si="3"/>
        <v>0</v>
      </c>
      <c r="W30" s="118">
        <f t="shared" si="3"/>
        <v>0</v>
      </c>
      <c r="X30" s="119">
        <f t="shared" si="3"/>
        <v>0</v>
      </c>
      <c r="Y30" s="118">
        <f t="shared" si="3"/>
        <v>0</v>
      </c>
      <c r="Z30" s="126">
        <f t="shared" si="3"/>
        <v>0</v>
      </c>
    </row>
    <row r="31" spans="1:26" x14ac:dyDescent="0.45">
      <c r="A31" s="6" t="s">
        <v>37</v>
      </c>
      <c r="B31" s="6" t="s">
        <v>38</v>
      </c>
      <c r="C31" s="6" t="s">
        <v>27</v>
      </c>
      <c r="D31" s="6" t="s">
        <v>42</v>
      </c>
      <c r="E31" s="11"/>
      <c r="F31" s="20"/>
      <c r="G31" s="11">
        <v>0.81599999999999995</v>
      </c>
      <c r="H31" s="20">
        <f>G31</f>
        <v>0.81599999999999995</v>
      </c>
      <c r="I31" s="16">
        <v>0</v>
      </c>
      <c r="J31" s="24">
        <v>0</v>
      </c>
      <c r="K31" s="16">
        <v>0</v>
      </c>
      <c r="L31" s="24">
        <v>0</v>
      </c>
      <c r="M31" s="16">
        <v>0</v>
      </c>
      <c r="N31" s="24">
        <v>0</v>
      </c>
      <c r="O31" s="16">
        <v>1</v>
      </c>
      <c r="P31" s="24">
        <f>O31</f>
        <v>1</v>
      </c>
      <c r="Q31" s="16">
        <v>0</v>
      </c>
      <c r="R31" s="24">
        <v>0</v>
      </c>
      <c r="S31" s="16">
        <v>0</v>
      </c>
      <c r="T31" s="24">
        <v>0</v>
      </c>
      <c r="U31">
        <v>0.81200000000000006</v>
      </c>
      <c r="V31" s="233">
        <v>0.81200000000000006</v>
      </c>
    </row>
    <row r="32" spans="1:26" x14ac:dyDescent="0.45">
      <c r="B32" t="s">
        <v>39</v>
      </c>
      <c r="C32" t="s">
        <v>28</v>
      </c>
      <c r="D32" t="s">
        <v>44</v>
      </c>
      <c r="E32" s="224"/>
      <c r="F32" s="226"/>
      <c r="G32" s="224">
        <f>E32+0.146</f>
        <v>0.14599999999999999</v>
      </c>
      <c r="H32" s="226">
        <v>0.14599999999999999</v>
      </c>
      <c r="I32" s="14">
        <v>0</v>
      </c>
      <c r="J32" s="22">
        <v>0</v>
      </c>
      <c r="K32" s="14">
        <v>0</v>
      </c>
      <c r="L32" s="22">
        <v>0</v>
      </c>
      <c r="M32" s="14">
        <v>0</v>
      </c>
      <c r="N32" s="22">
        <v>0</v>
      </c>
      <c r="O32" s="14">
        <v>1</v>
      </c>
      <c r="P32" s="234">
        <f>O32</f>
        <v>1</v>
      </c>
      <c r="Q32" s="14">
        <v>0</v>
      </c>
      <c r="R32" s="22">
        <v>0</v>
      </c>
      <c r="S32" s="14">
        <v>0</v>
      </c>
      <c r="T32" s="22">
        <v>0</v>
      </c>
      <c r="U32">
        <v>0.85399999999999998</v>
      </c>
      <c r="V32" s="233">
        <v>0.85399999999999998</v>
      </c>
    </row>
    <row r="33" spans="1:26" x14ac:dyDescent="0.45">
      <c r="D33" t="s">
        <v>43</v>
      </c>
      <c r="E33" s="224">
        <v>1.0329999999999999</v>
      </c>
      <c r="F33" s="226">
        <f>E33</f>
        <v>1.0329999999999999</v>
      </c>
      <c r="G33" s="224">
        <f>C33+0.73+0.251+0.246</f>
        <v>1.2269999999999999</v>
      </c>
      <c r="H33" s="226">
        <f>G33</f>
        <v>1.2269999999999999</v>
      </c>
      <c r="I33" s="14">
        <v>0</v>
      </c>
      <c r="J33" s="22">
        <v>0</v>
      </c>
      <c r="K33" s="14">
        <v>0</v>
      </c>
      <c r="L33" s="22">
        <v>0</v>
      </c>
      <c r="M33" s="14">
        <v>0</v>
      </c>
      <c r="N33" s="22">
        <v>0</v>
      </c>
      <c r="O33" s="14">
        <v>1</v>
      </c>
      <c r="P33" s="234">
        <f>O33</f>
        <v>1</v>
      </c>
      <c r="Q33" s="14">
        <v>0</v>
      </c>
      <c r="R33" s="22">
        <v>0</v>
      </c>
      <c r="S33" s="14">
        <v>0</v>
      </c>
      <c r="T33" s="22">
        <v>0</v>
      </c>
      <c r="U33"/>
    </row>
    <row r="34" spans="1:26" x14ac:dyDescent="0.45">
      <c r="D34" t="s">
        <v>45</v>
      </c>
      <c r="E34" s="224"/>
      <c r="F34" s="226"/>
      <c r="G34" s="224">
        <v>1.0129999999999999</v>
      </c>
      <c r="H34" s="226">
        <f>G34</f>
        <v>1.0129999999999999</v>
      </c>
      <c r="I34" s="14">
        <v>0</v>
      </c>
      <c r="J34" s="22">
        <v>0</v>
      </c>
      <c r="K34" s="14">
        <v>0</v>
      </c>
      <c r="L34" s="22">
        <v>0</v>
      </c>
      <c r="M34" s="14">
        <v>0</v>
      </c>
      <c r="N34" s="22">
        <v>0</v>
      </c>
      <c r="O34" s="14">
        <v>1</v>
      </c>
      <c r="P34" s="234">
        <f>O34</f>
        <v>1</v>
      </c>
      <c r="Q34" s="14">
        <v>0</v>
      </c>
      <c r="R34" s="22">
        <v>0</v>
      </c>
      <c r="S34" s="14">
        <v>0</v>
      </c>
      <c r="T34" s="22">
        <v>0</v>
      </c>
      <c r="U34">
        <v>1.0129999999999999</v>
      </c>
      <c r="V34" s="233">
        <f>U34</f>
        <v>1.0129999999999999</v>
      </c>
    </row>
    <row r="35" spans="1:26" x14ac:dyDescent="0.45">
      <c r="B35" t="s">
        <v>40</v>
      </c>
      <c r="C35" t="s">
        <v>28</v>
      </c>
      <c r="D35" t="s">
        <v>46</v>
      </c>
      <c r="E35" s="224"/>
      <c r="F35" s="226"/>
      <c r="G35" s="224">
        <v>1.823</v>
      </c>
      <c r="H35" s="226">
        <f>G35</f>
        <v>1.823</v>
      </c>
      <c r="I35" s="14">
        <v>0</v>
      </c>
      <c r="J35" s="22">
        <v>0</v>
      </c>
      <c r="K35" s="14">
        <v>0</v>
      </c>
      <c r="L35" s="22">
        <v>0</v>
      </c>
      <c r="M35" s="14">
        <v>0</v>
      </c>
      <c r="N35" s="22">
        <v>0</v>
      </c>
      <c r="O35" s="14">
        <v>1</v>
      </c>
      <c r="P35" s="234">
        <v>1</v>
      </c>
      <c r="Q35" s="14">
        <v>0</v>
      </c>
      <c r="R35" s="22">
        <v>0</v>
      </c>
      <c r="S35" s="14">
        <v>0</v>
      </c>
      <c r="T35" s="22">
        <v>0</v>
      </c>
      <c r="U35">
        <v>1.823</v>
      </c>
      <c r="V35" s="233">
        <v>1.823</v>
      </c>
    </row>
    <row r="36" spans="1:26" x14ac:dyDescent="0.45">
      <c r="D36" t="s">
        <v>47</v>
      </c>
      <c r="E36" s="224">
        <v>1.1499999999999999</v>
      </c>
      <c r="F36" s="226">
        <v>0</v>
      </c>
      <c r="G36" s="224">
        <v>1.1499999999999999</v>
      </c>
      <c r="H36" s="226">
        <v>0</v>
      </c>
      <c r="I36" s="14">
        <v>0</v>
      </c>
      <c r="J36" s="22">
        <v>0</v>
      </c>
      <c r="K36" s="14">
        <v>0</v>
      </c>
      <c r="L36" s="22">
        <v>0</v>
      </c>
      <c r="M36" s="14">
        <v>0</v>
      </c>
      <c r="N36" s="22">
        <v>0</v>
      </c>
      <c r="O36" s="14">
        <v>2</v>
      </c>
      <c r="P36" s="234">
        <v>0</v>
      </c>
      <c r="Q36" s="14">
        <v>0</v>
      </c>
      <c r="R36" s="22">
        <v>0</v>
      </c>
      <c r="S36" s="14">
        <v>0</v>
      </c>
      <c r="T36" s="22">
        <v>0</v>
      </c>
      <c r="U36"/>
    </row>
    <row r="37" spans="1:26" x14ac:dyDescent="0.45">
      <c r="B37" t="s">
        <v>23</v>
      </c>
      <c r="C37" t="s">
        <v>27</v>
      </c>
      <c r="D37" t="s">
        <v>41</v>
      </c>
      <c r="E37" s="224">
        <v>0</v>
      </c>
      <c r="F37" s="226">
        <v>0</v>
      </c>
      <c r="G37" s="224">
        <v>0</v>
      </c>
      <c r="H37" s="226">
        <v>0</v>
      </c>
      <c r="I37" s="14">
        <v>0</v>
      </c>
      <c r="J37" s="22">
        <v>0</v>
      </c>
      <c r="K37" s="14">
        <v>0</v>
      </c>
      <c r="L37" s="22">
        <v>0</v>
      </c>
      <c r="M37" s="14">
        <v>0</v>
      </c>
      <c r="N37" s="22">
        <v>0</v>
      </c>
      <c r="O37" s="14">
        <v>1</v>
      </c>
      <c r="P37" s="234">
        <v>1</v>
      </c>
      <c r="Q37" s="14">
        <v>0</v>
      </c>
      <c r="R37" s="22">
        <v>0</v>
      </c>
      <c r="S37" s="14">
        <v>0</v>
      </c>
      <c r="T37" s="22">
        <v>0</v>
      </c>
      <c r="U37"/>
    </row>
    <row r="38" spans="1:26" x14ac:dyDescent="0.45">
      <c r="D38" t="s">
        <v>42</v>
      </c>
      <c r="E38" s="224">
        <v>0</v>
      </c>
      <c r="F38" s="226">
        <v>0</v>
      </c>
      <c r="G38" s="224">
        <v>0</v>
      </c>
      <c r="H38" s="226">
        <v>0</v>
      </c>
      <c r="I38" s="14">
        <v>0</v>
      </c>
      <c r="J38" s="22">
        <v>0</v>
      </c>
      <c r="K38" s="14">
        <v>0</v>
      </c>
      <c r="L38" s="22">
        <v>0</v>
      </c>
      <c r="M38" s="14">
        <v>0</v>
      </c>
      <c r="N38" s="22">
        <v>0</v>
      </c>
      <c r="O38" s="14">
        <v>1</v>
      </c>
      <c r="P38" s="234">
        <v>1</v>
      </c>
      <c r="Q38" s="14">
        <v>0</v>
      </c>
      <c r="R38" s="22">
        <v>0</v>
      </c>
      <c r="S38" s="14">
        <v>0</v>
      </c>
      <c r="T38" s="22">
        <v>0</v>
      </c>
      <c r="U38"/>
    </row>
    <row r="39" spans="1:26" x14ac:dyDescent="0.45">
      <c r="D39" t="s">
        <v>43</v>
      </c>
      <c r="E39" s="224">
        <v>0</v>
      </c>
      <c r="F39" s="226">
        <v>0</v>
      </c>
      <c r="G39" s="224">
        <v>0</v>
      </c>
      <c r="H39" s="226">
        <v>0</v>
      </c>
      <c r="I39" s="14">
        <v>0</v>
      </c>
      <c r="J39" s="22">
        <v>0</v>
      </c>
      <c r="K39" s="14">
        <v>0</v>
      </c>
      <c r="L39" s="22">
        <v>0</v>
      </c>
      <c r="M39" s="14">
        <v>0</v>
      </c>
      <c r="N39" s="22">
        <v>0</v>
      </c>
      <c r="O39" s="14">
        <v>1</v>
      </c>
      <c r="P39" s="234">
        <v>1</v>
      </c>
      <c r="Q39" s="14">
        <v>0</v>
      </c>
      <c r="R39" s="22">
        <v>0</v>
      </c>
      <c r="S39" s="14">
        <v>0</v>
      </c>
      <c r="T39" s="22">
        <v>0</v>
      </c>
      <c r="U39"/>
    </row>
    <row r="40" spans="1:26" x14ac:dyDescent="0.45">
      <c r="D40" t="s">
        <v>44</v>
      </c>
      <c r="E40" s="224">
        <v>0</v>
      </c>
      <c r="F40" s="226">
        <v>0</v>
      </c>
      <c r="G40" s="224">
        <v>0</v>
      </c>
      <c r="H40" s="226">
        <v>0</v>
      </c>
      <c r="I40" s="14">
        <v>0</v>
      </c>
      <c r="J40" s="22">
        <v>0</v>
      </c>
      <c r="K40" s="14">
        <v>0</v>
      </c>
      <c r="L40" s="22">
        <v>0</v>
      </c>
      <c r="M40" s="14">
        <v>0</v>
      </c>
      <c r="N40" s="22">
        <v>0</v>
      </c>
      <c r="O40" s="14">
        <v>1</v>
      </c>
      <c r="P40" s="234">
        <v>1</v>
      </c>
      <c r="Q40" s="14">
        <v>0</v>
      </c>
      <c r="R40" s="22">
        <v>0</v>
      </c>
      <c r="S40" s="14">
        <v>0</v>
      </c>
      <c r="T40" s="22">
        <v>0</v>
      </c>
      <c r="U40"/>
    </row>
    <row r="41" spans="1:26" ht="14.65" thickBot="1" x14ac:dyDescent="0.5">
      <c r="D41" t="s">
        <v>45</v>
      </c>
      <c r="E41" s="224">
        <v>0</v>
      </c>
      <c r="F41" s="226">
        <v>0</v>
      </c>
      <c r="G41" s="224">
        <v>0</v>
      </c>
      <c r="H41" s="226">
        <v>0</v>
      </c>
      <c r="I41" s="14">
        <v>0</v>
      </c>
      <c r="J41" s="22">
        <v>0</v>
      </c>
      <c r="K41" s="14">
        <v>0</v>
      </c>
      <c r="L41" s="22">
        <v>0</v>
      </c>
      <c r="M41" s="14">
        <v>0</v>
      </c>
      <c r="N41" s="22">
        <v>0</v>
      </c>
      <c r="O41" s="14">
        <v>1</v>
      </c>
      <c r="P41" s="234">
        <v>1</v>
      </c>
      <c r="Q41" s="14">
        <v>0</v>
      </c>
      <c r="R41" s="22">
        <v>0</v>
      </c>
      <c r="S41" s="14">
        <v>0</v>
      </c>
      <c r="T41" s="22">
        <v>0</v>
      </c>
      <c r="U41"/>
    </row>
    <row r="42" spans="1:26" s="1" customFormat="1" ht="14.65" thickBot="1" x14ac:dyDescent="0.5">
      <c r="A42" s="120"/>
      <c r="B42" s="7"/>
      <c r="C42" s="7"/>
      <c r="D42" s="7" t="s">
        <v>9</v>
      </c>
      <c r="E42" s="12">
        <f t="shared" ref="E42:N42" si="4">SUM(E31:E41)</f>
        <v>2.1829999999999998</v>
      </c>
      <c r="F42" s="21">
        <f t="shared" si="4"/>
        <v>1.0329999999999999</v>
      </c>
      <c r="G42" s="12">
        <f t="shared" si="4"/>
        <v>6.1750000000000007</v>
      </c>
      <c r="H42" s="21">
        <f t="shared" si="4"/>
        <v>5.0250000000000004</v>
      </c>
      <c r="I42" s="17">
        <f>SUM(I31:I41)</f>
        <v>0</v>
      </c>
      <c r="J42" s="26">
        <f>SUM(J31:J41)</f>
        <v>0</v>
      </c>
      <c r="K42" s="17">
        <f t="shared" si="4"/>
        <v>0</v>
      </c>
      <c r="L42" s="26">
        <f t="shared" si="4"/>
        <v>0</v>
      </c>
      <c r="M42" s="17">
        <f t="shared" si="4"/>
        <v>0</v>
      </c>
      <c r="N42" s="26">
        <f t="shared" si="4"/>
        <v>0</v>
      </c>
      <c r="O42" s="17">
        <f t="shared" ref="O42:Z42" si="5">SUM(O31:O41)</f>
        <v>12</v>
      </c>
      <c r="P42" s="26">
        <f t="shared" si="5"/>
        <v>10</v>
      </c>
      <c r="Q42" s="17">
        <f t="shared" si="5"/>
        <v>0</v>
      </c>
      <c r="R42" s="26">
        <f t="shared" si="5"/>
        <v>0</v>
      </c>
      <c r="S42" s="17">
        <f t="shared" si="5"/>
        <v>0</v>
      </c>
      <c r="T42" s="26">
        <f t="shared" si="5"/>
        <v>0</v>
      </c>
      <c r="U42" s="12">
        <f t="shared" si="5"/>
        <v>4.5019999999999998</v>
      </c>
      <c r="V42" s="21">
        <f t="shared" si="5"/>
        <v>4.5019999999999998</v>
      </c>
      <c r="W42" s="118">
        <f t="shared" si="5"/>
        <v>0</v>
      </c>
      <c r="X42" s="119">
        <f t="shared" si="5"/>
        <v>0</v>
      </c>
      <c r="Y42" s="118">
        <f t="shared" si="5"/>
        <v>0</v>
      </c>
      <c r="Z42" s="126">
        <f t="shared" si="5"/>
        <v>0</v>
      </c>
    </row>
    <row r="43" spans="1:26" x14ac:dyDescent="0.45">
      <c r="A43" s="6" t="s">
        <v>48</v>
      </c>
      <c r="B43" s="6" t="s">
        <v>22</v>
      </c>
      <c r="C43" s="6" t="s">
        <v>28</v>
      </c>
      <c r="D43" s="6" t="s">
        <v>50</v>
      </c>
      <c r="E43" s="11">
        <v>2.1640000000000001</v>
      </c>
      <c r="F43" s="20">
        <v>2.1640000000000001</v>
      </c>
      <c r="G43" s="291">
        <v>2.2599999999999998</v>
      </c>
      <c r="H43" s="20">
        <v>2.2599999999999998</v>
      </c>
      <c r="I43" s="16">
        <v>0</v>
      </c>
      <c r="J43" s="24">
        <v>0</v>
      </c>
      <c r="K43" s="16">
        <v>0</v>
      </c>
      <c r="L43" s="24">
        <v>0</v>
      </c>
      <c r="M43" s="16">
        <v>0</v>
      </c>
      <c r="N43" s="24">
        <v>0</v>
      </c>
      <c r="O43" s="16">
        <v>0</v>
      </c>
      <c r="P43" s="24">
        <v>0</v>
      </c>
      <c r="Q43" s="16">
        <v>0</v>
      </c>
      <c r="R43" s="24">
        <v>0</v>
      </c>
      <c r="S43" s="16">
        <v>0</v>
      </c>
      <c r="T43" s="24">
        <v>0</v>
      </c>
    </row>
    <row r="44" spans="1:26" ht="14.65" thickBot="1" x14ac:dyDescent="0.5">
      <c r="B44" t="s">
        <v>23</v>
      </c>
      <c r="C44" t="s">
        <v>27</v>
      </c>
      <c r="D44" t="s">
        <v>50</v>
      </c>
      <c r="E44" s="9">
        <v>0</v>
      </c>
      <c r="F44" s="19">
        <v>0</v>
      </c>
      <c r="G44" s="9">
        <v>0</v>
      </c>
      <c r="H44" s="19">
        <v>0</v>
      </c>
      <c r="I44" s="14">
        <v>0</v>
      </c>
      <c r="J44" s="22">
        <v>0</v>
      </c>
      <c r="K44" s="14">
        <v>0</v>
      </c>
      <c r="L44" s="22">
        <v>0</v>
      </c>
      <c r="M44" s="14">
        <v>0</v>
      </c>
      <c r="N44" s="22">
        <v>0</v>
      </c>
      <c r="O44" s="14">
        <v>5</v>
      </c>
      <c r="P44" s="22">
        <v>5</v>
      </c>
      <c r="Q44" s="14">
        <v>70</v>
      </c>
      <c r="R44" s="22">
        <v>70</v>
      </c>
      <c r="S44" s="14">
        <v>0</v>
      </c>
      <c r="T44" s="22">
        <v>0</v>
      </c>
    </row>
    <row r="45" spans="1:26" s="1" customFormat="1" ht="14.65" thickBot="1" x14ac:dyDescent="0.5">
      <c r="A45" s="120"/>
      <c r="B45" s="7"/>
      <c r="C45" s="7"/>
      <c r="D45" s="7" t="s">
        <v>9</v>
      </c>
      <c r="E45" s="12">
        <f>SUM(E43:E44)</f>
        <v>2.1640000000000001</v>
      </c>
      <c r="F45" s="21">
        <f t="shared" ref="F45:T45" si="6">SUM(F43:F44)</f>
        <v>2.1640000000000001</v>
      </c>
      <c r="G45" s="12">
        <f t="shared" si="6"/>
        <v>2.2599999999999998</v>
      </c>
      <c r="H45" s="21">
        <f t="shared" si="6"/>
        <v>2.2599999999999998</v>
      </c>
      <c r="I45" s="17">
        <f>SUM(I43:I44)</f>
        <v>0</v>
      </c>
      <c r="J45" s="26">
        <f>SUM(J43:J44)</f>
        <v>0</v>
      </c>
      <c r="K45" s="17">
        <f t="shared" si="6"/>
        <v>0</v>
      </c>
      <c r="L45" s="26">
        <f t="shared" si="6"/>
        <v>0</v>
      </c>
      <c r="M45" s="17">
        <f t="shared" si="6"/>
        <v>0</v>
      </c>
      <c r="N45" s="26">
        <f t="shared" si="6"/>
        <v>0</v>
      </c>
      <c r="O45" s="17">
        <f t="shared" si="6"/>
        <v>5</v>
      </c>
      <c r="P45" s="26">
        <f t="shared" si="6"/>
        <v>5</v>
      </c>
      <c r="Q45" s="17">
        <f t="shared" si="6"/>
        <v>70</v>
      </c>
      <c r="R45" s="26">
        <f t="shared" si="6"/>
        <v>70</v>
      </c>
      <c r="S45" s="17">
        <f t="shared" si="6"/>
        <v>0</v>
      </c>
      <c r="T45" s="26">
        <f t="shared" si="6"/>
        <v>0</v>
      </c>
      <c r="U45" s="127"/>
      <c r="V45" s="147"/>
      <c r="W45" s="127"/>
      <c r="X45" s="122"/>
      <c r="Y45" s="127"/>
      <c r="Z45" s="123"/>
    </row>
    <row r="46" spans="1:26" x14ac:dyDescent="0.45">
      <c r="A46" t="s">
        <v>49</v>
      </c>
      <c r="B46" t="s">
        <v>22</v>
      </c>
      <c r="C46" t="s">
        <v>28</v>
      </c>
      <c r="D46" t="s">
        <v>51</v>
      </c>
      <c r="E46" s="9">
        <v>1.117</v>
      </c>
      <c r="F46" s="19">
        <v>1.117</v>
      </c>
      <c r="G46" s="9">
        <f>E46</f>
        <v>1.117</v>
      </c>
      <c r="H46" s="19">
        <v>0</v>
      </c>
      <c r="I46" s="14">
        <v>0</v>
      </c>
      <c r="J46" s="22">
        <v>0</v>
      </c>
      <c r="K46" s="14">
        <v>0</v>
      </c>
      <c r="L46" s="22">
        <v>0</v>
      </c>
      <c r="M46" s="14">
        <v>0</v>
      </c>
      <c r="N46" s="22">
        <v>0</v>
      </c>
      <c r="O46" s="14"/>
      <c r="P46" s="22">
        <v>0</v>
      </c>
      <c r="Q46" s="14">
        <v>0</v>
      </c>
      <c r="R46" s="22">
        <v>0</v>
      </c>
      <c r="S46" s="14">
        <v>0</v>
      </c>
      <c r="T46" s="22">
        <v>0</v>
      </c>
    </row>
    <row r="47" spans="1:26" x14ac:dyDescent="0.45">
      <c r="D47" t="s">
        <v>52</v>
      </c>
      <c r="E47" s="9">
        <v>1.294</v>
      </c>
      <c r="F47" s="226">
        <v>1.294</v>
      </c>
      <c r="G47" s="9">
        <f>E47</f>
        <v>1.294</v>
      </c>
      <c r="H47" s="226">
        <v>0.624</v>
      </c>
      <c r="I47" s="14">
        <v>0</v>
      </c>
      <c r="J47" s="22">
        <v>0</v>
      </c>
      <c r="K47" s="14">
        <v>0</v>
      </c>
      <c r="L47" s="22">
        <v>0</v>
      </c>
      <c r="M47" s="14">
        <v>0</v>
      </c>
      <c r="N47" s="22">
        <v>0</v>
      </c>
      <c r="O47" s="14"/>
      <c r="P47" s="22">
        <v>0</v>
      </c>
      <c r="Q47" s="14">
        <v>0</v>
      </c>
      <c r="R47" s="22">
        <v>0</v>
      </c>
      <c r="S47" s="14">
        <v>0</v>
      </c>
      <c r="T47" s="22">
        <v>0</v>
      </c>
    </row>
    <row r="48" spans="1:26" x14ac:dyDescent="0.45">
      <c r="B48" t="s">
        <v>23</v>
      </c>
      <c r="C48" t="s">
        <v>27</v>
      </c>
      <c r="D48" t="s">
        <v>51</v>
      </c>
      <c r="E48" s="9">
        <v>0</v>
      </c>
      <c r="F48" s="19">
        <v>0</v>
      </c>
      <c r="G48" s="9">
        <v>0</v>
      </c>
      <c r="H48" s="19">
        <v>0</v>
      </c>
      <c r="I48" s="14">
        <v>0</v>
      </c>
      <c r="J48" s="22">
        <v>0</v>
      </c>
      <c r="K48" s="14">
        <v>0</v>
      </c>
      <c r="L48" s="22">
        <v>0</v>
      </c>
      <c r="M48" s="14">
        <v>0</v>
      </c>
      <c r="N48" s="22">
        <v>0</v>
      </c>
      <c r="O48" s="14">
        <v>4</v>
      </c>
      <c r="P48" s="22">
        <v>4</v>
      </c>
      <c r="Q48" s="14">
        <v>0</v>
      </c>
      <c r="R48" s="22">
        <v>0</v>
      </c>
      <c r="S48" s="14">
        <v>0</v>
      </c>
      <c r="T48" s="22">
        <v>0</v>
      </c>
    </row>
    <row r="49" spans="1:26" ht="14.65" thickBot="1" x14ac:dyDescent="0.5">
      <c r="D49" t="s">
        <v>52</v>
      </c>
      <c r="E49" s="9">
        <v>0</v>
      </c>
      <c r="F49" s="19">
        <v>0</v>
      </c>
      <c r="G49" s="9">
        <v>0</v>
      </c>
      <c r="H49" s="19">
        <v>0</v>
      </c>
      <c r="I49" s="14">
        <v>0</v>
      </c>
      <c r="J49" s="22">
        <v>0</v>
      </c>
      <c r="K49" s="14">
        <v>0</v>
      </c>
      <c r="L49" s="22">
        <v>0</v>
      </c>
      <c r="M49" s="14">
        <v>0</v>
      </c>
      <c r="N49" s="22">
        <v>0</v>
      </c>
      <c r="O49" s="14">
        <v>1</v>
      </c>
      <c r="P49" s="22">
        <v>1</v>
      </c>
      <c r="Q49" s="14">
        <v>0</v>
      </c>
      <c r="R49" s="22">
        <v>0</v>
      </c>
      <c r="S49" s="14">
        <v>0</v>
      </c>
      <c r="T49" s="22">
        <v>0</v>
      </c>
    </row>
    <row r="50" spans="1:26" s="1" customFormat="1" ht="14.65" thickBot="1" x14ac:dyDescent="0.5">
      <c r="A50" s="120"/>
      <c r="B50" s="7"/>
      <c r="C50" s="7"/>
      <c r="D50" s="7" t="s">
        <v>9</v>
      </c>
      <c r="E50" s="12">
        <f>SUM(E46:E48)</f>
        <v>2.411</v>
      </c>
      <c r="F50" s="21">
        <f t="shared" ref="F50:T50" si="7">SUM(F46:F48)</f>
        <v>2.411</v>
      </c>
      <c r="G50" s="12">
        <f t="shared" si="7"/>
        <v>2.411</v>
      </c>
      <c r="H50" s="21">
        <f t="shared" si="7"/>
        <v>0.624</v>
      </c>
      <c r="I50" s="17">
        <f>SUM(I46:I48)</f>
        <v>0</v>
      </c>
      <c r="J50" s="26">
        <f>SUM(J46:J48)</f>
        <v>0</v>
      </c>
      <c r="K50" s="17">
        <f t="shared" si="7"/>
        <v>0</v>
      </c>
      <c r="L50" s="26">
        <f t="shared" si="7"/>
        <v>0</v>
      </c>
      <c r="M50" s="17">
        <f t="shared" si="7"/>
        <v>0</v>
      </c>
      <c r="N50" s="26">
        <f t="shared" si="7"/>
        <v>0</v>
      </c>
      <c r="O50" s="17">
        <f>SUM(O46:O49)</f>
        <v>5</v>
      </c>
      <c r="P50" s="26">
        <f>SUM(P46:P49)</f>
        <v>5</v>
      </c>
      <c r="Q50" s="17">
        <f t="shared" si="7"/>
        <v>0</v>
      </c>
      <c r="R50" s="26">
        <f t="shared" si="7"/>
        <v>0</v>
      </c>
      <c r="S50" s="17">
        <f t="shared" si="7"/>
        <v>0</v>
      </c>
      <c r="T50" s="26">
        <f t="shared" si="7"/>
        <v>0</v>
      </c>
      <c r="U50" s="127"/>
      <c r="V50" s="147"/>
      <c r="W50" s="127"/>
      <c r="X50" s="122"/>
      <c r="Y50" s="127"/>
      <c r="Z50" s="123"/>
    </row>
    <row r="51" spans="1:26" s="1" customFormat="1" ht="14.65" thickBot="1" x14ac:dyDescent="0.5">
      <c r="A51" s="7" t="s">
        <v>165</v>
      </c>
      <c r="B51" s="7"/>
      <c r="C51" s="7"/>
      <c r="D51" s="7"/>
      <c r="E51" s="12">
        <f>SUM(E17,E30,E42,E45,E50)</f>
        <v>30.322920000000003</v>
      </c>
      <c r="F51" s="21">
        <f t="shared" ref="F51:Z51" si="8">SUM(F17,F30,F42,F45,F50)</f>
        <v>23.511463100000004</v>
      </c>
      <c r="G51" s="12">
        <f t="shared" si="8"/>
        <v>35.229840000000003</v>
      </c>
      <c r="H51" s="21">
        <f t="shared" si="8"/>
        <v>21.031489999999994</v>
      </c>
      <c r="I51" s="21">
        <f t="shared" si="8"/>
        <v>19.741</v>
      </c>
      <c r="J51" s="26">
        <f>SUM(J17,J30,J42,J45,J50)</f>
        <v>0</v>
      </c>
      <c r="K51" s="17">
        <f t="shared" si="8"/>
        <v>4151</v>
      </c>
      <c r="L51" s="26">
        <f t="shared" si="8"/>
        <v>700</v>
      </c>
      <c r="M51" s="17">
        <f t="shared" si="8"/>
        <v>250</v>
      </c>
      <c r="N51" s="26">
        <f t="shared" si="8"/>
        <v>220</v>
      </c>
      <c r="O51" s="17">
        <f t="shared" si="8"/>
        <v>48</v>
      </c>
      <c r="P51" s="26">
        <f t="shared" si="8"/>
        <v>24</v>
      </c>
      <c r="Q51" s="17">
        <f t="shared" si="8"/>
        <v>1538</v>
      </c>
      <c r="R51" s="26">
        <f t="shared" si="8"/>
        <v>1509</v>
      </c>
      <c r="S51" s="17">
        <f t="shared" si="8"/>
        <v>96</v>
      </c>
      <c r="T51" s="26">
        <f t="shared" si="8"/>
        <v>96</v>
      </c>
      <c r="U51" s="118">
        <f t="shared" si="8"/>
        <v>4.5019999999999998</v>
      </c>
      <c r="V51" s="26">
        <f t="shared" si="8"/>
        <v>4.5019999999999998</v>
      </c>
      <c r="W51" s="118">
        <f t="shared" si="8"/>
        <v>0</v>
      </c>
      <c r="X51" s="119">
        <f t="shared" si="8"/>
        <v>0</v>
      </c>
      <c r="Y51" s="118">
        <f t="shared" si="8"/>
        <v>0</v>
      </c>
      <c r="Z51" s="119">
        <f t="shared" si="8"/>
        <v>0</v>
      </c>
    </row>
  </sheetData>
  <mergeCells count="11">
    <mergeCell ref="I2:J2"/>
    <mergeCell ref="K2:L2"/>
    <mergeCell ref="E2:F2"/>
    <mergeCell ref="G2:H2"/>
    <mergeCell ref="O2:P2"/>
    <mergeCell ref="U2:V2"/>
    <mergeCell ref="W2:X2"/>
    <mergeCell ref="Y2:Z2"/>
    <mergeCell ref="S2:T2"/>
    <mergeCell ref="M2:N2"/>
    <mergeCell ref="Q2:R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B52AD-4089-49C2-8EF5-37C8EB2857BE}">
  <dimension ref="A1:AA38"/>
  <sheetViews>
    <sheetView topLeftCell="A7" workbookViewId="0">
      <selection activeCell="J31" sqref="J31"/>
    </sheetView>
  </sheetViews>
  <sheetFormatPr defaultRowHeight="14.25" x14ac:dyDescent="0.45"/>
  <cols>
    <col min="4" max="4" width="15.73046875" customWidth="1"/>
    <col min="9" max="9" width="10.59765625" customWidth="1"/>
    <col min="20" max="20" width="8.86328125" style="77"/>
    <col min="22" max="22" width="8.86328125" style="77"/>
    <col min="24" max="24" width="8.86328125" style="77"/>
    <col min="26" max="26" width="8.86328125" style="77"/>
  </cols>
  <sheetData>
    <row r="1" spans="1:27" ht="14.65" thickBot="1" x14ac:dyDescent="0.5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81"/>
    </row>
    <row r="2" spans="1:27" x14ac:dyDescent="0.45">
      <c r="A2" s="2" t="s">
        <v>0</v>
      </c>
      <c r="B2" s="2" t="s">
        <v>11</v>
      </c>
      <c r="C2" s="2" t="s">
        <v>26</v>
      </c>
      <c r="D2" s="2" t="s">
        <v>1</v>
      </c>
      <c r="E2" s="299" t="s">
        <v>6</v>
      </c>
      <c r="F2" s="300"/>
      <c r="G2" s="299" t="s">
        <v>16</v>
      </c>
      <c r="H2" s="300"/>
      <c r="I2" s="299" t="s">
        <v>167</v>
      </c>
      <c r="J2" s="300"/>
      <c r="K2" s="299" t="s">
        <v>17</v>
      </c>
      <c r="L2" s="300"/>
      <c r="M2" s="299" t="s">
        <v>29</v>
      </c>
      <c r="N2" s="300"/>
      <c r="O2" s="299" t="s">
        <v>18</v>
      </c>
      <c r="P2" s="300"/>
      <c r="Q2" s="299" t="s">
        <v>19</v>
      </c>
      <c r="R2" s="300"/>
      <c r="S2" s="303" t="s">
        <v>20</v>
      </c>
      <c r="T2" s="304"/>
      <c r="U2" s="303" t="s">
        <v>162</v>
      </c>
      <c r="V2" s="304"/>
      <c r="W2" s="303" t="s">
        <v>161</v>
      </c>
      <c r="X2" s="304"/>
      <c r="Y2" s="303" t="s">
        <v>60</v>
      </c>
      <c r="Z2" s="304"/>
      <c r="AA2" s="56"/>
    </row>
    <row r="3" spans="1:27" ht="14.65" thickBot="1" x14ac:dyDescent="0.5">
      <c r="A3" s="3"/>
      <c r="B3" s="3"/>
      <c r="C3" s="3"/>
      <c r="D3" s="3"/>
      <c r="E3" s="3" t="s">
        <v>7</v>
      </c>
      <c r="F3" s="18" t="s">
        <v>8</v>
      </c>
      <c r="G3" s="3" t="s">
        <v>7</v>
      </c>
      <c r="H3" s="18" t="s">
        <v>8</v>
      </c>
      <c r="I3" s="3" t="s">
        <v>7</v>
      </c>
      <c r="J3" s="18" t="s">
        <v>8</v>
      </c>
      <c r="K3" s="3" t="s">
        <v>7</v>
      </c>
      <c r="L3" s="18" t="s">
        <v>8</v>
      </c>
      <c r="M3" s="3" t="s">
        <v>7</v>
      </c>
      <c r="N3" s="18" t="s">
        <v>8</v>
      </c>
      <c r="O3" s="3" t="s">
        <v>7</v>
      </c>
      <c r="P3" s="18" t="s">
        <v>8</v>
      </c>
      <c r="Q3" s="3" t="s">
        <v>7</v>
      </c>
      <c r="R3" s="18" t="s">
        <v>8</v>
      </c>
      <c r="S3" s="57" t="s">
        <v>7</v>
      </c>
      <c r="T3" s="82" t="s">
        <v>8</v>
      </c>
      <c r="U3" s="65" t="s">
        <v>7</v>
      </c>
      <c r="V3" s="78" t="s">
        <v>8</v>
      </c>
      <c r="W3" s="65" t="s">
        <v>7</v>
      </c>
      <c r="X3" s="78" t="s">
        <v>8</v>
      </c>
      <c r="Y3" s="65" t="s">
        <v>7</v>
      </c>
      <c r="Z3" s="78" t="s">
        <v>8</v>
      </c>
      <c r="AA3" s="56"/>
    </row>
    <row r="4" spans="1:27" ht="28.9" thickTop="1" x14ac:dyDescent="0.45">
      <c r="A4" s="66" t="s">
        <v>141</v>
      </c>
      <c r="B4" s="67" t="s">
        <v>142</v>
      </c>
      <c r="C4" s="66" t="s">
        <v>27</v>
      </c>
      <c r="D4" s="66" t="s">
        <v>143</v>
      </c>
      <c r="E4" s="9">
        <v>1.46</v>
      </c>
      <c r="F4" s="68">
        <v>0</v>
      </c>
      <c r="G4" s="14">
        <v>2.093</v>
      </c>
      <c r="H4" s="68">
        <v>0</v>
      </c>
      <c r="I4" s="69">
        <v>0</v>
      </c>
      <c r="J4" s="70">
        <v>0</v>
      </c>
      <c r="K4" s="69">
        <v>0</v>
      </c>
      <c r="L4" s="70">
        <v>0</v>
      </c>
      <c r="M4" s="69">
        <v>0</v>
      </c>
      <c r="N4" s="70">
        <v>0</v>
      </c>
      <c r="O4" s="69">
        <v>2</v>
      </c>
      <c r="P4" s="70">
        <v>0</v>
      </c>
      <c r="Q4" s="69">
        <v>62</v>
      </c>
      <c r="R4" s="70">
        <v>0</v>
      </c>
      <c r="S4" s="71">
        <v>0</v>
      </c>
      <c r="T4" s="83">
        <v>0</v>
      </c>
      <c r="U4" s="58">
        <v>0</v>
      </c>
      <c r="V4" s="88">
        <v>0</v>
      </c>
      <c r="W4" s="59">
        <v>0</v>
      </c>
      <c r="X4" s="79">
        <v>0</v>
      </c>
      <c r="Y4" s="59">
        <v>0</v>
      </c>
      <c r="Z4" s="79">
        <v>0</v>
      </c>
      <c r="AA4" s="56"/>
    </row>
    <row r="5" spans="1:27" x14ac:dyDescent="0.45">
      <c r="D5" t="s">
        <v>90</v>
      </c>
      <c r="E5" s="9">
        <v>2.218</v>
      </c>
      <c r="F5" s="19">
        <v>0</v>
      </c>
      <c r="G5" s="14">
        <v>3.96</v>
      </c>
      <c r="H5" s="19">
        <v>0</v>
      </c>
      <c r="I5" s="14">
        <v>0</v>
      </c>
      <c r="J5" s="22">
        <v>0</v>
      </c>
      <c r="K5" s="14">
        <v>0</v>
      </c>
      <c r="L5" s="22">
        <v>0</v>
      </c>
      <c r="M5" s="14">
        <v>0</v>
      </c>
      <c r="N5" s="22">
        <v>0</v>
      </c>
      <c r="O5" s="14">
        <v>1</v>
      </c>
      <c r="P5" s="22">
        <v>0</v>
      </c>
      <c r="Q5" s="14">
        <v>80</v>
      </c>
      <c r="R5" s="22">
        <v>0</v>
      </c>
      <c r="S5" s="59">
        <v>0</v>
      </c>
      <c r="T5" s="84">
        <v>0</v>
      </c>
      <c r="U5" s="58">
        <v>0</v>
      </c>
      <c r="V5" s="88">
        <v>0</v>
      </c>
      <c r="W5" s="59">
        <v>0</v>
      </c>
      <c r="X5" s="79">
        <v>0</v>
      </c>
      <c r="Y5" s="59">
        <v>0</v>
      </c>
      <c r="Z5" s="79">
        <v>0</v>
      </c>
      <c r="AA5" s="56"/>
    </row>
    <row r="6" spans="1:27" x14ac:dyDescent="0.45">
      <c r="D6" t="s">
        <v>91</v>
      </c>
      <c r="E6" s="9">
        <v>1.502</v>
      </c>
      <c r="F6" s="256">
        <v>1.502</v>
      </c>
      <c r="G6" s="14">
        <f>F6</f>
        <v>1.502</v>
      </c>
      <c r="H6" s="284">
        <f>G6</f>
        <v>1.502</v>
      </c>
      <c r="I6" s="14">
        <v>0</v>
      </c>
      <c r="J6" s="22">
        <v>0</v>
      </c>
      <c r="K6" s="14">
        <v>0</v>
      </c>
      <c r="L6" s="22">
        <v>0</v>
      </c>
      <c r="M6" s="14">
        <v>0</v>
      </c>
      <c r="N6" s="22">
        <v>0</v>
      </c>
      <c r="O6" s="14">
        <v>3</v>
      </c>
      <c r="P6" s="22">
        <v>0</v>
      </c>
      <c r="Q6" s="14">
        <v>56</v>
      </c>
      <c r="R6" s="22">
        <v>0</v>
      </c>
      <c r="S6" s="59">
        <v>0</v>
      </c>
      <c r="T6" s="84">
        <v>0</v>
      </c>
      <c r="U6" s="58">
        <v>0</v>
      </c>
      <c r="V6" s="88">
        <v>0</v>
      </c>
      <c r="W6" s="59">
        <v>0</v>
      </c>
      <c r="X6" s="79">
        <v>0</v>
      </c>
      <c r="Y6" s="59">
        <v>0</v>
      </c>
      <c r="Z6" s="79">
        <v>0</v>
      </c>
      <c r="AA6" s="56"/>
    </row>
    <row r="7" spans="1:27" x14ac:dyDescent="0.45">
      <c r="D7" t="s">
        <v>92</v>
      </c>
      <c r="E7" s="9">
        <v>1.84</v>
      </c>
      <c r="F7" s="256">
        <v>1.5</v>
      </c>
      <c r="G7" s="14">
        <v>3.36</v>
      </c>
      <c r="H7" s="19">
        <v>0</v>
      </c>
      <c r="I7" s="14">
        <v>0</v>
      </c>
      <c r="J7" s="22">
        <v>0</v>
      </c>
      <c r="K7" s="14">
        <v>0</v>
      </c>
      <c r="L7" s="22">
        <v>0</v>
      </c>
      <c r="M7" s="14">
        <v>0</v>
      </c>
      <c r="N7" s="22">
        <v>0</v>
      </c>
      <c r="O7" s="14">
        <v>1</v>
      </c>
      <c r="P7" s="22">
        <v>0</v>
      </c>
      <c r="Q7" s="14">
        <v>73</v>
      </c>
      <c r="R7" s="22">
        <v>0</v>
      </c>
      <c r="S7" s="59">
        <v>0</v>
      </c>
      <c r="T7" s="84">
        <v>0</v>
      </c>
      <c r="U7" s="58">
        <v>0</v>
      </c>
      <c r="V7" s="88">
        <v>0</v>
      </c>
      <c r="W7" s="59">
        <v>0</v>
      </c>
      <c r="X7" s="79">
        <v>0</v>
      </c>
      <c r="Y7" s="59">
        <v>0</v>
      </c>
      <c r="Z7" s="79">
        <v>0</v>
      </c>
      <c r="AA7" s="56"/>
    </row>
    <row r="8" spans="1:27" x14ac:dyDescent="0.45">
      <c r="D8" t="s">
        <v>144</v>
      </c>
      <c r="E8" s="9">
        <v>1.915</v>
      </c>
      <c r="F8" s="19">
        <v>1.915</v>
      </c>
      <c r="G8" s="14">
        <v>3.052</v>
      </c>
      <c r="H8" s="19">
        <v>0</v>
      </c>
      <c r="I8" s="14">
        <v>0</v>
      </c>
      <c r="J8" s="22">
        <v>0</v>
      </c>
      <c r="K8" s="14">
        <v>0</v>
      </c>
      <c r="L8" s="22">
        <v>0</v>
      </c>
      <c r="M8" s="14">
        <v>0</v>
      </c>
      <c r="N8" s="22">
        <v>0</v>
      </c>
      <c r="O8" s="14">
        <v>1</v>
      </c>
      <c r="P8" s="22">
        <v>0</v>
      </c>
      <c r="Q8" s="14">
        <v>75</v>
      </c>
      <c r="R8" s="22">
        <v>0</v>
      </c>
      <c r="S8" s="59">
        <v>0</v>
      </c>
      <c r="T8" s="84">
        <v>0</v>
      </c>
      <c r="U8" s="58">
        <v>0</v>
      </c>
      <c r="V8" s="88">
        <v>0</v>
      </c>
      <c r="W8" s="59">
        <v>0</v>
      </c>
      <c r="X8" s="79">
        <v>0</v>
      </c>
      <c r="Y8" s="59">
        <v>0</v>
      </c>
      <c r="Z8" s="79">
        <v>0</v>
      </c>
      <c r="AA8" s="56"/>
    </row>
    <row r="9" spans="1:27" x14ac:dyDescent="0.45">
      <c r="D9" t="s">
        <v>93</v>
      </c>
      <c r="E9" s="9">
        <v>2.4849999999999999</v>
      </c>
      <c r="F9" s="19">
        <v>2.4849999999999999</v>
      </c>
      <c r="G9" s="14">
        <v>4.97</v>
      </c>
      <c r="H9" s="19">
        <v>0</v>
      </c>
      <c r="I9" s="14">
        <v>0</v>
      </c>
      <c r="J9" s="22">
        <v>0</v>
      </c>
      <c r="K9" s="14">
        <v>0</v>
      </c>
      <c r="L9" s="22">
        <v>0</v>
      </c>
      <c r="M9" s="14">
        <v>1</v>
      </c>
      <c r="N9" s="22">
        <v>0</v>
      </c>
      <c r="O9" s="14">
        <v>0</v>
      </c>
      <c r="P9" s="22">
        <v>0</v>
      </c>
      <c r="Q9" s="59">
        <v>90</v>
      </c>
      <c r="R9" s="22">
        <v>0</v>
      </c>
      <c r="S9" s="59">
        <v>1</v>
      </c>
      <c r="T9" s="84">
        <v>1</v>
      </c>
      <c r="U9" s="58">
        <v>0</v>
      </c>
      <c r="V9" s="88">
        <v>0</v>
      </c>
      <c r="W9" s="59">
        <v>0</v>
      </c>
      <c r="X9" s="79">
        <v>0</v>
      </c>
      <c r="Y9" s="59">
        <v>0</v>
      </c>
      <c r="Z9" s="79">
        <v>0</v>
      </c>
      <c r="AA9" s="56"/>
    </row>
    <row r="10" spans="1:27" ht="28.5" x14ac:dyDescent="0.45">
      <c r="A10" s="72"/>
      <c r="B10" s="73" t="s">
        <v>183</v>
      </c>
      <c r="C10" s="72" t="s">
        <v>28</v>
      </c>
      <c r="D10" s="72" t="s">
        <v>143</v>
      </c>
      <c r="E10" s="42">
        <v>0</v>
      </c>
      <c r="F10" s="43">
        <v>0</v>
      </c>
      <c r="G10" s="42">
        <v>0</v>
      </c>
      <c r="H10" s="43">
        <v>0</v>
      </c>
      <c r="I10" s="44">
        <v>0</v>
      </c>
      <c r="J10" s="45">
        <v>0</v>
      </c>
      <c r="K10" s="44">
        <v>0</v>
      </c>
      <c r="L10" s="45">
        <v>0</v>
      </c>
      <c r="M10" s="44">
        <v>0</v>
      </c>
      <c r="N10" s="45">
        <v>0</v>
      </c>
      <c r="O10" s="44">
        <v>2</v>
      </c>
      <c r="P10" s="45">
        <v>0</v>
      </c>
      <c r="Q10" s="14">
        <v>58</v>
      </c>
      <c r="R10" s="45">
        <v>0</v>
      </c>
      <c r="S10" s="61">
        <v>0</v>
      </c>
      <c r="T10" s="85">
        <v>0</v>
      </c>
      <c r="U10" s="58">
        <v>2.093</v>
      </c>
      <c r="V10" s="79">
        <v>0</v>
      </c>
      <c r="W10" s="59">
        <v>0</v>
      </c>
      <c r="X10" s="79">
        <v>0</v>
      </c>
      <c r="Y10" s="59">
        <v>0</v>
      </c>
      <c r="Z10" s="79">
        <v>0</v>
      </c>
      <c r="AA10" s="56"/>
    </row>
    <row r="11" spans="1:27" x14ac:dyDescent="0.45">
      <c r="D11" t="s">
        <v>90</v>
      </c>
      <c r="E11" s="9">
        <v>0</v>
      </c>
      <c r="F11" s="19">
        <v>0</v>
      </c>
      <c r="G11" s="9">
        <v>0</v>
      </c>
      <c r="H11" s="19">
        <v>0</v>
      </c>
      <c r="I11" s="14">
        <v>0</v>
      </c>
      <c r="J11" s="22">
        <v>0</v>
      </c>
      <c r="K11" s="14">
        <v>0</v>
      </c>
      <c r="L11" s="22">
        <v>0</v>
      </c>
      <c r="M11" s="46">
        <v>0</v>
      </c>
      <c r="N11" s="47">
        <v>0</v>
      </c>
      <c r="O11" s="46">
        <v>1</v>
      </c>
      <c r="P11" s="47">
        <v>0</v>
      </c>
      <c r="Q11" s="14">
        <v>79</v>
      </c>
      <c r="R11" s="47">
        <v>0</v>
      </c>
      <c r="S11" s="59">
        <v>0</v>
      </c>
      <c r="T11" s="84">
        <v>0</v>
      </c>
      <c r="U11" s="58">
        <v>3.96</v>
      </c>
      <c r="V11" s="79">
        <v>0</v>
      </c>
      <c r="W11" s="59">
        <v>0</v>
      </c>
      <c r="X11" s="79">
        <v>0</v>
      </c>
      <c r="Y11" s="59">
        <v>0</v>
      </c>
      <c r="Z11" s="79">
        <v>0</v>
      </c>
      <c r="AA11" s="56"/>
    </row>
    <row r="12" spans="1:27" x14ac:dyDescent="0.45">
      <c r="D12" t="s">
        <v>91</v>
      </c>
      <c r="E12" s="9">
        <v>0</v>
      </c>
      <c r="F12" s="19">
        <v>0</v>
      </c>
      <c r="G12" s="9">
        <v>2.0059999999999998</v>
      </c>
      <c r="H12" s="19">
        <v>0</v>
      </c>
      <c r="I12" s="14">
        <v>0</v>
      </c>
      <c r="J12" s="22">
        <v>0</v>
      </c>
      <c r="K12" s="14">
        <v>0</v>
      </c>
      <c r="L12" s="22">
        <v>0</v>
      </c>
      <c r="M12" s="46">
        <v>2</v>
      </c>
      <c r="N12" s="47">
        <v>0</v>
      </c>
      <c r="O12" s="46">
        <v>3</v>
      </c>
      <c r="P12" s="47">
        <v>0</v>
      </c>
      <c r="Q12" s="14">
        <v>56</v>
      </c>
      <c r="R12" s="47">
        <v>0</v>
      </c>
      <c r="S12" s="59">
        <v>1</v>
      </c>
      <c r="T12" s="84">
        <v>0</v>
      </c>
      <c r="U12" s="58">
        <v>4.63</v>
      </c>
      <c r="V12" s="79">
        <v>0</v>
      </c>
      <c r="W12" s="59">
        <v>0</v>
      </c>
      <c r="X12" s="79">
        <v>0</v>
      </c>
      <c r="Y12" s="59">
        <v>0</v>
      </c>
      <c r="Z12" s="79">
        <v>0</v>
      </c>
      <c r="AA12" s="56"/>
    </row>
    <row r="13" spans="1:27" x14ac:dyDescent="0.45">
      <c r="D13" t="s">
        <v>92</v>
      </c>
      <c r="E13" s="9">
        <v>0</v>
      </c>
      <c r="F13" s="19">
        <v>0</v>
      </c>
      <c r="G13" s="9">
        <v>0</v>
      </c>
      <c r="H13" s="19">
        <v>0</v>
      </c>
      <c r="I13" s="14">
        <v>0</v>
      </c>
      <c r="J13" s="22">
        <v>0</v>
      </c>
      <c r="K13" s="14">
        <v>0</v>
      </c>
      <c r="L13" s="22">
        <v>0</v>
      </c>
      <c r="M13" s="46">
        <v>0</v>
      </c>
      <c r="N13" s="47">
        <v>0</v>
      </c>
      <c r="O13" s="46">
        <v>1</v>
      </c>
      <c r="P13" s="47">
        <v>0</v>
      </c>
      <c r="Q13" s="14">
        <v>66</v>
      </c>
      <c r="R13" s="47">
        <v>0</v>
      </c>
      <c r="S13" s="59">
        <v>0</v>
      </c>
      <c r="T13" s="84">
        <v>0</v>
      </c>
      <c r="U13" s="58">
        <v>3.36</v>
      </c>
      <c r="V13" s="79">
        <v>0</v>
      </c>
      <c r="W13" s="59">
        <v>0</v>
      </c>
      <c r="X13" s="79">
        <v>0</v>
      </c>
      <c r="Y13" s="59">
        <v>0</v>
      </c>
      <c r="Z13" s="79">
        <v>0</v>
      </c>
      <c r="AA13" s="56"/>
    </row>
    <row r="14" spans="1:27" x14ac:dyDescent="0.45">
      <c r="D14" t="s">
        <v>144</v>
      </c>
      <c r="E14" s="9">
        <v>0</v>
      </c>
      <c r="F14" s="19">
        <v>0</v>
      </c>
      <c r="G14" s="9">
        <v>0</v>
      </c>
      <c r="H14" s="19">
        <v>0</v>
      </c>
      <c r="I14" s="14">
        <v>0.70799999999999996</v>
      </c>
      <c r="J14" s="22">
        <v>0</v>
      </c>
      <c r="K14" s="14">
        <v>0</v>
      </c>
      <c r="L14" s="22">
        <v>0</v>
      </c>
      <c r="M14" s="46">
        <v>1</v>
      </c>
      <c r="N14" s="47">
        <v>0</v>
      </c>
      <c r="O14" s="46">
        <v>2</v>
      </c>
      <c r="P14" s="47">
        <v>0</v>
      </c>
      <c r="Q14" s="14">
        <v>71</v>
      </c>
      <c r="R14" s="47">
        <v>0</v>
      </c>
      <c r="S14" s="59">
        <v>0</v>
      </c>
      <c r="T14" s="84">
        <v>0</v>
      </c>
      <c r="U14" s="58">
        <v>3.052</v>
      </c>
      <c r="V14" s="84">
        <v>0</v>
      </c>
      <c r="W14" s="59">
        <v>0</v>
      </c>
      <c r="X14" s="84">
        <v>0</v>
      </c>
      <c r="Y14" s="59">
        <v>0</v>
      </c>
      <c r="Z14" s="84">
        <v>0</v>
      </c>
      <c r="AA14" s="56"/>
    </row>
    <row r="15" spans="1:27" x14ac:dyDescent="0.45">
      <c r="D15" t="s">
        <v>93</v>
      </c>
      <c r="E15" s="9">
        <v>0</v>
      </c>
      <c r="F15" s="19">
        <v>0</v>
      </c>
      <c r="G15" s="9">
        <v>0</v>
      </c>
      <c r="H15" s="19">
        <v>0</v>
      </c>
      <c r="I15" s="14">
        <v>0</v>
      </c>
      <c r="J15" s="22">
        <v>0</v>
      </c>
      <c r="K15" s="14">
        <v>0</v>
      </c>
      <c r="L15" s="22">
        <v>0</v>
      </c>
      <c r="M15" s="46">
        <v>0</v>
      </c>
      <c r="N15" s="47">
        <v>0</v>
      </c>
      <c r="O15" s="46">
        <v>3</v>
      </c>
      <c r="P15" s="47">
        <v>0</v>
      </c>
      <c r="Q15" s="14">
        <v>90</v>
      </c>
      <c r="R15" s="47">
        <v>0</v>
      </c>
      <c r="S15" s="59">
        <v>1</v>
      </c>
      <c r="T15" s="84">
        <v>0</v>
      </c>
      <c r="U15" s="58">
        <v>4.97</v>
      </c>
      <c r="V15" s="79">
        <v>0</v>
      </c>
      <c r="W15" s="59">
        <v>0</v>
      </c>
      <c r="X15" s="79">
        <v>0</v>
      </c>
      <c r="Y15" s="59">
        <v>0</v>
      </c>
      <c r="Z15" s="79">
        <v>0</v>
      </c>
      <c r="AA15" s="56"/>
    </row>
    <row r="16" spans="1:27" x14ac:dyDescent="0.45">
      <c r="B16" t="s">
        <v>23</v>
      </c>
      <c r="C16" t="s">
        <v>27</v>
      </c>
      <c r="D16" t="s">
        <v>144</v>
      </c>
      <c r="E16" s="9">
        <v>0</v>
      </c>
      <c r="F16" s="19">
        <v>0</v>
      </c>
      <c r="G16" s="9">
        <v>0</v>
      </c>
      <c r="H16" s="19">
        <v>0</v>
      </c>
      <c r="I16" s="14">
        <v>0</v>
      </c>
      <c r="J16" s="22">
        <v>0</v>
      </c>
      <c r="K16" s="14">
        <v>0</v>
      </c>
      <c r="L16" s="22">
        <v>0</v>
      </c>
      <c r="M16" s="46">
        <v>0</v>
      </c>
      <c r="N16" s="47">
        <v>0</v>
      </c>
      <c r="O16" s="46">
        <v>1</v>
      </c>
      <c r="P16" s="47">
        <v>1</v>
      </c>
      <c r="Q16" s="46">
        <v>0</v>
      </c>
      <c r="R16" s="47">
        <f>Q16</f>
        <v>0</v>
      </c>
      <c r="S16" s="59">
        <v>0</v>
      </c>
      <c r="T16" s="84">
        <v>0</v>
      </c>
      <c r="U16" s="59">
        <v>0</v>
      </c>
      <c r="V16" s="79">
        <v>0</v>
      </c>
      <c r="W16" s="59">
        <v>0</v>
      </c>
      <c r="X16" s="79">
        <v>0</v>
      </c>
      <c r="Y16" s="59">
        <v>0</v>
      </c>
      <c r="Z16" s="79">
        <v>0</v>
      </c>
      <c r="AA16" s="56"/>
    </row>
    <row r="17" spans="1:27" x14ac:dyDescent="0.45">
      <c r="D17" t="s">
        <v>90</v>
      </c>
      <c r="E17" s="9">
        <v>0</v>
      </c>
      <c r="F17" s="19">
        <v>0</v>
      </c>
      <c r="G17" s="9">
        <v>0</v>
      </c>
      <c r="H17" s="19">
        <v>0</v>
      </c>
      <c r="I17" s="14">
        <v>0</v>
      </c>
      <c r="J17" s="22">
        <v>0</v>
      </c>
      <c r="K17" s="14">
        <v>0</v>
      </c>
      <c r="L17" s="22">
        <v>0</v>
      </c>
      <c r="M17" s="46">
        <v>0</v>
      </c>
      <c r="N17" s="47">
        <v>0</v>
      </c>
      <c r="O17" s="46">
        <v>1</v>
      </c>
      <c r="P17" s="47">
        <v>1</v>
      </c>
      <c r="Q17" s="46">
        <v>0</v>
      </c>
      <c r="R17" s="47">
        <v>0</v>
      </c>
      <c r="S17" s="59">
        <v>0</v>
      </c>
      <c r="T17" s="84">
        <v>0</v>
      </c>
      <c r="U17" s="59">
        <v>0</v>
      </c>
      <c r="V17" s="79">
        <v>0</v>
      </c>
      <c r="W17" s="59">
        <v>0</v>
      </c>
      <c r="X17" s="79">
        <v>0</v>
      </c>
      <c r="Y17" s="59">
        <v>0</v>
      </c>
      <c r="Z17" s="79">
        <v>0</v>
      </c>
      <c r="AA17" s="56"/>
    </row>
    <row r="18" spans="1:27" x14ac:dyDescent="0.45">
      <c r="D18" t="s">
        <v>93</v>
      </c>
      <c r="E18" s="9">
        <v>0</v>
      </c>
      <c r="F18" s="19">
        <v>0</v>
      </c>
      <c r="G18" s="9">
        <v>0</v>
      </c>
      <c r="H18" s="19">
        <v>0</v>
      </c>
      <c r="I18" s="14">
        <v>0</v>
      </c>
      <c r="J18" s="22">
        <v>0</v>
      </c>
      <c r="K18" s="14">
        <v>0</v>
      </c>
      <c r="L18" s="22">
        <v>0</v>
      </c>
      <c r="M18" s="46">
        <v>0</v>
      </c>
      <c r="N18" s="47">
        <v>0</v>
      </c>
      <c r="O18" s="46">
        <v>1</v>
      </c>
      <c r="P18" s="47">
        <v>1</v>
      </c>
      <c r="Q18" s="46">
        <v>0</v>
      </c>
      <c r="R18" s="47">
        <v>0</v>
      </c>
      <c r="S18" s="59">
        <v>0</v>
      </c>
      <c r="T18" s="84">
        <v>0</v>
      </c>
      <c r="U18" s="59">
        <v>0</v>
      </c>
      <c r="V18" s="84">
        <v>0</v>
      </c>
      <c r="W18" s="59">
        <v>0</v>
      </c>
      <c r="X18" s="84">
        <v>0</v>
      </c>
      <c r="Y18" s="59">
        <v>0</v>
      </c>
      <c r="Z18" s="84">
        <v>0</v>
      </c>
      <c r="AA18" s="56"/>
    </row>
    <row r="19" spans="1:27" ht="14.65" thickBot="1" x14ac:dyDescent="0.5">
      <c r="D19" t="s">
        <v>143</v>
      </c>
      <c r="E19" s="9">
        <v>0</v>
      </c>
      <c r="F19" s="19">
        <v>0</v>
      </c>
      <c r="G19" s="9">
        <v>0</v>
      </c>
      <c r="H19" s="19">
        <v>0</v>
      </c>
      <c r="I19" s="14">
        <v>0</v>
      </c>
      <c r="J19" s="22">
        <v>0</v>
      </c>
      <c r="K19" s="14">
        <v>0</v>
      </c>
      <c r="L19" s="22">
        <v>0</v>
      </c>
      <c r="M19" s="46">
        <v>0</v>
      </c>
      <c r="N19" s="47">
        <v>0</v>
      </c>
      <c r="O19" s="46">
        <v>1</v>
      </c>
      <c r="P19" s="47">
        <v>1</v>
      </c>
      <c r="Q19" s="46">
        <v>0</v>
      </c>
      <c r="R19" s="47">
        <v>0</v>
      </c>
      <c r="S19" s="59">
        <v>0</v>
      </c>
      <c r="T19" s="84">
        <v>0</v>
      </c>
      <c r="U19" s="59">
        <v>0</v>
      </c>
      <c r="V19" s="84">
        <v>0</v>
      </c>
      <c r="W19" s="59">
        <v>0</v>
      </c>
      <c r="X19" s="84">
        <v>0</v>
      </c>
      <c r="Y19" s="59">
        <v>0</v>
      </c>
      <c r="Z19" s="84">
        <v>0</v>
      </c>
      <c r="AA19" s="56"/>
    </row>
    <row r="20" spans="1:27" ht="14.65" thickBot="1" x14ac:dyDescent="0.5">
      <c r="A20" s="124"/>
      <c r="B20" s="125"/>
      <c r="C20" s="125"/>
      <c r="D20" s="7" t="s">
        <v>9</v>
      </c>
      <c r="E20" s="12">
        <f t="shared" ref="E20:Z20" si="0">SUM(E4:E19)</f>
        <v>11.419999999999998</v>
      </c>
      <c r="F20" s="21">
        <f t="shared" si="0"/>
        <v>7.4019999999999992</v>
      </c>
      <c r="G20" s="12">
        <f t="shared" si="0"/>
        <v>20.942999999999998</v>
      </c>
      <c r="H20" s="21">
        <f t="shared" si="0"/>
        <v>1.502</v>
      </c>
      <c r="I20" s="12">
        <f t="shared" si="0"/>
        <v>0.70799999999999996</v>
      </c>
      <c r="J20" s="26">
        <f t="shared" si="0"/>
        <v>0</v>
      </c>
      <c r="K20" s="17">
        <f t="shared" si="0"/>
        <v>0</v>
      </c>
      <c r="L20" s="26">
        <f t="shared" si="0"/>
        <v>0</v>
      </c>
      <c r="M20" s="17">
        <f t="shared" si="0"/>
        <v>4</v>
      </c>
      <c r="N20" s="26">
        <f t="shared" si="0"/>
        <v>0</v>
      </c>
      <c r="O20" s="17">
        <f t="shared" si="0"/>
        <v>24</v>
      </c>
      <c r="P20" s="26">
        <f t="shared" si="0"/>
        <v>4</v>
      </c>
      <c r="Q20" s="17">
        <f t="shared" si="0"/>
        <v>856</v>
      </c>
      <c r="R20" s="26">
        <f t="shared" si="0"/>
        <v>0</v>
      </c>
      <c r="S20" s="118">
        <f t="shared" si="0"/>
        <v>3</v>
      </c>
      <c r="T20" s="119">
        <f t="shared" si="0"/>
        <v>1</v>
      </c>
      <c r="U20" s="64">
        <f t="shared" si="0"/>
        <v>22.064999999999998</v>
      </c>
      <c r="V20" s="87">
        <f t="shared" si="0"/>
        <v>0</v>
      </c>
      <c r="W20" s="118">
        <f t="shared" si="0"/>
        <v>0</v>
      </c>
      <c r="X20" s="119">
        <f t="shared" si="0"/>
        <v>0</v>
      </c>
      <c r="Y20" s="118">
        <f t="shared" si="0"/>
        <v>0</v>
      </c>
      <c r="Z20" s="126">
        <f t="shared" si="0"/>
        <v>0</v>
      </c>
      <c r="AA20" s="56"/>
    </row>
    <row r="21" spans="1:27" x14ac:dyDescent="0.45">
      <c r="A21" s="6" t="s">
        <v>94</v>
      </c>
      <c r="B21" s="6" t="s">
        <v>22</v>
      </c>
      <c r="C21" s="6" t="s">
        <v>27</v>
      </c>
      <c r="D21" s="6" t="s">
        <v>145</v>
      </c>
      <c r="E21" s="11">
        <v>2.4</v>
      </c>
      <c r="F21" s="257">
        <v>2.4</v>
      </c>
      <c r="G21" s="11">
        <v>3.9</v>
      </c>
      <c r="H21" s="11">
        <v>3.9</v>
      </c>
      <c r="I21" s="16">
        <v>0</v>
      </c>
      <c r="J21" s="24">
        <v>0</v>
      </c>
      <c r="K21" s="16">
        <v>0</v>
      </c>
      <c r="L21" s="24">
        <v>0</v>
      </c>
      <c r="M21" s="16">
        <v>1</v>
      </c>
      <c r="N21" s="24">
        <v>1</v>
      </c>
      <c r="O21" s="16">
        <v>2</v>
      </c>
      <c r="P21" s="24">
        <v>2</v>
      </c>
      <c r="Q21" s="16">
        <v>32</v>
      </c>
      <c r="R21" s="24">
        <v>0</v>
      </c>
      <c r="S21" s="62">
        <v>0</v>
      </c>
      <c r="T21" s="86">
        <v>0</v>
      </c>
      <c r="U21" s="63">
        <v>3.5</v>
      </c>
      <c r="V21" s="89">
        <v>3.5</v>
      </c>
      <c r="W21" s="59">
        <v>0</v>
      </c>
      <c r="X21" s="79">
        <v>0</v>
      </c>
      <c r="Y21" s="59">
        <v>0</v>
      </c>
      <c r="Z21" s="79">
        <v>0</v>
      </c>
      <c r="AA21" s="56"/>
    </row>
    <row r="22" spans="1:27" ht="14.65" thickBot="1" x14ac:dyDescent="0.5">
      <c r="B22" t="s">
        <v>23</v>
      </c>
      <c r="C22" t="s">
        <v>27</v>
      </c>
      <c r="D22" t="s">
        <v>145</v>
      </c>
      <c r="E22" s="9">
        <v>0</v>
      </c>
      <c r="F22" s="19">
        <v>0</v>
      </c>
      <c r="G22" s="9">
        <v>0</v>
      </c>
      <c r="H22" s="19">
        <v>0</v>
      </c>
      <c r="I22" s="14">
        <v>0</v>
      </c>
      <c r="J22" s="22">
        <v>0</v>
      </c>
      <c r="K22" s="14">
        <v>0</v>
      </c>
      <c r="L22" s="22">
        <v>0</v>
      </c>
      <c r="M22" s="14">
        <v>0</v>
      </c>
      <c r="N22" s="22">
        <v>0</v>
      </c>
      <c r="O22" s="14">
        <v>3</v>
      </c>
      <c r="P22" s="22">
        <v>3</v>
      </c>
      <c r="Q22" s="14">
        <v>0</v>
      </c>
      <c r="R22" s="22">
        <f>Q22</f>
        <v>0</v>
      </c>
      <c r="S22" s="59">
        <v>35</v>
      </c>
      <c r="T22" s="84">
        <v>35</v>
      </c>
      <c r="U22" s="59">
        <v>0</v>
      </c>
      <c r="V22" s="79">
        <v>0</v>
      </c>
      <c r="W22" s="59">
        <v>0</v>
      </c>
      <c r="X22" s="79">
        <v>0</v>
      </c>
      <c r="Y22" s="59">
        <v>0</v>
      </c>
      <c r="Z22" s="79">
        <v>0</v>
      </c>
      <c r="AA22" s="56"/>
    </row>
    <row r="23" spans="1:27" ht="14.65" thickBot="1" x14ac:dyDescent="0.5">
      <c r="A23" s="120"/>
      <c r="B23" s="7"/>
      <c r="C23" s="7"/>
      <c r="D23" s="7" t="s">
        <v>9</v>
      </c>
      <c r="E23" s="12">
        <f t="shared" ref="E23:Z23" si="1">SUM(E21:E22)</f>
        <v>2.4</v>
      </c>
      <c r="F23" s="21">
        <f t="shared" si="1"/>
        <v>2.4</v>
      </c>
      <c r="G23" s="12">
        <f t="shared" si="1"/>
        <v>3.9</v>
      </c>
      <c r="H23" s="164">
        <f t="shared" si="1"/>
        <v>3.9</v>
      </c>
      <c r="I23" s="17">
        <f t="shared" si="1"/>
        <v>0</v>
      </c>
      <c r="J23" s="26">
        <f t="shared" si="1"/>
        <v>0</v>
      </c>
      <c r="K23" s="17">
        <f t="shared" si="1"/>
        <v>0</v>
      </c>
      <c r="L23" s="26">
        <f t="shared" si="1"/>
        <v>0</v>
      </c>
      <c r="M23" s="17">
        <f t="shared" si="1"/>
        <v>1</v>
      </c>
      <c r="N23" s="26">
        <f t="shared" si="1"/>
        <v>1</v>
      </c>
      <c r="O23" s="17">
        <f t="shared" si="1"/>
        <v>5</v>
      </c>
      <c r="P23" s="26">
        <f t="shared" si="1"/>
        <v>5</v>
      </c>
      <c r="Q23" s="17">
        <f t="shared" si="1"/>
        <v>32</v>
      </c>
      <c r="R23" s="26">
        <f t="shared" si="1"/>
        <v>0</v>
      </c>
      <c r="S23" s="118">
        <f t="shared" si="1"/>
        <v>35</v>
      </c>
      <c r="T23" s="119">
        <f t="shared" si="1"/>
        <v>35</v>
      </c>
      <c r="U23" s="128">
        <f t="shared" si="1"/>
        <v>3.5</v>
      </c>
      <c r="V23" s="129">
        <f t="shared" si="1"/>
        <v>3.5</v>
      </c>
      <c r="W23" s="118">
        <f t="shared" si="1"/>
        <v>0</v>
      </c>
      <c r="X23" s="119">
        <f t="shared" si="1"/>
        <v>0</v>
      </c>
      <c r="Y23" s="118">
        <f t="shared" si="1"/>
        <v>0</v>
      </c>
      <c r="Z23" s="126">
        <f t="shared" si="1"/>
        <v>0</v>
      </c>
      <c r="AA23" s="56"/>
    </row>
    <row r="24" spans="1:27" x14ac:dyDescent="0.45">
      <c r="A24" s="6" t="s">
        <v>95</v>
      </c>
      <c r="B24" s="6" t="s">
        <v>22</v>
      </c>
      <c r="C24" s="6" t="s">
        <v>27</v>
      </c>
      <c r="D24" s="41" t="s">
        <v>146</v>
      </c>
      <c r="E24" s="11">
        <v>1.5149999999999999</v>
      </c>
      <c r="F24" s="20">
        <v>1.5149999999999999</v>
      </c>
      <c r="G24" s="257">
        <v>2.2999999999999998</v>
      </c>
      <c r="H24" s="258">
        <v>1.68</v>
      </c>
      <c r="I24" s="257">
        <v>0.93</v>
      </c>
      <c r="J24" s="24">
        <v>0</v>
      </c>
      <c r="K24" s="16">
        <v>63</v>
      </c>
      <c r="L24" s="24">
        <v>0</v>
      </c>
      <c r="M24" s="16">
        <v>1</v>
      </c>
      <c r="N24" s="24">
        <v>1</v>
      </c>
      <c r="O24" s="16">
        <v>2</v>
      </c>
      <c r="P24" s="24">
        <v>0</v>
      </c>
      <c r="Q24" s="16">
        <v>0</v>
      </c>
      <c r="R24" s="24">
        <v>0</v>
      </c>
      <c r="S24" s="62">
        <v>2</v>
      </c>
      <c r="T24" s="86">
        <v>0</v>
      </c>
      <c r="U24" s="63">
        <v>2.2999999999999998</v>
      </c>
      <c r="V24" s="89">
        <v>1.5</v>
      </c>
      <c r="W24" s="60">
        <v>0</v>
      </c>
      <c r="X24" s="79">
        <v>0</v>
      </c>
      <c r="Y24" s="60">
        <v>0</v>
      </c>
      <c r="Z24" s="79">
        <v>0</v>
      </c>
      <c r="AA24" s="56"/>
    </row>
    <row r="25" spans="1:27" ht="14.65" thickBot="1" x14ac:dyDescent="0.5">
      <c r="B25" t="s">
        <v>23</v>
      </c>
      <c r="C25" t="s">
        <v>27</v>
      </c>
      <c r="D25" s="41" t="s">
        <v>146</v>
      </c>
      <c r="E25" s="9">
        <v>0</v>
      </c>
      <c r="F25" s="19">
        <v>0</v>
      </c>
      <c r="G25" s="9">
        <v>0</v>
      </c>
      <c r="H25" s="19">
        <v>0</v>
      </c>
      <c r="I25" s="14">
        <v>0</v>
      </c>
      <c r="J25" s="22">
        <v>0</v>
      </c>
      <c r="K25" s="14">
        <v>0</v>
      </c>
      <c r="L25" s="22">
        <v>0</v>
      </c>
      <c r="M25" s="14">
        <v>0</v>
      </c>
      <c r="N25" s="22">
        <v>0</v>
      </c>
      <c r="O25" s="14">
        <v>0</v>
      </c>
      <c r="P25" s="22">
        <v>0</v>
      </c>
      <c r="Q25" s="14">
        <v>25</v>
      </c>
      <c r="R25" s="22">
        <v>19</v>
      </c>
      <c r="S25" s="59">
        <v>2</v>
      </c>
      <c r="T25" s="84">
        <v>0</v>
      </c>
      <c r="U25" s="59">
        <v>0</v>
      </c>
      <c r="V25" s="84">
        <v>0</v>
      </c>
      <c r="W25" s="59">
        <v>0</v>
      </c>
      <c r="X25" s="84">
        <v>0</v>
      </c>
      <c r="Y25" s="59">
        <v>0</v>
      </c>
      <c r="Z25" s="84">
        <v>0</v>
      </c>
      <c r="AA25" s="56"/>
    </row>
    <row r="26" spans="1:27" ht="14.65" thickBot="1" x14ac:dyDescent="0.5">
      <c r="A26" s="120"/>
      <c r="B26" s="7"/>
      <c r="C26" s="7"/>
      <c r="D26" s="7" t="s">
        <v>9</v>
      </c>
      <c r="E26" s="254">
        <f t="shared" ref="E26:Z26" si="2">SUM(E24:E25)</f>
        <v>1.5149999999999999</v>
      </c>
      <c r="F26" s="21">
        <f t="shared" si="2"/>
        <v>1.5149999999999999</v>
      </c>
      <c r="G26" s="12">
        <f t="shared" si="2"/>
        <v>2.2999999999999998</v>
      </c>
      <c r="H26" s="253">
        <f t="shared" si="2"/>
        <v>1.68</v>
      </c>
      <c r="I26" s="257">
        <f>SUM(I24:I25)</f>
        <v>0.93</v>
      </c>
      <c r="J26" s="26">
        <f t="shared" si="2"/>
        <v>0</v>
      </c>
      <c r="K26" s="17">
        <f t="shared" si="2"/>
        <v>63</v>
      </c>
      <c r="L26" s="26">
        <f t="shared" si="2"/>
        <v>0</v>
      </c>
      <c r="M26" s="17">
        <f t="shared" si="2"/>
        <v>1</v>
      </c>
      <c r="N26" s="26">
        <f t="shared" si="2"/>
        <v>1</v>
      </c>
      <c r="O26" s="17">
        <f t="shared" si="2"/>
        <v>2</v>
      </c>
      <c r="P26" s="26">
        <f t="shared" si="2"/>
        <v>0</v>
      </c>
      <c r="Q26" s="17">
        <f t="shared" si="2"/>
        <v>25</v>
      </c>
      <c r="R26" s="26">
        <f t="shared" si="2"/>
        <v>19</v>
      </c>
      <c r="S26" s="118">
        <f t="shared" si="2"/>
        <v>4</v>
      </c>
      <c r="T26" s="119">
        <f t="shared" si="2"/>
        <v>0</v>
      </c>
      <c r="U26" s="128">
        <f t="shared" si="2"/>
        <v>2.2999999999999998</v>
      </c>
      <c r="V26" s="129">
        <f t="shared" si="2"/>
        <v>1.5</v>
      </c>
      <c r="W26" s="118">
        <f t="shared" si="2"/>
        <v>0</v>
      </c>
      <c r="X26" s="119">
        <f t="shared" si="2"/>
        <v>0</v>
      </c>
      <c r="Y26" s="118">
        <f t="shared" si="2"/>
        <v>0</v>
      </c>
      <c r="Z26" s="126">
        <f t="shared" si="2"/>
        <v>0</v>
      </c>
      <c r="AA26" s="56"/>
    </row>
    <row r="27" spans="1:27" x14ac:dyDescent="0.45">
      <c r="A27" s="6" t="s">
        <v>89</v>
      </c>
      <c r="B27" s="6" t="s">
        <v>22</v>
      </c>
      <c r="C27" s="6" t="s">
        <v>27</v>
      </c>
      <c r="D27" s="6" t="s">
        <v>88</v>
      </c>
      <c r="E27" s="255">
        <v>3.88</v>
      </c>
      <c r="F27" s="258">
        <v>3.88</v>
      </c>
      <c r="G27" s="11">
        <v>5.9180000000000001</v>
      </c>
      <c r="H27" s="258">
        <v>5.9180000000000001</v>
      </c>
      <c r="I27" s="16">
        <v>0</v>
      </c>
      <c r="J27" s="24">
        <v>0</v>
      </c>
      <c r="K27" s="16">
        <v>0</v>
      </c>
      <c r="L27" s="24">
        <v>0</v>
      </c>
      <c r="M27" s="112">
        <v>0</v>
      </c>
      <c r="N27" s="113">
        <v>0</v>
      </c>
      <c r="O27" s="16">
        <v>1</v>
      </c>
      <c r="P27" s="24">
        <v>0</v>
      </c>
      <c r="Q27" s="16">
        <v>0</v>
      </c>
      <c r="R27" s="24">
        <v>0</v>
      </c>
      <c r="S27" s="62">
        <v>0</v>
      </c>
      <c r="T27" s="86">
        <v>0</v>
      </c>
      <c r="U27" s="96">
        <v>5.9180000000000001</v>
      </c>
      <c r="V27" s="97">
        <v>5.9180000000000001</v>
      </c>
      <c r="W27" s="56"/>
      <c r="Y27" s="56"/>
      <c r="AA27" s="56"/>
    </row>
    <row r="28" spans="1:27" x14ac:dyDescent="0.45">
      <c r="D28" t="s">
        <v>147</v>
      </c>
      <c r="E28" s="255">
        <v>3.5</v>
      </c>
      <c r="F28" s="256">
        <v>3.5</v>
      </c>
      <c r="G28" s="9">
        <v>6.7</v>
      </c>
      <c r="H28" s="256">
        <v>6.7</v>
      </c>
      <c r="I28" s="14">
        <v>0</v>
      </c>
      <c r="J28" s="22">
        <v>0</v>
      </c>
      <c r="K28" s="14">
        <v>0</v>
      </c>
      <c r="L28" s="22">
        <v>0</v>
      </c>
      <c r="M28" s="114">
        <v>1</v>
      </c>
      <c r="N28" s="115">
        <v>1</v>
      </c>
      <c r="O28" s="14">
        <v>1</v>
      </c>
      <c r="P28" s="22">
        <v>1</v>
      </c>
      <c r="Q28" s="14">
        <v>0</v>
      </c>
      <c r="R28" s="22">
        <v>0</v>
      </c>
      <c r="S28" s="59">
        <v>0</v>
      </c>
      <c r="T28" s="84">
        <v>0</v>
      </c>
      <c r="U28" s="96">
        <v>6.7</v>
      </c>
      <c r="V28" s="97">
        <v>6.7</v>
      </c>
      <c r="W28" s="56"/>
      <c r="Y28" s="56"/>
      <c r="AA28" s="56"/>
    </row>
    <row r="29" spans="1:27" x14ac:dyDescent="0.45">
      <c r="D29" t="s">
        <v>148</v>
      </c>
      <c r="E29" s="255">
        <v>2.5499999999999998</v>
      </c>
      <c r="F29" s="256">
        <v>2.5499999999999998</v>
      </c>
      <c r="G29" s="9">
        <v>4.4509999999999996</v>
      </c>
      <c r="H29" s="256">
        <v>4.4509999999999996</v>
      </c>
      <c r="I29" s="14">
        <v>0</v>
      </c>
      <c r="J29" s="22">
        <v>0</v>
      </c>
      <c r="K29" s="14">
        <v>0</v>
      </c>
      <c r="L29" s="22">
        <v>0</v>
      </c>
      <c r="M29" s="114">
        <v>2</v>
      </c>
      <c r="N29" s="115">
        <v>2</v>
      </c>
      <c r="O29" s="14">
        <v>3</v>
      </c>
      <c r="P29" s="22">
        <v>3</v>
      </c>
      <c r="Q29" s="14">
        <v>0</v>
      </c>
      <c r="R29" s="22"/>
      <c r="S29" s="59">
        <v>0</v>
      </c>
      <c r="T29" s="84">
        <v>0</v>
      </c>
      <c r="U29" s="96">
        <v>4.4509999999999996</v>
      </c>
      <c r="V29" s="97">
        <v>4.4509999999999996</v>
      </c>
      <c r="W29" s="56"/>
      <c r="Y29" s="56"/>
      <c r="AA29" s="56"/>
    </row>
    <row r="30" spans="1:27" x14ac:dyDescent="0.45">
      <c r="D30" t="s">
        <v>149</v>
      </c>
      <c r="E30" s="255">
        <v>1.23</v>
      </c>
      <c r="F30" s="256">
        <v>1.23</v>
      </c>
      <c r="G30" s="9">
        <v>1.56</v>
      </c>
      <c r="H30" s="256">
        <v>1.56</v>
      </c>
      <c r="I30" s="14">
        <v>0</v>
      </c>
      <c r="J30" s="22">
        <v>0</v>
      </c>
      <c r="K30" s="14">
        <v>0</v>
      </c>
      <c r="L30" s="22">
        <v>0</v>
      </c>
      <c r="M30" s="114">
        <v>1</v>
      </c>
      <c r="N30" s="115">
        <v>1</v>
      </c>
      <c r="O30" s="14">
        <v>0</v>
      </c>
      <c r="P30" s="22">
        <v>0</v>
      </c>
      <c r="Q30" s="14">
        <v>30</v>
      </c>
      <c r="R30" s="22">
        <v>26</v>
      </c>
      <c r="S30" s="59">
        <v>0</v>
      </c>
      <c r="T30" s="84">
        <v>0</v>
      </c>
      <c r="U30" s="96">
        <v>1.56</v>
      </c>
      <c r="V30" s="97">
        <v>1.56</v>
      </c>
      <c r="W30" s="56"/>
      <c r="Y30" s="56"/>
      <c r="AA30" s="56"/>
    </row>
    <row r="31" spans="1:27" x14ac:dyDescent="0.45">
      <c r="D31" t="s">
        <v>150</v>
      </c>
      <c r="E31" s="255">
        <v>0.97</v>
      </c>
      <c r="F31" s="256">
        <v>0.97</v>
      </c>
      <c r="G31" s="9">
        <v>1.532</v>
      </c>
      <c r="H31" s="259">
        <v>1.94</v>
      </c>
      <c r="I31" s="14">
        <v>0</v>
      </c>
      <c r="J31" s="22">
        <v>0</v>
      </c>
      <c r="K31" s="14">
        <v>0</v>
      </c>
      <c r="L31" s="22">
        <v>0</v>
      </c>
      <c r="M31" s="114">
        <v>0</v>
      </c>
      <c r="N31" s="115">
        <v>0</v>
      </c>
      <c r="O31" s="14">
        <v>0</v>
      </c>
      <c r="P31" s="22">
        <v>0</v>
      </c>
      <c r="Q31" s="14">
        <v>40</v>
      </c>
      <c r="R31" s="22">
        <v>25</v>
      </c>
      <c r="S31" s="59">
        <v>0</v>
      </c>
      <c r="T31" s="84">
        <v>0</v>
      </c>
      <c r="U31" s="96">
        <v>1.6</v>
      </c>
      <c r="V31" s="97">
        <v>1.6</v>
      </c>
      <c r="W31" s="56"/>
      <c r="Y31" s="56"/>
      <c r="AA31" s="56"/>
    </row>
    <row r="32" spans="1:27" x14ac:dyDescent="0.45">
      <c r="D32" t="s">
        <v>151</v>
      </c>
      <c r="E32" s="255">
        <v>0.39</v>
      </c>
      <c r="F32" s="256">
        <v>0.39</v>
      </c>
      <c r="G32" s="9">
        <v>0.77600000000000002</v>
      </c>
      <c r="H32" s="259">
        <v>0.78</v>
      </c>
      <c r="I32" s="14">
        <v>0</v>
      </c>
      <c r="J32" s="22">
        <v>0</v>
      </c>
      <c r="K32" s="14">
        <v>0</v>
      </c>
      <c r="L32" s="22">
        <v>0</v>
      </c>
      <c r="M32" s="114">
        <v>1</v>
      </c>
      <c r="N32" s="115">
        <v>0</v>
      </c>
      <c r="O32" s="14">
        <v>0</v>
      </c>
      <c r="P32" s="22">
        <v>1</v>
      </c>
      <c r="Q32" s="14">
        <v>0</v>
      </c>
      <c r="R32" s="22">
        <v>14</v>
      </c>
      <c r="S32" s="59">
        <v>0</v>
      </c>
      <c r="T32" s="84">
        <v>0</v>
      </c>
      <c r="U32" s="96">
        <v>0.66</v>
      </c>
      <c r="V32" s="97">
        <v>0.66</v>
      </c>
      <c r="W32" s="56"/>
      <c r="Y32" s="56"/>
      <c r="AA32" s="56"/>
    </row>
    <row r="33" spans="1:27" x14ac:dyDescent="0.45">
      <c r="D33" t="s">
        <v>152</v>
      </c>
      <c r="E33" s="255">
        <v>0.8</v>
      </c>
      <c r="F33" s="256">
        <v>0.8</v>
      </c>
      <c r="G33" s="9">
        <v>1.6</v>
      </c>
      <c r="H33" s="256">
        <v>1.6</v>
      </c>
      <c r="I33" s="14">
        <v>0</v>
      </c>
      <c r="J33" s="22">
        <v>0</v>
      </c>
      <c r="K33" s="14">
        <v>0</v>
      </c>
      <c r="L33" s="22">
        <v>0</v>
      </c>
      <c r="M33" s="114">
        <v>0</v>
      </c>
      <c r="N33" s="115">
        <v>0</v>
      </c>
      <c r="O33" s="14">
        <v>0</v>
      </c>
      <c r="P33" s="22">
        <v>0</v>
      </c>
      <c r="Q33" s="14">
        <v>0</v>
      </c>
      <c r="R33" s="22">
        <v>14</v>
      </c>
      <c r="S33" s="59">
        <v>0</v>
      </c>
      <c r="T33" s="84">
        <v>0</v>
      </c>
      <c r="U33" s="96">
        <v>1.6</v>
      </c>
      <c r="V33" s="97">
        <v>1.6</v>
      </c>
      <c r="W33" s="56"/>
      <c r="Y33" s="56"/>
      <c r="AA33" s="56"/>
    </row>
    <row r="34" spans="1:27" x14ac:dyDescent="0.45">
      <c r="B34" t="s">
        <v>23</v>
      </c>
      <c r="C34" t="s">
        <v>27</v>
      </c>
      <c r="D34" t="s">
        <v>88</v>
      </c>
      <c r="E34" s="9">
        <v>0</v>
      </c>
      <c r="F34" s="19">
        <v>0</v>
      </c>
      <c r="G34" s="9">
        <v>0</v>
      </c>
      <c r="H34" s="19">
        <v>0</v>
      </c>
      <c r="I34" s="14">
        <v>0</v>
      </c>
      <c r="J34" s="22">
        <v>0</v>
      </c>
      <c r="K34" s="14">
        <v>0</v>
      </c>
      <c r="L34" s="22">
        <v>0</v>
      </c>
      <c r="M34" s="14">
        <v>0</v>
      </c>
      <c r="N34" s="22">
        <v>0</v>
      </c>
      <c r="O34" s="14">
        <v>3</v>
      </c>
      <c r="P34" s="22">
        <v>3</v>
      </c>
      <c r="Q34" s="14">
        <v>0</v>
      </c>
      <c r="R34" s="22">
        <v>0</v>
      </c>
      <c r="S34" s="59">
        <v>0</v>
      </c>
      <c r="T34" s="84">
        <v>0</v>
      </c>
      <c r="U34" s="56"/>
      <c r="W34" s="56"/>
      <c r="Y34" s="56"/>
      <c r="AA34" s="56"/>
    </row>
    <row r="35" spans="1:27" x14ac:dyDescent="0.45">
      <c r="D35" t="s">
        <v>147</v>
      </c>
      <c r="E35" s="9">
        <v>0</v>
      </c>
      <c r="F35" s="19">
        <v>0</v>
      </c>
      <c r="G35" s="9">
        <v>0</v>
      </c>
      <c r="H35" s="19">
        <v>0</v>
      </c>
      <c r="I35" s="14">
        <v>0</v>
      </c>
      <c r="J35" s="22">
        <v>0</v>
      </c>
      <c r="K35" s="14">
        <v>0</v>
      </c>
      <c r="L35" s="22">
        <v>0</v>
      </c>
      <c r="M35" s="14">
        <v>0</v>
      </c>
      <c r="N35" s="22">
        <v>0</v>
      </c>
      <c r="O35" s="14">
        <v>2</v>
      </c>
      <c r="P35" s="22">
        <v>2</v>
      </c>
      <c r="Q35" s="14">
        <v>0</v>
      </c>
      <c r="R35" s="22">
        <v>0</v>
      </c>
      <c r="S35" s="59">
        <v>0</v>
      </c>
      <c r="T35" s="84">
        <v>0</v>
      </c>
      <c r="U35" s="56"/>
      <c r="W35" s="56"/>
      <c r="Y35" s="56"/>
      <c r="AA35" s="56"/>
    </row>
    <row r="36" spans="1:27" ht="14.65" thickBot="1" x14ac:dyDescent="0.5">
      <c r="D36" t="s">
        <v>148</v>
      </c>
      <c r="E36" s="9">
        <v>0</v>
      </c>
      <c r="F36" s="19">
        <v>0</v>
      </c>
      <c r="G36" s="9">
        <v>0</v>
      </c>
      <c r="H36" s="19">
        <v>0</v>
      </c>
      <c r="I36" s="14">
        <v>0</v>
      </c>
      <c r="J36" s="22">
        <v>0</v>
      </c>
      <c r="K36" s="14">
        <v>0</v>
      </c>
      <c r="L36" s="22">
        <v>0</v>
      </c>
      <c r="M36" s="14">
        <v>0</v>
      </c>
      <c r="N36" s="22">
        <v>0</v>
      </c>
      <c r="O36" s="14">
        <v>2</v>
      </c>
      <c r="P36" s="22">
        <v>2</v>
      </c>
      <c r="Q36" s="14">
        <v>0</v>
      </c>
      <c r="R36" s="22">
        <v>0</v>
      </c>
      <c r="S36" s="59">
        <v>0</v>
      </c>
      <c r="T36" s="84">
        <v>0</v>
      </c>
      <c r="U36" s="56"/>
      <c r="W36" s="56"/>
      <c r="Y36" s="56"/>
      <c r="AA36" s="56"/>
    </row>
    <row r="37" spans="1:27" ht="14.65" thickBot="1" x14ac:dyDescent="0.5">
      <c r="A37" s="120"/>
      <c r="B37" s="7"/>
      <c r="C37" s="7"/>
      <c r="D37" s="7" t="s">
        <v>9</v>
      </c>
      <c r="E37" s="12">
        <f t="shared" ref="E37:T37" si="3">SUM(E27:E36)</f>
        <v>13.320000000000002</v>
      </c>
      <c r="F37" s="87">
        <f t="shared" si="3"/>
        <v>13.320000000000002</v>
      </c>
      <c r="G37" s="12">
        <f t="shared" si="3"/>
        <v>22.536999999999999</v>
      </c>
      <c r="H37" s="21">
        <f t="shared" si="3"/>
        <v>22.949000000000002</v>
      </c>
      <c r="I37" s="17">
        <f t="shared" si="3"/>
        <v>0</v>
      </c>
      <c r="J37" s="26">
        <f t="shared" si="3"/>
        <v>0</v>
      </c>
      <c r="K37" s="17">
        <f t="shared" si="3"/>
        <v>0</v>
      </c>
      <c r="L37" s="26">
        <f t="shared" si="3"/>
        <v>0</v>
      </c>
      <c r="M37" s="17">
        <f t="shared" si="3"/>
        <v>5</v>
      </c>
      <c r="N37" s="26">
        <f t="shared" si="3"/>
        <v>4</v>
      </c>
      <c r="O37" s="17">
        <f t="shared" si="3"/>
        <v>12</v>
      </c>
      <c r="P37" s="26">
        <f t="shared" si="3"/>
        <v>12</v>
      </c>
      <c r="Q37" s="17">
        <f t="shared" si="3"/>
        <v>70</v>
      </c>
      <c r="R37" s="165">
        <f t="shared" si="3"/>
        <v>79</v>
      </c>
      <c r="S37" s="118">
        <f t="shared" si="3"/>
        <v>0</v>
      </c>
      <c r="T37" s="119">
        <f t="shared" si="3"/>
        <v>0</v>
      </c>
      <c r="U37" s="130">
        <f>SUM(U27:U36)</f>
        <v>22.489000000000001</v>
      </c>
      <c r="V37" s="130">
        <f>SUM(V27:V36)</f>
        <v>22.489000000000001</v>
      </c>
      <c r="W37" s="131"/>
      <c r="X37" s="132"/>
      <c r="Y37" s="131"/>
      <c r="Z37" s="133"/>
      <c r="AA37" s="56"/>
    </row>
    <row r="38" spans="1:27" ht="14.65" thickBot="1" x14ac:dyDescent="0.5">
      <c r="A38" s="7" t="s">
        <v>53</v>
      </c>
      <c r="B38" s="7"/>
      <c r="C38" s="7"/>
      <c r="D38" s="7"/>
      <c r="E38" s="12">
        <f t="shared" ref="E38:Z38" si="4">E20+E23+E26+E37</f>
        <v>28.655000000000001</v>
      </c>
      <c r="F38" s="21">
        <f t="shared" si="4"/>
        <v>24.637</v>
      </c>
      <c r="G38" s="12">
        <f t="shared" si="4"/>
        <v>49.679999999999993</v>
      </c>
      <c r="H38" s="21">
        <f t="shared" si="4"/>
        <v>30.031000000000002</v>
      </c>
      <c r="I38" s="10">
        <f t="shared" si="4"/>
        <v>1.6379999999999999</v>
      </c>
      <c r="J38" s="26">
        <f t="shared" si="4"/>
        <v>0</v>
      </c>
      <c r="K38" s="17">
        <f t="shared" si="4"/>
        <v>63</v>
      </c>
      <c r="L38" s="21">
        <f t="shared" si="4"/>
        <v>0</v>
      </c>
      <c r="M38" s="17">
        <f t="shared" si="4"/>
        <v>11</v>
      </c>
      <c r="N38" s="26">
        <f t="shared" si="4"/>
        <v>6</v>
      </c>
      <c r="O38" s="17">
        <f t="shared" si="4"/>
        <v>43</v>
      </c>
      <c r="P38" s="26">
        <f t="shared" si="4"/>
        <v>21</v>
      </c>
      <c r="Q38" s="17">
        <f t="shared" si="4"/>
        <v>983</v>
      </c>
      <c r="R38" s="26">
        <f t="shared" si="4"/>
        <v>98</v>
      </c>
      <c r="S38" s="118">
        <f t="shared" si="4"/>
        <v>42</v>
      </c>
      <c r="T38" s="119">
        <f t="shared" si="4"/>
        <v>36</v>
      </c>
      <c r="U38" s="64">
        <f t="shared" si="4"/>
        <v>50.353999999999999</v>
      </c>
      <c r="V38" s="87">
        <f t="shared" si="4"/>
        <v>27.489000000000001</v>
      </c>
      <c r="W38" s="64">
        <f t="shared" si="4"/>
        <v>0</v>
      </c>
      <c r="X38" s="87">
        <f t="shared" si="4"/>
        <v>0</v>
      </c>
      <c r="Y38" s="64">
        <f t="shared" si="4"/>
        <v>0</v>
      </c>
      <c r="Z38" s="87">
        <f t="shared" si="4"/>
        <v>0</v>
      </c>
      <c r="AA38" s="56"/>
    </row>
  </sheetData>
  <mergeCells count="11">
    <mergeCell ref="O2:P2"/>
    <mergeCell ref="E2:F2"/>
    <mergeCell ref="G2:H2"/>
    <mergeCell ref="I2:J2"/>
    <mergeCell ref="K2:L2"/>
    <mergeCell ref="M2:N2"/>
    <mergeCell ref="U2:V2"/>
    <mergeCell ref="W2:X2"/>
    <mergeCell ref="Y2:Z2"/>
    <mergeCell ref="Q2:R2"/>
    <mergeCell ref="S2:T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40041-D83C-442A-9828-46DF58C8A76D}">
  <dimension ref="A1:Z40"/>
  <sheetViews>
    <sheetView zoomScale="88" workbookViewId="0">
      <selection activeCell="U38" sqref="U38"/>
    </sheetView>
  </sheetViews>
  <sheetFormatPr defaultRowHeight="14.25" x14ac:dyDescent="0.45"/>
  <cols>
    <col min="10" max="10" width="16.59765625" customWidth="1"/>
    <col min="11" max="11" width="15.73046875" customWidth="1"/>
    <col min="21" max="21" width="9.1328125" style="56"/>
    <col min="22" max="22" width="9.1328125" style="77"/>
    <col min="23" max="23" width="9.1328125" style="56"/>
    <col min="24" max="24" width="9.1328125" style="77"/>
    <col min="25" max="25" width="9.1328125" style="56"/>
    <col min="26" max="26" width="9.1328125" style="77"/>
  </cols>
  <sheetData>
    <row r="1" spans="1:26" ht="14.65" thickBot="1" x14ac:dyDescent="0.5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6" x14ac:dyDescent="0.45">
      <c r="A2" s="2" t="s">
        <v>0</v>
      </c>
      <c r="B2" s="2" t="s">
        <v>11</v>
      </c>
      <c r="C2" s="2" t="s">
        <v>26</v>
      </c>
      <c r="D2" s="2" t="s">
        <v>1</v>
      </c>
      <c r="E2" s="299" t="s">
        <v>6</v>
      </c>
      <c r="F2" s="300"/>
      <c r="G2" s="299" t="s">
        <v>16</v>
      </c>
      <c r="H2" s="300"/>
      <c r="I2" s="299" t="s">
        <v>168</v>
      </c>
      <c r="J2" s="300"/>
      <c r="K2" s="299" t="s">
        <v>17</v>
      </c>
      <c r="L2" s="300"/>
      <c r="M2" s="299" t="s">
        <v>29</v>
      </c>
      <c r="N2" s="300"/>
      <c r="O2" s="299" t="s">
        <v>18</v>
      </c>
      <c r="P2" s="300"/>
      <c r="Q2" s="299" t="s">
        <v>19</v>
      </c>
      <c r="R2" s="300"/>
      <c r="S2" s="299" t="s">
        <v>20</v>
      </c>
      <c r="T2" s="300"/>
      <c r="U2" s="303" t="s">
        <v>162</v>
      </c>
      <c r="V2" s="304"/>
      <c r="W2" s="303" t="s">
        <v>161</v>
      </c>
      <c r="X2" s="304"/>
      <c r="Y2" s="303" t="s">
        <v>60</v>
      </c>
      <c r="Z2" s="304"/>
    </row>
    <row r="3" spans="1:26" ht="14.65" thickBot="1" x14ac:dyDescent="0.5">
      <c r="A3" s="3"/>
      <c r="B3" s="3"/>
      <c r="C3" s="3"/>
      <c r="D3" s="3"/>
      <c r="E3" s="3" t="s">
        <v>7</v>
      </c>
      <c r="F3" s="18" t="s">
        <v>8</v>
      </c>
      <c r="G3" s="3" t="s">
        <v>7</v>
      </c>
      <c r="H3" s="18" t="s">
        <v>8</v>
      </c>
      <c r="I3" s="3" t="s">
        <v>7</v>
      </c>
      <c r="J3" s="18" t="s">
        <v>8</v>
      </c>
      <c r="K3" s="3" t="s">
        <v>7</v>
      </c>
      <c r="L3" s="18" t="s">
        <v>8</v>
      </c>
      <c r="M3" s="3" t="s">
        <v>7</v>
      </c>
      <c r="N3" s="18" t="s">
        <v>8</v>
      </c>
      <c r="O3" s="3" t="s">
        <v>7</v>
      </c>
      <c r="P3" s="18" t="s">
        <v>8</v>
      </c>
      <c r="Q3" s="3" t="s">
        <v>7</v>
      </c>
      <c r="R3" s="18" t="s">
        <v>8</v>
      </c>
      <c r="S3" s="3" t="s">
        <v>7</v>
      </c>
      <c r="T3" s="27" t="s">
        <v>8</v>
      </c>
      <c r="U3" s="65" t="s">
        <v>7</v>
      </c>
      <c r="V3" s="78" t="s">
        <v>8</v>
      </c>
      <c r="W3" s="65" t="s">
        <v>7</v>
      </c>
      <c r="X3" s="78" t="s">
        <v>8</v>
      </c>
      <c r="Y3" s="65" t="s">
        <v>7</v>
      </c>
      <c r="Z3" s="78" t="s">
        <v>8</v>
      </c>
    </row>
    <row r="4" spans="1:26" ht="14.65" thickTop="1" x14ac:dyDescent="0.45">
      <c r="A4" s="4" t="s">
        <v>59</v>
      </c>
      <c r="B4" s="4" t="s">
        <v>22</v>
      </c>
      <c r="C4" s="4" t="s">
        <v>28</v>
      </c>
      <c r="D4" s="4" t="s">
        <v>54</v>
      </c>
      <c r="E4" s="8">
        <v>1</v>
      </c>
      <c r="F4" s="295">
        <v>0.99</v>
      </c>
      <c r="G4" s="260">
        <v>1.1319999999999999</v>
      </c>
      <c r="H4" s="263">
        <v>0.86</v>
      </c>
      <c r="I4" s="8">
        <v>1.2</v>
      </c>
      <c r="J4" s="29">
        <v>1.2</v>
      </c>
      <c r="K4" s="13">
        <v>33</v>
      </c>
      <c r="L4" s="30">
        <v>0</v>
      </c>
      <c r="M4" s="13">
        <v>0</v>
      </c>
      <c r="N4" s="31">
        <v>0</v>
      </c>
      <c r="O4" s="13">
        <v>0</v>
      </c>
      <c r="P4" s="30">
        <v>0</v>
      </c>
      <c r="Q4" s="13">
        <v>40</v>
      </c>
      <c r="R4" s="30">
        <v>33</v>
      </c>
      <c r="S4" s="13">
        <v>0</v>
      </c>
      <c r="T4" s="32">
        <v>0</v>
      </c>
      <c r="U4" s="294">
        <v>1</v>
      </c>
      <c r="V4" s="90">
        <v>0.3</v>
      </c>
      <c r="W4" s="59">
        <v>0</v>
      </c>
      <c r="X4" s="79">
        <v>0</v>
      </c>
      <c r="Y4" s="59"/>
      <c r="Z4" s="79">
        <v>0</v>
      </c>
    </row>
    <row r="5" spans="1:26" x14ac:dyDescent="0.45">
      <c r="D5" t="s">
        <v>55</v>
      </c>
      <c r="E5" s="9">
        <v>0.42</v>
      </c>
      <c r="F5" s="296">
        <v>0.42</v>
      </c>
      <c r="G5" s="261">
        <v>0.77500000000000002</v>
      </c>
      <c r="H5" s="262">
        <v>0.38</v>
      </c>
      <c r="I5" s="9">
        <v>0</v>
      </c>
      <c r="J5" s="237">
        <v>0</v>
      </c>
      <c r="K5" s="14">
        <v>0</v>
      </c>
      <c r="L5" s="32">
        <v>0</v>
      </c>
      <c r="M5" s="14">
        <v>0</v>
      </c>
      <c r="N5" s="34">
        <v>0</v>
      </c>
      <c r="O5" s="14">
        <v>0</v>
      </c>
      <c r="P5" s="32">
        <v>0</v>
      </c>
      <c r="Q5" s="14">
        <v>15</v>
      </c>
      <c r="R5" s="32">
        <v>13</v>
      </c>
      <c r="S5" s="14">
        <v>0</v>
      </c>
      <c r="T5" s="32">
        <v>0</v>
      </c>
      <c r="U5" s="294">
        <v>0.42</v>
      </c>
      <c r="V5" s="90"/>
      <c r="W5" s="59">
        <v>0</v>
      </c>
      <c r="X5" s="79">
        <v>0</v>
      </c>
      <c r="Y5" s="59"/>
      <c r="Z5" s="79">
        <v>0</v>
      </c>
    </row>
    <row r="6" spans="1:26" x14ac:dyDescent="0.45">
      <c r="D6" t="s">
        <v>56</v>
      </c>
      <c r="E6" s="9">
        <v>1.3</v>
      </c>
      <c r="F6" s="33">
        <v>0.42499999999999999</v>
      </c>
      <c r="G6" s="261">
        <v>2.1</v>
      </c>
      <c r="H6" s="262">
        <v>0.28100000000000003</v>
      </c>
      <c r="I6" s="9">
        <v>0</v>
      </c>
      <c r="J6" s="237">
        <v>0</v>
      </c>
      <c r="K6" s="14">
        <v>0</v>
      </c>
      <c r="L6" s="32">
        <v>0</v>
      </c>
      <c r="M6" s="14">
        <v>0</v>
      </c>
      <c r="N6" s="34">
        <v>0</v>
      </c>
      <c r="O6" s="14">
        <v>1</v>
      </c>
      <c r="P6" s="32">
        <v>1</v>
      </c>
      <c r="Q6" s="14">
        <v>45</v>
      </c>
      <c r="R6" s="32">
        <v>0</v>
      </c>
      <c r="S6" s="14">
        <v>0</v>
      </c>
      <c r="T6" s="32">
        <v>0</v>
      </c>
      <c r="U6" s="294">
        <v>1.3</v>
      </c>
      <c r="V6" s="90"/>
      <c r="W6" s="224">
        <v>1.9</v>
      </c>
      <c r="X6" s="79">
        <v>0</v>
      </c>
      <c r="Y6" s="239">
        <v>350</v>
      </c>
      <c r="Z6" s="79">
        <v>0</v>
      </c>
    </row>
    <row r="7" spans="1:26" x14ac:dyDescent="0.45">
      <c r="D7" t="s">
        <v>57</v>
      </c>
      <c r="E7" s="9">
        <v>0</v>
      </c>
      <c r="F7" s="33">
        <v>0</v>
      </c>
      <c r="G7" s="261">
        <v>0</v>
      </c>
      <c r="H7" s="262">
        <v>0</v>
      </c>
      <c r="I7" s="9">
        <v>2.9969999999999999</v>
      </c>
      <c r="J7" s="237">
        <v>2.4500000000000002</v>
      </c>
      <c r="K7" s="14">
        <v>103</v>
      </c>
      <c r="L7" s="32">
        <v>0</v>
      </c>
      <c r="M7" s="14">
        <v>1</v>
      </c>
      <c r="N7" s="34">
        <v>0</v>
      </c>
      <c r="O7" s="14">
        <v>1</v>
      </c>
      <c r="P7" s="32">
        <v>0</v>
      </c>
      <c r="Q7" s="14">
        <v>0</v>
      </c>
      <c r="R7" s="32">
        <v>0</v>
      </c>
      <c r="S7" s="14">
        <v>0</v>
      </c>
      <c r="T7" s="32">
        <v>0</v>
      </c>
      <c r="U7" s="294">
        <v>0</v>
      </c>
      <c r="V7" s="90"/>
      <c r="W7" s="59">
        <v>0</v>
      </c>
      <c r="X7" s="79">
        <v>0</v>
      </c>
      <c r="Y7" s="59"/>
      <c r="Z7" s="79">
        <v>0</v>
      </c>
    </row>
    <row r="8" spans="1:26" x14ac:dyDescent="0.45">
      <c r="D8" t="s">
        <v>58</v>
      </c>
      <c r="E8" s="9">
        <v>0.93500000000000005</v>
      </c>
      <c r="F8" s="235">
        <v>0.93500000000000005</v>
      </c>
      <c r="G8" s="261">
        <v>1.2350000000000001</v>
      </c>
      <c r="H8" s="262">
        <v>0.8</v>
      </c>
      <c r="I8" s="9">
        <v>8.0790000000000006</v>
      </c>
      <c r="J8" s="237">
        <v>7.63</v>
      </c>
      <c r="K8" s="14">
        <v>450</v>
      </c>
      <c r="L8" s="32">
        <v>0</v>
      </c>
      <c r="M8" s="14">
        <v>0</v>
      </c>
      <c r="N8" s="34">
        <v>0</v>
      </c>
      <c r="O8" s="14">
        <v>0</v>
      </c>
      <c r="P8" s="32">
        <v>0</v>
      </c>
      <c r="Q8" s="14">
        <v>34</v>
      </c>
      <c r="R8" s="32">
        <v>0</v>
      </c>
      <c r="S8" s="14">
        <v>0</v>
      </c>
      <c r="T8" s="32">
        <v>0</v>
      </c>
      <c r="U8" s="294">
        <v>0.93500000000000005</v>
      </c>
      <c r="V8" s="90">
        <v>0.34</v>
      </c>
      <c r="W8" s="59">
        <v>0</v>
      </c>
      <c r="X8" s="79">
        <v>0</v>
      </c>
      <c r="Y8" s="59"/>
      <c r="Z8" s="79">
        <v>0</v>
      </c>
    </row>
    <row r="9" spans="1:26" x14ac:dyDescent="0.45">
      <c r="B9" t="s">
        <v>23</v>
      </c>
      <c r="C9" t="s">
        <v>27</v>
      </c>
      <c r="D9" t="s">
        <v>54</v>
      </c>
      <c r="E9" s="35">
        <v>0</v>
      </c>
      <c r="F9" s="33">
        <v>0</v>
      </c>
      <c r="G9" s="9">
        <v>0</v>
      </c>
      <c r="H9" s="33">
        <v>0</v>
      </c>
      <c r="I9" s="14">
        <v>0</v>
      </c>
      <c r="J9" s="237">
        <v>0</v>
      </c>
      <c r="K9" s="14">
        <v>0</v>
      </c>
      <c r="L9" s="32">
        <v>0</v>
      </c>
      <c r="M9" s="14">
        <v>0</v>
      </c>
      <c r="N9" s="34">
        <v>0</v>
      </c>
      <c r="O9" s="14">
        <v>1</v>
      </c>
      <c r="P9" s="32">
        <v>1</v>
      </c>
      <c r="Q9" s="14">
        <v>0</v>
      </c>
      <c r="R9" s="32">
        <v>0</v>
      </c>
      <c r="S9" s="14">
        <v>0</v>
      </c>
      <c r="T9" s="32">
        <v>0</v>
      </c>
      <c r="U9" s="60"/>
      <c r="V9" s="79"/>
      <c r="W9" s="59">
        <v>0</v>
      </c>
      <c r="X9" s="79">
        <v>0</v>
      </c>
      <c r="Y9" s="59">
        <v>0</v>
      </c>
      <c r="Z9" s="79">
        <v>0</v>
      </c>
    </row>
    <row r="10" spans="1:26" x14ac:dyDescent="0.45">
      <c r="D10" t="s">
        <v>55</v>
      </c>
      <c r="E10" s="35">
        <v>0</v>
      </c>
      <c r="F10" s="33">
        <v>0</v>
      </c>
      <c r="G10" s="9">
        <v>0</v>
      </c>
      <c r="H10" s="33">
        <v>0</v>
      </c>
      <c r="I10" s="14">
        <v>0</v>
      </c>
      <c r="J10" s="237">
        <v>0</v>
      </c>
      <c r="K10" s="14">
        <v>0</v>
      </c>
      <c r="L10" s="32">
        <v>0</v>
      </c>
      <c r="M10" s="14">
        <v>0</v>
      </c>
      <c r="N10" s="34">
        <v>0</v>
      </c>
      <c r="O10" s="14">
        <v>1</v>
      </c>
      <c r="P10" s="32">
        <v>1</v>
      </c>
      <c r="Q10" s="14">
        <v>0</v>
      </c>
      <c r="R10" s="32">
        <v>0</v>
      </c>
      <c r="S10" s="14">
        <v>0</v>
      </c>
      <c r="T10" s="32">
        <v>0</v>
      </c>
      <c r="U10" s="60"/>
      <c r="V10" s="79"/>
      <c r="W10" s="59">
        <v>0</v>
      </c>
      <c r="X10" s="79">
        <v>0</v>
      </c>
      <c r="Y10" s="59">
        <v>0</v>
      </c>
      <c r="Z10" s="79">
        <v>0</v>
      </c>
    </row>
    <row r="11" spans="1:26" x14ac:dyDescent="0.45">
      <c r="D11" t="s">
        <v>56</v>
      </c>
      <c r="E11" s="35">
        <v>0</v>
      </c>
      <c r="F11" s="33">
        <v>0</v>
      </c>
      <c r="G11" s="9">
        <v>0</v>
      </c>
      <c r="H11" s="33">
        <v>0</v>
      </c>
      <c r="I11" s="14">
        <v>0</v>
      </c>
      <c r="J11" s="237">
        <v>0</v>
      </c>
      <c r="K11" s="14">
        <v>0</v>
      </c>
      <c r="L11" s="32">
        <v>0</v>
      </c>
      <c r="M11" s="14">
        <v>0</v>
      </c>
      <c r="N11" s="34">
        <v>0</v>
      </c>
      <c r="O11" s="14">
        <v>1</v>
      </c>
      <c r="P11" s="32">
        <v>1</v>
      </c>
      <c r="Q11" s="14">
        <v>0</v>
      </c>
      <c r="R11" s="32">
        <v>0</v>
      </c>
      <c r="S11" s="14">
        <v>0</v>
      </c>
      <c r="T11" s="32">
        <v>0</v>
      </c>
      <c r="U11" s="60"/>
      <c r="V11" s="79"/>
      <c r="W11" s="59">
        <v>0</v>
      </c>
      <c r="X11" s="79">
        <v>0</v>
      </c>
      <c r="Y11" s="59">
        <v>0</v>
      </c>
      <c r="Z11" s="79">
        <v>0</v>
      </c>
    </row>
    <row r="12" spans="1:26" x14ac:dyDescent="0.45">
      <c r="D12" t="s">
        <v>57</v>
      </c>
      <c r="E12" s="35">
        <v>0</v>
      </c>
      <c r="F12" s="33">
        <v>0</v>
      </c>
      <c r="G12" s="9">
        <v>0</v>
      </c>
      <c r="H12" s="33">
        <v>0</v>
      </c>
      <c r="I12" s="14">
        <v>0</v>
      </c>
      <c r="J12" s="237">
        <v>0</v>
      </c>
      <c r="K12" s="14">
        <v>0</v>
      </c>
      <c r="L12" s="32">
        <v>0</v>
      </c>
      <c r="M12" s="14">
        <v>0</v>
      </c>
      <c r="N12" s="34">
        <v>0</v>
      </c>
      <c r="O12" s="14">
        <v>1</v>
      </c>
      <c r="P12" s="32">
        <v>1</v>
      </c>
      <c r="Q12" s="14">
        <v>0</v>
      </c>
      <c r="R12" s="32">
        <v>0</v>
      </c>
      <c r="S12" s="14">
        <v>0</v>
      </c>
      <c r="T12" s="32">
        <v>0</v>
      </c>
      <c r="U12" s="60"/>
      <c r="V12" s="79"/>
      <c r="W12" s="59">
        <v>0</v>
      </c>
      <c r="X12" s="79">
        <v>0</v>
      </c>
      <c r="Y12" s="59">
        <v>0</v>
      </c>
      <c r="Z12" s="79">
        <v>0</v>
      </c>
    </row>
    <row r="13" spans="1:26" ht="14.65" thickBot="1" x14ac:dyDescent="0.5">
      <c r="D13" t="s">
        <v>58</v>
      </c>
      <c r="E13" s="35">
        <v>0</v>
      </c>
      <c r="F13" s="33">
        <v>0</v>
      </c>
      <c r="G13" s="9">
        <v>0</v>
      </c>
      <c r="H13" s="33">
        <v>0</v>
      </c>
      <c r="I13" s="14">
        <v>0</v>
      </c>
      <c r="J13" s="237">
        <v>0</v>
      </c>
      <c r="K13" s="14">
        <v>0</v>
      </c>
      <c r="L13" s="32">
        <v>0</v>
      </c>
      <c r="M13" s="14">
        <v>0</v>
      </c>
      <c r="N13" s="34">
        <v>0</v>
      </c>
      <c r="O13" s="14">
        <v>1</v>
      </c>
      <c r="P13" s="32">
        <v>1</v>
      </c>
      <c r="Q13" s="14">
        <v>0</v>
      </c>
      <c r="R13" s="32">
        <v>0</v>
      </c>
      <c r="S13" s="14">
        <v>0</v>
      </c>
      <c r="T13" s="32">
        <v>0</v>
      </c>
      <c r="U13" s="60"/>
      <c r="V13" s="79"/>
      <c r="W13" s="59">
        <v>0</v>
      </c>
      <c r="X13" s="79">
        <v>0</v>
      </c>
      <c r="Y13" s="59">
        <v>0</v>
      </c>
      <c r="Z13" s="79">
        <v>0</v>
      </c>
    </row>
    <row r="14" spans="1:26" ht="14.65" thickBot="1" x14ac:dyDescent="0.5">
      <c r="A14" s="124"/>
      <c r="B14" s="125"/>
      <c r="C14" s="125"/>
      <c r="D14" s="7" t="s">
        <v>9</v>
      </c>
      <c r="E14" s="12">
        <f t="shared" ref="E14:T14" si="0">SUM(E4:E13)</f>
        <v>3.6549999999999998</v>
      </c>
      <c r="F14" s="236">
        <f t="shared" si="0"/>
        <v>2.77</v>
      </c>
      <c r="G14" s="12">
        <f t="shared" si="0"/>
        <v>5.242</v>
      </c>
      <c r="H14" s="135">
        <f t="shared" si="0"/>
        <v>2.3209999999999997</v>
      </c>
      <c r="I14" s="140">
        <f t="shared" si="0"/>
        <v>12.276</v>
      </c>
      <c r="J14" s="236">
        <f t="shared" si="0"/>
        <v>11.280000000000001</v>
      </c>
      <c r="K14" s="17">
        <f t="shared" si="0"/>
        <v>586</v>
      </c>
      <c r="L14" s="136">
        <f t="shared" si="0"/>
        <v>0</v>
      </c>
      <c r="M14" s="17">
        <f t="shared" si="0"/>
        <v>1</v>
      </c>
      <c r="N14" s="137">
        <f t="shared" si="0"/>
        <v>0</v>
      </c>
      <c r="O14" s="17">
        <f t="shared" si="0"/>
        <v>7</v>
      </c>
      <c r="P14" s="136">
        <f t="shared" si="0"/>
        <v>6</v>
      </c>
      <c r="Q14" s="17">
        <f t="shared" si="0"/>
        <v>134</v>
      </c>
      <c r="R14" s="136">
        <f t="shared" si="0"/>
        <v>46</v>
      </c>
      <c r="S14" s="17">
        <f t="shared" si="0"/>
        <v>0</v>
      </c>
      <c r="T14" s="136">
        <f t="shared" si="0"/>
        <v>0</v>
      </c>
      <c r="U14" s="140">
        <f t="shared" ref="U14:Z14" si="1">SUM(U4:U13)</f>
        <v>3.6549999999999998</v>
      </c>
      <c r="V14" s="137">
        <f t="shared" si="1"/>
        <v>0.64</v>
      </c>
      <c r="W14" s="149">
        <f t="shared" si="1"/>
        <v>1.9</v>
      </c>
      <c r="X14" s="119">
        <f t="shared" si="1"/>
        <v>0</v>
      </c>
      <c r="Y14" s="118">
        <f t="shared" si="1"/>
        <v>350</v>
      </c>
      <c r="Z14" s="126">
        <f t="shared" si="1"/>
        <v>0</v>
      </c>
    </row>
    <row r="15" spans="1:26" x14ac:dyDescent="0.45">
      <c r="A15" t="s">
        <v>61</v>
      </c>
      <c r="B15" t="s">
        <v>22</v>
      </c>
      <c r="C15" t="s">
        <v>27</v>
      </c>
      <c r="D15" t="s">
        <v>62</v>
      </c>
      <c r="E15" s="39">
        <v>0.49199999999999999</v>
      </c>
      <c r="F15" s="90">
        <v>0.49199999999999999</v>
      </c>
      <c r="G15" s="39">
        <f>E15</f>
        <v>0.49199999999999999</v>
      </c>
      <c r="H15" s="99">
        <v>0.49199999999999999</v>
      </c>
      <c r="I15" s="100">
        <v>0.61</v>
      </c>
      <c r="J15" s="101">
        <v>0.45</v>
      </c>
      <c r="K15" s="40">
        <v>60</v>
      </c>
      <c r="L15" s="79">
        <v>0</v>
      </c>
      <c r="M15" s="40">
        <v>0</v>
      </c>
      <c r="N15" s="102">
        <v>0</v>
      </c>
      <c r="O15" s="40">
        <v>1</v>
      </c>
      <c r="P15" s="103">
        <v>1</v>
      </c>
      <c r="Q15" s="104">
        <v>19</v>
      </c>
      <c r="R15" s="264">
        <v>16</v>
      </c>
      <c r="S15" s="40">
        <v>0</v>
      </c>
      <c r="T15" s="79">
        <v>0</v>
      </c>
      <c r="U15" s="266">
        <v>0.45</v>
      </c>
      <c r="V15" s="265">
        <v>0.45</v>
      </c>
      <c r="W15" s="59">
        <v>0</v>
      </c>
      <c r="X15" s="79">
        <v>0</v>
      </c>
      <c r="Y15" s="59">
        <v>2</v>
      </c>
      <c r="Z15" s="79">
        <v>0</v>
      </c>
    </row>
    <row r="16" spans="1:26" x14ac:dyDescent="0.45">
      <c r="D16" t="s">
        <v>63</v>
      </c>
      <c r="E16" s="39">
        <v>0.38900000000000001</v>
      </c>
      <c r="F16" s="90">
        <v>0.38900000000000001</v>
      </c>
      <c r="G16" s="39">
        <f>E16</f>
        <v>0.38900000000000001</v>
      </c>
      <c r="H16" s="99">
        <v>0.38900000000000001</v>
      </c>
      <c r="I16" s="100">
        <v>0.71499999999999997</v>
      </c>
      <c r="J16" s="101">
        <v>0.28000000000000003</v>
      </c>
      <c r="K16" s="40">
        <v>12</v>
      </c>
      <c r="L16" s="79">
        <v>0</v>
      </c>
      <c r="M16" s="40">
        <v>1</v>
      </c>
      <c r="N16" s="102">
        <v>1</v>
      </c>
      <c r="O16" s="40">
        <v>1</v>
      </c>
      <c r="P16" s="103">
        <v>1</v>
      </c>
      <c r="Q16" s="104">
        <v>15</v>
      </c>
      <c r="R16" s="264">
        <v>12</v>
      </c>
      <c r="S16" s="40">
        <v>0</v>
      </c>
      <c r="T16" s="79">
        <v>0</v>
      </c>
      <c r="U16" s="266">
        <v>0.38900000000000001</v>
      </c>
      <c r="V16" s="265">
        <v>0.38900000000000001</v>
      </c>
      <c r="W16" s="59">
        <v>0</v>
      </c>
      <c r="X16" s="79">
        <v>0</v>
      </c>
      <c r="Y16" s="59">
        <v>0</v>
      </c>
      <c r="Z16" s="79">
        <v>0</v>
      </c>
    </row>
    <row r="17" spans="1:26" x14ac:dyDescent="0.45">
      <c r="D17" t="s">
        <v>64</v>
      </c>
      <c r="E17" s="39">
        <v>0.28999999999999998</v>
      </c>
      <c r="F17" s="90">
        <v>0.28999999999999998</v>
      </c>
      <c r="G17" s="39">
        <f>E17</f>
        <v>0.28999999999999998</v>
      </c>
      <c r="H17" s="99">
        <v>0.28999999999999998</v>
      </c>
      <c r="I17" s="100">
        <v>0.28999999999999998</v>
      </c>
      <c r="J17" s="101">
        <v>0.27</v>
      </c>
      <c r="K17" s="40">
        <v>12</v>
      </c>
      <c r="L17" s="79">
        <v>0</v>
      </c>
      <c r="M17" s="40">
        <v>0</v>
      </c>
      <c r="N17" s="102">
        <v>0</v>
      </c>
      <c r="O17" s="40">
        <v>1</v>
      </c>
      <c r="P17" s="103">
        <v>1</v>
      </c>
      <c r="Q17" s="104">
        <v>12</v>
      </c>
      <c r="R17" s="264">
        <v>12</v>
      </c>
      <c r="S17" s="40">
        <v>0</v>
      </c>
      <c r="T17" s="79">
        <v>0</v>
      </c>
      <c r="U17" s="266">
        <v>0.28999999999999998</v>
      </c>
      <c r="V17" s="265">
        <v>0.28999999999999998</v>
      </c>
      <c r="W17" s="59">
        <v>0</v>
      </c>
      <c r="X17" s="79">
        <v>0</v>
      </c>
      <c r="Y17" s="59">
        <v>0</v>
      </c>
      <c r="Z17" s="79">
        <v>0</v>
      </c>
    </row>
    <row r="18" spans="1:26" x14ac:dyDescent="0.45">
      <c r="B18" t="s">
        <v>23</v>
      </c>
      <c r="C18" t="s">
        <v>27</v>
      </c>
      <c r="D18" t="s">
        <v>62</v>
      </c>
      <c r="E18" s="9">
        <v>0</v>
      </c>
      <c r="F18" s="90">
        <v>0</v>
      </c>
      <c r="G18" s="9">
        <v>0</v>
      </c>
      <c r="H18" s="99">
        <v>0</v>
      </c>
      <c r="I18" s="14">
        <v>0</v>
      </c>
      <c r="J18" s="101">
        <v>0</v>
      </c>
      <c r="K18" s="14">
        <v>0</v>
      </c>
      <c r="L18" s="79">
        <v>0</v>
      </c>
      <c r="M18" s="14">
        <v>0</v>
      </c>
      <c r="N18" s="102">
        <v>0</v>
      </c>
      <c r="O18" s="14">
        <v>3</v>
      </c>
      <c r="P18" s="103">
        <v>3</v>
      </c>
      <c r="Q18" s="14">
        <v>0</v>
      </c>
      <c r="R18" s="79">
        <f>Q18</f>
        <v>0</v>
      </c>
      <c r="S18" s="14">
        <v>0</v>
      </c>
      <c r="T18" s="79">
        <v>0</v>
      </c>
      <c r="U18" s="60"/>
      <c r="V18" s="79"/>
      <c r="W18" s="59">
        <v>0</v>
      </c>
      <c r="X18" s="79">
        <v>0</v>
      </c>
      <c r="Y18" s="59">
        <v>0</v>
      </c>
      <c r="Z18" s="79">
        <v>0</v>
      </c>
    </row>
    <row r="19" spans="1:26" x14ac:dyDescent="0.45">
      <c r="D19" t="s">
        <v>63</v>
      </c>
      <c r="E19" s="9">
        <v>0</v>
      </c>
      <c r="F19" s="90">
        <v>0</v>
      </c>
      <c r="G19" s="9">
        <v>0</v>
      </c>
      <c r="H19" s="99">
        <v>0</v>
      </c>
      <c r="I19" s="14">
        <v>0</v>
      </c>
      <c r="J19" s="101">
        <v>0</v>
      </c>
      <c r="K19" s="14">
        <v>0</v>
      </c>
      <c r="L19" s="79">
        <v>0</v>
      </c>
      <c r="M19" s="14">
        <v>0</v>
      </c>
      <c r="N19" s="102">
        <v>0</v>
      </c>
      <c r="O19" s="14">
        <v>2</v>
      </c>
      <c r="P19" s="103">
        <v>2</v>
      </c>
      <c r="Q19" s="14">
        <v>0</v>
      </c>
      <c r="R19" s="79">
        <f t="shared" ref="R19:R20" si="2">Q19</f>
        <v>0</v>
      </c>
      <c r="S19" s="14">
        <v>0</v>
      </c>
      <c r="T19" s="79">
        <v>0</v>
      </c>
      <c r="U19" s="60"/>
      <c r="V19" s="79"/>
      <c r="W19" s="59">
        <v>0</v>
      </c>
      <c r="X19" s="79">
        <v>0</v>
      </c>
      <c r="Y19" s="59">
        <v>0</v>
      </c>
      <c r="Z19" s="79">
        <v>0</v>
      </c>
    </row>
    <row r="20" spans="1:26" ht="14.65" thickBot="1" x14ac:dyDescent="0.5">
      <c r="D20" t="s">
        <v>64</v>
      </c>
      <c r="E20" s="9">
        <v>0</v>
      </c>
      <c r="F20" s="90">
        <v>0</v>
      </c>
      <c r="G20" s="9">
        <v>0</v>
      </c>
      <c r="H20" s="99">
        <v>0</v>
      </c>
      <c r="I20" s="14">
        <v>0</v>
      </c>
      <c r="J20" s="101">
        <v>0</v>
      </c>
      <c r="K20" s="14">
        <v>0</v>
      </c>
      <c r="L20" s="79">
        <v>0</v>
      </c>
      <c r="M20" s="14">
        <v>0</v>
      </c>
      <c r="N20" s="102">
        <v>0</v>
      </c>
      <c r="O20" s="14">
        <v>1</v>
      </c>
      <c r="P20" s="103">
        <v>1</v>
      </c>
      <c r="Q20" s="14">
        <v>0</v>
      </c>
      <c r="R20" s="79">
        <f t="shared" si="2"/>
        <v>0</v>
      </c>
      <c r="S20" s="14">
        <v>0</v>
      </c>
      <c r="T20" s="79">
        <v>0</v>
      </c>
      <c r="U20" s="60"/>
      <c r="V20" s="79"/>
      <c r="W20" s="59">
        <v>0</v>
      </c>
      <c r="X20" s="79">
        <v>0</v>
      </c>
      <c r="Y20" s="59">
        <v>0</v>
      </c>
      <c r="Z20" s="79">
        <v>0</v>
      </c>
    </row>
    <row r="21" spans="1:26" ht="14.65" thickBot="1" x14ac:dyDescent="0.5">
      <c r="A21" s="120"/>
      <c r="B21" s="7"/>
      <c r="C21" s="7"/>
      <c r="D21" s="7" t="s">
        <v>9</v>
      </c>
      <c r="E21" s="12">
        <f t="shared" ref="E21:Z21" si="3">SUM(E15:E20)</f>
        <v>1.171</v>
      </c>
      <c r="F21" s="135">
        <f t="shared" si="3"/>
        <v>1.171</v>
      </c>
      <c r="G21" s="135">
        <f t="shared" si="3"/>
        <v>1.171</v>
      </c>
      <c r="H21" s="135">
        <f t="shared" si="3"/>
        <v>1.171</v>
      </c>
      <c r="I21" s="140">
        <f t="shared" si="3"/>
        <v>1.615</v>
      </c>
      <c r="J21" s="138">
        <f t="shared" si="3"/>
        <v>1</v>
      </c>
      <c r="K21" s="17">
        <f t="shared" si="3"/>
        <v>84</v>
      </c>
      <c r="L21" s="136">
        <f t="shared" si="3"/>
        <v>0</v>
      </c>
      <c r="M21" s="17">
        <f t="shared" si="3"/>
        <v>1</v>
      </c>
      <c r="N21" s="137">
        <f t="shared" si="3"/>
        <v>1</v>
      </c>
      <c r="O21" s="17">
        <f t="shared" si="3"/>
        <v>9</v>
      </c>
      <c r="P21" s="136">
        <f t="shared" si="3"/>
        <v>9</v>
      </c>
      <c r="Q21" s="17">
        <f t="shared" si="3"/>
        <v>46</v>
      </c>
      <c r="R21" s="136">
        <f t="shared" si="3"/>
        <v>40</v>
      </c>
      <c r="S21" s="17">
        <f t="shared" si="3"/>
        <v>0</v>
      </c>
      <c r="T21" s="136">
        <f t="shared" si="3"/>
        <v>0</v>
      </c>
      <c r="U21" s="143">
        <f t="shared" si="3"/>
        <v>1.129</v>
      </c>
      <c r="V21" s="144">
        <f t="shared" si="3"/>
        <v>1.129</v>
      </c>
      <c r="W21" s="111">
        <f t="shared" si="3"/>
        <v>0</v>
      </c>
      <c r="X21" s="108">
        <f t="shared" si="3"/>
        <v>0</v>
      </c>
      <c r="Y21" s="111">
        <f t="shared" si="3"/>
        <v>2</v>
      </c>
      <c r="Z21" s="139">
        <f t="shared" si="3"/>
        <v>0</v>
      </c>
    </row>
    <row r="22" spans="1:26" x14ac:dyDescent="0.45">
      <c r="A22" t="s">
        <v>67</v>
      </c>
      <c r="B22" t="s">
        <v>22</v>
      </c>
      <c r="C22" t="s">
        <v>27</v>
      </c>
      <c r="D22" t="s">
        <v>65</v>
      </c>
      <c r="E22" s="39">
        <v>0.19400000000000001</v>
      </c>
      <c r="F22" s="99">
        <v>0.19400000000000001</v>
      </c>
      <c r="G22" s="39">
        <v>0.19400000000000001</v>
      </c>
      <c r="H22" s="99">
        <v>0.19400000000000001</v>
      </c>
      <c r="I22" s="100">
        <v>7.5</v>
      </c>
      <c r="J22" s="267">
        <v>9.35</v>
      </c>
      <c r="K22" s="40">
        <v>150</v>
      </c>
      <c r="L22" s="103">
        <v>140</v>
      </c>
      <c r="M22" s="40">
        <v>1</v>
      </c>
      <c r="N22" s="102">
        <v>1</v>
      </c>
      <c r="O22" s="40">
        <v>0</v>
      </c>
      <c r="P22" s="79">
        <v>0</v>
      </c>
      <c r="Q22" s="104">
        <v>8</v>
      </c>
      <c r="R22" s="268">
        <v>8</v>
      </c>
      <c r="S22" s="40">
        <v>0</v>
      </c>
      <c r="T22" s="79">
        <v>0</v>
      </c>
      <c r="U22" s="109">
        <v>0.19400000000000001</v>
      </c>
      <c r="V22" s="97">
        <v>0.19400000000000001</v>
      </c>
      <c r="W22" s="59">
        <v>0</v>
      </c>
      <c r="X22" s="79">
        <v>0</v>
      </c>
      <c r="Y22" s="59">
        <v>0</v>
      </c>
      <c r="Z22" s="79">
        <v>0</v>
      </c>
    </row>
    <row r="23" spans="1:26" x14ac:dyDescent="0.45">
      <c r="D23" t="s">
        <v>66</v>
      </c>
      <c r="E23" s="39">
        <v>0.77300000000000002</v>
      </c>
      <c r="F23" s="99">
        <v>0.77300000000000002</v>
      </c>
      <c r="G23" s="39">
        <v>0.77300000000000002</v>
      </c>
      <c r="H23" s="99">
        <v>0.77300000000000002</v>
      </c>
      <c r="I23" s="100">
        <v>3.3</v>
      </c>
      <c r="J23" s="267">
        <v>3.4</v>
      </c>
      <c r="K23" s="40">
        <v>150</v>
      </c>
      <c r="L23" s="103">
        <v>150</v>
      </c>
      <c r="M23" s="40">
        <v>1</v>
      </c>
      <c r="N23" s="102">
        <v>0</v>
      </c>
      <c r="O23" s="40">
        <v>0</v>
      </c>
      <c r="P23" s="79">
        <v>0</v>
      </c>
      <c r="Q23" s="104">
        <v>41</v>
      </c>
      <c r="R23" s="268">
        <v>38</v>
      </c>
      <c r="S23" s="40">
        <v>0</v>
      </c>
      <c r="T23" s="79">
        <v>0</v>
      </c>
      <c r="U23" s="109">
        <v>0.77300000000000002</v>
      </c>
      <c r="V23" s="97">
        <v>0.77300000000000002</v>
      </c>
      <c r="W23" s="59">
        <v>0</v>
      </c>
      <c r="X23" s="79">
        <v>0</v>
      </c>
      <c r="Y23" s="59">
        <v>0</v>
      </c>
      <c r="Z23" s="79">
        <v>0</v>
      </c>
    </row>
    <row r="24" spans="1:26" x14ac:dyDescent="0.45">
      <c r="B24" t="s">
        <v>23</v>
      </c>
      <c r="C24" t="s">
        <v>27</v>
      </c>
      <c r="D24" t="s">
        <v>65</v>
      </c>
      <c r="E24" s="9">
        <v>0</v>
      </c>
      <c r="F24" s="99">
        <v>0</v>
      </c>
      <c r="G24" s="9">
        <v>0</v>
      </c>
      <c r="H24" s="99">
        <v>0</v>
      </c>
      <c r="I24" s="14">
        <v>0</v>
      </c>
      <c r="J24" s="105">
        <v>0</v>
      </c>
      <c r="K24" s="14">
        <v>0</v>
      </c>
      <c r="L24" s="103">
        <v>0</v>
      </c>
      <c r="M24" s="14">
        <v>0</v>
      </c>
      <c r="N24" s="102">
        <v>0</v>
      </c>
      <c r="O24" s="14">
        <v>3</v>
      </c>
      <c r="P24" s="79">
        <v>3</v>
      </c>
      <c r="Q24" s="14">
        <v>0</v>
      </c>
      <c r="R24" s="79">
        <v>0</v>
      </c>
      <c r="S24" s="14">
        <v>0</v>
      </c>
      <c r="T24" s="79">
        <v>0</v>
      </c>
      <c r="U24" s="110">
        <v>0</v>
      </c>
      <c r="V24" s="106">
        <v>0</v>
      </c>
      <c r="W24" s="59">
        <v>0</v>
      </c>
      <c r="X24" s="79">
        <v>0</v>
      </c>
      <c r="Y24" s="59">
        <v>0</v>
      </c>
      <c r="Z24" s="79">
        <v>0</v>
      </c>
    </row>
    <row r="25" spans="1:26" ht="14.65" thickBot="1" x14ac:dyDescent="0.5">
      <c r="D25" t="s">
        <v>66</v>
      </c>
      <c r="E25" s="9">
        <v>0</v>
      </c>
      <c r="F25" s="99">
        <v>0</v>
      </c>
      <c r="G25" s="9">
        <v>0</v>
      </c>
      <c r="H25" s="99">
        <v>0</v>
      </c>
      <c r="I25" s="14">
        <v>0</v>
      </c>
      <c r="J25" s="105">
        <v>0</v>
      </c>
      <c r="K25" s="14">
        <v>0</v>
      </c>
      <c r="L25" s="103">
        <v>0</v>
      </c>
      <c r="M25" s="14">
        <v>0</v>
      </c>
      <c r="N25" s="102">
        <v>0</v>
      </c>
      <c r="O25" s="14">
        <v>3</v>
      </c>
      <c r="P25" s="79">
        <v>3</v>
      </c>
      <c r="Q25" s="14">
        <v>0</v>
      </c>
      <c r="R25" s="79">
        <v>0</v>
      </c>
      <c r="S25" s="14">
        <v>0</v>
      </c>
      <c r="T25" s="79">
        <v>0</v>
      </c>
      <c r="U25" s="141">
        <v>0</v>
      </c>
      <c r="V25" s="142">
        <v>0</v>
      </c>
      <c r="W25" s="59">
        <v>0</v>
      </c>
      <c r="X25" s="79">
        <v>0</v>
      </c>
      <c r="Y25" s="59">
        <v>0</v>
      </c>
      <c r="Z25" s="79">
        <v>0</v>
      </c>
    </row>
    <row r="26" spans="1:26" ht="14.65" thickBot="1" x14ac:dyDescent="0.5">
      <c r="A26" s="120"/>
      <c r="B26" s="7"/>
      <c r="C26" s="7"/>
      <c r="D26" s="7" t="s">
        <v>9</v>
      </c>
      <c r="E26" s="12">
        <f t="shared" ref="E26:Z26" si="4">SUM(E22:E25)</f>
        <v>0.96700000000000008</v>
      </c>
      <c r="F26" s="135">
        <f t="shared" si="4"/>
        <v>0.96700000000000008</v>
      </c>
      <c r="G26" s="12">
        <f>SUM(G22:G25)</f>
        <v>0.96700000000000008</v>
      </c>
      <c r="H26" s="135">
        <f t="shared" si="4"/>
        <v>0.96700000000000008</v>
      </c>
      <c r="I26" s="140">
        <f t="shared" si="4"/>
        <v>10.8</v>
      </c>
      <c r="J26" s="135">
        <f t="shared" si="4"/>
        <v>12.75</v>
      </c>
      <c r="K26" s="17">
        <f t="shared" si="4"/>
        <v>300</v>
      </c>
      <c r="L26" s="136">
        <f t="shared" si="4"/>
        <v>290</v>
      </c>
      <c r="M26" s="17">
        <f t="shared" si="4"/>
        <v>2</v>
      </c>
      <c r="N26" s="137">
        <f t="shared" si="4"/>
        <v>1</v>
      </c>
      <c r="O26" s="17">
        <f t="shared" si="4"/>
        <v>6</v>
      </c>
      <c r="P26" s="136">
        <f t="shared" si="4"/>
        <v>6</v>
      </c>
      <c r="Q26" s="17">
        <f t="shared" si="4"/>
        <v>49</v>
      </c>
      <c r="R26" s="136">
        <f t="shared" si="4"/>
        <v>46</v>
      </c>
      <c r="S26" s="136">
        <f t="shared" si="4"/>
        <v>0</v>
      </c>
      <c r="T26" s="136">
        <f t="shared" si="4"/>
        <v>0</v>
      </c>
      <c r="U26" s="143">
        <f t="shared" si="4"/>
        <v>0.96700000000000008</v>
      </c>
      <c r="V26" s="144">
        <f t="shared" si="4"/>
        <v>0.96700000000000008</v>
      </c>
      <c r="W26" s="136">
        <f t="shared" si="4"/>
        <v>0</v>
      </c>
      <c r="X26" s="136">
        <f t="shared" si="4"/>
        <v>0</v>
      </c>
      <c r="Y26" s="136">
        <f t="shared" si="4"/>
        <v>0</v>
      </c>
      <c r="Z26" s="136">
        <f t="shared" si="4"/>
        <v>0</v>
      </c>
    </row>
    <row r="27" spans="1:26" x14ac:dyDescent="0.45">
      <c r="A27" t="s">
        <v>68</v>
      </c>
      <c r="B27" t="s">
        <v>22</v>
      </c>
      <c r="C27" t="s">
        <v>28</v>
      </c>
      <c r="D27" t="s">
        <v>69</v>
      </c>
      <c r="E27" s="39">
        <v>0.92</v>
      </c>
      <c r="F27" s="99">
        <v>0.92</v>
      </c>
      <c r="G27" s="100">
        <v>0.92</v>
      </c>
      <c r="H27" s="269">
        <v>0.92</v>
      </c>
      <c r="I27" s="40">
        <v>0</v>
      </c>
      <c r="J27" s="105">
        <v>0</v>
      </c>
      <c r="K27" s="40">
        <v>0</v>
      </c>
      <c r="L27" s="79">
        <v>0</v>
      </c>
      <c r="M27" s="40">
        <v>0</v>
      </c>
      <c r="N27" s="107">
        <v>0</v>
      </c>
      <c r="O27" s="40">
        <v>1</v>
      </c>
      <c r="P27" s="238">
        <v>1</v>
      </c>
      <c r="Q27" s="40">
        <v>46</v>
      </c>
      <c r="R27" s="297">
        <v>33</v>
      </c>
      <c r="S27" s="40">
        <v>0</v>
      </c>
      <c r="T27" s="79">
        <v>0</v>
      </c>
      <c r="U27" s="109">
        <v>0.92</v>
      </c>
      <c r="V27" s="298">
        <v>0.92</v>
      </c>
      <c r="W27" s="59">
        <v>0</v>
      </c>
      <c r="X27" s="79">
        <v>0</v>
      </c>
      <c r="Y27" s="59">
        <v>0</v>
      </c>
      <c r="Z27" s="79">
        <v>0</v>
      </c>
    </row>
    <row r="28" spans="1:26" x14ac:dyDescent="0.45">
      <c r="D28" t="s">
        <v>70</v>
      </c>
      <c r="E28" s="39">
        <v>1.5649999999999999</v>
      </c>
      <c r="F28" s="99">
        <v>1.5649999999999999</v>
      </c>
      <c r="G28" s="100">
        <v>1.5649999999999999</v>
      </c>
      <c r="H28" s="269">
        <v>1.5649999999999999</v>
      </c>
      <c r="I28" s="40">
        <v>0</v>
      </c>
      <c r="J28" s="105">
        <v>0</v>
      </c>
      <c r="K28" s="40">
        <v>0</v>
      </c>
      <c r="L28" s="79">
        <v>0</v>
      </c>
      <c r="M28" s="40">
        <v>0</v>
      </c>
      <c r="N28" s="107">
        <v>0</v>
      </c>
      <c r="O28" s="40">
        <v>1</v>
      </c>
      <c r="P28" s="238">
        <v>1</v>
      </c>
      <c r="Q28" s="40">
        <v>78</v>
      </c>
      <c r="R28" s="297">
        <v>56</v>
      </c>
      <c r="S28" s="40">
        <v>0</v>
      </c>
      <c r="T28" s="79">
        <v>0</v>
      </c>
      <c r="U28" s="109">
        <v>1.5649999999999999</v>
      </c>
      <c r="V28" s="298">
        <v>1.5649999999999999</v>
      </c>
      <c r="W28" s="59">
        <v>0</v>
      </c>
      <c r="X28" s="79">
        <v>0</v>
      </c>
      <c r="Y28" s="59">
        <v>0</v>
      </c>
      <c r="Z28" s="79">
        <v>0</v>
      </c>
    </row>
    <row r="29" spans="1:26" x14ac:dyDescent="0.45">
      <c r="D29" t="s">
        <v>71</v>
      </c>
      <c r="E29" s="39">
        <v>1.3540000000000001</v>
      </c>
      <c r="F29" s="99">
        <v>1.54</v>
      </c>
      <c r="G29" s="100">
        <v>1.3540000000000001</v>
      </c>
      <c r="H29" s="269">
        <v>1.1599999999999999</v>
      </c>
      <c r="I29" s="40">
        <v>0</v>
      </c>
      <c r="J29" s="105">
        <v>0</v>
      </c>
      <c r="K29" s="40">
        <v>0</v>
      </c>
      <c r="L29" s="79">
        <v>0</v>
      </c>
      <c r="M29" s="40">
        <v>0</v>
      </c>
      <c r="N29" s="107">
        <v>0</v>
      </c>
      <c r="O29" s="40">
        <v>0</v>
      </c>
      <c r="P29" s="238">
        <v>0</v>
      </c>
      <c r="Q29" s="40">
        <v>68</v>
      </c>
      <c r="R29" s="297">
        <v>53</v>
      </c>
      <c r="S29" s="40">
        <v>0</v>
      </c>
      <c r="T29" s="79">
        <v>0</v>
      </c>
      <c r="U29" s="109">
        <v>1.3540000000000001</v>
      </c>
      <c r="V29" s="298">
        <v>1.1599999999999999</v>
      </c>
      <c r="W29" s="59">
        <v>0</v>
      </c>
      <c r="X29" s="79">
        <v>0</v>
      </c>
      <c r="Y29" s="59">
        <v>0</v>
      </c>
      <c r="Z29" s="79">
        <v>0</v>
      </c>
    </row>
    <row r="30" spans="1:26" x14ac:dyDescent="0.45">
      <c r="D30" t="s">
        <v>72</v>
      </c>
      <c r="E30" s="39">
        <v>1.4</v>
      </c>
      <c r="F30" s="99">
        <v>1.4</v>
      </c>
      <c r="G30" s="100">
        <v>1.4</v>
      </c>
      <c r="H30" s="269">
        <v>1.1200000000000001</v>
      </c>
      <c r="I30" s="40">
        <v>0</v>
      </c>
      <c r="J30" s="105">
        <v>0</v>
      </c>
      <c r="K30" s="40">
        <v>0</v>
      </c>
      <c r="L30" s="79">
        <v>0</v>
      </c>
      <c r="M30" s="40">
        <v>0</v>
      </c>
      <c r="N30" s="107">
        <v>0</v>
      </c>
      <c r="O30" s="40">
        <v>0</v>
      </c>
      <c r="P30" s="238">
        <v>0</v>
      </c>
      <c r="Q30" s="40">
        <v>64</v>
      </c>
      <c r="R30" s="297">
        <v>52</v>
      </c>
      <c r="S30" s="40">
        <v>0</v>
      </c>
      <c r="T30" s="79">
        <v>0</v>
      </c>
      <c r="U30" s="109">
        <v>1.4</v>
      </c>
      <c r="V30" s="298">
        <v>1.4</v>
      </c>
      <c r="W30" s="59">
        <v>0</v>
      </c>
      <c r="X30" s="79">
        <v>0</v>
      </c>
      <c r="Y30" s="59">
        <v>0</v>
      </c>
      <c r="Z30" s="79">
        <v>0</v>
      </c>
    </row>
    <row r="31" spans="1:26" x14ac:dyDescent="0.45">
      <c r="D31" t="s">
        <v>73</v>
      </c>
      <c r="E31" s="39">
        <v>1.96</v>
      </c>
      <c r="F31" s="99">
        <v>2.02</v>
      </c>
      <c r="G31" s="100">
        <v>1.96</v>
      </c>
      <c r="H31" s="269">
        <v>2.02</v>
      </c>
      <c r="I31" s="40">
        <v>0</v>
      </c>
      <c r="J31" s="105">
        <v>0</v>
      </c>
      <c r="K31" s="40">
        <v>0</v>
      </c>
      <c r="L31" s="79">
        <v>0</v>
      </c>
      <c r="M31" s="40">
        <v>0</v>
      </c>
      <c r="N31" s="107">
        <v>0</v>
      </c>
      <c r="O31" s="40">
        <v>0</v>
      </c>
      <c r="P31" s="238">
        <v>0</v>
      </c>
      <c r="Q31" s="40">
        <v>98</v>
      </c>
      <c r="R31" s="297">
        <v>90</v>
      </c>
      <c r="S31" s="40">
        <v>0</v>
      </c>
      <c r="T31" s="79">
        <v>0</v>
      </c>
      <c r="U31" s="109">
        <v>1.96</v>
      </c>
      <c r="V31" s="298">
        <v>2.02</v>
      </c>
      <c r="W31" s="59">
        <v>0</v>
      </c>
      <c r="X31" s="79">
        <v>0</v>
      </c>
      <c r="Y31" s="59">
        <v>0</v>
      </c>
      <c r="Z31" s="79">
        <v>0</v>
      </c>
    </row>
    <row r="32" spans="1:26" x14ac:dyDescent="0.45">
      <c r="D32" t="s">
        <v>74</v>
      </c>
      <c r="E32" s="39">
        <v>1.2</v>
      </c>
      <c r="F32" s="99">
        <v>1.28</v>
      </c>
      <c r="G32" s="100">
        <v>1.2</v>
      </c>
      <c r="H32" s="269">
        <v>1.28</v>
      </c>
      <c r="I32" s="40">
        <v>0</v>
      </c>
      <c r="J32" s="105">
        <v>0</v>
      </c>
      <c r="K32" s="40">
        <v>0</v>
      </c>
      <c r="L32" s="79">
        <v>0</v>
      </c>
      <c r="M32" s="40">
        <v>0</v>
      </c>
      <c r="N32" s="107">
        <v>0</v>
      </c>
      <c r="O32" s="40">
        <v>0</v>
      </c>
      <c r="P32" s="238">
        <v>0</v>
      </c>
      <c r="Q32" s="40">
        <v>66</v>
      </c>
      <c r="R32" s="297">
        <v>41</v>
      </c>
      <c r="S32" s="40">
        <v>0</v>
      </c>
      <c r="T32" s="79">
        <v>0</v>
      </c>
      <c r="U32" s="109">
        <v>1.2</v>
      </c>
      <c r="V32" s="298">
        <v>1.2</v>
      </c>
      <c r="W32" s="59">
        <v>0</v>
      </c>
      <c r="X32" s="79">
        <v>0</v>
      </c>
      <c r="Y32" s="59">
        <v>0</v>
      </c>
      <c r="Z32" s="79">
        <v>0</v>
      </c>
    </row>
    <row r="33" spans="1:26" x14ac:dyDescent="0.45">
      <c r="B33" t="s">
        <v>23</v>
      </c>
      <c r="C33" t="s">
        <v>27</v>
      </c>
      <c r="D33" t="s">
        <v>69</v>
      </c>
      <c r="E33" s="9">
        <v>0</v>
      </c>
      <c r="F33" s="99">
        <v>0</v>
      </c>
      <c r="G33" s="9">
        <v>0</v>
      </c>
      <c r="H33" s="99">
        <v>0</v>
      </c>
      <c r="I33" s="14">
        <v>0</v>
      </c>
      <c r="J33" s="105">
        <v>0</v>
      </c>
      <c r="K33" s="14">
        <v>0</v>
      </c>
      <c r="L33" s="79">
        <v>0</v>
      </c>
      <c r="M33" s="14">
        <v>0</v>
      </c>
      <c r="N33" s="107">
        <v>0</v>
      </c>
      <c r="O33" s="14">
        <v>0</v>
      </c>
      <c r="P33" s="238">
        <v>0</v>
      </c>
      <c r="Q33" s="14">
        <v>0</v>
      </c>
      <c r="R33" s="79">
        <v>0</v>
      </c>
      <c r="S33" s="14">
        <v>0</v>
      </c>
      <c r="T33" s="79">
        <v>0</v>
      </c>
      <c r="W33" s="59">
        <v>0</v>
      </c>
      <c r="X33" s="79">
        <v>0</v>
      </c>
      <c r="Y33" s="59">
        <v>0</v>
      </c>
      <c r="Z33" s="79">
        <v>0</v>
      </c>
    </row>
    <row r="34" spans="1:26" x14ac:dyDescent="0.45">
      <c r="D34" t="s">
        <v>70</v>
      </c>
      <c r="E34" s="9">
        <v>0</v>
      </c>
      <c r="F34" s="99">
        <v>0</v>
      </c>
      <c r="G34" s="9">
        <v>0</v>
      </c>
      <c r="H34" s="99">
        <v>0</v>
      </c>
      <c r="I34" s="14">
        <v>0</v>
      </c>
      <c r="J34" s="105">
        <v>0</v>
      </c>
      <c r="K34" s="14">
        <v>0</v>
      </c>
      <c r="L34" s="79">
        <v>0</v>
      </c>
      <c r="M34" s="14">
        <v>0</v>
      </c>
      <c r="N34" s="107">
        <v>0</v>
      </c>
      <c r="O34" s="14">
        <v>0</v>
      </c>
      <c r="P34" s="238">
        <v>0</v>
      </c>
      <c r="Q34" s="14">
        <v>0</v>
      </c>
      <c r="R34" s="79">
        <v>0</v>
      </c>
      <c r="S34" s="14">
        <v>0</v>
      </c>
      <c r="T34" s="79">
        <v>0</v>
      </c>
      <c r="W34" s="59">
        <v>0</v>
      </c>
      <c r="X34" s="79">
        <v>0</v>
      </c>
      <c r="Y34" s="59">
        <v>0</v>
      </c>
      <c r="Z34" s="79">
        <v>0</v>
      </c>
    </row>
    <row r="35" spans="1:26" x14ac:dyDescent="0.45">
      <c r="D35" t="s">
        <v>71</v>
      </c>
      <c r="E35" s="9">
        <v>0</v>
      </c>
      <c r="F35" s="99">
        <v>0</v>
      </c>
      <c r="G35" s="9">
        <v>0</v>
      </c>
      <c r="H35" s="99">
        <v>0</v>
      </c>
      <c r="I35" s="14">
        <v>0</v>
      </c>
      <c r="J35" s="105">
        <v>0</v>
      </c>
      <c r="K35" s="14">
        <v>0</v>
      </c>
      <c r="L35" s="79">
        <v>0</v>
      </c>
      <c r="M35" s="14">
        <v>0</v>
      </c>
      <c r="N35" s="107">
        <v>0</v>
      </c>
      <c r="O35" s="14">
        <v>0</v>
      </c>
      <c r="P35" s="238">
        <v>0</v>
      </c>
      <c r="Q35" s="14">
        <v>0</v>
      </c>
      <c r="R35" s="79">
        <v>0</v>
      </c>
      <c r="S35" s="14">
        <v>0</v>
      </c>
      <c r="T35" s="79">
        <v>0</v>
      </c>
      <c r="W35" s="59">
        <v>0</v>
      </c>
      <c r="X35" s="79">
        <v>0</v>
      </c>
      <c r="Y35" s="59">
        <v>0</v>
      </c>
      <c r="Z35" s="79">
        <v>0</v>
      </c>
    </row>
    <row r="36" spans="1:26" x14ac:dyDescent="0.45">
      <c r="D36" t="s">
        <v>72</v>
      </c>
      <c r="E36" s="9">
        <v>0</v>
      </c>
      <c r="F36" s="99">
        <v>0</v>
      </c>
      <c r="G36" s="9">
        <v>0</v>
      </c>
      <c r="H36" s="99">
        <v>0</v>
      </c>
      <c r="I36" s="14">
        <v>0</v>
      </c>
      <c r="J36" s="105">
        <v>0</v>
      </c>
      <c r="K36" s="14">
        <v>0</v>
      </c>
      <c r="L36" s="79">
        <v>0</v>
      </c>
      <c r="M36" s="14">
        <v>0</v>
      </c>
      <c r="N36" s="107">
        <v>0</v>
      </c>
      <c r="O36" s="14">
        <v>1</v>
      </c>
      <c r="P36" s="238">
        <v>1</v>
      </c>
      <c r="Q36" s="14">
        <v>0</v>
      </c>
      <c r="R36" s="79">
        <v>0</v>
      </c>
      <c r="S36" s="14">
        <v>0</v>
      </c>
      <c r="T36" s="79">
        <v>0</v>
      </c>
      <c r="W36" s="59">
        <v>0</v>
      </c>
      <c r="X36" s="79">
        <v>0</v>
      </c>
      <c r="Y36" s="59">
        <v>0</v>
      </c>
      <c r="Z36" s="79">
        <v>0</v>
      </c>
    </row>
    <row r="37" spans="1:26" x14ac:dyDescent="0.45">
      <c r="D37" t="s">
        <v>73</v>
      </c>
      <c r="E37" s="9">
        <v>0</v>
      </c>
      <c r="F37" s="99">
        <v>0</v>
      </c>
      <c r="G37" s="9">
        <v>0</v>
      </c>
      <c r="H37" s="99">
        <v>0</v>
      </c>
      <c r="I37" s="14">
        <v>0</v>
      </c>
      <c r="J37" s="105">
        <v>0</v>
      </c>
      <c r="K37" s="14">
        <v>0</v>
      </c>
      <c r="L37" s="79">
        <v>0</v>
      </c>
      <c r="M37" s="14">
        <v>0</v>
      </c>
      <c r="N37" s="107">
        <v>0</v>
      </c>
      <c r="O37" s="14">
        <v>1</v>
      </c>
      <c r="P37" s="238">
        <v>1</v>
      </c>
      <c r="Q37" s="14">
        <v>0</v>
      </c>
      <c r="R37" s="79">
        <v>0</v>
      </c>
      <c r="S37" s="14">
        <v>0</v>
      </c>
      <c r="T37" s="79">
        <v>0</v>
      </c>
      <c r="W37" s="59">
        <v>0</v>
      </c>
      <c r="X37" s="79">
        <v>0</v>
      </c>
      <c r="Y37" s="59">
        <v>0</v>
      </c>
      <c r="Z37" s="79">
        <v>0</v>
      </c>
    </row>
    <row r="38" spans="1:26" ht="14.65" thickBot="1" x14ac:dyDescent="0.5">
      <c r="D38" t="s">
        <v>74</v>
      </c>
      <c r="E38" s="9">
        <v>0</v>
      </c>
      <c r="F38" s="99">
        <v>0</v>
      </c>
      <c r="G38" s="9">
        <v>0</v>
      </c>
      <c r="H38" s="99">
        <v>0</v>
      </c>
      <c r="I38" s="14">
        <v>0</v>
      </c>
      <c r="J38" s="105">
        <v>0</v>
      </c>
      <c r="K38" s="14">
        <v>0</v>
      </c>
      <c r="L38" s="79">
        <v>0</v>
      </c>
      <c r="M38" s="14">
        <v>0</v>
      </c>
      <c r="N38" s="107">
        <v>0</v>
      </c>
      <c r="O38" s="14">
        <v>1</v>
      </c>
      <c r="P38" s="238">
        <v>1</v>
      </c>
      <c r="Q38" s="14">
        <v>0</v>
      </c>
      <c r="R38" s="79">
        <v>0</v>
      </c>
      <c r="S38" s="14">
        <v>0</v>
      </c>
      <c r="T38" s="79">
        <v>0</v>
      </c>
      <c r="W38" s="59">
        <v>0</v>
      </c>
      <c r="X38" s="79">
        <v>0</v>
      </c>
      <c r="Y38" s="59">
        <v>0</v>
      </c>
      <c r="Z38" s="79">
        <v>0</v>
      </c>
    </row>
    <row r="39" spans="1:26" ht="14.65" thickBot="1" x14ac:dyDescent="0.5">
      <c r="A39" s="120"/>
      <c r="B39" s="7"/>
      <c r="C39" s="7"/>
      <c r="D39" s="7" t="s">
        <v>9</v>
      </c>
      <c r="E39" s="12">
        <f>SUM(E27:E33)</f>
        <v>8.3989999999999991</v>
      </c>
      <c r="F39" s="135">
        <f>SUM(F27:F33)</f>
        <v>8.7249999999999996</v>
      </c>
      <c r="G39" s="12">
        <f>SUM(G27:G33)</f>
        <v>8.3989999999999991</v>
      </c>
      <c r="H39" s="135">
        <f>SUM(H27:H33)</f>
        <v>8.0649999999999995</v>
      </c>
      <c r="I39" s="17">
        <f>SUM(I27:I38)</f>
        <v>0</v>
      </c>
      <c r="J39" s="138">
        <f>SUM(J27:J33)</f>
        <v>0</v>
      </c>
      <c r="K39" s="17">
        <f>SUM(K27:K38)</f>
        <v>0</v>
      </c>
      <c r="L39" s="136">
        <f>SUM(L27:L33)</f>
        <v>0</v>
      </c>
      <c r="M39" s="17">
        <f>SUM(M27:M38)</f>
        <v>0</v>
      </c>
      <c r="N39" s="137">
        <f>SUM(N27:N33)</f>
        <v>0</v>
      </c>
      <c r="O39" s="17">
        <f>SUM(O27:O38)</f>
        <v>5</v>
      </c>
      <c r="P39" s="136">
        <f>SUM(P27:P38)</f>
        <v>5</v>
      </c>
      <c r="Q39" s="17">
        <f t="shared" ref="Q39:Z39" si="5">SUM(Q27:Q33)</f>
        <v>420</v>
      </c>
      <c r="R39" s="17">
        <f t="shared" si="5"/>
        <v>325</v>
      </c>
      <c r="S39" s="17">
        <f t="shared" si="5"/>
        <v>0</v>
      </c>
      <c r="T39" s="17">
        <f t="shared" si="5"/>
        <v>0</v>
      </c>
      <c r="U39" s="135">
        <f t="shared" si="5"/>
        <v>8.3989999999999991</v>
      </c>
      <c r="V39" s="144">
        <f t="shared" si="5"/>
        <v>8.2649999999999988</v>
      </c>
      <c r="W39" s="118">
        <f t="shared" si="5"/>
        <v>0</v>
      </c>
      <c r="X39" s="119">
        <f t="shared" si="5"/>
        <v>0</v>
      </c>
      <c r="Y39" s="118">
        <f t="shared" si="5"/>
        <v>0</v>
      </c>
      <c r="Z39" s="126">
        <f t="shared" si="5"/>
        <v>0</v>
      </c>
    </row>
    <row r="40" spans="1:26" ht="14.65" thickBot="1" x14ac:dyDescent="0.5">
      <c r="A40" s="7" t="s">
        <v>53</v>
      </c>
      <c r="B40" s="7"/>
      <c r="C40" s="120"/>
      <c r="D40" s="7"/>
      <c r="E40" s="12">
        <f t="shared" ref="E40:Z40" si="6">SUM(E14,E21,E26,E39)</f>
        <v>14.191999999999998</v>
      </c>
      <c r="F40" s="36">
        <f t="shared" si="6"/>
        <v>13.632999999999999</v>
      </c>
      <c r="G40" s="12">
        <f t="shared" si="6"/>
        <v>15.779</v>
      </c>
      <c r="H40" s="36">
        <f t="shared" si="6"/>
        <v>12.523999999999999</v>
      </c>
      <c r="I40" s="12">
        <f>SUM(I14,I21,I26,I39)</f>
        <v>24.691000000000003</v>
      </c>
      <c r="J40" s="12">
        <f t="shared" si="6"/>
        <v>25.03</v>
      </c>
      <c r="K40" s="17">
        <f t="shared" si="6"/>
        <v>970</v>
      </c>
      <c r="L40" s="17">
        <f t="shared" si="6"/>
        <v>290</v>
      </c>
      <c r="M40" s="17">
        <f t="shared" si="6"/>
        <v>4</v>
      </c>
      <c r="N40" s="37">
        <f t="shared" si="6"/>
        <v>2</v>
      </c>
      <c r="O40" s="17">
        <f t="shared" si="6"/>
        <v>27</v>
      </c>
      <c r="P40" s="38">
        <f t="shared" si="6"/>
        <v>26</v>
      </c>
      <c r="Q40" s="17">
        <f t="shared" si="6"/>
        <v>649</v>
      </c>
      <c r="R40" s="38">
        <f t="shared" si="6"/>
        <v>457</v>
      </c>
      <c r="S40" s="12">
        <f t="shared" si="6"/>
        <v>0</v>
      </c>
      <c r="T40" s="12">
        <f t="shared" si="6"/>
        <v>0</v>
      </c>
      <c r="U40" s="111">
        <f t="shared" si="6"/>
        <v>14.149999999999999</v>
      </c>
      <c r="V40" s="108">
        <f t="shared" si="6"/>
        <v>11.000999999999999</v>
      </c>
      <c r="W40" s="149">
        <f t="shared" si="6"/>
        <v>1.9</v>
      </c>
      <c r="X40" s="108">
        <f t="shared" si="6"/>
        <v>0</v>
      </c>
      <c r="Y40" s="111">
        <f t="shared" si="6"/>
        <v>352</v>
      </c>
      <c r="Z40" s="139">
        <f t="shared" si="6"/>
        <v>0</v>
      </c>
    </row>
  </sheetData>
  <mergeCells count="11">
    <mergeCell ref="O2:P2"/>
    <mergeCell ref="E2:F2"/>
    <mergeCell ref="G2:H2"/>
    <mergeCell ref="I2:J2"/>
    <mergeCell ref="K2:L2"/>
    <mergeCell ref="M2:N2"/>
    <mergeCell ref="U2:V2"/>
    <mergeCell ref="W2:X2"/>
    <mergeCell ref="Y2:Z2"/>
    <mergeCell ref="Q2:R2"/>
    <mergeCell ref="S2:T2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1D001-F709-49C1-8EB2-D7A6D3857F07}">
  <dimension ref="A1:Z25"/>
  <sheetViews>
    <sheetView topLeftCell="R1" workbookViewId="0">
      <selection activeCell="P22" sqref="P22"/>
    </sheetView>
  </sheetViews>
  <sheetFormatPr defaultRowHeight="14.25" x14ac:dyDescent="0.45"/>
  <cols>
    <col min="2" max="2" width="17.1328125" customWidth="1"/>
    <col min="9" max="9" width="13.59765625" customWidth="1"/>
    <col min="10" max="10" width="14.59765625" customWidth="1"/>
    <col min="21" max="21" width="12.3984375" customWidth="1"/>
    <col min="22" max="22" width="8.86328125" style="77"/>
    <col min="23" max="23" width="12.73046875" customWidth="1"/>
    <col min="24" max="24" width="14.265625" style="77" customWidth="1"/>
    <col min="26" max="26" width="8.86328125" style="77"/>
  </cols>
  <sheetData>
    <row r="1" spans="1:26" ht="14.65" thickBot="1" x14ac:dyDescent="0.5">
      <c r="A1" s="1" t="s">
        <v>153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6" x14ac:dyDescent="0.45">
      <c r="A2" s="2" t="s">
        <v>0</v>
      </c>
      <c r="B2" s="2" t="s">
        <v>11</v>
      </c>
      <c r="C2" s="2" t="s">
        <v>26</v>
      </c>
      <c r="D2" s="2" t="s">
        <v>1</v>
      </c>
      <c r="E2" s="299" t="s">
        <v>6</v>
      </c>
      <c r="F2" s="300"/>
      <c r="G2" s="299" t="s">
        <v>16</v>
      </c>
      <c r="H2" s="300"/>
      <c r="I2" s="299" t="s">
        <v>169</v>
      </c>
      <c r="J2" s="300"/>
      <c r="K2" s="299" t="s">
        <v>17</v>
      </c>
      <c r="L2" s="300"/>
      <c r="M2" s="299" t="s">
        <v>29</v>
      </c>
      <c r="N2" s="300"/>
      <c r="O2" s="299" t="s">
        <v>18</v>
      </c>
      <c r="P2" s="300"/>
      <c r="Q2" s="299" t="s">
        <v>19</v>
      </c>
      <c r="R2" s="300"/>
      <c r="S2" s="299" t="s">
        <v>20</v>
      </c>
      <c r="T2" s="300"/>
      <c r="U2" s="299" t="s">
        <v>162</v>
      </c>
      <c r="V2" s="300"/>
      <c r="W2" s="299" t="s">
        <v>161</v>
      </c>
      <c r="X2" s="300"/>
      <c r="Y2" s="299" t="s">
        <v>60</v>
      </c>
      <c r="Z2" s="300"/>
    </row>
    <row r="3" spans="1:26" ht="14.65" thickBot="1" x14ac:dyDescent="0.5">
      <c r="A3" s="3"/>
      <c r="B3" s="3"/>
      <c r="C3" s="3"/>
      <c r="D3" s="3"/>
      <c r="E3" s="3" t="s">
        <v>7</v>
      </c>
      <c r="F3" s="48" t="s">
        <v>8</v>
      </c>
      <c r="G3" s="3" t="s">
        <v>7</v>
      </c>
      <c r="H3" s="48" t="s">
        <v>8</v>
      </c>
      <c r="I3" s="3" t="s">
        <v>7</v>
      </c>
      <c r="J3" s="48" t="s">
        <v>8</v>
      </c>
      <c r="K3" s="3" t="s">
        <v>7</v>
      </c>
      <c r="L3" s="18" t="s">
        <v>8</v>
      </c>
      <c r="M3" s="3" t="s">
        <v>7</v>
      </c>
      <c r="N3" s="48" t="s">
        <v>8</v>
      </c>
      <c r="O3" s="3" t="s">
        <v>7</v>
      </c>
      <c r="P3" s="48" t="s">
        <v>8</v>
      </c>
      <c r="Q3" s="3" t="s">
        <v>7</v>
      </c>
      <c r="R3" s="48" t="s">
        <v>8</v>
      </c>
      <c r="S3" s="3" t="s">
        <v>7</v>
      </c>
      <c r="T3" s="48" t="s">
        <v>8</v>
      </c>
      <c r="U3" s="5" t="s">
        <v>7</v>
      </c>
      <c r="V3" s="78" t="s">
        <v>8</v>
      </c>
      <c r="W3" s="5" t="s">
        <v>7</v>
      </c>
      <c r="X3" s="78" t="s">
        <v>8</v>
      </c>
      <c r="Y3" s="5" t="s">
        <v>7</v>
      </c>
      <c r="Z3" s="78" t="s">
        <v>8</v>
      </c>
    </row>
    <row r="4" spans="1:26" ht="14.65" thickTop="1" x14ac:dyDescent="0.45">
      <c r="A4" t="s">
        <v>154</v>
      </c>
      <c r="B4" t="s">
        <v>38</v>
      </c>
      <c r="C4" t="s">
        <v>27</v>
      </c>
      <c r="D4" t="s">
        <v>155</v>
      </c>
      <c r="E4" s="9">
        <v>2.9729999999999999</v>
      </c>
      <c r="F4" s="270">
        <v>2.9729999999999999</v>
      </c>
      <c r="G4" s="9">
        <v>2.9729999999999999</v>
      </c>
      <c r="H4" s="271">
        <v>2.9729999999999999</v>
      </c>
      <c r="I4" s="9">
        <v>2.9980000000000002</v>
      </c>
      <c r="J4" s="270">
        <v>2.9980000000000002</v>
      </c>
      <c r="K4" s="14">
        <v>100</v>
      </c>
      <c r="L4" s="220">
        <v>82</v>
      </c>
      <c r="M4" s="272"/>
      <c r="N4" s="49"/>
      <c r="O4" s="14">
        <v>1</v>
      </c>
      <c r="P4" s="49">
        <v>1</v>
      </c>
      <c r="Q4" s="14">
        <v>20</v>
      </c>
      <c r="R4" s="49">
        <v>20</v>
      </c>
      <c r="S4" s="9"/>
      <c r="T4" s="49"/>
      <c r="U4" s="74">
        <v>2.95</v>
      </c>
      <c r="V4" s="77">
        <v>2.95</v>
      </c>
      <c r="W4" s="75">
        <v>0</v>
      </c>
      <c r="X4" s="79">
        <v>0</v>
      </c>
      <c r="Y4" s="75">
        <v>0</v>
      </c>
      <c r="Z4" s="79">
        <v>0</v>
      </c>
    </row>
    <row r="5" spans="1:26" x14ac:dyDescent="0.45">
      <c r="B5" t="s">
        <v>23</v>
      </c>
      <c r="C5" t="s">
        <v>28</v>
      </c>
      <c r="D5" t="s">
        <v>155</v>
      </c>
      <c r="E5" s="9"/>
      <c r="F5" s="270"/>
      <c r="G5" s="9"/>
      <c r="H5" s="271"/>
      <c r="I5" s="9"/>
      <c r="J5" s="270"/>
      <c r="K5" s="9"/>
      <c r="L5" s="219"/>
      <c r="M5" s="273"/>
      <c r="N5" s="49"/>
      <c r="O5" s="14">
        <v>1</v>
      </c>
      <c r="P5" s="50">
        <v>1</v>
      </c>
      <c r="Q5" s="9"/>
      <c r="R5" s="49"/>
      <c r="S5" s="9"/>
      <c r="T5" s="49"/>
      <c r="U5" s="74"/>
      <c r="V5" s="221">
        <v>0</v>
      </c>
      <c r="W5" s="75">
        <v>0</v>
      </c>
      <c r="X5" s="79">
        <v>0</v>
      </c>
      <c r="Y5" s="75">
        <v>0</v>
      </c>
      <c r="Z5" s="79">
        <v>0</v>
      </c>
    </row>
    <row r="6" spans="1:26" x14ac:dyDescent="0.45">
      <c r="B6" t="s">
        <v>38</v>
      </c>
      <c r="C6" t="s">
        <v>27</v>
      </c>
      <c r="D6" t="s">
        <v>83</v>
      </c>
      <c r="E6" s="9">
        <v>2.7610000000000001</v>
      </c>
      <c r="F6" s="270">
        <v>2.7610000000000001</v>
      </c>
      <c r="G6" s="9">
        <v>2.7610000000000001</v>
      </c>
      <c r="H6" s="271">
        <v>2.7610000000000001</v>
      </c>
      <c r="I6" s="9">
        <v>2.3319999999999999</v>
      </c>
      <c r="J6" s="270">
        <v>2.3319999999999999</v>
      </c>
      <c r="K6" s="14">
        <v>100</v>
      </c>
      <c r="L6" s="220">
        <v>68</v>
      </c>
      <c r="M6" s="274"/>
      <c r="N6" s="49"/>
      <c r="O6" s="14">
        <v>1</v>
      </c>
      <c r="P6" s="50">
        <v>1</v>
      </c>
      <c r="Q6" s="14">
        <v>25</v>
      </c>
      <c r="R6" s="49">
        <v>25</v>
      </c>
      <c r="S6" s="9"/>
      <c r="T6" s="49"/>
      <c r="U6" s="74">
        <v>2.76</v>
      </c>
      <c r="V6" s="77">
        <v>2.76</v>
      </c>
      <c r="W6" s="75">
        <v>0</v>
      </c>
      <c r="X6" s="79">
        <v>0</v>
      </c>
      <c r="Y6" s="75">
        <v>0</v>
      </c>
      <c r="Z6" s="79">
        <v>0</v>
      </c>
    </row>
    <row r="7" spans="1:26" x14ac:dyDescent="0.45">
      <c r="B7" t="s">
        <v>23</v>
      </c>
      <c r="C7" t="s">
        <v>28</v>
      </c>
      <c r="D7" t="s">
        <v>83</v>
      </c>
      <c r="E7" s="9"/>
      <c r="F7" s="270"/>
      <c r="G7" s="9"/>
      <c r="H7" s="271"/>
      <c r="I7" s="9"/>
      <c r="J7" s="270"/>
      <c r="K7" s="9"/>
      <c r="L7" s="219"/>
      <c r="M7" s="273"/>
      <c r="N7" s="49"/>
      <c r="O7" s="14">
        <v>1</v>
      </c>
      <c r="P7" s="50">
        <v>1</v>
      </c>
      <c r="Q7" s="9"/>
      <c r="R7" s="49"/>
      <c r="S7" s="9"/>
      <c r="T7" s="49"/>
      <c r="U7" s="74"/>
      <c r="V7" s="221">
        <v>0</v>
      </c>
      <c r="W7" s="75">
        <v>0</v>
      </c>
      <c r="X7" s="79">
        <v>0</v>
      </c>
      <c r="Y7" s="75">
        <v>0</v>
      </c>
      <c r="Z7" s="79">
        <v>0</v>
      </c>
    </row>
    <row r="8" spans="1:26" x14ac:dyDescent="0.45">
      <c r="B8" t="s">
        <v>38</v>
      </c>
      <c r="C8" t="s">
        <v>27</v>
      </c>
      <c r="D8" t="s">
        <v>156</v>
      </c>
      <c r="E8" s="9">
        <v>2.2040000000000002</v>
      </c>
      <c r="F8" s="270">
        <v>2.2040000000000002</v>
      </c>
      <c r="G8" s="9">
        <v>2.2040000000000002</v>
      </c>
      <c r="H8" s="271">
        <v>2.2040000000000002</v>
      </c>
      <c r="I8" s="9">
        <v>1.76</v>
      </c>
      <c r="J8" s="270">
        <v>1.76</v>
      </c>
      <c r="K8" s="14">
        <v>100</v>
      </c>
      <c r="L8" s="220">
        <v>65</v>
      </c>
      <c r="M8" s="274"/>
      <c r="N8" s="49"/>
      <c r="O8" s="14"/>
      <c r="P8" s="50"/>
      <c r="Q8" s="14">
        <v>20</v>
      </c>
      <c r="R8" s="49">
        <v>20</v>
      </c>
      <c r="S8" s="9"/>
      <c r="T8" s="49"/>
      <c r="U8" s="116">
        <v>2.2040000000000002</v>
      </c>
      <c r="V8" s="77">
        <v>2.2040000000000002</v>
      </c>
      <c r="W8" s="75">
        <v>0</v>
      </c>
      <c r="X8" s="79">
        <v>0</v>
      </c>
      <c r="Y8" s="75">
        <v>0</v>
      </c>
      <c r="Z8" s="79">
        <v>0</v>
      </c>
    </row>
    <row r="9" spans="1:26" x14ac:dyDescent="0.45">
      <c r="B9" t="s">
        <v>23</v>
      </c>
      <c r="C9" t="s">
        <v>28</v>
      </c>
      <c r="D9" t="s">
        <v>156</v>
      </c>
      <c r="E9" s="9"/>
      <c r="F9" s="270"/>
      <c r="G9" s="9"/>
      <c r="H9" s="271"/>
      <c r="I9" s="9"/>
      <c r="J9" s="270"/>
      <c r="K9" s="9"/>
      <c r="L9" s="219"/>
      <c r="M9" s="273"/>
      <c r="N9" s="49"/>
      <c r="O9" s="14">
        <v>1</v>
      </c>
      <c r="P9" s="50">
        <v>1</v>
      </c>
      <c r="Q9" s="9"/>
      <c r="R9" s="49"/>
      <c r="S9" s="9"/>
      <c r="T9" s="49"/>
      <c r="U9" s="74"/>
      <c r="V9" s="221">
        <v>0</v>
      </c>
      <c r="W9" s="75">
        <v>0</v>
      </c>
      <c r="X9" s="79">
        <v>0</v>
      </c>
      <c r="Y9" s="75">
        <v>0</v>
      </c>
      <c r="Z9" s="79">
        <v>0</v>
      </c>
    </row>
    <row r="10" spans="1:26" x14ac:dyDescent="0.45">
      <c r="B10" t="s">
        <v>38</v>
      </c>
      <c r="C10" t="s">
        <v>27</v>
      </c>
      <c r="D10" t="s">
        <v>157</v>
      </c>
      <c r="E10" s="9">
        <v>2.0230000000000001</v>
      </c>
      <c r="F10" s="261">
        <v>2.0230000000000001</v>
      </c>
      <c r="G10" s="9">
        <v>2.0230000000000001</v>
      </c>
      <c r="H10" s="271">
        <v>2.0230000000000001</v>
      </c>
      <c r="I10" s="9">
        <v>1.962</v>
      </c>
      <c r="J10" s="261">
        <v>1.962</v>
      </c>
      <c r="K10" s="14">
        <v>100</v>
      </c>
      <c r="L10" s="220">
        <v>65</v>
      </c>
      <c r="M10" s="272"/>
      <c r="N10" s="49"/>
      <c r="O10" s="14">
        <v>1</v>
      </c>
      <c r="P10" s="50">
        <v>1</v>
      </c>
      <c r="Q10" s="14">
        <v>20</v>
      </c>
      <c r="R10" s="49">
        <v>20</v>
      </c>
      <c r="S10" s="9"/>
      <c r="T10" s="49"/>
      <c r="U10" s="74">
        <v>1.95</v>
      </c>
      <c r="V10" s="77">
        <v>1.95</v>
      </c>
      <c r="W10" s="75">
        <v>0</v>
      </c>
      <c r="X10" s="79">
        <v>0</v>
      </c>
      <c r="Y10" s="75">
        <v>0</v>
      </c>
      <c r="Z10" s="79">
        <v>0</v>
      </c>
    </row>
    <row r="11" spans="1:26" x14ac:dyDescent="0.45">
      <c r="B11" t="s">
        <v>23</v>
      </c>
      <c r="C11" t="s">
        <v>28</v>
      </c>
      <c r="D11" t="s">
        <v>157</v>
      </c>
      <c r="E11" s="9"/>
      <c r="F11" s="49"/>
      <c r="G11" s="9"/>
      <c r="H11" s="49"/>
      <c r="I11" s="9"/>
      <c r="J11" s="49"/>
      <c r="K11" s="9"/>
      <c r="L11" s="49"/>
      <c r="M11" s="9"/>
      <c r="N11" s="49"/>
      <c r="O11" s="14">
        <v>1</v>
      </c>
      <c r="P11" s="50">
        <v>1</v>
      </c>
      <c r="Q11" s="9"/>
      <c r="R11" s="49"/>
      <c r="S11" s="9"/>
      <c r="T11" s="49"/>
      <c r="U11" s="74"/>
      <c r="V11" s="221">
        <v>0</v>
      </c>
      <c r="W11" s="75">
        <v>0</v>
      </c>
      <c r="X11" s="79">
        <v>0</v>
      </c>
      <c r="Y11" s="75">
        <v>0</v>
      </c>
      <c r="Z11" s="79">
        <v>0</v>
      </c>
    </row>
    <row r="12" spans="1:26" x14ac:dyDescent="0.45">
      <c r="B12" t="s">
        <v>38</v>
      </c>
      <c r="C12" t="s">
        <v>27</v>
      </c>
      <c r="D12" t="s">
        <v>158</v>
      </c>
      <c r="E12" s="9"/>
      <c r="F12" s="49"/>
      <c r="G12" s="9"/>
      <c r="H12" s="49"/>
      <c r="I12" s="9"/>
      <c r="J12" s="49"/>
      <c r="K12" s="9"/>
      <c r="L12" s="49"/>
      <c r="M12" s="14">
        <v>1</v>
      </c>
      <c r="N12" s="49">
        <v>1</v>
      </c>
      <c r="O12" s="14"/>
      <c r="P12" s="50">
        <v>0</v>
      </c>
      <c r="Q12" s="9"/>
      <c r="R12" s="49"/>
      <c r="S12" s="9"/>
      <c r="T12" s="49"/>
      <c r="U12" s="75">
        <v>0</v>
      </c>
      <c r="V12" s="221">
        <v>0</v>
      </c>
      <c r="W12" s="75">
        <v>0</v>
      </c>
      <c r="X12" s="79">
        <v>0</v>
      </c>
      <c r="Y12" s="75">
        <v>0</v>
      </c>
      <c r="Z12" s="79">
        <v>0</v>
      </c>
    </row>
    <row r="13" spans="1:26" ht="14.65" thickBot="1" x14ac:dyDescent="0.5">
      <c r="B13" t="s">
        <v>23</v>
      </c>
      <c r="C13" t="s">
        <v>28</v>
      </c>
      <c r="D13" t="s">
        <v>158</v>
      </c>
      <c r="E13" s="9"/>
      <c r="F13" s="49"/>
      <c r="G13" s="9"/>
      <c r="H13" s="49"/>
      <c r="I13" s="9"/>
      <c r="J13" s="51"/>
      <c r="K13" s="134"/>
      <c r="L13" s="52"/>
      <c r="M13" s="9"/>
      <c r="N13" s="49"/>
      <c r="O13" s="14">
        <v>1</v>
      </c>
      <c r="P13" s="50">
        <v>1</v>
      </c>
      <c r="Q13" s="9"/>
      <c r="R13" s="49"/>
      <c r="S13" s="9"/>
      <c r="T13" s="49"/>
      <c r="U13" s="75"/>
      <c r="V13" s="221">
        <v>0</v>
      </c>
      <c r="W13" s="75">
        <v>0</v>
      </c>
      <c r="X13" s="79">
        <v>0</v>
      </c>
      <c r="Y13" s="75">
        <v>0</v>
      </c>
      <c r="Z13" s="79">
        <v>0</v>
      </c>
    </row>
    <row r="14" spans="1:26" ht="14.65" thickBot="1" x14ac:dyDescent="0.5">
      <c r="A14" s="120"/>
      <c r="B14" s="7"/>
      <c r="C14" s="7"/>
      <c r="D14" s="7" t="s">
        <v>9</v>
      </c>
      <c r="E14" s="121">
        <f>SUM(E4:E13)</f>
        <v>9.9610000000000003</v>
      </c>
      <c r="F14" s="162">
        <f t="shared" ref="F14:Z14" si="0">SUM(F4:F13)</f>
        <v>9.9610000000000003</v>
      </c>
      <c r="G14" s="121">
        <f t="shared" si="0"/>
        <v>9.9610000000000003</v>
      </c>
      <c r="H14" s="162">
        <f t="shared" si="0"/>
        <v>9.9610000000000003</v>
      </c>
      <c r="I14" s="121">
        <f t="shared" si="0"/>
        <v>9.0519999999999996</v>
      </c>
      <c r="J14" s="162">
        <f t="shared" si="0"/>
        <v>9.0519999999999996</v>
      </c>
      <c r="K14" s="17">
        <f t="shared" si="0"/>
        <v>400</v>
      </c>
      <c r="L14" s="23">
        <f t="shared" si="0"/>
        <v>280</v>
      </c>
      <c r="M14" s="7">
        <f t="shared" si="0"/>
        <v>1</v>
      </c>
      <c r="N14" s="162">
        <f t="shared" si="0"/>
        <v>1</v>
      </c>
      <c r="O14" s="17">
        <f t="shared" si="0"/>
        <v>8</v>
      </c>
      <c r="P14" s="163">
        <f t="shared" si="0"/>
        <v>8</v>
      </c>
      <c r="Q14" s="7">
        <f t="shared" si="0"/>
        <v>85</v>
      </c>
      <c r="R14" s="146">
        <f t="shared" si="0"/>
        <v>85</v>
      </c>
      <c r="S14" s="121">
        <f t="shared" si="0"/>
        <v>0</v>
      </c>
      <c r="T14" s="162">
        <f t="shared" si="0"/>
        <v>0</v>
      </c>
      <c r="U14" s="121">
        <f t="shared" si="0"/>
        <v>9.863999999999999</v>
      </c>
      <c r="V14" s="162">
        <f t="shared" si="0"/>
        <v>9.863999999999999</v>
      </c>
      <c r="W14" s="121">
        <f t="shared" si="0"/>
        <v>0</v>
      </c>
      <c r="X14" s="162">
        <f t="shared" si="0"/>
        <v>0</v>
      </c>
      <c r="Y14" s="121">
        <f t="shared" si="0"/>
        <v>0</v>
      </c>
      <c r="Z14" s="162">
        <f t="shared" si="0"/>
        <v>0</v>
      </c>
    </row>
    <row r="15" spans="1:26" x14ac:dyDescent="0.45">
      <c r="A15" s="53" t="s">
        <v>159</v>
      </c>
      <c r="B15" t="s">
        <v>38</v>
      </c>
      <c r="C15" t="s">
        <v>27</v>
      </c>
      <c r="D15" t="s">
        <v>63</v>
      </c>
      <c r="E15" s="9">
        <v>1.5880000000000001</v>
      </c>
      <c r="F15" s="49">
        <v>0</v>
      </c>
      <c r="G15" s="9">
        <v>1.5880000000000001</v>
      </c>
      <c r="H15" s="292">
        <v>1.248</v>
      </c>
      <c r="I15" s="9">
        <v>1.518</v>
      </c>
      <c r="J15" s="292">
        <v>1.518</v>
      </c>
      <c r="K15" s="293">
        <v>136</v>
      </c>
      <c r="L15" s="49">
        <v>0</v>
      </c>
      <c r="M15" s="9">
        <v>0</v>
      </c>
      <c r="N15" s="49">
        <v>0</v>
      </c>
      <c r="O15" s="14">
        <v>1</v>
      </c>
      <c r="P15" s="50">
        <v>1</v>
      </c>
      <c r="Q15" s="14">
        <v>9</v>
      </c>
      <c r="R15" s="49">
        <v>0</v>
      </c>
      <c r="S15" s="9">
        <v>0</v>
      </c>
      <c r="T15" s="49">
        <v>0</v>
      </c>
      <c r="U15" s="74">
        <v>1.5880000000000001</v>
      </c>
      <c r="V15" s="79">
        <v>0</v>
      </c>
      <c r="W15" s="75">
        <v>1.1000000000000001</v>
      </c>
      <c r="X15" s="79">
        <v>0</v>
      </c>
      <c r="Y15" s="75">
        <v>0</v>
      </c>
      <c r="Z15" s="79">
        <v>0</v>
      </c>
    </row>
    <row r="16" spans="1:26" x14ac:dyDescent="0.45">
      <c r="B16" t="s">
        <v>23</v>
      </c>
      <c r="C16" t="s">
        <v>28</v>
      </c>
      <c r="D16" t="s">
        <v>63</v>
      </c>
      <c r="E16" s="9"/>
      <c r="F16" s="49"/>
      <c r="G16" s="9"/>
      <c r="H16" s="49"/>
      <c r="I16" s="9"/>
      <c r="J16" s="49"/>
      <c r="K16" s="9"/>
      <c r="L16" s="49"/>
      <c r="M16" s="9"/>
      <c r="N16" s="49"/>
      <c r="O16" s="14">
        <v>2</v>
      </c>
      <c r="P16" s="50">
        <v>2</v>
      </c>
      <c r="Q16" s="9"/>
      <c r="R16" s="49"/>
      <c r="S16" s="9"/>
      <c r="T16" s="49"/>
      <c r="U16" s="75">
        <v>0</v>
      </c>
      <c r="V16" s="79">
        <v>0</v>
      </c>
      <c r="W16" s="75">
        <v>0</v>
      </c>
      <c r="X16" s="79">
        <v>0</v>
      </c>
      <c r="Y16" s="75">
        <v>0</v>
      </c>
      <c r="Z16" s="79">
        <v>0</v>
      </c>
    </row>
    <row r="17" spans="1:26" x14ac:dyDescent="0.45">
      <c r="B17" t="s">
        <v>38</v>
      </c>
      <c r="C17" t="s">
        <v>27</v>
      </c>
      <c r="D17" t="s">
        <v>160</v>
      </c>
      <c r="E17" s="9">
        <v>2.246</v>
      </c>
      <c r="F17" s="49">
        <v>0</v>
      </c>
      <c r="G17" s="9">
        <v>2.246</v>
      </c>
      <c r="H17" s="292">
        <v>2.246</v>
      </c>
      <c r="I17" s="9">
        <v>0</v>
      </c>
      <c r="J17" s="49">
        <v>0</v>
      </c>
      <c r="K17" s="9">
        <v>0</v>
      </c>
      <c r="L17" s="49">
        <v>0</v>
      </c>
      <c r="M17" s="9">
        <v>0</v>
      </c>
      <c r="N17" s="49">
        <v>0</v>
      </c>
      <c r="O17" s="14"/>
      <c r="P17" s="50"/>
      <c r="Q17" s="14">
        <v>22</v>
      </c>
      <c r="R17" s="49">
        <v>0</v>
      </c>
      <c r="S17" s="9"/>
      <c r="T17" s="49"/>
      <c r="U17" s="74">
        <v>2.246</v>
      </c>
      <c r="V17" s="79">
        <v>0</v>
      </c>
      <c r="W17" s="75">
        <v>0</v>
      </c>
      <c r="X17" s="79">
        <v>0</v>
      </c>
      <c r="Y17" s="75">
        <v>0</v>
      </c>
      <c r="Z17" s="79">
        <v>0</v>
      </c>
    </row>
    <row r="18" spans="1:26" ht="14.65" thickBot="1" x14ac:dyDescent="0.5">
      <c r="B18" t="s">
        <v>23</v>
      </c>
      <c r="C18" t="s">
        <v>28</v>
      </c>
      <c r="D18" t="s">
        <v>160</v>
      </c>
      <c r="E18" s="9"/>
      <c r="F18" s="49"/>
      <c r="G18" s="9"/>
      <c r="H18" s="49"/>
      <c r="I18" s="14"/>
      <c r="J18" s="49"/>
      <c r="K18" s="28"/>
      <c r="L18" s="49"/>
      <c r="M18" s="14"/>
      <c r="N18" s="49"/>
      <c r="O18" s="14">
        <v>3</v>
      </c>
      <c r="P18" s="50">
        <v>3</v>
      </c>
      <c r="Q18" s="14"/>
      <c r="R18" s="49"/>
      <c r="S18" s="14"/>
      <c r="T18" s="49"/>
      <c r="U18" s="75">
        <v>0</v>
      </c>
      <c r="V18" s="79">
        <v>0</v>
      </c>
      <c r="W18" s="75">
        <v>0</v>
      </c>
      <c r="X18" s="79">
        <v>0</v>
      </c>
      <c r="Y18" s="75">
        <v>0</v>
      </c>
      <c r="Z18" s="79">
        <v>0</v>
      </c>
    </row>
    <row r="19" spans="1:26" ht="14.65" thickBot="1" x14ac:dyDescent="0.5">
      <c r="A19" s="120"/>
      <c r="B19" s="7"/>
      <c r="C19" s="7"/>
      <c r="D19" s="7" t="s">
        <v>9</v>
      </c>
      <c r="E19" s="121">
        <f>SUM(E15:E18)</f>
        <v>3.8340000000000001</v>
      </c>
      <c r="F19" s="145">
        <f t="shared" ref="F19:Z19" si="1">SUM(F15:F18)</f>
        <v>0</v>
      </c>
      <c r="G19" s="121">
        <f t="shared" si="1"/>
        <v>3.8340000000000001</v>
      </c>
      <c r="H19" s="145">
        <f t="shared" si="1"/>
        <v>3.4939999999999998</v>
      </c>
      <c r="I19" s="121">
        <f t="shared" si="1"/>
        <v>1.518</v>
      </c>
      <c r="J19" s="145">
        <f t="shared" si="1"/>
        <v>1.518</v>
      </c>
      <c r="K19" s="15">
        <f t="shared" si="1"/>
        <v>136</v>
      </c>
      <c r="L19" s="146">
        <f t="shared" si="1"/>
        <v>0</v>
      </c>
      <c r="M19" s="121">
        <f t="shared" si="1"/>
        <v>0</v>
      </c>
      <c r="N19" s="146">
        <f t="shared" si="1"/>
        <v>0</v>
      </c>
      <c r="O19" s="17">
        <f t="shared" si="1"/>
        <v>6</v>
      </c>
      <c r="P19" s="163">
        <f t="shared" si="1"/>
        <v>6</v>
      </c>
      <c r="Q19" s="7">
        <f t="shared" si="1"/>
        <v>31</v>
      </c>
      <c r="R19" s="146">
        <f t="shared" si="1"/>
        <v>0</v>
      </c>
      <c r="S19" s="121">
        <f t="shared" si="1"/>
        <v>0</v>
      </c>
      <c r="T19" s="146">
        <f t="shared" si="1"/>
        <v>0</v>
      </c>
      <c r="U19" s="76">
        <f t="shared" si="1"/>
        <v>3.8340000000000001</v>
      </c>
      <c r="V19" s="80">
        <f t="shared" si="1"/>
        <v>0</v>
      </c>
      <c r="W19" s="76">
        <f t="shared" si="1"/>
        <v>1.1000000000000001</v>
      </c>
      <c r="X19" s="80">
        <f t="shared" si="1"/>
        <v>0</v>
      </c>
      <c r="Y19" s="121">
        <f t="shared" si="1"/>
        <v>0</v>
      </c>
      <c r="Z19" s="162">
        <f t="shared" si="1"/>
        <v>0</v>
      </c>
    </row>
    <row r="20" spans="1:26" x14ac:dyDescent="0.45">
      <c r="A20" t="s">
        <v>84</v>
      </c>
      <c r="B20" t="s">
        <v>38</v>
      </c>
      <c r="C20" t="s">
        <v>27</v>
      </c>
      <c r="D20" t="s">
        <v>86</v>
      </c>
      <c r="E20" s="9">
        <v>2.0840000000000001</v>
      </c>
      <c r="F20" s="270">
        <v>2.0840000000000001</v>
      </c>
      <c r="G20" s="9">
        <v>2.2109999999999999</v>
      </c>
      <c r="H20" s="270">
        <v>2.2109999999999999</v>
      </c>
      <c r="I20" s="14"/>
      <c r="J20" s="49"/>
      <c r="K20" s="14"/>
      <c r="L20" s="49"/>
      <c r="M20" s="14"/>
      <c r="N20" s="49"/>
      <c r="O20" s="14">
        <v>1</v>
      </c>
      <c r="P20" s="50">
        <v>1</v>
      </c>
      <c r="Q20" s="14">
        <v>12</v>
      </c>
      <c r="R20" s="272">
        <v>12</v>
      </c>
      <c r="S20" s="14"/>
      <c r="T20" s="49"/>
      <c r="U20" s="74">
        <v>0.65</v>
      </c>
      <c r="V20" s="77">
        <v>0.65</v>
      </c>
      <c r="W20" s="75">
        <v>0</v>
      </c>
      <c r="X20" s="79">
        <v>0</v>
      </c>
      <c r="Y20" s="75">
        <v>0</v>
      </c>
      <c r="Z20" s="79">
        <v>0</v>
      </c>
    </row>
    <row r="21" spans="1:26" x14ac:dyDescent="0.45">
      <c r="B21" t="s">
        <v>23</v>
      </c>
      <c r="C21" t="s">
        <v>28</v>
      </c>
      <c r="D21" t="s">
        <v>86</v>
      </c>
      <c r="E21" s="9"/>
      <c r="F21" s="270"/>
      <c r="G21" s="9"/>
      <c r="H21" s="270"/>
      <c r="I21" s="14"/>
      <c r="J21" s="49"/>
      <c r="K21" s="14"/>
      <c r="L21" s="49"/>
      <c r="M21" s="14"/>
      <c r="N21" s="49"/>
      <c r="O21" s="14">
        <v>1</v>
      </c>
      <c r="P21" s="50">
        <v>1</v>
      </c>
      <c r="Q21" s="14"/>
      <c r="R21" s="270"/>
      <c r="S21" s="14">
        <v>36</v>
      </c>
      <c r="T21" s="50">
        <v>36</v>
      </c>
      <c r="U21" s="75">
        <v>0</v>
      </c>
      <c r="V21" s="79">
        <v>0</v>
      </c>
      <c r="W21" s="75">
        <v>0</v>
      </c>
      <c r="X21" s="79">
        <v>0</v>
      </c>
      <c r="Y21" s="75">
        <v>0</v>
      </c>
      <c r="Z21" s="79">
        <v>0</v>
      </c>
    </row>
    <row r="22" spans="1:26" x14ac:dyDescent="0.45">
      <c r="B22" t="s">
        <v>38</v>
      </c>
      <c r="C22" t="s">
        <v>27</v>
      </c>
      <c r="D22" t="s">
        <v>85</v>
      </c>
      <c r="E22" s="9">
        <v>1.4610000000000001</v>
      </c>
      <c r="F22" s="270">
        <v>1.4610000000000001</v>
      </c>
      <c r="G22" s="9">
        <v>1.4610000000000001</v>
      </c>
      <c r="H22" s="261">
        <v>1.4610000000000001</v>
      </c>
      <c r="I22" s="14"/>
      <c r="J22" s="49"/>
      <c r="K22" s="14"/>
      <c r="L22" s="49"/>
      <c r="M22" s="14"/>
      <c r="N22" s="49"/>
      <c r="O22" s="14">
        <v>1</v>
      </c>
      <c r="P22" s="50">
        <v>1</v>
      </c>
      <c r="Q22" s="14">
        <v>25</v>
      </c>
      <c r="R22" s="272">
        <v>25</v>
      </c>
      <c r="S22" s="14"/>
      <c r="T22" s="50"/>
      <c r="U22" s="275">
        <v>0.47</v>
      </c>
      <c r="V22" s="267">
        <v>0.47</v>
      </c>
      <c r="W22" s="75">
        <v>0</v>
      </c>
      <c r="X22" s="79">
        <v>0</v>
      </c>
      <c r="Y22" s="75">
        <v>0</v>
      </c>
      <c r="Z22" s="79">
        <v>0</v>
      </c>
    </row>
    <row r="23" spans="1:26" ht="14.65" thickBot="1" x14ac:dyDescent="0.5">
      <c r="B23" t="s">
        <v>23</v>
      </c>
      <c r="C23" t="s">
        <v>28</v>
      </c>
      <c r="D23" t="s">
        <v>85</v>
      </c>
      <c r="E23" s="9"/>
      <c r="F23" s="49"/>
      <c r="G23" s="9"/>
      <c r="H23" s="49"/>
      <c r="I23" s="14"/>
      <c r="J23" s="49"/>
      <c r="K23" s="14"/>
      <c r="L23" s="49"/>
      <c r="M23" s="14"/>
      <c r="N23" s="49"/>
      <c r="O23" s="14">
        <v>1</v>
      </c>
      <c r="P23" s="50">
        <v>1</v>
      </c>
      <c r="Q23" s="14"/>
      <c r="R23" s="49"/>
      <c r="S23" s="14">
        <v>36</v>
      </c>
      <c r="T23" s="50">
        <v>36</v>
      </c>
      <c r="U23" s="75">
        <v>0</v>
      </c>
      <c r="V23" s="79">
        <v>0</v>
      </c>
      <c r="W23" s="75">
        <v>0</v>
      </c>
      <c r="X23" s="79">
        <v>0</v>
      </c>
      <c r="Y23" s="75">
        <v>0</v>
      </c>
      <c r="Z23" s="79">
        <v>0</v>
      </c>
    </row>
    <row r="24" spans="1:26" ht="14.65" thickBot="1" x14ac:dyDescent="0.5">
      <c r="A24" s="120"/>
      <c r="B24" s="7"/>
      <c r="C24" s="7"/>
      <c r="D24" s="7" t="s">
        <v>9</v>
      </c>
      <c r="E24" s="121">
        <f>SUM(E20:E23)</f>
        <v>3.5449999999999999</v>
      </c>
      <c r="F24" s="145">
        <f t="shared" ref="F24:T24" si="2">SUM(F20:F23)</f>
        <v>3.5449999999999999</v>
      </c>
      <c r="G24" s="121">
        <f t="shared" si="2"/>
        <v>3.6719999999999997</v>
      </c>
      <c r="H24" s="145">
        <f t="shared" si="2"/>
        <v>3.6719999999999997</v>
      </c>
      <c r="I24" s="121">
        <f t="shared" si="2"/>
        <v>0</v>
      </c>
      <c r="J24" s="145">
        <f t="shared" si="2"/>
        <v>0</v>
      </c>
      <c r="K24" s="121">
        <f t="shared" si="2"/>
        <v>0</v>
      </c>
      <c r="L24" s="146">
        <f t="shared" si="2"/>
        <v>0</v>
      </c>
      <c r="M24" s="121">
        <f t="shared" si="2"/>
        <v>0</v>
      </c>
      <c r="N24" s="146">
        <f t="shared" si="2"/>
        <v>0</v>
      </c>
      <c r="O24" s="17">
        <f t="shared" si="2"/>
        <v>4</v>
      </c>
      <c r="P24" s="26">
        <f t="shared" si="2"/>
        <v>4</v>
      </c>
      <c r="Q24" s="17">
        <f t="shared" si="2"/>
        <v>37</v>
      </c>
      <c r="R24" s="146">
        <f t="shared" si="2"/>
        <v>37</v>
      </c>
      <c r="S24" s="17">
        <f t="shared" si="2"/>
        <v>72</v>
      </c>
      <c r="T24" s="147">
        <f t="shared" si="2"/>
        <v>72</v>
      </c>
      <c r="U24" s="76">
        <f>SUM(U20:U23)</f>
        <v>1.1200000000000001</v>
      </c>
      <c r="V24" s="80">
        <f t="shared" ref="V24:Z24" si="3">SUM(V20:V23)</f>
        <v>1.1200000000000001</v>
      </c>
      <c r="W24" s="76">
        <f t="shared" si="3"/>
        <v>0</v>
      </c>
      <c r="X24" s="80">
        <f t="shared" si="3"/>
        <v>0</v>
      </c>
      <c r="Y24" s="121">
        <f t="shared" si="3"/>
        <v>0</v>
      </c>
      <c r="Z24" s="162">
        <f t="shared" si="3"/>
        <v>0</v>
      </c>
    </row>
    <row r="25" spans="1:26" ht="14.65" thickBot="1" x14ac:dyDescent="0.5">
      <c r="A25" s="7" t="s">
        <v>53</v>
      </c>
      <c r="B25" s="7"/>
      <c r="C25" s="7"/>
      <c r="D25" s="7"/>
      <c r="E25" s="12">
        <f>SUM(E14,E19,E24)</f>
        <v>17.34</v>
      </c>
      <c r="F25" s="21">
        <f>SUM(F14,F19,F24)</f>
        <v>13.506</v>
      </c>
      <c r="G25" s="12">
        <f t="shared" ref="G25:M25" si="4">SUM(G14,G19,G24)</f>
        <v>17.466999999999999</v>
      </c>
      <c r="H25" s="21">
        <f t="shared" si="4"/>
        <v>17.126999999999999</v>
      </c>
      <c r="I25" s="12">
        <f t="shared" si="4"/>
        <v>10.57</v>
      </c>
      <c r="J25" s="21">
        <f t="shared" si="4"/>
        <v>10.57</v>
      </c>
      <c r="K25" s="15">
        <f t="shared" si="4"/>
        <v>536</v>
      </c>
      <c r="L25" s="23">
        <f t="shared" si="4"/>
        <v>280</v>
      </c>
      <c r="M25" s="7">
        <f t="shared" si="4"/>
        <v>1</v>
      </c>
      <c r="N25" s="21">
        <f t="shared" ref="N25" si="5">SUM(N14,N19,N24)</f>
        <v>1</v>
      </c>
      <c r="O25" s="17">
        <f t="shared" ref="O25" si="6">SUM(O14,O19,O24)</f>
        <v>18</v>
      </c>
      <c r="P25" s="26">
        <f t="shared" ref="P25" si="7">SUM(P14,P19,P24)</f>
        <v>18</v>
      </c>
      <c r="Q25" s="7">
        <f t="shared" ref="Q25" si="8">SUM(Q14,Q19,Q24)</f>
        <v>153</v>
      </c>
      <c r="R25" s="21">
        <f t="shared" ref="R25" si="9">SUM(R14,R19,R24)</f>
        <v>122</v>
      </c>
      <c r="S25" s="7">
        <f t="shared" ref="S25:Z25" si="10">SUM(S14,S19,S24)</f>
        <v>72</v>
      </c>
      <c r="T25" s="147">
        <f t="shared" si="10"/>
        <v>72</v>
      </c>
      <c r="U25" s="76">
        <f t="shared" si="10"/>
        <v>14.817999999999998</v>
      </c>
      <c r="V25" s="80">
        <f t="shared" si="10"/>
        <v>10.983999999999998</v>
      </c>
      <c r="W25" s="76">
        <f t="shared" si="10"/>
        <v>1.1000000000000001</v>
      </c>
      <c r="X25" s="80">
        <f t="shared" si="10"/>
        <v>0</v>
      </c>
      <c r="Y25" s="121">
        <f t="shared" si="10"/>
        <v>0</v>
      </c>
      <c r="Z25" s="162">
        <f t="shared" si="10"/>
        <v>0</v>
      </c>
    </row>
  </sheetData>
  <mergeCells count="11">
    <mergeCell ref="O2:P2"/>
    <mergeCell ref="E2:F2"/>
    <mergeCell ref="G2:H2"/>
    <mergeCell ref="I2:J2"/>
    <mergeCell ref="K2:L2"/>
    <mergeCell ref="M2:N2"/>
    <mergeCell ref="U2:V2"/>
    <mergeCell ref="W2:X2"/>
    <mergeCell ref="Y2:Z2"/>
    <mergeCell ref="Q2:R2"/>
    <mergeCell ref="S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KISUMU KAKAMEGA</vt:lpstr>
      <vt:lpstr>PHASE 1 NAKURUNAIROBI+CLUSTER 1</vt:lpstr>
      <vt:lpstr>PHASE 1 KILIFI + CLUSTER 2 </vt:lpstr>
      <vt:lpstr>CLUSTER 3</vt:lpstr>
      <vt:lpstr>CLUSTER 4</vt:lpstr>
      <vt:lpstr>CLUSTER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Aondo</dc:creator>
  <cp:lastModifiedBy>Achieng Aondo</cp:lastModifiedBy>
  <dcterms:created xsi:type="dcterms:W3CDTF">2015-06-05T18:17:20Z</dcterms:created>
  <dcterms:modified xsi:type="dcterms:W3CDTF">2026-05-29T09:41:20Z</dcterms:modified>
</cp:coreProperties>
</file>