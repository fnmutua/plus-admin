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f2fae431d792f0ae/Documents/SDHUD/"/>
    </mc:Choice>
  </mc:AlternateContent>
  <xr:revisionPtr revIDLastSave="31" documentId="8_{569B731A-21FE-4A2E-8249-3DAD5E60DD15}" xr6:coauthVersionLast="47" xr6:coauthVersionMax="47" xr10:uidLastSave="{8715E083-AEE5-43D5-AB50-E115BE2ABD56}"/>
  <bookViews>
    <workbookView xWindow="-98" yWindow="-98" windowWidth="19396" windowHeight="1099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 i="1" l="1"/>
  <c r="I20" i="1"/>
  <c r="I19" i="1"/>
  <c r="I18" i="1"/>
  <c r="I17" i="1"/>
  <c r="I16" i="1"/>
  <c r="I15" i="1"/>
  <c r="I13" i="1"/>
  <c r="I14" i="1"/>
  <c r="I23" i="1"/>
  <c r="I35" i="1"/>
  <c r="I34" i="1"/>
  <c r="I33" i="1"/>
  <c r="I22" i="1"/>
  <c r="I8" i="1"/>
  <c r="I10" i="1"/>
  <c r="I11" i="1"/>
  <c r="I9" i="1"/>
  <c r="I12" i="1"/>
  <c r="I36" i="1"/>
  <c r="I38" i="1"/>
  <c r="I37" i="1"/>
  <c r="I25" i="1"/>
  <c r="I24" i="1"/>
  <c r="I29" i="1"/>
  <c r="I28" i="1"/>
  <c r="I27" i="1"/>
  <c r="I26" i="1"/>
</calcChain>
</file>

<file path=xl/sharedStrings.xml><?xml version="1.0" encoding="utf-8"?>
<sst xmlns="http://schemas.openxmlformats.org/spreadsheetml/2006/main" count="112" uniqueCount="104">
  <si>
    <t>Programme</t>
  </si>
  <si>
    <t>Delivery Unit</t>
  </si>
  <si>
    <t>Key Outputs</t>
  </si>
  <si>
    <t>Key Performance Indicators</t>
  </si>
  <si>
    <t>Programme 1: Housing Development and Human Settlement</t>
  </si>
  <si>
    <t>Outcome:  Increased access to affordable and decent housing as well as enhanced estates management services.</t>
  </si>
  <si>
    <t>Kms of access road constructed</t>
  </si>
  <si>
    <t>Civil Servants Housing Scheme</t>
  </si>
  <si>
    <t>Mortgage Disbursed to Civil Servants</t>
  </si>
  <si>
    <t>No. Civil servants mortgage beneficiaries </t>
  </si>
  <si>
    <t>Housing Department </t>
  </si>
  <si>
    <t>Low-cost housing development skills</t>
  </si>
  <si>
    <t>No. of Constituency ABMT centers.</t>
  </si>
  <si>
    <t>No. of new trainees on ABMT</t>
  </si>
  <si>
    <t>Secured of land tenure in selected informal settlements </t>
  </si>
  <si>
    <t>No. of Local Physical Development and Land Use Plans (LPDP)  </t>
  </si>
  <si>
    <t>No. of youth engaged in Labour Intensive Community Works</t>
  </si>
  <si>
    <t>Estates Department   </t>
  </si>
  <si>
    <t>Government houses refurbished </t>
  </si>
  <si>
    <t>No. of units refurbished </t>
  </si>
  <si>
    <t>Outcome: Sustainable urban planning, development and management</t>
  </si>
  <si>
    <t>National Urban Development Policy Reviewed</t>
  </si>
  <si>
    <t>No. of Counties receiving UIG</t>
  </si>
  <si>
    <t>No. of Municipalities receiving UDG</t>
  </si>
  <si>
    <t>No. of Settlements surveyed/Resurveyed</t>
  </si>
  <si>
    <t>Kms of access roads upgraded to Bitumen standards</t>
  </si>
  <si>
    <t>Target 2025/2026</t>
  </si>
  <si>
    <t>STATE DEPARTMENT FOR HOUSING AND URBAN DEVELOPMENT</t>
  </si>
  <si>
    <t>variance</t>
  </si>
  <si>
    <t xml:space="preserve">Affordable Housing </t>
  </si>
  <si>
    <t>% completion works of 217,654 affordable housing units</t>
  </si>
  <si>
    <t xml:space="preserve">% completion works of 31,592 student hostel units </t>
  </si>
  <si>
    <t>% completion of 80,909 social housing units</t>
  </si>
  <si>
    <t>KISIP</t>
  </si>
  <si>
    <t>second kenya urban support programme (KUSPII)</t>
  </si>
  <si>
    <t>% completion works of 23,672 police housing units</t>
  </si>
  <si>
    <t>% completion of works on 10,033 kenya defence forces (KDF) housing units</t>
  </si>
  <si>
    <t>Remarks</t>
  </si>
  <si>
    <t>Actual</t>
  </si>
  <si>
    <t>Sub-Programme</t>
  </si>
  <si>
    <t xml:space="preserve"> Housing Development and Human Settlement</t>
  </si>
  <si>
    <t>Institutional  housing</t>
  </si>
  <si>
    <t xml:space="preserve"> Estates Management</t>
  </si>
  <si>
    <t xml:space="preserve">Slum Upgrading department </t>
  </si>
  <si>
    <t>Kenya Informal settekement Improvement project</t>
  </si>
  <si>
    <t>Urban and metropolitan development</t>
  </si>
  <si>
    <t xml:space="preserve"> Urban development and planning services</t>
  </si>
  <si>
    <t xml:space="preserve">Urban Development  Department </t>
  </si>
  <si>
    <t>Programme 2: urban and metropolitan development</t>
  </si>
  <si>
    <t>No of floodlights installed</t>
  </si>
  <si>
    <t>No. of domitories constructed</t>
  </si>
  <si>
    <t>No. of social halls constructed</t>
  </si>
  <si>
    <t>No. of health centres constructed</t>
  </si>
  <si>
    <t>No. of footbridges constructed</t>
  </si>
  <si>
    <t>Compliance with treaties and conventions on human settlement</t>
  </si>
  <si>
    <t>Variance</t>
  </si>
  <si>
    <t>Institutional Housing Department</t>
  </si>
  <si>
    <t xml:space="preserve">Physical and social associated infrastructure </t>
  </si>
  <si>
    <t>No of markets constructed</t>
  </si>
  <si>
    <t>No. of multipurpose halls constructed in schools</t>
  </si>
  <si>
    <t>kms of access roads constructed</t>
  </si>
  <si>
    <t>No. of fora reports prepared</t>
  </si>
  <si>
    <t>Rural Housing Department</t>
  </si>
  <si>
    <t xml:space="preserve">Social housing </t>
  </si>
  <si>
    <t>Prepared by:</t>
  </si>
  <si>
    <t>Signed:</t>
  </si>
  <si>
    <t>Approved by:</t>
  </si>
  <si>
    <t xml:space="preserve">Signed: </t>
  </si>
  <si>
    <t>Date:</t>
  </si>
  <si>
    <t>No. of dispensaries constructed</t>
  </si>
  <si>
    <t>Delivery of Affordable and social housing units</t>
  </si>
  <si>
    <t>KISRP</t>
  </si>
  <si>
    <t>No Centres constructed during the quarter</t>
  </si>
  <si>
    <t>No new trainees during the quarter</t>
  </si>
  <si>
    <t xml:space="preserve"> New Urban Agenda forum report prepared</t>
  </si>
  <si>
    <t>No. of classrooms constructed</t>
  </si>
  <si>
    <t>Implementation of Kenya informal settlement redevelopment programme( KISRP) in Siaya, Kilifi and Kajiado</t>
  </si>
  <si>
    <t>Projects ongoing at average 4% completion level</t>
  </si>
  <si>
    <t>3 No. dormitory blocks completed in mlimani primary, Nakuru County</t>
  </si>
  <si>
    <t>Programme Perfomance Report(non-financials) for Fourth  Quarter of FY 2025/26 (as at 30th  June  2026)</t>
  </si>
  <si>
    <t>Annual Targets</t>
  </si>
  <si>
    <t>The labour numbers are recorded from all KISIP2 interventions that include: Digital Public Works; Social Emotional Skills Training; Infrastructure works; Community Development Plans preparation and implementation; Surveying &amp; Planning works; and Preparation of County specific strategy development and mapping of slums</t>
  </si>
  <si>
    <t xml:space="preserve">•		Roads improved in Uasin Gishu-3.88km; Trans Nzoia- 4.04km; Elgeyo Marakwet-2.08km; Tharaka Nithi-0.97km;  Kakamega -0.78km; Kisumu – 0.68km; Nyamira -1.52km; Kiambu - 0.65km;  Nandi – 2.4 km; Nyeri (2.345 km);  Taita Taveta (1.29 kms); Kajiado (2.22 kms);  Mombasa (6.1 kms); Homa Bay (7.402km); and Meru (1.171km) 
•	There is under performance caused by delays in approval of County Government Additional Allocation (CGAA) Act limiting disbursable amounts to counties posing cash flow challenges for the works contract
</t>
  </si>
  <si>
    <t>•	Approved plans are for Tana
River County (2); Kwale County (3); Nandi (6)  Taita Taveta (4), Embu (3); Kisii (3) and Machakos (4).</t>
  </si>
  <si>
    <t>•540  units which  comprise 220 units in Milimani(lurambi) ,220 units in Emgwen  and 100 units  in Gichugu  completed and handed over, while 1,380 units in following sites;60 units in Mabera, 220 units in each of the sites in Elburgon, Bahati, Nanyuki, Milimani (Vihiga), Chepalungu and Kidiwa phase I  are substantially complete awaiting handover.
•97,065 units ongoing at average of 54% completion level.                                                •52,054 units are currently in various stages of progress, ranging from the Notification of Intention to Award and Contract Signing to Site Handover and Preliminary Works.</t>
  </si>
  <si>
    <t>45,068 student hostel  units(180,273 bed capacity) are ongoing at an average of 9% completion level</t>
  </si>
  <si>
    <t>Its under review, taskforce in place, currently working on metropolitan area frameworks to Policy; procurement of a consultant to support process at EOI shortlist.</t>
  </si>
  <si>
    <t>A total of Kshs 1.17 billion Urban Institutional Grant (UIG) was disbursed with each county receiving Kshs 26 million (Gazette Notice No. 9219 of 19th June 2026).</t>
  </si>
  <si>
    <t>A total of Kshs 3,592,332,444 Urban Development Grant (UDG) was disbursed to only 27 municipalities due to limited budget (Gazette Notice No. 9827 of 30th June 2026). Disbursement to the remaining eligible municipalities to be effected in FY 2026/27.</t>
  </si>
  <si>
    <t>Units refurbished across the country.During fourth quarter ongoing refurshiment  include ; proposed repairs and decorations to directorate of criminal investigations training school housing units(275 units) and proposed repairs to 372 units at Ruiru presidential escort camp</t>
  </si>
  <si>
    <t>10,105 units ongoing as follows; 4,736 at Embakasi Garison-16.16%,1,458 at Lang’ata Barack-7.23% and 3,839 at Kahawa Baracks-19.77%</t>
  </si>
  <si>
    <t>TORs preparred, 3 Draft Layout Plans prepared in house</t>
  </si>
  <si>
    <t xml:space="preserve">1. Needs analysis completed, designs done, and tender documents prepared.
2. Procurement awaits approval from the development partner, AICS. First stage of approval was NPCT which was obtained and now awaits the second stage from AICS headquarters in Rome. </t>
  </si>
  <si>
    <r>
      <rPr>
        <b/>
        <sz val="12"/>
        <color theme="1"/>
        <rFont val="Maiandra GD"/>
        <family val="2"/>
      </rPr>
      <t>Priorities for the target settlement changed.</t>
    </r>
    <r>
      <rPr>
        <sz val="12"/>
        <color theme="1"/>
        <rFont val="Maiandra GD"/>
        <family val="2"/>
      </rPr>
      <t xml:space="preserve">
1. In Prison-Kiwandani, the residents obtained alternative funding for dispensary, and therefore, identified Junior Secondary School as a replacement. The project awaits approval of AICS headquarters in Rome.
2. In Awelo, the County Government of Siaya has plans to develop a better facility. Therefore, they suggested the expansion of the scope for the road, fro,m 1,3km to 1,9km. The project awaits approval of AICS headquarters in Rome.
3. In Kajiado, planning of the settlement which was a precursor for the dispensary construction experienced unforeseen challenges, therefore, making implementation impossible within the reporting period.</t>
    </r>
  </si>
  <si>
    <t>Ksh 593,960,722.58 worthy of mortgage disbursed.</t>
  </si>
  <si>
    <t xml:space="preserve"> Construction at 100% in Unjiru health center, Nyeri County</t>
  </si>
  <si>
    <t xml:space="preserve">20 classrooms under construction, the rest under procurement </t>
  </si>
  <si>
    <t xml:space="preserve"> Oyugis, Thalatha Rocky playground,and Utawala social halls  at Procurement stage</t>
  </si>
  <si>
    <t xml:space="preserve">2no. Changamwe Youth Centre 100% complete.           </t>
  </si>
  <si>
    <r>
      <t>•27 ESP markets ongoing at averege of 50</t>
    </r>
    <r>
      <rPr>
        <sz val="12"/>
        <rFont val="Maiandra GD"/>
        <family val="2"/>
      </rPr>
      <t>%</t>
    </r>
    <r>
      <rPr>
        <sz val="12"/>
        <color theme="1"/>
        <rFont val="Maiandra GD"/>
        <family val="2"/>
      </rPr>
      <t xml:space="preserve"> completion level. 8 No. completed projects Kahawa, Mogotio, Nakuru Multipurpose, Iten, Matharu, Kobodo, Kijebi and Mirangine. </t>
    </r>
  </si>
  <si>
    <t>2 No. Kuresoi North 100% Completed. 2. No. Under procurement</t>
  </si>
  <si>
    <t>•4,536 bedsitter units Comprising 3,240 lot 1  Call of No. 3 and 1,296 lot 1 Call of 2 in Mukuru Meteological site completed and handed over - 100%  . Average 17% for ongoing 54,547 social Housing Units projects       
•4,054 housing units at Kibera Soweto East Zone ‘B - 84%
•3,024 No. one-bedroom units at Mukuru Meteorological site - 62%
•1,536 No. Two Bedrooms housing units at Mukuru Meteorological site Lot 3 (Call off No. 1) - 64%
•1,536 No. two (2) bedroom housing units at Mukuru Meteorological site Lot 3
(Call off No. 2) - 57%
•1,536 No. two (2) bedroom housing units at Mukuru Meteorological site Lot 3 (Call off No. 3) - 18%
•Michida Boys Primary sch - 10% Social Housing •Kibra Lot 1-5 -  average of 3.8%                                               •Kasarani lot 1-4 -  Average of 9.25%                              •Mathare Lot 1 -  6%
Mathare  Lot 2-7%                                         •Kamiti Lot 1 - 5%                                        •Kamiti Lot 2 - 38%</t>
  </si>
  <si>
    <t>101 No.  Floodlights ongoing in various sites while 39No. are installed to completion in various sites</t>
  </si>
  <si>
    <t>Access road to Ndenderu Market 100% complete. Total 6.65km Road Ongoing. 1. Njathani-Bustani : 0%
2. Gakurwe Market : 6%
3. Karuri Mkt &amp; Kihara Modern Mkt : 20%
4. Mukuyu Soko ya Mbuzi : 1.5%
5. Mukuyu Mkt :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</si>
</sst>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000000"/>
      <name val="Maiandra GD"/>
      <family val="2"/>
    </font>
    <font>
      <sz val="12"/>
      <color theme="1"/>
      <name val="Maiandra GD"/>
      <family val="2"/>
    </font>
    <font>
      <sz val="12"/>
      <name val="Maiandra GD"/>
      <family val="2"/>
    </font>
    <font>
      <b/>
      <sz val="12"/>
      <color theme="1"/>
      <name val="Maiandra GD"/>
      <family val="2"/>
    </font>
    <font>
      <sz val="12"/>
      <color rgb="FF000000"/>
      <name val="Maiandra GD"/>
      <family val="2"/>
    </font>
    <font>
      <b/>
      <sz val="12"/>
      <name val="Maiandra GD"/>
      <family val="2"/>
    </font>
  </fonts>
  <fills count="6">
    <fill>
      <patternFill patternType="none"/>
    </fill>
    <fill>
      <patternFill patternType="gray125"/>
    </fill>
    <fill>
      <patternFill patternType="solid">
        <fgColor rgb="FFD9D9D9"/>
        <bgColor indexed="64"/>
      </patternFill>
    </fill>
    <fill>
      <patternFill patternType="solid">
        <fgColor rgb="FFFFF2CC"/>
        <bgColor indexed="64"/>
      </patternFill>
    </fill>
    <fill>
      <patternFill patternType="solid">
        <fgColor theme="5" tint="0.79998168889431442"/>
        <bgColor indexed="64"/>
      </patternFill>
    </fill>
    <fill>
      <patternFill patternType="solid">
        <fgColor rgb="FFFFFF00"/>
        <bgColor indexed="64"/>
      </patternFill>
    </fill>
  </fills>
  <borders count="14">
    <border>
      <left/>
      <right/>
      <top/>
      <bottom/>
      <diagonal/>
    </border>
    <border>
      <left style="medium">
        <color rgb="FF000000"/>
      </left>
      <right style="medium">
        <color rgb="FF000000"/>
      </right>
      <top/>
      <bottom/>
      <diagonal/>
    </border>
    <border>
      <left style="thin">
        <color indexed="64"/>
      </left>
      <right style="thin">
        <color indexed="64"/>
      </right>
      <top style="thin">
        <color indexed="64"/>
      </top>
      <bottom style="thin">
        <color indexed="64"/>
      </bottom>
      <diagonal/>
    </border>
    <border>
      <left style="medium">
        <color rgb="FF000000"/>
      </left>
      <right/>
      <top/>
      <bottom/>
      <diagonal/>
    </border>
    <border>
      <left style="thin">
        <color indexed="64"/>
      </left>
      <right/>
      <top style="thin">
        <color indexed="64"/>
      </top>
      <bottom style="thin">
        <color indexed="64"/>
      </bottom>
      <diagonal/>
    </border>
    <border>
      <left/>
      <right style="medium">
        <color rgb="FF000000"/>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auto="1"/>
      </right>
      <top/>
      <bottom style="medium">
        <color auto="1"/>
      </bottom>
      <diagonal/>
    </border>
    <border>
      <left/>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78">
    <xf numFmtId="0" fontId="0" fillId="0" borderId="0" xfId="0"/>
    <xf numFmtId="0" fontId="1" fillId="0" borderId="0" xfId="0" applyFont="1" applyAlignment="1">
      <alignment horizontal="justify" vertical="center"/>
    </xf>
    <xf numFmtId="0" fontId="1" fillId="0" borderId="0" xfId="0" applyFont="1" applyAlignment="1">
      <alignment horizontal="justify" vertical="top"/>
    </xf>
    <xf numFmtId="0" fontId="2" fillId="0" borderId="0" xfId="0" applyFont="1"/>
    <xf numFmtId="0" fontId="2" fillId="0" borderId="0" xfId="0" applyFont="1" applyAlignment="1">
      <alignment vertical="top"/>
    </xf>
    <xf numFmtId="0" fontId="3" fillId="0" borderId="0" xfId="0" applyFont="1" applyAlignment="1">
      <alignment vertical="top"/>
    </xf>
    <xf numFmtId="0" fontId="4" fillId="0" borderId="0" xfId="0" applyFont="1" applyAlignment="1">
      <alignment horizontal="left" vertical="center"/>
    </xf>
    <xf numFmtId="0" fontId="4" fillId="0" borderId="0" xfId="0" applyFont="1" applyAlignment="1">
      <alignment horizontal="left" vertical="top"/>
    </xf>
    <xf numFmtId="0" fontId="2" fillId="0" borderId="0" xfId="0" applyFont="1" applyAlignment="1">
      <alignment horizontal="left" vertical="center"/>
    </xf>
    <xf numFmtId="0" fontId="2" fillId="0" borderId="0" xfId="0" applyFont="1" applyAlignment="1">
      <alignment horizontal="left" vertical="top"/>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1" fillId="2" borderId="2" xfId="0" applyFont="1" applyFill="1" applyBorder="1" applyAlignment="1">
      <alignment horizontal="justify" vertical="top" wrapText="1"/>
    </xf>
    <xf numFmtId="0" fontId="6" fillId="2" borderId="2" xfId="0" applyFont="1" applyFill="1" applyBorder="1" applyAlignment="1">
      <alignment horizontal="center" vertical="top" wrapText="1"/>
    </xf>
    <xf numFmtId="0" fontId="5" fillId="0" borderId="0" xfId="0" applyFont="1" applyAlignment="1">
      <alignment vertical="center" wrapText="1"/>
    </xf>
    <xf numFmtId="0" fontId="5" fillId="0" borderId="5" xfId="0" applyFont="1" applyBorder="1" applyAlignment="1">
      <alignment vertical="center" wrapText="1"/>
    </xf>
    <xf numFmtId="0" fontId="5" fillId="0" borderId="1" xfId="0" applyFont="1" applyBorder="1" applyAlignment="1">
      <alignment vertical="center" wrapText="1"/>
    </xf>
    <xf numFmtId="0" fontId="5" fillId="0" borderId="3" xfId="0" applyFont="1" applyBorder="1" applyAlignment="1">
      <alignment vertical="center" wrapText="1"/>
    </xf>
    <xf numFmtId="0" fontId="3" fillId="0" borderId="0" xfId="0" applyFont="1" applyAlignment="1">
      <alignment horizontal="left"/>
    </xf>
    <xf numFmtId="0" fontId="3" fillId="0" borderId="0" xfId="0" applyFont="1"/>
    <xf numFmtId="0" fontId="1" fillId="2" borderId="2" xfId="0" applyFont="1" applyFill="1" applyBorder="1" applyAlignment="1">
      <alignment horizontal="left" vertical="top" wrapText="1"/>
    </xf>
    <xf numFmtId="0" fontId="2" fillId="0" borderId="10" xfId="0" applyFont="1" applyBorder="1" applyAlignment="1">
      <alignment vertical="top" wrapText="1"/>
    </xf>
    <xf numFmtId="0" fontId="5" fillId="0" borderId="2" xfId="0" applyFont="1" applyBorder="1" applyAlignment="1">
      <alignment horizontal="justify" vertical="top" wrapText="1"/>
    </xf>
    <xf numFmtId="0" fontId="3" fillId="0" borderId="2" xfId="0" applyFont="1" applyBorder="1" applyAlignment="1">
      <alignment horizontal="justify" vertical="top" wrapText="1"/>
    </xf>
    <xf numFmtId="0" fontId="5" fillId="0" borderId="2" xfId="0" applyFont="1" applyBorder="1" applyAlignment="1">
      <alignment horizontal="left" vertical="top" wrapText="1"/>
    </xf>
    <xf numFmtId="0" fontId="2" fillId="0" borderId="2" xfId="0" applyFont="1" applyBorder="1" applyAlignment="1">
      <alignment horizontal="left" vertical="top"/>
    </xf>
    <xf numFmtId="0" fontId="2" fillId="0" borderId="2" xfId="0" applyFont="1" applyBorder="1" applyAlignment="1">
      <alignment vertical="top" wrapText="1"/>
    </xf>
    <xf numFmtId="3" fontId="5" fillId="0" borderId="2" xfId="0" applyNumberFormat="1" applyFont="1" applyBorder="1" applyAlignment="1">
      <alignment horizontal="left" vertical="top" wrapText="1"/>
    </xf>
    <xf numFmtId="3" fontId="2" fillId="0" borderId="2" xfId="0" applyNumberFormat="1" applyFont="1" applyBorder="1" applyAlignment="1">
      <alignment horizontal="left" vertical="top"/>
    </xf>
    <xf numFmtId="0" fontId="3" fillId="0" borderId="2" xfId="0" applyFont="1" applyBorder="1" applyAlignment="1">
      <alignment horizontal="left" vertical="top"/>
    </xf>
    <xf numFmtId="0" fontId="5" fillId="0" borderId="2" xfId="0" applyFont="1" applyBorder="1" applyAlignment="1">
      <alignment vertical="top" wrapText="1"/>
    </xf>
    <xf numFmtId="0" fontId="2" fillId="5" borderId="2" xfId="0" applyFont="1" applyFill="1" applyBorder="1" applyAlignment="1">
      <alignment vertical="top" wrapText="1"/>
    </xf>
    <xf numFmtId="0" fontId="3" fillId="5" borderId="2" xfId="0" applyFont="1" applyFill="1" applyBorder="1" applyAlignment="1">
      <alignment horizontal="justify" vertical="top" wrapText="1"/>
    </xf>
    <xf numFmtId="0" fontId="5" fillId="5" borderId="2" xfId="0" applyFont="1" applyFill="1" applyBorder="1" applyAlignment="1">
      <alignment horizontal="left" vertical="top" wrapText="1"/>
    </xf>
    <xf numFmtId="0" fontId="2" fillId="5" borderId="2" xfId="0" applyFont="1" applyFill="1" applyBorder="1" applyAlignment="1">
      <alignment horizontal="left" vertical="top"/>
    </xf>
    <xf numFmtId="0" fontId="3" fillId="5" borderId="2" xfId="0" applyFont="1" applyFill="1" applyBorder="1" applyAlignment="1">
      <alignment vertical="top" wrapText="1"/>
    </xf>
    <xf numFmtId="0" fontId="2" fillId="0" borderId="13" xfId="0" applyFont="1" applyBorder="1" applyAlignment="1">
      <alignment vertical="top" wrapText="1"/>
    </xf>
    <xf numFmtId="0" fontId="3" fillId="0" borderId="2" xfId="0" applyFont="1" applyBorder="1" applyAlignment="1">
      <alignment vertical="top" wrapText="1"/>
    </xf>
    <xf numFmtId="0" fontId="3" fillId="0" borderId="13" xfId="0" applyFont="1" applyBorder="1" applyAlignment="1">
      <alignment horizontal="left" vertical="top"/>
    </xf>
    <xf numFmtId="0" fontId="3" fillId="0" borderId="13" xfId="0" applyFont="1" applyBorder="1" applyAlignment="1">
      <alignment vertical="top" wrapText="1"/>
    </xf>
    <xf numFmtId="3" fontId="5" fillId="0" borderId="0" xfId="0" applyNumberFormat="1" applyFont="1" applyAlignment="1">
      <alignment horizontal="left" vertical="top"/>
    </xf>
    <xf numFmtId="0" fontId="2" fillId="0" borderId="2" xfId="0" applyFont="1" applyBorder="1" applyAlignment="1">
      <alignment vertical="top"/>
    </xf>
    <xf numFmtId="0" fontId="2" fillId="5" borderId="13" xfId="0" applyFont="1" applyFill="1" applyBorder="1" applyAlignment="1">
      <alignment horizontal="left" vertical="top"/>
    </xf>
    <xf numFmtId="0" fontId="2" fillId="5" borderId="13" xfId="0" applyFont="1" applyFill="1" applyBorder="1" applyAlignment="1">
      <alignment horizontal="left" vertical="top" wrapText="1"/>
    </xf>
    <xf numFmtId="0" fontId="2" fillId="5" borderId="11" xfId="0" applyFont="1" applyFill="1" applyBorder="1" applyAlignment="1">
      <alignment vertical="top" wrapText="1"/>
    </xf>
    <xf numFmtId="0" fontId="2" fillId="0" borderId="2" xfId="0" applyFont="1" applyBorder="1" applyAlignment="1">
      <alignment horizontal="left" vertical="top" wrapText="1"/>
    </xf>
    <xf numFmtId="0" fontId="3" fillId="5" borderId="2" xfId="0" applyFont="1" applyFill="1" applyBorder="1" applyAlignment="1">
      <alignment horizontal="left" vertical="top"/>
    </xf>
    <xf numFmtId="0" fontId="3" fillId="5" borderId="13" xfId="0" applyFont="1" applyFill="1" applyBorder="1" applyAlignment="1">
      <alignment horizontal="lef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10" xfId="0" applyFont="1" applyBorder="1" applyAlignment="1">
      <alignment vertical="top" wrapText="1"/>
    </xf>
    <xf numFmtId="0" fontId="5" fillId="0" borderId="8" xfId="0" applyFont="1" applyBorder="1" applyAlignment="1">
      <alignment horizontal="justify" vertical="top" wrapText="1"/>
    </xf>
    <xf numFmtId="0" fontId="5" fillId="0" borderId="9" xfId="0" applyFont="1" applyBorder="1" applyAlignment="1">
      <alignment horizontal="justify" vertical="top" wrapText="1"/>
    </xf>
    <xf numFmtId="0" fontId="5" fillId="0" borderId="10" xfId="0" applyFont="1" applyBorder="1" applyAlignment="1">
      <alignment horizontal="justify" vertical="top" wrapText="1"/>
    </xf>
    <xf numFmtId="0" fontId="5" fillId="4" borderId="4" xfId="0" applyFont="1" applyFill="1" applyBorder="1" applyAlignment="1">
      <alignment vertical="center" wrapText="1"/>
    </xf>
    <xf numFmtId="0" fontId="5" fillId="4" borderId="6" xfId="0" applyFont="1" applyFill="1" applyBorder="1" applyAlignment="1">
      <alignment vertical="center" wrapText="1"/>
    </xf>
    <xf numFmtId="0" fontId="5" fillId="4" borderId="7" xfId="0" applyFont="1" applyFill="1" applyBorder="1" applyAlignment="1">
      <alignment vertical="center"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3" fillId="0" borderId="8" xfId="0" applyFont="1" applyBorder="1" applyAlignment="1">
      <alignment horizontal="justify" vertical="center" wrapText="1"/>
    </xf>
    <xf numFmtId="0" fontId="3" fillId="0" borderId="9" xfId="0" applyFont="1" applyBorder="1" applyAlignment="1">
      <alignment horizontal="justify" vertical="center" wrapText="1"/>
    </xf>
    <xf numFmtId="0" fontId="3" fillId="0" borderId="10" xfId="0" applyFont="1" applyBorder="1" applyAlignment="1">
      <alignment horizontal="justify" vertical="center" wrapText="1"/>
    </xf>
    <xf numFmtId="0" fontId="4" fillId="0" borderId="12" xfId="0" applyFont="1" applyBorder="1" applyAlignment="1">
      <alignment horizontal="left" vertical="center"/>
    </xf>
    <xf numFmtId="0" fontId="5" fillId="0" borderId="8" xfId="0" applyFont="1" applyBorder="1" applyAlignment="1">
      <alignment horizontal="center" vertical="top" wrapText="1"/>
    </xf>
    <xf numFmtId="0" fontId="5" fillId="0" borderId="9" xfId="0" applyFont="1" applyBorder="1" applyAlignment="1">
      <alignment horizontal="center" vertical="top" wrapText="1"/>
    </xf>
    <xf numFmtId="0" fontId="5" fillId="0" borderId="10" xfId="0" applyFont="1" applyBorder="1" applyAlignment="1">
      <alignment horizontal="center" vertical="top" wrapText="1"/>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10" xfId="0" applyFont="1" applyBorder="1" applyAlignment="1">
      <alignment horizontal="center" vertical="top" wrapText="1"/>
    </xf>
    <xf numFmtId="0" fontId="3" fillId="0" borderId="8" xfId="0" applyFont="1" applyBorder="1" applyAlignment="1">
      <alignment horizontal="center" vertical="top" wrapText="1"/>
    </xf>
    <xf numFmtId="0" fontId="3" fillId="0" borderId="10" xfId="0" applyFont="1" applyBorder="1" applyAlignment="1">
      <alignment horizontal="center" vertical="top" wrapText="1"/>
    </xf>
    <xf numFmtId="0" fontId="5" fillId="3" borderId="4" xfId="0" applyFont="1" applyFill="1" applyBorder="1" applyAlignment="1">
      <alignment horizontal="justify" vertical="center" wrapText="1"/>
    </xf>
    <xf numFmtId="0" fontId="5" fillId="3" borderId="6" xfId="0" applyFont="1" applyFill="1" applyBorder="1" applyAlignment="1">
      <alignment horizontal="justify" vertical="center" wrapText="1"/>
    </xf>
    <xf numFmtId="0" fontId="5" fillId="3" borderId="7" xfId="0" applyFont="1" applyFill="1" applyBorder="1" applyAlignment="1">
      <alignment horizontal="justify" vertical="center" wrapText="1"/>
    </xf>
    <xf numFmtId="0" fontId="3" fillId="0" borderId="8" xfId="0" applyFont="1" applyBorder="1" applyAlignment="1">
      <alignment horizontal="justify" vertical="top" wrapText="1"/>
    </xf>
    <xf numFmtId="0" fontId="3" fillId="0" borderId="9" xfId="0" applyFont="1" applyBorder="1" applyAlignment="1">
      <alignment horizontal="justify" vertical="top" wrapText="1"/>
    </xf>
    <xf numFmtId="0" fontId="3" fillId="0" borderId="10" xfId="0" applyFont="1"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F44"/>
  <sheetViews>
    <sheetView tabSelected="1" topLeftCell="A12" zoomScale="66" zoomScaleNormal="66" workbookViewId="0">
      <selection activeCell="K18" sqref="K18"/>
    </sheetView>
  </sheetViews>
  <sheetFormatPr defaultColWidth="8.86328125" defaultRowHeight="15.4" x14ac:dyDescent="0.45"/>
  <cols>
    <col min="1" max="1" width="8.86328125" style="3"/>
    <col min="2" max="2" width="29.86328125" style="3" customWidth="1"/>
    <col min="3" max="3" width="23.33203125" style="4" customWidth="1"/>
    <col min="4" max="4" width="15.796875" style="3" customWidth="1"/>
    <col min="5" max="5" width="15.33203125" style="4" customWidth="1"/>
    <col min="6" max="6" width="24.19921875" style="5" customWidth="1"/>
    <col min="7" max="7" width="12.86328125" style="4" customWidth="1"/>
    <col min="8" max="8" width="8.86328125" style="9"/>
    <col min="9" max="9" width="10.86328125" style="9" customWidth="1"/>
    <col min="10" max="10" width="51" style="4" customWidth="1"/>
    <col min="11" max="16384" width="8.86328125" style="3"/>
  </cols>
  <sheetData>
    <row r="2" spans="2:10" x14ac:dyDescent="0.45">
      <c r="B2" s="1"/>
      <c r="C2" s="2"/>
    </row>
    <row r="3" spans="2:10" s="8" customFormat="1" x14ac:dyDescent="0.45">
      <c r="B3" s="6" t="s">
        <v>27</v>
      </c>
      <c r="C3" s="7"/>
      <c r="E3" s="9"/>
      <c r="F3" s="9"/>
      <c r="G3" s="9"/>
      <c r="H3" s="9"/>
      <c r="I3" s="9"/>
      <c r="J3" s="9"/>
    </row>
    <row r="4" spans="2:10" s="6" customFormat="1" x14ac:dyDescent="0.45">
      <c r="B4" s="63" t="s">
        <v>79</v>
      </c>
      <c r="C4" s="63"/>
      <c r="D4" s="63"/>
      <c r="E4" s="63"/>
      <c r="F4" s="63"/>
      <c r="G4" s="63"/>
      <c r="H4" s="63"/>
      <c r="I4" s="63"/>
      <c r="J4" s="63"/>
    </row>
    <row r="5" spans="2:10" ht="15.6" customHeight="1" x14ac:dyDescent="0.45">
      <c r="B5" s="72" t="s">
        <v>4</v>
      </c>
      <c r="C5" s="73"/>
      <c r="D5" s="73"/>
      <c r="E5" s="73"/>
      <c r="F5" s="73"/>
      <c r="G5" s="73"/>
      <c r="H5" s="73"/>
      <c r="I5" s="73"/>
      <c r="J5" s="74"/>
    </row>
    <row r="6" spans="2:10" ht="31.25" customHeight="1" x14ac:dyDescent="0.45">
      <c r="B6" s="72" t="s">
        <v>5</v>
      </c>
      <c r="C6" s="73"/>
      <c r="D6" s="73"/>
      <c r="E6" s="73"/>
      <c r="F6" s="73"/>
      <c r="G6" s="73"/>
      <c r="H6" s="73"/>
      <c r="I6" s="73"/>
      <c r="J6" s="74"/>
    </row>
    <row r="7" spans="2:10" ht="31.25" customHeight="1" x14ac:dyDescent="0.45">
      <c r="B7" s="10" t="s">
        <v>0</v>
      </c>
      <c r="C7" s="11" t="s">
        <v>39</v>
      </c>
      <c r="D7" s="11" t="s">
        <v>1</v>
      </c>
      <c r="E7" s="12" t="s">
        <v>2</v>
      </c>
      <c r="F7" s="13" t="s">
        <v>3</v>
      </c>
      <c r="G7" s="11" t="s">
        <v>80</v>
      </c>
      <c r="H7" s="20" t="s">
        <v>38</v>
      </c>
      <c r="I7" s="20" t="s">
        <v>55</v>
      </c>
      <c r="J7" s="11" t="s">
        <v>37</v>
      </c>
    </row>
    <row r="8" spans="2:10" ht="223.25" customHeight="1" x14ac:dyDescent="0.45">
      <c r="B8" s="48" t="s">
        <v>40</v>
      </c>
      <c r="C8" s="64" t="s">
        <v>70</v>
      </c>
      <c r="D8" s="22" t="s">
        <v>10</v>
      </c>
      <c r="E8" s="22" t="s">
        <v>29</v>
      </c>
      <c r="F8" s="23" t="s">
        <v>30</v>
      </c>
      <c r="G8" s="24">
        <v>52</v>
      </c>
      <c r="H8" s="25">
        <v>20</v>
      </c>
      <c r="I8" s="25">
        <f>H8-G8</f>
        <v>-32</v>
      </c>
      <c r="J8" s="36" t="s">
        <v>84</v>
      </c>
    </row>
    <row r="9" spans="2:10" ht="46.15" x14ac:dyDescent="0.45">
      <c r="B9" s="49"/>
      <c r="C9" s="65"/>
      <c r="D9" s="75" t="s">
        <v>56</v>
      </c>
      <c r="E9" s="51" t="s">
        <v>41</v>
      </c>
      <c r="F9" s="23" t="s">
        <v>35</v>
      </c>
      <c r="G9" s="24">
        <v>20</v>
      </c>
      <c r="H9" s="25">
        <v>4</v>
      </c>
      <c r="I9" s="25">
        <f>H9-G9</f>
        <v>-16</v>
      </c>
      <c r="J9" s="26" t="s">
        <v>77</v>
      </c>
    </row>
    <row r="10" spans="2:10" ht="67.8" customHeight="1" x14ac:dyDescent="0.45">
      <c r="B10" s="49"/>
      <c r="C10" s="65"/>
      <c r="D10" s="76"/>
      <c r="E10" s="52"/>
      <c r="F10" s="23" t="s">
        <v>36</v>
      </c>
      <c r="G10" s="24">
        <v>15</v>
      </c>
      <c r="H10" s="25">
        <v>10</v>
      </c>
      <c r="I10" s="25">
        <f t="shared" ref="I10:I11" si="0">H10-G10</f>
        <v>-5</v>
      </c>
      <c r="J10" s="26" t="s">
        <v>90</v>
      </c>
    </row>
    <row r="11" spans="2:10" ht="46.15" x14ac:dyDescent="0.45">
      <c r="B11" s="49"/>
      <c r="C11" s="65"/>
      <c r="D11" s="77"/>
      <c r="E11" s="53"/>
      <c r="F11" s="23" t="s">
        <v>31</v>
      </c>
      <c r="G11" s="24">
        <v>15</v>
      </c>
      <c r="H11" s="25">
        <v>10</v>
      </c>
      <c r="I11" s="25">
        <f t="shared" si="0"/>
        <v>-5</v>
      </c>
      <c r="J11" s="26" t="s">
        <v>85</v>
      </c>
    </row>
    <row r="12" spans="2:10" ht="381" customHeight="1" x14ac:dyDescent="0.45">
      <c r="B12" s="49"/>
      <c r="C12" s="65"/>
      <c r="D12" s="51" t="s">
        <v>43</v>
      </c>
      <c r="E12" s="22" t="s">
        <v>63</v>
      </c>
      <c r="F12" s="23" t="s">
        <v>32</v>
      </c>
      <c r="G12" s="27">
        <v>35</v>
      </c>
      <c r="H12" s="29">
        <v>27</v>
      </c>
      <c r="I12" s="28">
        <f>H12-G12</f>
        <v>-8</v>
      </c>
      <c r="J12" s="26" t="s">
        <v>101</v>
      </c>
    </row>
    <row r="13" spans="2:10" ht="33" customHeight="1" x14ac:dyDescent="0.45">
      <c r="B13" s="49"/>
      <c r="C13" s="65"/>
      <c r="D13" s="52"/>
      <c r="E13" s="64" t="s">
        <v>57</v>
      </c>
      <c r="F13" s="32" t="s">
        <v>49</v>
      </c>
      <c r="G13" s="33">
        <v>50</v>
      </c>
      <c r="H13" s="46">
        <v>39</v>
      </c>
      <c r="I13" s="34">
        <f>H13-G13</f>
        <v>-11</v>
      </c>
      <c r="J13" s="47" t="s">
        <v>102</v>
      </c>
    </row>
    <row r="14" spans="2:10" ht="66" customHeight="1" x14ac:dyDescent="0.45">
      <c r="B14" s="49"/>
      <c r="C14" s="65"/>
      <c r="D14" s="52"/>
      <c r="E14" s="65"/>
      <c r="F14" s="23" t="s">
        <v>58</v>
      </c>
      <c r="G14" s="24">
        <v>185</v>
      </c>
      <c r="H14" s="25">
        <v>8</v>
      </c>
      <c r="I14" s="25">
        <f t="shared" ref="I14:I22" si="1">H14-G14</f>
        <v>-177</v>
      </c>
      <c r="J14" s="45" t="s">
        <v>99</v>
      </c>
    </row>
    <row r="15" spans="2:10" ht="30" customHeight="1" x14ac:dyDescent="0.45">
      <c r="B15" s="49"/>
      <c r="C15" s="65"/>
      <c r="D15" s="52"/>
      <c r="E15" s="65"/>
      <c r="F15" s="35" t="s">
        <v>75</v>
      </c>
      <c r="G15" s="33">
        <v>35</v>
      </c>
      <c r="H15" s="42">
        <v>0</v>
      </c>
      <c r="I15" s="42">
        <f t="shared" si="1"/>
        <v>-35</v>
      </c>
      <c r="J15" s="43" t="s">
        <v>96</v>
      </c>
    </row>
    <row r="16" spans="2:10" ht="46.15" x14ac:dyDescent="0.45">
      <c r="B16" s="49"/>
      <c r="C16" s="65"/>
      <c r="D16" s="52"/>
      <c r="E16" s="65"/>
      <c r="F16" s="35" t="s">
        <v>59</v>
      </c>
      <c r="G16" s="33">
        <v>1</v>
      </c>
      <c r="H16" s="42">
        <v>2</v>
      </c>
      <c r="I16" s="42">
        <f t="shared" si="1"/>
        <v>1</v>
      </c>
      <c r="J16" s="42" t="s">
        <v>98</v>
      </c>
    </row>
    <row r="17" spans="1:32" ht="30.75" x14ac:dyDescent="0.45">
      <c r="B17" s="49"/>
      <c r="C17" s="65"/>
      <c r="D17" s="52"/>
      <c r="E17" s="65"/>
      <c r="F17" s="35" t="s">
        <v>50</v>
      </c>
      <c r="G17" s="33">
        <v>3</v>
      </c>
      <c r="H17" s="42">
        <v>3</v>
      </c>
      <c r="I17" s="42">
        <f t="shared" si="1"/>
        <v>0</v>
      </c>
      <c r="J17" s="43" t="s">
        <v>78</v>
      </c>
    </row>
    <row r="18" spans="1:32" ht="107.65" x14ac:dyDescent="0.45">
      <c r="B18" s="49"/>
      <c r="C18" s="65"/>
      <c r="D18" s="52"/>
      <c r="E18" s="65"/>
      <c r="F18" s="35" t="s">
        <v>60</v>
      </c>
      <c r="G18" s="33">
        <v>15</v>
      </c>
      <c r="H18" s="42">
        <v>0.57999999999999996</v>
      </c>
      <c r="I18" s="42">
        <f t="shared" si="1"/>
        <v>-14.42</v>
      </c>
      <c r="J18" s="43" t="s">
        <v>103</v>
      </c>
    </row>
    <row r="19" spans="1:32" ht="31.15" thickBot="1" x14ac:dyDescent="0.5">
      <c r="B19" s="49"/>
      <c r="C19" s="65"/>
      <c r="D19" s="52"/>
      <c r="E19" s="65"/>
      <c r="F19" s="35" t="s">
        <v>51</v>
      </c>
      <c r="G19" s="33">
        <v>2</v>
      </c>
      <c r="H19" s="42">
        <v>0</v>
      </c>
      <c r="I19" s="42">
        <f t="shared" si="1"/>
        <v>-2</v>
      </c>
      <c r="J19" s="44" t="s">
        <v>97</v>
      </c>
    </row>
    <row r="20" spans="1:32" ht="30.75" x14ac:dyDescent="0.45">
      <c r="B20" s="49"/>
      <c r="C20" s="65"/>
      <c r="D20" s="52"/>
      <c r="E20" s="65"/>
      <c r="F20" s="35" t="s">
        <v>52</v>
      </c>
      <c r="G20" s="33">
        <v>1</v>
      </c>
      <c r="H20" s="42">
        <v>1</v>
      </c>
      <c r="I20" s="42">
        <f t="shared" si="1"/>
        <v>0</v>
      </c>
      <c r="J20" s="43" t="s">
        <v>95</v>
      </c>
    </row>
    <row r="21" spans="1:32" ht="30.75" x14ac:dyDescent="0.45">
      <c r="B21" s="49"/>
      <c r="C21" s="65"/>
      <c r="D21" s="53"/>
      <c r="E21" s="66"/>
      <c r="F21" s="35" t="s">
        <v>53</v>
      </c>
      <c r="G21" s="33">
        <v>2</v>
      </c>
      <c r="H21" s="42">
        <v>2</v>
      </c>
      <c r="I21" s="42">
        <f t="shared" si="1"/>
        <v>0</v>
      </c>
      <c r="J21" s="43" t="s">
        <v>100</v>
      </c>
    </row>
    <row r="22" spans="1:32" ht="92.25" x14ac:dyDescent="0.45">
      <c r="B22" s="49"/>
      <c r="C22" s="65"/>
      <c r="D22" s="21" t="s">
        <v>10</v>
      </c>
      <c r="E22" s="22" t="s">
        <v>54</v>
      </c>
      <c r="F22" s="37" t="s">
        <v>61</v>
      </c>
      <c r="G22" s="24">
        <v>3</v>
      </c>
      <c r="H22" s="25">
        <v>1</v>
      </c>
      <c r="I22" s="25">
        <f t="shared" si="1"/>
        <v>-2</v>
      </c>
      <c r="J22" s="26" t="s">
        <v>74</v>
      </c>
    </row>
    <row r="23" spans="1:32" ht="46.15" x14ac:dyDescent="0.45">
      <c r="B23" s="49"/>
      <c r="C23" s="65"/>
      <c r="D23" s="26" t="s">
        <v>7</v>
      </c>
      <c r="E23" s="30" t="s">
        <v>8</v>
      </c>
      <c r="F23" s="35" t="s">
        <v>9</v>
      </c>
      <c r="G23" s="33">
        <v>200</v>
      </c>
      <c r="H23" s="34">
        <v>93</v>
      </c>
      <c r="I23" s="34">
        <f>H23-G23</f>
        <v>-107</v>
      </c>
      <c r="J23" s="31" t="s">
        <v>94</v>
      </c>
    </row>
    <row r="24" spans="1:32" ht="42.6" customHeight="1" x14ac:dyDescent="0.45">
      <c r="B24" s="49"/>
      <c r="C24" s="65"/>
      <c r="D24" s="70" t="s">
        <v>62</v>
      </c>
      <c r="E24" s="48" t="s">
        <v>11</v>
      </c>
      <c r="F24" s="37" t="s">
        <v>12</v>
      </c>
      <c r="G24" s="24">
        <v>11</v>
      </c>
      <c r="H24" s="25">
        <v>0</v>
      </c>
      <c r="I24" s="25">
        <f t="shared" ref="I24:I29" si="2">H24-G24</f>
        <v>-11</v>
      </c>
      <c r="J24" s="41" t="s">
        <v>72</v>
      </c>
    </row>
    <row r="25" spans="1:32" ht="30.75" x14ac:dyDescent="0.45">
      <c r="B25" s="49"/>
      <c r="C25" s="66"/>
      <c r="D25" s="71"/>
      <c r="E25" s="50"/>
      <c r="F25" s="37" t="s">
        <v>13</v>
      </c>
      <c r="G25" s="24">
        <v>2800</v>
      </c>
      <c r="H25" s="25">
        <v>0</v>
      </c>
      <c r="I25" s="25">
        <f t="shared" si="2"/>
        <v>-2800</v>
      </c>
      <c r="J25" s="41" t="s">
        <v>73</v>
      </c>
    </row>
    <row r="26" spans="1:32" ht="61.5" x14ac:dyDescent="0.45">
      <c r="B26" s="49"/>
      <c r="C26" s="64" t="s">
        <v>44</v>
      </c>
      <c r="D26" s="67" t="s">
        <v>33</v>
      </c>
      <c r="E26" s="64" t="s">
        <v>14</v>
      </c>
      <c r="F26" s="37" t="s">
        <v>15</v>
      </c>
      <c r="G26" s="24">
        <v>20</v>
      </c>
      <c r="H26" s="25">
        <v>25</v>
      </c>
      <c r="I26" s="25">
        <f t="shared" si="2"/>
        <v>5</v>
      </c>
      <c r="J26" s="39" t="s">
        <v>83</v>
      </c>
    </row>
    <row r="27" spans="1:32" ht="195.6" customHeight="1" x14ac:dyDescent="0.45">
      <c r="B27" s="49"/>
      <c r="C27" s="65"/>
      <c r="D27" s="68"/>
      <c r="E27" s="65"/>
      <c r="F27" s="37" t="s">
        <v>6</v>
      </c>
      <c r="G27" s="24">
        <v>30</v>
      </c>
      <c r="H27" s="25">
        <v>33.648000000000003</v>
      </c>
      <c r="I27" s="25">
        <f t="shared" si="2"/>
        <v>3.6480000000000032</v>
      </c>
      <c r="J27" s="39" t="s">
        <v>82</v>
      </c>
    </row>
    <row r="28" spans="1:32" ht="115.8" customHeight="1" x14ac:dyDescent="0.45">
      <c r="B28" s="49"/>
      <c r="C28" s="66"/>
      <c r="D28" s="69"/>
      <c r="E28" s="66"/>
      <c r="F28" s="37" t="s">
        <v>16</v>
      </c>
      <c r="G28" s="27">
        <v>4000</v>
      </c>
      <c r="H28" s="40">
        <v>4200</v>
      </c>
      <c r="I28" s="28">
        <f t="shared" si="2"/>
        <v>200</v>
      </c>
      <c r="J28" s="36" t="s">
        <v>81</v>
      </c>
    </row>
    <row r="29" spans="1:32" ht="97.25" customHeight="1" x14ac:dyDescent="0.45">
      <c r="B29" s="50"/>
      <c r="C29" s="30" t="s">
        <v>42</v>
      </c>
      <c r="D29" s="26" t="s">
        <v>17</v>
      </c>
      <c r="E29" s="22" t="s">
        <v>18</v>
      </c>
      <c r="F29" s="37" t="s">
        <v>19</v>
      </c>
      <c r="G29" s="24">
        <v>500</v>
      </c>
      <c r="H29" s="25">
        <v>220</v>
      </c>
      <c r="I29" s="25">
        <f t="shared" si="2"/>
        <v>-280</v>
      </c>
      <c r="J29" s="26" t="s">
        <v>89</v>
      </c>
    </row>
    <row r="30" spans="1:32" s="16" customFormat="1" ht="22.25" customHeight="1" x14ac:dyDescent="0.45">
      <c r="A30" s="14"/>
      <c r="B30" s="54" t="s">
        <v>48</v>
      </c>
      <c r="C30" s="55"/>
      <c r="D30" s="55"/>
      <c r="E30" s="55"/>
      <c r="F30" s="55"/>
      <c r="G30" s="55"/>
      <c r="H30" s="55"/>
      <c r="I30" s="55"/>
      <c r="J30" s="56"/>
      <c r="K30" s="14"/>
      <c r="L30" s="14"/>
      <c r="M30" s="14"/>
      <c r="N30" s="14"/>
      <c r="O30" s="14"/>
      <c r="P30" s="14"/>
      <c r="Q30" s="14"/>
      <c r="R30" s="14"/>
      <c r="S30" s="14"/>
      <c r="T30" s="14"/>
      <c r="U30" s="14"/>
      <c r="V30" s="14"/>
      <c r="W30" s="14"/>
      <c r="X30" s="14"/>
      <c r="Y30" s="14"/>
      <c r="Z30" s="14"/>
      <c r="AA30" s="14"/>
      <c r="AB30" s="14"/>
      <c r="AC30" s="14"/>
      <c r="AD30" s="14"/>
      <c r="AE30" s="14"/>
      <c r="AF30" s="15"/>
    </row>
    <row r="31" spans="1:32" s="17" customFormat="1" ht="15.6" customHeight="1" x14ac:dyDescent="0.45">
      <c r="A31" s="14"/>
      <c r="B31" s="54" t="s">
        <v>20</v>
      </c>
      <c r="C31" s="55"/>
      <c r="D31" s="55"/>
      <c r="E31" s="55"/>
      <c r="F31" s="55"/>
      <c r="G31" s="55"/>
      <c r="H31" s="55"/>
      <c r="I31" s="55"/>
      <c r="J31" s="56"/>
      <c r="K31" s="14"/>
      <c r="L31" s="14"/>
      <c r="M31" s="14"/>
      <c r="N31" s="14"/>
      <c r="O31" s="14"/>
      <c r="P31" s="14"/>
      <c r="Q31" s="14"/>
      <c r="R31" s="14"/>
      <c r="S31" s="14"/>
      <c r="T31" s="14"/>
      <c r="U31" s="14"/>
      <c r="V31" s="14"/>
      <c r="W31" s="14"/>
      <c r="X31" s="14"/>
      <c r="Y31" s="14"/>
      <c r="Z31" s="14"/>
      <c r="AA31" s="14"/>
      <c r="AB31" s="14"/>
      <c r="AC31" s="14"/>
      <c r="AD31" s="14"/>
      <c r="AE31" s="14"/>
      <c r="AF31" s="14"/>
    </row>
    <row r="32" spans="1:32" s="14" customFormat="1" ht="45.6" customHeight="1" x14ac:dyDescent="0.45">
      <c r="B32" s="10" t="s">
        <v>0</v>
      </c>
      <c r="C32" s="11" t="s">
        <v>39</v>
      </c>
      <c r="D32" s="10" t="s">
        <v>1</v>
      </c>
      <c r="E32" s="12" t="s">
        <v>2</v>
      </c>
      <c r="F32" s="13" t="s">
        <v>3</v>
      </c>
      <c r="G32" s="11" t="s">
        <v>26</v>
      </c>
      <c r="H32" s="20" t="s">
        <v>38</v>
      </c>
      <c r="I32" s="20" t="s">
        <v>28</v>
      </c>
      <c r="J32" s="11" t="s">
        <v>37</v>
      </c>
    </row>
    <row r="33" spans="2:10" ht="49.8" customHeight="1" x14ac:dyDescent="0.45">
      <c r="B33" s="48" t="s">
        <v>45</v>
      </c>
      <c r="C33" s="48" t="s">
        <v>46</v>
      </c>
      <c r="D33" s="57" t="s">
        <v>47</v>
      </c>
      <c r="E33" s="51" t="s">
        <v>34</v>
      </c>
      <c r="F33" s="37" t="s">
        <v>21</v>
      </c>
      <c r="G33" s="24">
        <v>1</v>
      </c>
      <c r="H33" s="38">
        <v>0</v>
      </c>
      <c r="I33" s="25">
        <f t="shared" ref="I33:I38" si="3">H33-G33</f>
        <v>-1</v>
      </c>
      <c r="J33" s="39" t="s">
        <v>86</v>
      </c>
    </row>
    <row r="34" spans="2:10" ht="61.5" x14ac:dyDescent="0.45">
      <c r="B34" s="49"/>
      <c r="C34" s="49"/>
      <c r="D34" s="58"/>
      <c r="E34" s="52"/>
      <c r="F34" s="37" t="s">
        <v>22</v>
      </c>
      <c r="G34" s="24">
        <v>45</v>
      </c>
      <c r="H34" s="38">
        <v>45</v>
      </c>
      <c r="I34" s="25">
        <f t="shared" si="3"/>
        <v>0</v>
      </c>
      <c r="J34" s="39" t="s">
        <v>87</v>
      </c>
    </row>
    <row r="35" spans="2:10" ht="76.900000000000006" x14ac:dyDescent="0.45">
      <c r="B35" s="49"/>
      <c r="C35" s="49"/>
      <c r="D35" s="59"/>
      <c r="E35" s="53"/>
      <c r="F35" s="23" t="s">
        <v>23</v>
      </c>
      <c r="G35" s="24">
        <v>43</v>
      </c>
      <c r="H35" s="38">
        <v>27</v>
      </c>
      <c r="I35" s="25">
        <f t="shared" si="3"/>
        <v>-16</v>
      </c>
      <c r="J35" s="39" t="s">
        <v>88</v>
      </c>
    </row>
    <row r="36" spans="2:10" ht="43.25" customHeight="1" x14ac:dyDescent="0.45">
      <c r="B36" s="49"/>
      <c r="C36" s="49"/>
      <c r="D36" s="60" t="s">
        <v>71</v>
      </c>
      <c r="E36" s="51" t="s">
        <v>76</v>
      </c>
      <c r="F36" s="23" t="s">
        <v>24</v>
      </c>
      <c r="G36" s="24">
        <v>3</v>
      </c>
      <c r="H36" s="25">
        <v>0</v>
      </c>
      <c r="I36" s="25">
        <f t="shared" si="3"/>
        <v>-3</v>
      </c>
      <c r="J36" s="36" t="s">
        <v>91</v>
      </c>
    </row>
    <row r="37" spans="2:10" ht="92.25" x14ac:dyDescent="0.45">
      <c r="B37" s="49"/>
      <c r="C37" s="49"/>
      <c r="D37" s="61"/>
      <c r="E37" s="52"/>
      <c r="F37" s="23" t="s">
        <v>25</v>
      </c>
      <c r="G37" s="27">
        <v>2</v>
      </c>
      <c r="H37" s="25">
        <v>0</v>
      </c>
      <c r="I37" s="28">
        <f t="shared" si="3"/>
        <v>-2</v>
      </c>
      <c r="J37" s="36" t="s">
        <v>92</v>
      </c>
    </row>
    <row r="38" spans="2:10" ht="252" customHeight="1" x14ac:dyDescent="0.45">
      <c r="B38" s="50"/>
      <c r="C38" s="50"/>
      <c r="D38" s="62"/>
      <c r="E38" s="53"/>
      <c r="F38" s="23" t="s">
        <v>69</v>
      </c>
      <c r="G38" s="24">
        <v>3</v>
      </c>
      <c r="H38" s="25">
        <v>0</v>
      </c>
      <c r="I38" s="28">
        <f t="shared" si="3"/>
        <v>-3</v>
      </c>
      <c r="J38" s="36" t="s">
        <v>93</v>
      </c>
    </row>
    <row r="40" spans="2:10" x14ac:dyDescent="0.45">
      <c r="B40" s="18" t="s">
        <v>64</v>
      </c>
      <c r="C40" s="18"/>
      <c r="D40" s="18" t="s">
        <v>65</v>
      </c>
    </row>
    <row r="41" spans="2:10" x14ac:dyDescent="0.45">
      <c r="B41" s="18"/>
      <c r="C41" s="19"/>
      <c r="D41" s="19"/>
    </row>
    <row r="42" spans="2:10" x14ac:dyDescent="0.45">
      <c r="B42" s="19" t="s">
        <v>66</v>
      </c>
      <c r="C42" s="19"/>
      <c r="D42" s="19" t="s">
        <v>67</v>
      </c>
    </row>
    <row r="43" spans="2:10" x14ac:dyDescent="0.45">
      <c r="C43" s="3"/>
    </row>
    <row r="44" spans="2:10" x14ac:dyDescent="0.45">
      <c r="B44" s="3" t="s">
        <v>68</v>
      </c>
      <c r="C44" s="3"/>
    </row>
  </sheetData>
  <mergeCells count="22">
    <mergeCell ref="B4:J4"/>
    <mergeCell ref="C8:C25"/>
    <mergeCell ref="E26:E28"/>
    <mergeCell ref="E24:E25"/>
    <mergeCell ref="D26:D28"/>
    <mergeCell ref="D24:D25"/>
    <mergeCell ref="B5:J5"/>
    <mergeCell ref="B6:J6"/>
    <mergeCell ref="B8:B29"/>
    <mergeCell ref="E13:E21"/>
    <mergeCell ref="E9:E11"/>
    <mergeCell ref="D9:D11"/>
    <mergeCell ref="D12:D21"/>
    <mergeCell ref="C26:C28"/>
    <mergeCell ref="B33:B38"/>
    <mergeCell ref="C33:C38"/>
    <mergeCell ref="E36:E38"/>
    <mergeCell ref="B30:J30"/>
    <mergeCell ref="B31:J31"/>
    <mergeCell ref="E33:E35"/>
    <mergeCell ref="D33:D35"/>
    <mergeCell ref="D36:D3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Valerie Irungu</cp:lastModifiedBy>
  <dcterms:created xsi:type="dcterms:W3CDTF">2025-08-27T08:55:52Z</dcterms:created>
  <dcterms:modified xsi:type="dcterms:W3CDTF">2026-07-14T11:19:51Z</dcterms:modified>
</cp:coreProperties>
</file>