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  <Override PartName="/xl/documenttasks/documenttask3.xml" ContentType="application/vnd.ms-excel.documenttasks+xml"/>
  <Override PartName="/xl/threadedComments/threadedComment3.xml" ContentType="application/vnd.ms-excel.threadedcomments+xml"/>
  <Override PartName="/xl/documenttasks/documenttask4.xml" ContentType="application/vnd.ms-excel.documenttask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plus-admin\public\"/>
    </mc:Choice>
  </mc:AlternateContent>
  <xr:revisionPtr revIDLastSave="0" documentId="13_ncr:1_{D0BCD529-0010-429E-8D0D-AA0817CCAAC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Hazard" sheetId="3" r:id="rId1"/>
    <sheet name="Exposure" sheetId="4" r:id="rId2"/>
    <sheet name="Sensitivity" sheetId="5" r:id="rId3"/>
    <sheet name="Adaptive Capacity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8" i="6" l="1"/>
  <c r="G57" i="6"/>
  <c r="G56" i="6"/>
  <c r="G55" i="6"/>
  <c r="G54" i="6"/>
  <c r="G53" i="6"/>
  <c r="G52" i="6"/>
  <c r="G51" i="6"/>
  <c r="G50" i="6"/>
  <c r="G48" i="6"/>
  <c r="G47" i="6"/>
  <c r="G46" i="6"/>
  <c r="G45" i="6"/>
  <c r="G44" i="6"/>
  <c r="G43" i="6"/>
  <c r="G42" i="6"/>
  <c r="G41" i="6"/>
  <c r="G40" i="6"/>
  <c r="G39" i="6"/>
  <c r="G37" i="6"/>
  <c r="G36" i="6"/>
  <c r="G35" i="6"/>
  <c r="G33" i="6"/>
  <c r="G32" i="6"/>
  <c r="G31" i="6"/>
  <c r="G30" i="6"/>
  <c r="G29" i="6"/>
  <c r="G28" i="6"/>
  <c r="G27" i="6"/>
  <c r="G26" i="6"/>
  <c r="G25" i="6"/>
  <c r="G24" i="6"/>
  <c r="G23" i="6"/>
  <c r="G22" i="6"/>
  <c r="G20" i="6"/>
  <c r="G19" i="6"/>
  <c r="G18" i="6"/>
  <c r="G17" i="6"/>
  <c r="G16" i="6"/>
  <c r="G15" i="6"/>
  <c r="G13" i="6"/>
  <c r="G12" i="6"/>
  <c r="G11" i="6"/>
  <c r="G10" i="6"/>
  <c r="G9" i="6"/>
  <c r="G8" i="6"/>
  <c r="G7" i="6"/>
  <c r="G6" i="6"/>
  <c r="G5" i="6"/>
  <c r="G4" i="6"/>
  <c r="G3" i="6"/>
  <c r="G2" i="6"/>
  <c r="I58" i="5"/>
  <c r="H58" i="5"/>
  <c r="I57" i="5"/>
  <c r="H57" i="5"/>
  <c r="I56" i="5"/>
  <c r="H56" i="5"/>
  <c r="I55" i="5"/>
  <c r="H55" i="5"/>
  <c r="I54" i="5"/>
  <c r="H54" i="5"/>
  <c r="I53" i="5"/>
  <c r="I52" i="5"/>
  <c r="I51" i="5"/>
  <c r="I50" i="5"/>
  <c r="H50" i="5"/>
  <c r="A50" i="5"/>
  <c r="A51" i="5" s="1"/>
  <c r="A52" i="5" s="1"/>
  <c r="A53" i="5" s="1"/>
  <c r="A54" i="5" s="1"/>
  <c r="A55" i="5" s="1"/>
  <c r="A56" i="5" s="1"/>
  <c r="A57" i="5" s="1"/>
  <c r="A58" i="5" s="1"/>
  <c r="I48" i="5"/>
  <c r="H48" i="5"/>
  <c r="I47" i="5"/>
  <c r="H47" i="5"/>
  <c r="I46" i="5"/>
  <c r="I45" i="5"/>
  <c r="I44" i="5"/>
  <c r="H44" i="5"/>
  <c r="I43" i="5"/>
  <c r="H43" i="5"/>
  <c r="I42" i="5"/>
  <c r="H42" i="5"/>
  <c r="I41" i="5"/>
  <c r="H41" i="5"/>
  <c r="I40" i="5"/>
  <c r="H40" i="5"/>
  <c r="I39" i="5"/>
  <c r="A39" i="5"/>
  <c r="A40" i="5" s="1"/>
  <c r="A41" i="5" s="1"/>
  <c r="A42" i="5" s="1"/>
  <c r="A43" i="5" s="1"/>
  <c r="A44" i="5" s="1"/>
  <c r="A45" i="5" s="1"/>
  <c r="A46" i="5" s="1"/>
  <c r="A47" i="5" s="1"/>
  <c r="A48" i="5" s="1"/>
  <c r="I37" i="5"/>
  <c r="I36" i="5"/>
  <c r="H36" i="5"/>
  <c r="I35" i="5"/>
  <c r="H35" i="5"/>
  <c r="A35" i="5"/>
  <c r="A36" i="5" s="1"/>
  <c r="A37" i="5" s="1"/>
  <c r="I33" i="5"/>
  <c r="H33" i="5"/>
  <c r="I32" i="5"/>
  <c r="H32" i="5"/>
  <c r="I31" i="5"/>
  <c r="H31" i="5"/>
  <c r="I30" i="5"/>
  <c r="I29" i="5"/>
  <c r="I28" i="5"/>
  <c r="I27" i="5"/>
  <c r="H27" i="5"/>
  <c r="I26" i="5"/>
  <c r="H26" i="5"/>
  <c r="I25" i="5"/>
  <c r="H25" i="5"/>
  <c r="I24" i="5"/>
  <c r="I23" i="5"/>
  <c r="A23" i="5"/>
  <c r="A24" i="5" s="1"/>
  <c r="A25" i="5" s="1"/>
  <c r="I22" i="5"/>
  <c r="H22" i="5"/>
  <c r="I20" i="5"/>
  <c r="H20" i="5"/>
  <c r="I19" i="5"/>
  <c r="H19" i="5"/>
  <c r="I18" i="5"/>
  <c r="H18" i="5"/>
  <c r="A18" i="5"/>
  <c r="I17" i="5"/>
  <c r="H17" i="5"/>
  <c r="A17" i="5"/>
  <c r="I16" i="5"/>
  <c r="I15" i="5"/>
  <c r="A15" i="5"/>
  <c r="A19" i="5" s="1"/>
  <c r="A20" i="5" s="1"/>
  <c r="A22" i="5" s="1"/>
  <c r="I13" i="5"/>
  <c r="H13" i="5"/>
  <c r="I12" i="5"/>
  <c r="H12" i="5"/>
  <c r="A12" i="5"/>
  <c r="A16" i="5" s="1"/>
  <c r="A26" i="5" s="1"/>
  <c r="I11" i="5"/>
  <c r="H11" i="5"/>
  <c r="A11" i="5"/>
  <c r="I10" i="5"/>
  <c r="H10" i="5"/>
  <c r="A10" i="5"/>
  <c r="I9" i="5"/>
  <c r="H9" i="5"/>
  <c r="A9" i="5"/>
  <c r="I8" i="5"/>
  <c r="A8" i="5"/>
  <c r="I7" i="5"/>
  <c r="A7" i="5"/>
  <c r="I6" i="5"/>
  <c r="H6" i="5"/>
  <c r="A6" i="5"/>
  <c r="I5" i="5"/>
  <c r="H5" i="5"/>
  <c r="A5" i="5"/>
  <c r="I4" i="5"/>
  <c r="H4" i="5"/>
  <c r="A4" i="5"/>
  <c r="I3" i="5"/>
  <c r="H3" i="5"/>
  <c r="A3" i="5"/>
  <c r="I2" i="5"/>
  <c r="H2" i="5"/>
  <c r="H46" i="5"/>
  <c r="I60" i="4"/>
  <c r="I59" i="4"/>
  <c r="I58" i="4"/>
  <c r="I57" i="4"/>
  <c r="I56" i="4"/>
  <c r="I55" i="4"/>
  <c r="A55" i="4"/>
  <c r="A56" i="4" s="1"/>
  <c r="A57" i="4" s="1"/>
  <c r="A58" i="4" s="1"/>
  <c r="A59" i="4" s="1"/>
  <c r="A60" i="4" s="1"/>
  <c r="I54" i="4"/>
  <c r="I53" i="4"/>
  <c r="I52" i="4"/>
  <c r="H52" i="4"/>
  <c r="A52" i="4"/>
  <c r="A53" i="4" s="1"/>
  <c r="A54" i="4" s="1"/>
  <c r="I51" i="4"/>
  <c r="I50" i="4"/>
  <c r="I49" i="4"/>
  <c r="I48" i="4"/>
  <c r="I47" i="4"/>
  <c r="I46" i="4"/>
  <c r="I45" i="4"/>
  <c r="I44" i="4"/>
  <c r="I43" i="4"/>
  <c r="I42" i="4"/>
  <c r="I41" i="4"/>
  <c r="H41" i="4"/>
  <c r="A41" i="4"/>
  <c r="A42" i="4" s="1"/>
  <c r="A43" i="4" s="1"/>
  <c r="A44" i="4" s="1"/>
  <c r="A45" i="4" s="1"/>
  <c r="A46" i="4" s="1"/>
  <c r="A47" i="4" s="1"/>
  <c r="A48" i="4" s="1"/>
  <c r="A49" i="4" s="1"/>
  <c r="A50" i="4" s="1"/>
  <c r="I40" i="4"/>
  <c r="I39" i="4"/>
  <c r="I38" i="4"/>
  <c r="I37" i="4"/>
  <c r="A37" i="4"/>
  <c r="A38" i="4" s="1"/>
  <c r="A39" i="4" s="1"/>
  <c r="I36" i="4"/>
  <c r="I35" i="4"/>
  <c r="I34" i="4"/>
  <c r="I33" i="4"/>
  <c r="I32" i="4"/>
  <c r="I31" i="4"/>
  <c r="I30" i="4"/>
  <c r="H30" i="4"/>
  <c r="I29" i="4"/>
  <c r="I28" i="4"/>
  <c r="I27" i="4"/>
  <c r="I26" i="4"/>
  <c r="I25" i="4"/>
  <c r="I24" i="4"/>
  <c r="I23" i="4"/>
  <c r="I22" i="4"/>
  <c r="I21" i="4"/>
  <c r="I20" i="4"/>
  <c r="A20" i="4"/>
  <c r="I19" i="4"/>
  <c r="H19" i="4"/>
  <c r="I18" i="4"/>
  <c r="I17" i="4"/>
  <c r="I16" i="4"/>
  <c r="I15" i="4"/>
  <c r="I14" i="4"/>
  <c r="A14" i="4"/>
  <c r="A18" i="4" s="1"/>
  <c r="A28" i="4" s="1"/>
  <c r="I13" i="4"/>
  <c r="A13" i="4"/>
  <c r="I12" i="4"/>
  <c r="A12" i="4"/>
  <c r="I11" i="4"/>
  <c r="A11" i="4"/>
  <c r="I10" i="4"/>
  <c r="A10" i="4"/>
  <c r="I9" i="4"/>
  <c r="A9" i="4"/>
  <c r="I8" i="4"/>
  <c r="A8" i="4"/>
  <c r="I7" i="4"/>
  <c r="A7" i="4"/>
  <c r="I6" i="4"/>
  <c r="A6" i="4"/>
  <c r="I5" i="4"/>
  <c r="A5" i="4"/>
  <c r="I4" i="4"/>
  <c r="J2" i="4"/>
  <c r="H39" i="4" s="1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A41" i="3"/>
  <c r="A42" i="3" s="1"/>
  <c r="A43" i="3" s="1"/>
  <c r="A44" i="3" s="1"/>
  <c r="A45" i="3" s="1"/>
  <c r="A46" i="3" s="1"/>
  <c r="A47" i="3" s="1"/>
  <c r="I40" i="3"/>
  <c r="H40" i="3"/>
  <c r="A40" i="3"/>
  <c r="I38" i="3"/>
  <c r="H38" i="3"/>
  <c r="I37" i="3"/>
  <c r="H37" i="3"/>
  <c r="I36" i="3"/>
  <c r="H36" i="3"/>
  <c r="A36" i="3"/>
  <c r="A37" i="3" s="1"/>
  <c r="A38" i="3" s="1"/>
  <c r="I34" i="3"/>
  <c r="H34" i="3"/>
  <c r="I33" i="3"/>
  <c r="H33" i="3"/>
  <c r="I32" i="3"/>
  <c r="H32" i="3"/>
  <c r="A32" i="3"/>
  <c r="A33" i="3" s="1"/>
  <c r="A34" i="3" s="1"/>
  <c r="I30" i="3"/>
  <c r="H30" i="3"/>
  <c r="I29" i="3"/>
  <c r="H29" i="3"/>
  <c r="I28" i="3"/>
  <c r="H28" i="3"/>
  <c r="I26" i="3"/>
  <c r="H26" i="3"/>
  <c r="I25" i="3"/>
  <c r="H25" i="3"/>
  <c r="I24" i="3"/>
  <c r="H24" i="3"/>
  <c r="I23" i="3"/>
  <c r="H23" i="3"/>
  <c r="I22" i="3"/>
  <c r="H22" i="3"/>
  <c r="A22" i="3"/>
  <c r="A23" i="3" s="1"/>
  <c r="A24" i="3" s="1"/>
  <c r="A25" i="3" s="1"/>
  <c r="A26" i="3" s="1"/>
  <c r="I20" i="3"/>
  <c r="H20" i="3"/>
  <c r="I19" i="3"/>
  <c r="H19" i="3"/>
  <c r="I18" i="3"/>
  <c r="H18" i="3"/>
  <c r="I17" i="3"/>
  <c r="H17" i="3"/>
  <c r="I16" i="3"/>
  <c r="H16" i="3"/>
  <c r="A16" i="3"/>
  <c r="A17" i="3" s="1"/>
  <c r="A18" i="3" s="1"/>
  <c r="A19" i="3" s="1"/>
  <c r="A20" i="3" s="1"/>
  <c r="A28" i="3" s="1"/>
  <c r="A29" i="3" s="1"/>
  <c r="A30" i="3" s="1"/>
  <c r="I14" i="3"/>
  <c r="H14" i="3"/>
  <c r="I13" i="3"/>
  <c r="H13" i="3"/>
  <c r="I12" i="3"/>
  <c r="H12" i="3"/>
  <c r="I11" i="3"/>
  <c r="H11" i="3"/>
  <c r="A11" i="3"/>
  <c r="A12" i="3" s="1"/>
  <c r="A13" i="3" s="1"/>
  <c r="A14" i="3" s="1"/>
  <c r="I9" i="3"/>
  <c r="H9" i="3"/>
  <c r="I8" i="3"/>
  <c r="H8" i="3"/>
  <c r="I7" i="3"/>
  <c r="H7" i="3"/>
  <c r="A7" i="3"/>
  <c r="A8" i="3" s="1"/>
  <c r="A9" i="3" s="1"/>
  <c r="I6" i="3"/>
  <c r="I5" i="3"/>
  <c r="H5" i="3"/>
  <c r="I4" i="3"/>
  <c r="H4" i="3"/>
  <c r="A4" i="3"/>
  <c r="A5" i="3" s="1"/>
  <c r="I3" i="3"/>
  <c r="H3" i="3"/>
  <c r="H31" i="4" l="1"/>
  <c r="H12" i="4"/>
  <c r="H22" i="4"/>
  <c r="H55" i="4"/>
  <c r="H34" i="4"/>
  <c r="H56" i="4"/>
  <c r="H35" i="4"/>
  <c r="H47" i="4"/>
  <c r="H20" i="4"/>
  <c r="H53" i="4"/>
  <c r="H5" i="4"/>
  <c r="H6" i="4"/>
  <c r="H13" i="4"/>
  <c r="H14" i="4"/>
  <c r="H48" i="4"/>
  <c r="H4" i="4"/>
  <c r="H7" i="4"/>
  <c r="H57" i="4"/>
  <c r="H26" i="4"/>
  <c r="H15" i="4"/>
  <c r="H58" i="4"/>
  <c r="H42" i="4"/>
  <c r="H54" i="4"/>
  <c r="H21" i="4"/>
  <c r="H49" i="4"/>
  <c r="H8" i="4"/>
  <c r="H37" i="4"/>
  <c r="H28" i="4"/>
  <c r="H32" i="4"/>
  <c r="H33" i="4"/>
  <c r="H17" i="4"/>
  <c r="H50" i="4"/>
  <c r="H11" i="4"/>
  <c r="H43" i="4"/>
  <c r="H44" i="4"/>
  <c r="H27" i="4"/>
  <c r="H18" i="4"/>
  <c r="H29" i="4"/>
  <c r="H10" i="4"/>
  <c r="A15" i="4"/>
  <c r="A27" i="5"/>
  <c r="A28" i="5" s="1"/>
  <c r="A29" i="5" s="1"/>
  <c r="A30" i="5" s="1"/>
  <c r="A31" i="5" s="1"/>
  <c r="A32" i="5" s="1"/>
  <c r="A33" i="5" s="1"/>
  <c r="H28" i="5"/>
  <c r="H51" i="5"/>
  <c r="H9" i="4"/>
  <c r="H45" i="4"/>
  <c r="H59" i="4"/>
  <c r="H29" i="5"/>
  <c r="H52" i="5"/>
  <c r="H24" i="4"/>
  <c r="H38" i="4"/>
  <c r="H7" i="5"/>
  <c r="H15" i="5"/>
  <c r="H37" i="5"/>
  <c r="H23" i="5"/>
  <c r="H45" i="5"/>
  <c r="H46" i="4"/>
  <c r="H60" i="4"/>
  <c r="H30" i="5"/>
  <c r="H53" i="5"/>
  <c r="H25" i="4"/>
  <c r="H8" i="5"/>
  <c r="H16" i="5"/>
  <c r="H39" i="5"/>
  <c r="H24" i="5"/>
  <c r="A25" i="4" l="1"/>
  <c r="A26" i="4" s="1"/>
  <c r="A27" i="4" s="1"/>
  <c r="A17" i="4"/>
  <c r="A21" i="4" s="1"/>
  <c r="A19" i="4"/>
  <c r="A22" i="4" l="1"/>
  <c r="A24" i="4" s="1"/>
  <c r="A29" i="4"/>
  <c r="A30" i="4" s="1"/>
  <c r="A31" i="4" s="1"/>
  <c r="A32" i="4" s="1"/>
  <c r="A33" i="4" s="1"/>
  <c r="A34" i="4" s="1"/>
  <c r="A3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tc={a66edc97-a719-48a8-a3e7-85d9eae769a9}</author>
    <author>tc={95176bdf-ee19-4b3f-9e35-977da9658a61}</author>
    <author>tc={49fb8c0d-c475-4a71-bf97-ca855960d97c}</author>
    <author>tc={bd376a5a-b04d-49e6-bae2-23923be495b8}</author>
    <author>tc={0bc51683-9cd4-468f-931b-2898827ecf06}</author>
    <author>tc={e3c6fb57-30f2-488c-822c-996d56ede151}</author>
    <author>tc={3efef5ef-f407-4b6b-abbd-c1c9f15e3371}</author>
    <author>tc={ec35c53f-4f67-41d5-a2ba-f1073758f4f8}</author>
    <author>tc={3fa85728-fa8e-4bac-b275-e68295dde33f}</author>
  </authors>
  <commentList>
    <comment ref="D3" authorId="0" shapeId="0" xr:uid="{A66EDC97-A719-48A8-A3E7-85D9EAE769A9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Applicability or Frequency
</t>
        </r>
      </text>
    </comment>
    <comment ref="D7" authorId="1" shapeId="0" xr:uid="{95176BDF-EE19-4B3F-9E35-977DA9658A61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Applicability or Frequency
</t>
        </r>
      </text>
    </comment>
    <comment ref="D11" authorId="2" shapeId="0" xr:uid="{49FB8C0D-C475-4A71-BF97-CA855960D97C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Applicability or Frequency
</t>
        </r>
      </text>
    </comment>
    <comment ref="D16" authorId="3" shapeId="0" xr:uid="{BD376A5A-B04D-49E6-BAE2-23923BE495B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Applicability or Frequency
</t>
        </r>
      </text>
    </comment>
    <comment ref="D22" authorId="4" shapeId="0" xr:uid="{0BC51683-9CD4-468F-931B-2898827ECF06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Applicability or Frequency
</t>
        </r>
      </text>
    </comment>
    <comment ref="D28" authorId="5" shapeId="0" xr:uid="{E3C6FB57-30F2-488C-822C-996D56EDE151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Applicability or Frequency
</t>
        </r>
      </text>
    </comment>
    <comment ref="D32" authorId="6" shapeId="0" xr:uid="{3EFEF5EF-F407-4B6B-ABBD-C1C9F15E3371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Applicability or Frequency
</t>
        </r>
      </text>
    </comment>
    <comment ref="C36" authorId="7" shapeId="0" xr:uid="{EC35C53F-4F67-41D5-A2BA-F1073758F4F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Land Use Inadiquacy
</t>
        </r>
      </text>
    </comment>
    <comment ref="D44" authorId="8" shapeId="0" xr:uid="{3FA85728-FA8E-4BAC-B275-E68295DDE33F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Earthquakes/volcanic activities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tc={97259ebb-fdb8-43c7-a64a-7b8fc9a943c3}</author>
    <author>tc={2d632ad8-ccd5-407d-8c7a-f38d8092d38c}</author>
    <author>tc={d92c9245-1ba6-4de9-802c-8fc4e7dbd2af}</author>
    <author>tc={d3fbf13e-a1e2-4062-b65c-1e89a346df44}</author>
    <author>tc={bdd61599-0239-45e1-adfd-588a13edd5ca}</author>
    <author>tc={0c60581f-b5f6-4acb-a3f8-c218e45d0fd3}</author>
    <author>tc={94ee87f9-3a7f-4b14-bd43-792efb041b03}</author>
    <author>tc={728a257a-ba98-4f5a-8e3e-d45815583b60}</author>
    <author>tc={4765fd20-08f1-4538-ae30-67e8db2d911e}</author>
    <author>tc={6cabe3cd-55b7-4af6-a21d-6678701cc355}</author>
    <author>tc={58b95338-7feb-42ed-8859-475e7990ef9f}</author>
    <author>tc={bece3f18-8381-4559-af7c-87b09f15af78}</author>
    <author>tc={9ea660ca-1cba-45fb-b535-6313943a5bc6}</author>
    <author>tc={d3500ff3-f625-41f7-8b87-8f7b32ca1d27}</author>
    <author>tc={62e7ccbb-3ee9-4778-adb4-df5def16348e}</author>
    <author>tc={f8692375-f644-432a-9f96-327b59f4feba}</author>
    <author>tc={9c95b6a7-61b8-4011-927b-12f1a34dc8a3}</author>
    <author>tc={400a93a6-6a11-46c8-bb2d-6a1de2e4b79c}</author>
    <author>tc={ef8c7410-b31e-44f0-9380-405cb6d59d70}</author>
    <author>tc={d884d678-e242-44a8-82ec-16cdfb5c996f}</author>
    <author>tc={b2098cf7-b172-487b-bf38-a341e04352b7}</author>
    <author>tc={5690d6ec-38e8-4289-aaf1-d21efc74dbd4}</author>
    <author>tc={3869fe41-e9e5-4d94-ad12-b1a6600266c7}</author>
    <author>tc={b8528bf3-b237-490d-8ce4-42de0ee41980}</author>
    <author>tc={8254b632-88a0-455e-84e5-70b9b429b6cc}</author>
  </authors>
  <commentList>
    <comment ref="D13" authorId="0" shapeId="0" xr:uid="{97259EBB-FDB8-43C7-A64A-7B8FC9A943C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Water for irrigation/and other domestic uses
</t>
        </r>
      </text>
    </comment>
    <comment ref="D14" authorId="1" shapeId="0" xr:uid="{2D632AD8-CCD5-407D-8C7A-F38D8092D38C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Acces to finance / insurance
</t>
        </r>
      </text>
    </comment>
    <comment ref="D17" authorId="2" shapeId="0" xr:uid="{D92C9245-1BA6-4DE9-802C-8FC4E7DBD2AF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Water Borne / vector borne / heat born diseases
</t>
        </r>
      </text>
    </comment>
    <comment ref="D18" authorId="3" shapeId="0" xr:uid="{D3FBF13E-A1E2-4062-B65C-1E89A346DF44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Safety/Land use planning and control
</t>
        </r>
      </text>
    </comment>
    <comment ref="D19" authorId="4" shapeId="0" xr:uid="{BDD61599-0239-45E1-ADFD-588A13EDD5CA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Solid Waste Management
</t>
        </r>
      </text>
    </comment>
    <comment ref="D20" authorId="5" shapeId="0" xr:uid="{0C60581F-B5F6-4ACB-A3F8-C218E45D0FD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Liquid Waste Management
</t>
        </r>
      </text>
    </comment>
    <comment ref="D21" authorId="6" shapeId="0" xr:uid="{94EE87F9-3A7F-4B14-BD43-792EFB041B0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Access to Health Services
</t>
        </r>
      </text>
    </comment>
    <comment ref="D22" authorId="7" shapeId="0" xr:uid="{728A257A-BA98-4F5A-8E3E-D45815583B6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Access to Healthy Environment
</t>
        </r>
      </text>
    </comment>
    <comment ref="D26" authorId="8" shapeId="0" xr:uid="{4765FD20-08F1-4538-AE30-67E8DB2D911E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Storm water drainage
</t>
        </r>
      </text>
    </comment>
    <comment ref="D32" authorId="9" shapeId="0" xr:uid="{6CABE3CD-55B7-4AF6-A21D-6678701CC355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Potable water treatment
</t>
        </r>
      </text>
    </comment>
    <comment ref="D34" authorId="10" shapeId="0" xr:uid="{58B95338-7FEB-42ED-8859-475E7990EF9F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Roads and transport/mobility
</t>
        </r>
      </text>
    </comment>
    <comment ref="C41" authorId="11" shapeId="0" xr:uid="{BECE3F18-8381-4559-AF7C-87B09F15AF7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User
Ecology and Biodiversity System
</t>
        </r>
      </text>
    </comment>
    <comment ref="D42" authorId="12" shapeId="0" xr:uid="{9EA660CA-1CBA-45FB-B535-6313943A5BC6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Land cover and permeability
</t>
        </r>
      </text>
    </comment>
    <comment ref="D43" authorId="13" shapeId="0" xr:uid="{D3500FF3-F625-41F7-8B87-8F7B32CA1D27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Natural Vegetation
</t>
        </r>
      </text>
    </comment>
    <comment ref="D46" authorId="14" shapeId="0" xr:uid="{62E7CCBB-3EE9-4778-ADB4-DF5DEF16348E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Natural water bodies
</t>
        </r>
      </text>
    </comment>
    <comment ref="D48" authorId="15" shapeId="0" xr:uid="{F8692375-F644-432A-9F96-327B59F4FEBA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Ecosystem functionalyty / Riparian reserves
</t>
        </r>
      </text>
    </comment>
    <comment ref="D52" authorId="16" shapeId="0" xr:uid="{9C95B6A7-61B8-4011-927B-12F1A34DC8A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Early warning system or mechanism
</t>
        </r>
      </text>
    </comment>
    <comment ref="D53" authorId="17" shapeId="0" xr:uid="{400A93A6-6A11-46C8-BB2D-6A1DE2E4B79C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Awareness and information
</t>
        </r>
      </text>
    </comment>
    <comment ref="D54" authorId="18" shapeId="0" xr:uid="{EF8C7410-B31E-44F0-9380-405CB6D59D7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Engagement county-community
</t>
        </r>
      </text>
    </comment>
    <comment ref="D55" authorId="19" shapeId="0" xr:uid="{D884D678-E242-44A8-82EC-16CDFB5C996F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Resources / resources planning
</t>
        </r>
      </text>
    </comment>
    <comment ref="D56" authorId="20" shapeId="0" xr:uid="{B2098CF7-B172-487B-BF38-A341E04352B7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Health facilities operations
</t>
        </r>
      </text>
    </comment>
    <comment ref="D57" authorId="21" shapeId="0" xr:uid="{5690D6EC-38E8-4289-AAF1-D21EFC74DBD4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Disaster preparedness
</t>
        </r>
      </text>
    </comment>
    <comment ref="D58" authorId="22" shapeId="0" xr:uid="{3869FE41-E9E5-4D94-AD12-B1A6600266C7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Disaster response
</t>
        </r>
      </text>
    </comment>
    <comment ref="D59" authorId="23" shapeId="0" xr:uid="{B8528BF3-B237-490D-8CE4-42DE0EE4198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Public finance / recovery grants
</t>
        </r>
      </text>
    </comment>
    <comment ref="D60" authorId="24" shapeId="0" xr:uid="{8254B632-88A0-455E-84E5-70B9B429B6CC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Public finance / Maintenance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tc={683b3a62-6313-49d5-b4f4-3d8b26489608}</author>
    <author>tc={e70e6dce-f433-4472-bc8d-35cb21cde949}</author>
    <author>tc={ce4b3989-faab-4fb2-9e86-0aaf377b9fbe}</author>
    <author>tc={bd01e5f8-e677-4528-a916-9fb90411f4e5}</author>
    <author>tc={4a2c8ee4-2a6b-4f32-a073-413a622c99e8}</author>
    <author>tc={a2f84f22-29e2-49fc-8d06-73a7f1eb3d73}</author>
    <author>tc={957150f9-8803-4fb4-a1b5-9b5309077b81}</author>
    <author>tc={ed113e6f-baae-48a3-bf9b-48255e9aef04}</author>
    <author>tc={9b44c26f-d067-40a4-bfa7-7acc795dc050}</author>
    <author>tc={cae59f8c-bd1a-4138-9d11-5c8a1dcd22b9}</author>
    <author>tc={5d6e1353-9924-4e94-9f2f-fcf7919c3978}</author>
    <author>tc={849635c0-1860-42f0-a879-ad0bab67917f}</author>
    <author>tc={e8a975a0-880c-48ad-a8c9-5a6f4822d91d}</author>
    <author>tc={2dc891c4-5ccf-4feb-a36f-ae6b05e18ea6}</author>
    <author>tc={5ec0ee56-b584-4007-844b-96698e5cc4c7}</author>
    <author>tc={9b59197d-efaa-4adc-a65c-f5ac007791b6}</author>
    <author>tc={e2eb3c6c-a604-4893-b258-be286ef214d0}</author>
    <author>tc={ffd8a8b5-3987-441f-a1f0-66b542370a34}</author>
    <author>tc={b079b2f0-ac8f-460e-977f-772dd644ae20}</author>
    <author>tc={3bde22dc-fba4-41ec-ad15-aa0bccc477e4}</author>
    <author>tc={b0a239d4-0813-4ed6-8d8f-2290e3d41525}</author>
    <author>tc={1b749de8-6ab0-49f9-8ca9-52e0a12a1509}</author>
    <author>tc={e25d25be-0599-43a5-ba92-2e6f7c66fdba}</author>
    <author>tc={a8b77517-008f-4f38-9a20-3c630d9414b9}</author>
  </authors>
  <commentList>
    <comment ref="D11" authorId="0" shapeId="0" xr:uid="{683B3A62-6313-49D5-B4F4-3D8B2648960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Water for irrigation/and other domestic uses
</t>
        </r>
      </text>
    </comment>
    <comment ref="D12" authorId="1" shapeId="0" xr:uid="{E70E6DCE-F433-4472-BC8D-35CB21CDE949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Acces to finance / insurance
</t>
        </r>
      </text>
    </comment>
    <comment ref="D15" authorId="2" shapeId="0" xr:uid="{CE4B3989-FAAB-4FB2-9E86-0AAF377B9FBE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Water Borne / vector borne / heat born diseases
</t>
        </r>
      </text>
    </comment>
    <comment ref="D16" authorId="3" shapeId="0" xr:uid="{BD01E5F8-E677-4528-A916-9FB90411F4E5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Safety/Land use planning and control
</t>
        </r>
      </text>
    </comment>
    <comment ref="D17" authorId="4" shapeId="0" xr:uid="{4A2C8EE4-2A6B-4F32-A073-413A622C99E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Solid Waste Management
</t>
        </r>
      </text>
    </comment>
    <comment ref="D18" authorId="5" shapeId="0" xr:uid="{A2F84F22-29E2-49FC-8D06-73A7F1EB3D7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Liquid Waste Management
</t>
        </r>
      </text>
    </comment>
    <comment ref="D19" authorId="6" shapeId="0" xr:uid="{957150F9-8803-4FB4-A1B5-9B5309077B81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Access to Health Services
</t>
        </r>
      </text>
    </comment>
    <comment ref="D20" authorId="7" shapeId="0" xr:uid="{ED113E6F-BAAE-48A3-BF9B-48255E9AEF04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Access to Healthy Environment
</t>
        </r>
      </text>
    </comment>
    <comment ref="D24" authorId="8" shapeId="0" xr:uid="{9B44C26F-D067-40A4-BFA7-7ACC795DC05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Storm water drainage
</t>
        </r>
      </text>
    </comment>
    <comment ref="D30" authorId="9" shapeId="0" xr:uid="{CAE59F8C-BD1A-4138-9D11-5C8A1DCD22B9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Potable water treatment
</t>
        </r>
      </text>
    </comment>
    <comment ref="D32" authorId="10" shapeId="0" xr:uid="{5D6E1353-9924-4E94-9F2F-FCF7919C397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Roads and transport/mobility
</t>
        </r>
      </text>
    </comment>
    <comment ref="D40" authorId="11" shapeId="0" xr:uid="{849635C0-1860-42F0-A879-AD0BAB67917F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Land cover and permeability
</t>
        </r>
      </text>
    </comment>
    <comment ref="D41" authorId="12" shapeId="0" xr:uid="{E8A975A0-880C-48AD-A8C9-5A6F4822D91D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Natural Vegetation
</t>
        </r>
      </text>
    </comment>
    <comment ref="D44" authorId="13" shapeId="0" xr:uid="{2DC891C4-5CCF-4FEB-A36F-AE6B05E18EA6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Natural water bodies
</t>
        </r>
      </text>
    </comment>
    <comment ref="D46" authorId="14" shapeId="0" xr:uid="{5EC0EE56-B584-4007-844B-96698E5CC4C7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Ecosystem functionalyty / Riparian reserves
</t>
        </r>
      </text>
    </comment>
    <comment ref="D50" authorId="15" shapeId="0" xr:uid="{9B59197D-EFAA-4ADC-A65C-F5AC007791B6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Early warning system or mechanism
</t>
        </r>
      </text>
    </comment>
    <comment ref="D51" authorId="16" shapeId="0" xr:uid="{E2EB3C6C-A604-4893-B258-BE286EF214D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Awareness and information
</t>
        </r>
      </text>
    </comment>
    <comment ref="D52" authorId="17" shapeId="0" xr:uid="{FFD8A8B5-3987-441F-A1F0-66B542370A34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Engagement county-community
</t>
        </r>
      </text>
    </comment>
    <comment ref="D53" authorId="18" shapeId="0" xr:uid="{B079B2F0-AC8F-460E-977F-772DD644AE2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Resources / resources planning
</t>
        </r>
      </text>
    </comment>
    <comment ref="D54" authorId="19" shapeId="0" xr:uid="{3BDE22DC-FBA4-41EC-AD15-AA0BCCC477E4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Health facilities operations
</t>
        </r>
      </text>
    </comment>
    <comment ref="D55" authorId="20" shapeId="0" xr:uid="{B0A239D4-0813-4ED6-8D8F-2290E3D41525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Disaster preparedness
</t>
        </r>
      </text>
    </comment>
    <comment ref="D56" authorId="21" shapeId="0" xr:uid="{1B749DE8-6AB0-49F9-8CA9-52E0A12A1509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Disaster response
</t>
        </r>
      </text>
    </comment>
    <comment ref="D57" authorId="22" shapeId="0" xr:uid="{E25D25BE-0599-43A5-BA92-2E6F7C66FDBA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Public finance / recovery grants
</t>
        </r>
      </text>
    </comment>
    <comment ref="D58" authorId="23" shapeId="0" xr:uid="{A8B77517-008F-4F38-9A20-3C630D9414B9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Public finance / Maintenance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tc={4597677e-5137-438c-abe8-bccac3f6a914}</author>
    <author>tc={8e11584c-ceb8-4a97-9197-a76ef8517d26}</author>
    <author>tc={6ea3f5f5-8fac-493e-a699-e228e61915f7}</author>
    <author>tc={44c6d616-d694-4403-a9b7-d2bb07849b95}</author>
    <author>tc={6f36fbb7-88b9-451e-9f97-c14a4f2bcb27}</author>
    <author>tc={46f293d9-0d9f-42ba-af6b-a4b6d34b976e}</author>
    <author>tc={426dedc9-6e76-4f71-ae5c-1bcd33215a23}</author>
    <author>tc={e022c45f-986e-4f1f-bdee-702185ea65a0}</author>
    <author>tc={b1363afe-4c55-43f0-aa39-d67d996a4582}</author>
    <author>tc={dc2bbde8-fb54-4286-936e-617c27aa37bc}</author>
    <author>tc={ef03389a-124d-49cc-a8aa-29a174289161}</author>
    <author>tc={988bbc1f-35cd-4ef4-ab11-8ac5cdf76330}</author>
    <author>tc={99864397-3ce9-48e7-97b8-e7f458665f38}</author>
    <author>tc={948adb7e-72d3-4774-9a30-1de7b1d873ce}</author>
    <author>tc={5510f5fb-92a9-4f44-a6c4-16eb287fb4f2}</author>
    <author>tc={e515b8c2-875d-45da-b523-ae68f17c2f63}</author>
    <author>tc={47dd61ad-2a91-49be-af97-5d3d867bdd2b}</author>
    <author>tc={33fb97d7-cfd0-4e94-8b07-54257560a5f8}</author>
    <author>tc={b3cc66c9-9af5-4a61-b2ed-8d289240759f}</author>
    <author>tc={d929d542-bf4d-4ce7-94c0-bcaa9e1c1a81}</author>
    <author>tc={92ebb325-363f-4436-a436-6404dd91ff49}</author>
    <author>tc={f87b8b0b-8cab-4548-b12f-1c855cabb3a4}</author>
    <author>tc={e8140a9f-4eb7-4501-845b-d7dc16fe061f}</author>
    <author>tc={3428bf68-4ab2-490c-9276-9b5cea2b85aa}</author>
  </authors>
  <commentList>
    <comment ref="C11" authorId="0" shapeId="0" xr:uid="{4597677E-5137-438C-ABE8-BCCAC3F6A914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Water for irrigation/and other domestic uses
</t>
        </r>
      </text>
    </comment>
    <comment ref="C12" authorId="1" shapeId="0" xr:uid="{8E11584C-CEB8-4A97-9197-A76EF8517D26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Acces to finance / insurance
</t>
        </r>
      </text>
    </comment>
    <comment ref="C15" authorId="2" shapeId="0" xr:uid="{6EA3F5F5-8FAC-493E-A699-E228E61915F7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Water Borne / vector borne / heat born diseases
</t>
        </r>
      </text>
    </comment>
    <comment ref="C16" authorId="3" shapeId="0" xr:uid="{44C6D616-D694-4403-A9B7-D2BB07849B95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Safety/Land use planning and control
</t>
        </r>
      </text>
    </comment>
    <comment ref="C17" authorId="4" shapeId="0" xr:uid="{6F36FBB7-88B9-451E-9F97-C14A4F2BCB27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Solid Waste Management
</t>
        </r>
      </text>
    </comment>
    <comment ref="C18" authorId="5" shapeId="0" xr:uid="{46F293D9-0D9F-42BA-AF6B-A4B6D34B976E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Liquid Waste Management
</t>
        </r>
      </text>
    </comment>
    <comment ref="C19" authorId="6" shapeId="0" xr:uid="{426DEDC9-6E76-4F71-AE5C-1BCD33215A2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Access to Health Services
</t>
        </r>
      </text>
    </comment>
    <comment ref="C20" authorId="7" shapeId="0" xr:uid="{E022C45F-986E-4F1F-BDEE-702185EA65A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Access to Healthy Environment
</t>
        </r>
      </text>
    </comment>
    <comment ref="C24" authorId="8" shapeId="0" xr:uid="{B1363AFE-4C55-43F0-AA39-D67D996A4582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Storm water drainage
</t>
        </r>
      </text>
    </comment>
    <comment ref="C30" authorId="9" shapeId="0" xr:uid="{DC2BBDE8-FB54-4286-936E-617C27AA37BC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Potable water treatment
</t>
        </r>
      </text>
    </comment>
    <comment ref="C32" authorId="10" shapeId="0" xr:uid="{EF03389A-124D-49CC-A8AA-29A174289161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Roads and transport/mobility
</t>
        </r>
      </text>
    </comment>
    <comment ref="C40" authorId="11" shapeId="0" xr:uid="{988BBC1F-35CD-4EF4-AB11-8AC5CDF7633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Land cover and permeability
</t>
        </r>
      </text>
    </comment>
    <comment ref="C41" authorId="12" shapeId="0" xr:uid="{99864397-3CE9-48E7-97B8-E7F458665F3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Natural Vegetation
</t>
        </r>
      </text>
    </comment>
    <comment ref="C44" authorId="13" shapeId="0" xr:uid="{948ADB7E-72D3-4774-9A30-1DE7B1D873CE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Natural water bodies
</t>
        </r>
      </text>
    </comment>
    <comment ref="C46" authorId="14" shapeId="0" xr:uid="{5510F5FB-92A9-4F44-A6C4-16EB287FB4F2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Ecosystem functionalyty / Riparian reserves
</t>
        </r>
      </text>
    </comment>
    <comment ref="C50" authorId="15" shapeId="0" xr:uid="{E515B8C2-875D-45DA-B523-AE68F17C2F63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Early warning system or mechanism
</t>
        </r>
      </text>
    </comment>
    <comment ref="C51" authorId="16" shapeId="0" xr:uid="{47DD61AD-2A91-49BE-AF97-5D3D867BDD2B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Awareness and information
</t>
        </r>
      </text>
    </comment>
    <comment ref="C52" authorId="17" shapeId="0" xr:uid="{33FB97D7-CFD0-4E94-8B07-54257560A5F8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Engagement county-community
</t>
        </r>
      </text>
    </comment>
    <comment ref="C53" authorId="18" shapeId="0" xr:uid="{B3CC66C9-9AF5-4A61-B2ED-8D289240759F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Resources / resources planning
</t>
        </r>
      </text>
    </comment>
    <comment ref="C54" authorId="19" shapeId="0" xr:uid="{D929D542-BF4D-4CE7-94C0-BCAA9E1C1A81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Health facilities operations
</t>
        </r>
      </text>
    </comment>
    <comment ref="C55" authorId="20" shapeId="0" xr:uid="{92EBB325-363F-4436-A436-6404DD91FF49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Disaster preparedness
</t>
        </r>
      </text>
    </comment>
    <comment ref="C56" authorId="21" shapeId="0" xr:uid="{F87B8B0B-8CAB-4548-B12F-1C855CABB3A4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Disaster response
</t>
        </r>
      </text>
    </comment>
    <comment ref="C57" authorId="22" shapeId="0" xr:uid="{E8140A9F-4EB7-4501-845B-D7DC16FE061F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Public finance / recovery grants
</t>
        </r>
      </text>
    </comment>
    <comment ref="C58" authorId="23" shapeId="0" xr:uid="{3428BF68-4AB2-490C-9276-9B5CEA2B85AA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Public finance / Maintenance
</t>
        </r>
      </text>
    </comment>
  </commentList>
</comments>
</file>

<file path=xl/sharedStrings.xml><?xml version="1.0" encoding="utf-8"?>
<sst xmlns="http://schemas.openxmlformats.org/spreadsheetml/2006/main" count="1015" uniqueCount="542">
  <si>
    <t/>
  </si>
  <si>
    <t>Hazard</t>
  </si>
  <si>
    <t xml:space="preserve">Question </t>
  </si>
  <si>
    <t>Comments/Description</t>
  </si>
  <si>
    <t>Answer?</t>
  </si>
  <si>
    <t>Add Note On Each Answer</t>
  </si>
  <si>
    <t>Rating?</t>
  </si>
  <si>
    <t>List 1</t>
  </si>
  <si>
    <t>yes/no is bad</t>
  </si>
  <si>
    <t>Temperature</t>
  </si>
  <si>
    <t>App or Freq</t>
  </si>
  <si>
    <t>Are extreme temperatures frequentlly experienced in the settlement?</t>
  </si>
  <si>
    <t>During the year (across seasons), is temperature higher/lower than usual?</t>
  </si>
  <si>
    <t>Yes, lower than usual</t>
  </si>
  <si>
    <t>Yes, higher than usual</t>
  </si>
  <si>
    <t>Intensity</t>
  </si>
  <si>
    <t>Are the tempereture intensities increasing?</t>
  </si>
  <si>
    <t>Over multiple years (i.e. trend), is temperature higher/lower than usual?</t>
  </si>
  <si>
    <t>No, not really</t>
  </si>
  <si>
    <t>Impact</t>
  </si>
  <si>
    <t>Are there effects on community members being attributed to extreme temperature?</t>
  </si>
  <si>
    <t>How often do you experience heat-related effects e.g. heat-related stress, heat srokes, effects on elderly?</t>
  </si>
  <si>
    <t>No</t>
  </si>
  <si>
    <t xml:space="preserve">Intense Precipitation </t>
  </si>
  <si>
    <t>Are heavy rainfall events prevalent in this settlement?</t>
  </si>
  <si>
    <t>During the year (across seasons), is rainfall higher/lower than usual?</t>
  </si>
  <si>
    <t>List 2</t>
  </si>
  <si>
    <t>yes is bad</t>
  </si>
  <si>
    <t>Are rainfall intensities and/or durations increasing?</t>
  </si>
  <si>
    <t>Over multiple years (i.e. trend), is rainfall higher/lower than usual?</t>
  </si>
  <si>
    <t>Yes</t>
  </si>
  <si>
    <t xml:space="preserve">Are there significant effects on the community being attributed to extreme rainfalls? </t>
  </si>
  <si>
    <t>Are there rainfall effects, example, destruction of crops, houses and normal daily activities?</t>
  </si>
  <si>
    <t>Sometimes</t>
  </si>
  <si>
    <t>Droughts</t>
  </si>
  <si>
    <t>Are droughts frequently experienced in the area?</t>
  </si>
  <si>
    <t>Do you often experience droughts?</t>
  </si>
  <si>
    <t>Timing</t>
  </si>
  <si>
    <t>If droughts do occur, do they occur at the same time of the year?</t>
  </si>
  <si>
    <t>Is the timing of droughts consistent?</t>
  </si>
  <si>
    <t>List 3</t>
  </si>
  <si>
    <t>If droughts do occur, is the extent and intensity of the drought changing?</t>
  </si>
  <si>
    <t>Are droughts getting worse or better?</t>
  </si>
  <si>
    <t>No change</t>
  </si>
  <si>
    <t>Often</t>
  </si>
  <si>
    <t xml:space="preserve">Are there significant effects on the community being attributed to droughts? </t>
  </si>
  <si>
    <t>Is the population affected  by droughts, example daily activities, livihood?</t>
  </si>
  <si>
    <t>Not applicable</t>
  </si>
  <si>
    <t>Flooding</t>
  </si>
  <si>
    <t>Are seasonal floods prevalent in in the settlement?</t>
  </si>
  <si>
    <t>Do you often experience rain floods</t>
  </si>
  <si>
    <t>If seasonal floods do occur, do they occur at the same time of the year?</t>
  </si>
  <si>
    <t>Is the timing of rain floods consistent?</t>
  </si>
  <si>
    <t>List 4</t>
  </si>
  <si>
    <t>If floods do occur, is the intensity icreasing?</t>
  </si>
  <si>
    <t>Are rain floods getting worse (more impact/intensity) or better (less impact/intensity)?</t>
  </si>
  <si>
    <t>Yes, but less than 4 days</t>
  </si>
  <si>
    <t>Yes, but more</t>
  </si>
  <si>
    <t>Extent</t>
  </si>
  <si>
    <t>If floods do occur, is the spatial extent increasing ?</t>
  </si>
  <si>
    <t>Less than half</t>
  </si>
  <si>
    <t xml:space="preserve">Are there significant effects on the community being attributed to seasonal floods? </t>
  </si>
  <si>
    <t>Is the population affected by rain floods?</t>
  </si>
  <si>
    <t>Yes, but less</t>
  </si>
  <si>
    <t>Flash Floods</t>
  </si>
  <si>
    <t>Are flash floods prevalent in the settlement?</t>
  </si>
  <si>
    <t>Do you often experience flash floods?</t>
  </si>
  <si>
    <t>List 5</t>
  </si>
  <si>
    <t>No is bad</t>
  </si>
  <si>
    <t>If flash floods do occur, do they occur at the same time of the year?</t>
  </si>
  <si>
    <t>Is the timing of flash floods consistent?</t>
  </si>
  <si>
    <t>If flash floods do occur, is the intensity of the flash floods changing?</t>
  </si>
  <si>
    <t>Are flash floods getting worse (more impact/intensity) or better (less impact/intensity)?</t>
  </si>
  <si>
    <t>If flash floods do occur, is the extent of the flash floods changing?</t>
  </si>
  <si>
    <t xml:space="preserve">Are there significant effects on the community being attributed to flash floods? </t>
  </si>
  <si>
    <t>Is the population affected by flash floods?</t>
  </si>
  <si>
    <t>List 6</t>
  </si>
  <si>
    <t>3 is bad</t>
  </si>
  <si>
    <t>Storms &amp; Upper Winds</t>
  </si>
  <si>
    <t>Are there frequent storm events experienced in the settlement?</t>
  </si>
  <si>
    <t>During the year (across seasons), is storms/cyclones higher/lower than usual?</t>
  </si>
  <si>
    <t>Combination of all the three</t>
  </si>
  <si>
    <t>Is there increase in frequency and intensity of storms being noted in the settlement?</t>
  </si>
  <si>
    <t>Over multiple years (i.e. trend), is storms/cyclones higher/lower than usual?</t>
  </si>
  <si>
    <t>Combination of two</t>
  </si>
  <si>
    <t>Are there significant effects on the community being attributed to storms?</t>
  </si>
  <si>
    <t>Are there storms/cyclones effects, example, destruction of crops, houses and normal daily activities?</t>
  </si>
  <si>
    <t>Only one</t>
  </si>
  <si>
    <t>Pollution</t>
  </si>
  <si>
    <t>Is there pollution experienced in the settlement for land, water or soil?</t>
  </si>
  <si>
    <t>Is there pollution to land, soil and water or combination of two or all?</t>
  </si>
  <si>
    <t>For the selected above, is there an increase of this pollution being noted in the settlement?</t>
  </si>
  <si>
    <t>Is the polution aspect increasing or decreasing?</t>
  </si>
  <si>
    <t>Decrease</t>
  </si>
  <si>
    <t>List 7</t>
  </si>
  <si>
    <t>Are there significant effects on the community being attributed to this pollution?</t>
  </si>
  <si>
    <t>Are you impacted by pollution that affects daily activities of the population?</t>
  </si>
  <si>
    <t>Increase</t>
  </si>
  <si>
    <t>LUI</t>
  </si>
  <si>
    <t>Applicability</t>
  </si>
  <si>
    <t>Is there inadequate use of land in sensitive or risky zones?</t>
  </si>
  <si>
    <t>Are there unstable soils, high ground water tables, wetland within the settlement?</t>
  </si>
  <si>
    <t>Are significant impacts on people attributed to settling in inadequate or risky areas?</t>
  </si>
  <si>
    <t xml:space="preserve">Are adverse imacts directly related to risk zones </t>
  </si>
  <si>
    <t>Sensitization</t>
  </si>
  <si>
    <t>Are people settld in sensitive and risky areas aware of the dangers involved in settling there?</t>
  </si>
  <si>
    <t>Do the settlers know the dangers and precautions?</t>
  </si>
  <si>
    <t>List 8</t>
  </si>
  <si>
    <t>Other Factors</t>
  </si>
  <si>
    <t xml:space="preserve">Fire/wildfires </t>
  </si>
  <si>
    <t>How frequent are there fires/wild fires experienced in the area that adversely affect the community?</t>
  </si>
  <si>
    <t>Is the population impacted by fire in and around your area?</t>
  </si>
  <si>
    <t>Maybe</t>
  </si>
  <si>
    <t xml:space="preserve">Lightning </t>
  </si>
  <si>
    <t>How frequent is there lightning experienced in the area that adversely affects the community?</t>
  </si>
  <si>
    <t>Is the population impacted by lightening in and around your area?</t>
  </si>
  <si>
    <t>Snow</t>
  </si>
  <si>
    <t>How frequent is are there hailstorms experienced in the area that adversely affect the community?</t>
  </si>
  <si>
    <t>Is the population impacted by snowfall in and around your area?</t>
  </si>
  <si>
    <t>Hail</t>
  </si>
  <si>
    <t>How frequent is are there snowfalls experienced in the area that adversely affect the community?</t>
  </si>
  <si>
    <t>Is the population impacted by hail in and around your area?</t>
  </si>
  <si>
    <t>EA or VA</t>
  </si>
  <si>
    <t>How frequent is there earthquakes/volcanic activities experienced in the area that adversely affect the community?</t>
  </si>
  <si>
    <t>Is the population impacted by earthquakes/volcanic activities  in and around your area?</t>
  </si>
  <si>
    <t>List 9</t>
  </si>
  <si>
    <t>Soil Extraction</t>
  </si>
  <si>
    <t>Are there considerable amounts of soil being extracted in particular locations of the area (e.g. fo brick making etc)?</t>
  </si>
  <si>
    <t>Consider extraction for building,road construction etc.</t>
  </si>
  <si>
    <t>Deforestation</t>
  </si>
  <si>
    <t>Is there considerable deforestation taking place in the area/the proximity of the area?</t>
  </si>
  <si>
    <t>Tree cutting for energy source, construction etc</t>
  </si>
  <si>
    <t>Yes, between 4 days to 14 days</t>
  </si>
  <si>
    <t>Ubarnization</t>
  </si>
  <si>
    <t>Is there significant urbanisatiotn taking place in the area?</t>
  </si>
  <si>
    <t>Increasing the built up area and impermeable surfaces ?</t>
  </si>
  <si>
    <t>Yes, at  least 14 days</t>
  </si>
  <si>
    <t>List 10</t>
  </si>
  <si>
    <t>Whole is bad</t>
  </si>
  <si>
    <t>Entirely</t>
  </si>
  <si>
    <t>About half</t>
  </si>
  <si>
    <t>CURRENT EXPOSURE</t>
  </si>
  <si>
    <t>No Selecton Done!</t>
  </si>
  <si>
    <t>Exposure</t>
  </si>
  <si>
    <t>Livelihoods</t>
  </si>
  <si>
    <t>Food Security</t>
  </si>
  <si>
    <t>Do the actual climatic conditions noticeably impact the food production output?</t>
  </si>
  <si>
    <t>Consider food security at different at different times of the year (i.e. rainy season)?</t>
  </si>
  <si>
    <t>Not noticed</t>
  </si>
  <si>
    <t>Severely and often</t>
  </si>
  <si>
    <t>Grazing/Farm Land</t>
  </si>
  <si>
    <t xml:space="preserve">Is grazing land and / or farmland affected by the climate and / or inadequate land use </t>
  </si>
  <si>
    <t xml:space="preserve">Consider continued availability of sufficient gras for grazing  </t>
  </si>
  <si>
    <t>Severely and not often</t>
  </si>
  <si>
    <t>Crops</t>
  </si>
  <si>
    <t>Are crops adversely impacted by the climate, e.g. by drought, hale, landslides, flooding etc?</t>
  </si>
  <si>
    <t xml:space="preserve">Consider protection of crops in view of climate and weather related events </t>
  </si>
  <si>
    <t>Livestock</t>
  </si>
  <si>
    <t>Is livestock adversely impacted by the changing climate and severe weather events or by environmental pollution?</t>
  </si>
  <si>
    <t xml:space="preserve">Consider capability to maintain health and safety  of livestock </t>
  </si>
  <si>
    <t>Fishstock</t>
  </si>
  <si>
    <t>Is fishstock depleting by the changing climate and severe weather events, ocean warming or environmental pollution?</t>
  </si>
  <si>
    <t>Consider health and continued availability of fishstock</t>
  </si>
  <si>
    <t>Local commerce</t>
  </si>
  <si>
    <t>Are floods/extreme temperatures/water shortages noticeably affecting business success?</t>
  </si>
  <si>
    <t xml:space="preserve">Consider resilience of SME's </t>
  </si>
  <si>
    <t xml:space="preserve">Gender </t>
  </si>
  <si>
    <t>Are men and women equally adversely impacted (if impacted at all) by the challenges resulting from changing climate?</t>
  </si>
  <si>
    <t>Consider effects of changung climate on gender based activity</t>
  </si>
  <si>
    <t>Equally affected</t>
  </si>
  <si>
    <t xml:space="preserve">Conviviality </t>
  </si>
  <si>
    <t>Are peace and conviviality adversely impacted due to the challenges resulting from changing climate?</t>
  </si>
  <si>
    <t xml:space="preserve">Consider peace in the community </t>
  </si>
  <si>
    <t>Women more affected</t>
  </si>
  <si>
    <t xml:space="preserve">Education </t>
  </si>
  <si>
    <t>Is there any effeects on the regularity of education cthat result from changing climate and severe weather evants?</t>
  </si>
  <si>
    <t xml:space="preserve">Consider continued access to education independent from climate and weather events </t>
  </si>
  <si>
    <t>No change noticed</t>
  </si>
  <si>
    <t>Men more affected</t>
  </si>
  <si>
    <t>WFI/WFDU</t>
  </si>
  <si>
    <t>Is water availability for uses other than human consumption adversely affected by changing climate and sevee weather events?</t>
  </si>
  <si>
    <t xml:space="preserve">Consider access to water for household uses and irrigation </t>
  </si>
  <si>
    <t>ATF/I</t>
  </si>
  <si>
    <t>Is household financial demand increasing due to the challenges resulting fom changing climate and severe weather events?</t>
  </si>
  <si>
    <t xml:space="preserve">Consider changing financial needs due to climate and weather events </t>
  </si>
  <si>
    <t>Not Noticed</t>
  </si>
  <si>
    <t>Highly  is bad</t>
  </si>
  <si>
    <t>Disaster Events</t>
  </si>
  <si>
    <t>Have climate related and extreme weather events caused disasters/emergencies that affected the community before</t>
  </si>
  <si>
    <t>This includes impacts from temperature, rainfall, droughts and/or floods</t>
  </si>
  <si>
    <t>Regularity highly affected</t>
  </si>
  <si>
    <t xml:space="preserve"> </t>
  </si>
  <si>
    <t>Regularity not often disrupted</t>
  </si>
  <si>
    <t>Health &amp; Safety</t>
  </si>
  <si>
    <t>Borne Diseases</t>
  </si>
  <si>
    <t>Have climate related events and conditions affected larger portions of the community with diseases?</t>
  </si>
  <si>
    <t>Water-borne diseases include typhoid fever, cholera, leptospirosis and hepatitis A; Vector diseases include malaria, dengue fever, yellow fever, and West Nile Fever</t>
  </si>
  <si>
    <t>SLUP&amp;C</t>
  </si>
  <si>
    <t>Have climate related events increased risky conditions for large portions of the community based on their location ?</t>
  </si>
  <si>
    <t xml:space="preserve">Consider changes to the safety of housing locations </t>
  </si>
  <si>
    <t>SWM</t>
  </si>
  <si>
    <t>Is solid waste dumped in uncontrolled manner and locations ?</t>
  </si>
  <si>
    <t>Consider inconsiderate depositing of solid waste in the public real, inside drainages, manholes, etc</t>
  </si>
  <si>
    <t>Negligible</t>
  </si>
  <si>
    <t>Largely  is bad</t>
  </si>
  <si>
    <t>LWM</t>
  </si>
  <si>
    <t>Is liquid waste deposited in uncontrolled manner and locations ?</t>
  </si>
  <si>
    <t>Consider grey water discharge and open defecatio in the public realm</t>
  </si>
  <si>
    <t>Largely affected</t>
  </si>
  <si>
    <t>ATHS</t>
  </si>
  <si>
    <t>Are there adequate health services accessible within the location and to every household?</t>
  </si>
  <si>
    <t xml:space="preserve">Consider accessibility, staffing, and quality of health facilities and services </t>
  </si>
  <si>
    <t>Not much affected</t>
  </si>
  <si>
    <t>ATHE</t>
  </si>
  <si>
    <t>Is the general settlement environment (air, water, soil, etc) perceived as healthy and intact?</t>
  </si>
  <si>
    <t>Consider perceived cleanliness of air, water and soils, and any measurements of pollution as available</t>
  </si>
  <si>
    <t>Assets and Utilities</t>
  </si>
  <si>
    <t>Housing</t>
  </si>
  <si>
    <t xml:space="preserve">Are climate related events affecting the safety of homes </t>
  </si>
  <si>
    <t xml:space="preserve">Consider changes to the safety of housing structures </t>
  </si>
  <si>
    <t xml:space="preserve">Public facilities </t>
  </si>
  <si>
    <t>Are public community facilities impacted by climate hazards</t>
  </si>
  <si>
    <t xml:space="preserve">This includes critical facilities, particularly health facilities, schools and essential community services </t>
  </si>
  <si>
    <t>SWD</t>
  </si>
  <si>
    <t>Is there absence of functional constructed storm water drainage channels?</t>
  </si>
  <si>
    <t xml:space="preserve">This refers to constructed drainages and natural or constructed infiltration areas </t>
  </si>
  <si>
    <t>Predominantly</t>
  </si>
  <si>
    <t xml:space="preserve">Sanitary facilities </t>
  </si>
  <si>
    <t>Are pit latrines and / or open defecation the primary sanitation mode?</t>
  </si>
  <si>
    <t>This is specific to household sanitation</t>
  </si>
  <si>
    <t>Partially</t>
  </si>
  <si>
    <t xml:space="preserve">Sewer lines </t>
  </si>
  <si>
    <t>Are sewers absent, dysfunctional, exposed to floods, or households not connected?</t>
  </si>
  <si>
    <t>This refers to the functionality of sewer lines, if any</t>
  </si>
  <si>
    <t>Power lines/supply</t>
  </si>
  <si>
    <t xml:space="preserve">Is power supply infrastructure exposed to extreme weather events (overhead power lines, location in flood plains etc), or located underground nearby soil extraction areas </t>
  </si>
  <si>
    <t>This refers to the design and location of power lines to judge its resiliency</t>
  </si>
  <si>
    <t xml:space="preserve">Energy for HH use </t>
  </si>
  <si>
    <t xml:space="preserve">Is there access to electricity at HH level </t>
  </si>
  <si>
    <t xml:space="preserve">This refers to the prevalent use of charcoal and wood </t>
  </si>
  <si>
    <t xml:space="preserve">Water pipes </t>
  </si>
  <si>
    <t>Are there (functional) water pipes in the settlement ?</t>
  </si>
  <si>
    <t xml:space="preserve">This is about availability of piped water supply network </t>
  </si>
  <si>
    <t>PWT</t>
  </si>
  <si>
    <t>Have functionality or reliability of potable water treatment facilities serving the area been impacted by climate hazards?</t>
  </si>
  <si>
    <t xml:space="preserve">Consider location and protection of water storage of any </t>
  </si>
  <si>
    <t>Water Storage</t>
  </si>
  <si>
    <t xml:space="preserve">Is water storage safely located and protected or is water storage impacted by climate events? </t>
  </si>
  <si>
    <t>Consider location and protection of water teatment facilities relevant to the water supply of the area</t>
  </si>
  <si>
    <t>R &amp; T</t>
  </si>
  <si>
    <t xml:space="preserve">Are accessibility / mobility compromised during extreme weather events and roads and transport infrastructure impacted by floods, land slides, high temperaturs, or other climate-induced events? </t>
  </si>
  <si>
    <t xml:space="preserve">Consider all weather access to households and critical facilities </t>
  </si>
  <si>
    <t xml:space="preserve">Communication </t>
  </si>
  <si>
    <t xml:space="preserve">Is communication infrastructure in the settlement (fiber optic cables, wireless hotspots, etc) safely located and protected, if any </t>
  </si>
  <si>
    <t xml:space="preserve">Consider location and protection of critical commuication infrastructure </t>
  </si>
  <si>
    <t>Clay  is bad</t>
  </si>
  <si>
    <t>Clay</t>
  </si>
  <si>
    <t xml:space="preserve">Potable water </t>
  </si>
  <si>
    <t>Access</t>
  </si>
  <si>
    <t>Is potable water accessible at all times, or scarcities often being faced?</t>
  </si>
  <si>
    <t>This refers to water needed for drinking, its safety and quantity</t>
  </si>
  <si>
    <t>Sand</t>
  </si>
  <si>
    <t xml:space="preserve">Scarcities </t>
  </si>
  <si>
    <t>is potable water access impacted by severe climate related events, e.g. flooding, drought?</t>
  </si>
  <si>
    <t>Loam</t>
  </si>
  <si>
    <t>Quality</t>
  </si>
  <si>
    <t>Is the quality of the potable water accessible to the community adequate</t>
  </si>
  <si>
    <t>Yes is bad</t>
  </si>
  <si>
    <t>EBS</t>
  </si>
  <si>
    <t xml:space="preserve">Soil </t>
  </si>
  <si>
    <t xml:space="preserve">Is the commuity settling on sandy or clayey soils? </t>
  </si>
  <si>
    <t xml:space="preserve">Both types of soils pose risks depending on the topography ad weather events </t>
  </si>
  <si>
    <t>LC &amp; P</t>
  </si>
  <si>
    <t>Are there adequate natural areas where water infiltration is enabled, and the amounts of surface runoff that is not infiltrating and not increasing?</t>
  </si>
  <si>
    <t xml:space="preserve">Consider natural infiltration areas and capacities </t>
  </si>
  <si>
    <t>NV</t>
  </si>
  <si>
    <t>Is there mature natural vegetation in the area and is the vegetative cover well conserved to not reduce ?</t>
  </si>
  <si>
    <t xml:space="preserve">Consider noticeable changes to vegetative cover </t>
  </si>
  <si>
    <t xml:space="preserve">Wetland </t>
  </si>
  <si>
    <t>Are natural wetlands being respected and kept clean and unbuilt/preserved, and not disturbed by inadequate uses?</t>
  </si>
  <si>
    <t>Consider maintained functionality of wetlands</t>
  </si>
  <si>
    <t>Biodiversity</t>
  </si>
  <si>
    <t>Are there green corridors allowing uncostrained passege of wild animals outside of the settlement?</t>
  </si>
  <si>
    <t>Consider noticeable changes to biodiversity</t>
  </si>
  <si>
    <t>Largely is bad</t>
  </si>
  <si>
    <t>NWB</t>
  </si>
  <si>
    <t>Is the settlement located in proximity to a water body and do households settle within the riperian corridor?</t>
  </si>
  <si>
    <t xml:space="preserve">Consider respect to the natural seasonal changes of the water body </t>
  </si>
  <si>
    <t>Largely</t>
  </si>
  <si>
    <t>Sea</t>
  </si>
  <si>
    <t>Is the sea level increasing?</t>
  </si>
  <si>
    <t>Consider noticeable changes to sea level</t>
  </si>
  <si>
    <t>Unknown</t>
  </si>
  <si>
    <t>EF</t>
  </si>
  <si>
    <t>Is inadequate land use causing environmental and land degradation? Is there risk of environmental contamination from release of hazardous substances during extreme weather events</t>
  </si>
  <si>
    <t xml:space="preserve">Consider unmitigated release of hazardous substances </t>
  </si>
  <si>
    <t xml:space="preserve">Land use </t>
  </si>
  <si>
    <t xml:space="preserve">Is construction taking place in hazardous / risky areas or are land use sensitivities respected </t>
  </si>
  <si>
    <t xml:space="preserve">Consider respect to risk areas </t>
  </si>
  <si>
    <t>Topography</t>
  </si>
  <si>
    <t>Is the settlement located on steep terrain?</t>
  </si>
  <si>
    <t>Usually is bad</t>
  </si>
  <si>
    <t>Usually</t>
  </si>
  <si>
    <t>Institutions</t>
  </si>
  <si>
    <t>EWS</t>
  </si>
  <si>
    <t xml:space="preserve">Is there a functional early warning system/mechanim/arrangement to warn the community about disaster risks? </t>
  </si>
  <si>
    <t xml:space="preserve">Consider EWS, evacuation plans and awareess </t>
  </si>
  <si>
    <t>A &amp; I</t>
  </si>
  <si>
    <t>Are extreme weather events affeecting the communities by surprise?</t>
  </si>
  <si>
    <t xml:space="preserve">Consider access to weather information and warning </t>
  </si>
  <si>
    <t>Never</t>
  </si>
  <si>
    <t>EC</t>
  </si>
  <si>
    <t>Is there regular interaction between the community and the county government?</t>
  </si>
  <si>
    <t xml:space="preserve">Consider communication mechanisms and frequencies </t>
  </si>
  <si>
    <t>R/RP</t>
  </si>
  <si>
    <t>Is the community considered in county governance and finances budgeted to ensure public responsibilities of the county in the settlement location?</t>
  </si>
  <si>
    <t xml:space="preserve">Consider reflection of priorities in CIDP's </t>
  </si>
  <si>
    <t>List 11</t>
  </si>
  <si>
    <t>HFO</t>
  </si>
  <si>
    <t>Are there adequate health facilities, with adequate personell, equipment and materials ?</t>
  </si>
  <si>
    <t xml:space="preserve">Consider access to health facilities and adequate sevices </t>
  </si>
  <si>
    <t>DP</t>
  </si>
  <si>
    <t>Are the locations of all critical infrastructure identified and measures in place to protect it?</t>
  </si>
  <si>
    <t xml:space="preserve">Consider DRM plans, evacuation plans and awareness </t>
  </si>
  <si>
    <t>DR</t>
  </si>
  <si>
    <t>Are disaster response measures planned and budgeted for and food, water and hygiene predispositioned?</t>
  </si>
  <si>
    <t xml:space="preserve">Consider DRM plans and budgets </t>
  </si>
  <si>
    <t>PFR</t>
  </si>
  <si>
    <t>Are recovey finances budgeted for?</t>
  </si>
  <si>
    <t xml:space="preserve">Consider recovery budgets </t>
  </si>
  <si>
    <t>PFM</t>
  </si>
  <si>
    <t>Is maintenance and repair of public infrastructures institutionalised and are the responsibilities clear?</t>
  </si>
  <si>
    <t xml:space="preserve">Consider functionality of maintenance </t>
  </si>
  <si>
    <t>List 12</t>
  </si>
  <si>
    <t>s</t>
  </si>
  <si>
    <t>Sensitivity</t>
  </si>
  <si>
    <t>Are access and cost of food changing with extreme weather events?</t>
  </si>
  <si>
    <t xml:space="preserve">Is grazing land getting scarcer or more distant </t>
  </si>
  <si>
    <t>Consider availability of pasture to feed livestock</t>
  </si>
  <si>
    <t xml:space="preserve">Are most households dependent on subsistance farming (crops) for food (not buying)? </t>
  </si>
  <si>
    <t>Consider dependency on subsistence agriculture for majority of households</t>
  </si>
  <si>
    <t>Low Dependancy</t>
  </si>
  <si>
    <t xml:space="preserve">Are most households dependent on own livestock for food (not buying)? </t>
  </si>
  <si>
    <t>Consider dependency on own livestock keeping for majority of households</t>
  </si>
  <si>
    <t xml:space="preserve">Are most households dependent on fishing for food (not buying)? </t>
  </si>
  <si>
    <t>Consider dependency on fishing for majority of households</t>
  </si>
  <si>
    <t>Are extreme weather events interrupting secure livelihood, business and incomes for large portions of the communityand lead to economically precarious situations ?</t>
  </si>
  <si>
    <t>Consider dependency on economic activities that are sensitive to climate hazards and severe weather</t>
  </si>
  <si>
    <t>Are women highly dependent on undertaking business inside the settlement?</t>
  </si>
  <si>
    <t>Consider location of the income generaing activity and sensitivity to climae related hazard</t>
  </si>
  <si>
    <t>Most Residents Concerned</t>
  </si>
  <si>
    <t>Do resource scarcities that result from cilmate related events or conditions frequently lead to conflicts within the community/or with other communities?</t>
  </si>
  <si>
    <t xml:space="preserve">Consider conflict and dispute raised due to climate related hazards </t>
  </si>
  <si>
    <t>Half Residents Concerned</t>
  </si>
  <si>
    <t xml:space="preserve">Are large percentages of children frequently unable to reach/attend school due to climate related and severe weather events? </t>
  </si>
  <si>
    <t xml:space="preserve">Consider dependency of education services on climate conditions </t>
  </si>
  <si>
    <t>Are there water scarcities often being faced that negatively impact farming, livestock keeping and business?</t>
  </si>
  <si>
    <t xml:space="preserve">Consider dependency of access to water on climate conditions </t>
  </si>
  <si>
    <t>Does the community have access to financial services, health insurance and disaster risk insurance?</t>
  </si>
  <si>
    <t xml:space="preserve">Consider financial buffers for periods of interrupted income or effects on health </t>
  </si>
  <si>
    <t>Almost Nobody Has</t>
  </si>
  <si>
    <t>Severe  is bad</t>
  </si>
  <si>
    <t>How would the impact of climate related disaster be rated, if it were to occur ?</t>
  </si>
  <si>
    <t>Severe Problem</t>
  </si>
  <si>
    <t>Still Okay</t>
  </si>
  <si>
    <t>Are health incidences increasing and may be related to the impact of changing extreme weather events?</t>
  </si>
  <si>
    <t xml:space="preserve">Compare in relation to the past </t>
  </si>
  <si>
    <t>Few Residents Concerned</t>
  </si>
  <si>
    <t>Are safety incidences increasing and may be related to the impact of changes of extreme weather events?</t>
  </si>
  <si>
    <t>Is solid waste adequately managed, and unmanaged waste is not increasing the adverse impacts of severe weather events ?</t>
  </si>
  <si>
    <t xml:space="preserve">Consider mitigation efforts for solid waste not to block drainages and water infiltraion capacities </t>
  </si>
  <si>
    <t>Is untreated waste water released into the environment from industries or domestic uses ?</t>
  </si>
  <si>
    <t>Consider floodwaters mobilizing faecal sludges and other pollutants</t>
  </si>
  <si>
    <t>Most Residents Have</t>
  </si>
  <si>
    <t>Are health services inaccessible or dysfunctional during climate related and severe weather events?</t>
  </si>
  <si>
    <t xml:space="preserve">Consider uninterrupted health services </t>
  </si>
  <si>
    <t>Half Residents Have</t>
  </si>
  <si>
    <t xml:space="preserve">Are there common sources of pollution that originate from human activity? </t>
  </si>
  <si>
    <t>Consider prevalence of use of biomass for cooking, waste burning and indoor use of pesticides, and industrial pollution</t>
  </si>
  <si>
    <t>Are foundations stable, walls protected from moisture and roof fixtures adequate?</t>
  </si>
  <si>
    <t xml:space="preserve">Consider protection of biult structures </t>
  </si>
  <si>
    <t>Are public facilities inaccessible or dysfunctional due to climate related and severe weather events?</t>
  </si>
  <si>
    <t xml:space="preserve">Consider all weather accessibility and operations of public services </t>
  </si>
  <si>
    <t>Are drainages under-dimensioned or incomplete?</t>
  </si>
  <si>
    <t xml:space="preserve">Consider drainage overflows or faulty outlet designs </t>
  </si>
  <si>
    <t>Are sanitation facilities often submerged in water and feaces carried by flood and storm water ?</t>
  </si>
  <si>
    <t>Are there sewer lines existing, which are however under-dimensioned (overflowing) or stagnant (e.g. from water shortage)?</t>
  </si>
  <si>
    <t>Assess functionality of sewers if any</t>
  </si>
  <si>
    <t>is energy supply regularly impacted / interrupted in relation to extreme weather events?</t>
  </si>
  <si>
    <t>Consider reliability of power supply from grid</t>
  </si>
  <si>
    <t>Do most HHs depend on biomass for cooking</t>
  </si>
  <si>
    <t>Consider household connections and reliability of supply</t>
  </si>
  <si>
    <t>are water pipes functional during and after extreme weather events?</t>
  </si>
  <si>
    <t>Consider resiliency of water pipes network</t>
  </si>
  <si>
    <t>is water treatment of piped water ensured at all times ?</t>
  </si>
  <si>
    <t xml:space="preserve">Consider safety of piped water </t>
  </si>
  <si>
    <t>Moderate</t>
  </si>
  <si>
    <t xml:space="preserve">Does the community rely on water storage infrastructure </t>
  </si>
  <si>
    <t xml:space="preserve">Consider use of water storage to bridge unreliable supply </t>
  </si>
  <si>
    <t>Is there a high density of road network ?</t>
  </si>
  <si>
    <t xml:space="preserve">Assess proportion of roads network and potentilly destabilized soils </t>
  </si>
  <si>
    <t>is communication reliability an issue during/after extreme weather events ?</t>
  </si>
  <si>
    <t xml:space="preserve">Consider reliability of communication networks </t>
  </si>
  <si>
    <t>is access to water impacted by changing climate and extreme weather events?</t>
  </si>
  <si>
    <t xml:space="preserve">This refers to water for drinking </t>
  </si>
  <si>
    <t>is water supply regularly impacted / interrupted in relation to extreme weather events?</t>
  </si>
  <si>
    <t>Not Applicable</t>
  </si>
  <si>
    <t>is water quality impacted by changing climate and extreme weather events?</t>
  </si>
  <si>
    <t>Are there erosion and/or frequent landslides taking place?</t>
  </si>
  <si>
    <t xml:space="preserve">This refers to soil instabilities </t>
  </si>
  <si>
    <t xml:space="preserve">Are large areas burnt deliberately or from disasters (changes infiltration capacity of soil) </t>
  </si>
  <si>
    <t xml:space="preserve">This looks into future risks of reduced infiltration capacities </t>
  </si>
  <si>
    <t>Is there deforestation/land clearing taking place</t>
  </si>
  <si>
    <t xml:space="preserve">This looks into future risks of soil destabilisation, loss of vegetative cover, and effects of increasing temperatures </t>
  </si>
  <si>
    <t>is the wetland water level often unbalanced (dryer or wetter than usual)</t>
  </si>
  <si>
    <t>Consider observed imbalance</t>
  </si>
  <si>
    <t>Is inadequate land use causing loss of biodiversity and/or loss of environmentally protected land?</t>
  </si>
  <si>
    <t>Consider observations</t>
  </si>
  <si>
    <t xml:space="preserve">Do intense rains cause flooding from the nearly water bodies? Do households settle within riperian corridors </t>
  </si>
  <si>
    <t xml:space="preserve">Consider changing river courses </t>
  </si>
  <si>
    <t>Are housing and livelihood depending on a stable sea level ?</t>
  </si>
  <si>
    <t>Consider location of settlement in relation to sea level</t>
  </si>
  <si>
    <t xml:space="preserve">Is environmental contamination from waste and effluents (e.g water bodies) intensifying due to extreme weather events </t>
  </si>
  <si>
    <t xml:space="preserve">Consider carrying of wastes due to increasing flood levels </t>
  </si>
  <si>
    <t>Is heat increasing and windflow declining within the built up area?</t>
  </si>
  <si>
    <t>Consider heat and wind flow</t>
  </si>
  <si>
    <t xml:space="preserve">Are there low lying settlement areas that flood for a long time because the water cannot drain off, or located within flow paths of storm water </t>
  </si>
  <si>
    <t xml:space="preserve">Consider effect of topography in relation to the settlement location </t>
  </si>
  <si>
    <t>Is there a mechansim that provides location based real time information/data to trigger early warning needs?</t>
  </si>
  <si>
    <t xml:space="preserve">This inquires about ease of access to real time weather data and related warnings </t>
  </si>
  <si>
    <t>Are the county and the community regularly engaging with each other to ensure risk and vulnerability reduction?</t>
  </si>
  <si>
    <t>This inquires about the interaction between the county and the community</t>
  </si>
  <si>
    <t>Is the community aware of the role of the ecosystem in reducing flood hazards though natural infiltration, heat islands through vegetatation cover, destruction through wind blockage, food security etc....</t>
  </si>
  <si>
    <t>This inquires about climate risk awareness among the community members</t>
  </si>
  <si>
    <t>Are there budgeted ressources effectively directed toward the planned activities to benefit the settlement ?</t>
  </si>
  <si>
    <t xml:space="preserve">This inquires about budget execution </t>
  </si>
  <si>
    <t>Are the health services functional and accessible during severe climate and weather evants?</t>
  </si>
  <si>
    <t xml:space="preserve">Tis targets functionality of health facilities as critical facilties </t>
  </si>
  <si>
    <t>Can residents access evacuation centers or alternative shelter if needed and have safe evacuation routes been identified ?</t>
  </si>
  <si>
    <t>Can residents access aid and assistance in case of disaster if needed ?</t>
  </si>
  <si>
    <t>Is disbursement for recovery funds clear and effective?</t>
  </si>
  <si>
    <t>Is maintenance and repair of public infrastructures budgeted for and the disbursement meachnism is clear?</t>
  </si>
  <si>
    <t>This is a verificaiton of budgeting at County level</t>
  </si>
  <si>
    <t>Adaptive Capacity</t>
  </si>
  <si>
    <t>no is bad</t>
  </si>
  <si>
    <t>Are there adequate areas formally available to practice urban agriculture</t>
  </si>
  <si>
    <t xml:space="preserve">Consider provisions in LPLUDP's and Community Development Plans </t>
  </si>
  <si>
    <t xml:space="preserve">Are there adequate areas formally available for grazing </t>
  </si>
  <si>
    <t>Are there mechanims to diversify crops, share unaffected crops and farming locations, and store harvest to protect it?</t>
  </si>
  <si>
    <t xml:space="preserve">Consider crop protection from weather events and capacity to diversify crops </t>
  </si>
  <si>
    <t>Are there adequate areas identofied and mechanisms to timely rescue and relocate animals to minimise imact from hazards</t>
  </si>
  <si>
    <t xml:space="preserve">Consider provisions in LPLUDP's, Community Development Plans and Evacuation Plans </t>
  </si>
  <si>
    <t>Are there meachnisms that prevent overfishing (monitoring, net size regulations…) and support fishermen with alternatives, such as fish farming</t>
  </si>
  <si>
    <t xml:space="preserve">Are there diverse economic opportunities in the area? </t>
  </si>
  <si>
    <t xml:space="preserve">Consider mixed uses opportunities and access to small business units </t>
  </si>
  <si>
    <t>Are there mechanisms to ensure privacy, safety and access to reproductve health care for women at all times?</t>
  </si>
  <si>
    <t xml:space="preserve">Consider access to health care services and DRM plans </t>
  </si>
  <si>
    <t>Is there a mechanism to mitigate disputes over diminuished resources before escalation?</t>
  </si>
  <si>
    <t xml:space="preserve">Consider activities and capacities of SEC's, GRC's, Environmental and Land Courts (ELC), and public awareness and information </t>
  </si>
  <si>
    <t>Are there mechanisms for children to receive education at all times?</t>
  </si>
  <si>
    <t>Consider access to education, DRM plans, and provisions to ensure protection of schools from hazards</t>
  </si>
  <si>
    <t>Are there provisions to harvest and store rain and surface water for irrigation during dry periods?</t>
  </si>
  <si>
    <t xml:space="preserve">Consider rain and surface water harvesting and storage available to subsistence farmers </t>
  </si>
  <si>
    <t>Are most households health insured and insured for cases of disaster ?</t>
  </si>
  <si>
    <t xml:space="preserve">Consider rate of health insurance and provisions to help accsess disaster insurance </t>
  </si>
  <si>
    <t>no  is bad</t>
  </si>
  <si>
    <t>Is the community aware of the evacuation routes and evacuation centers, and trained for cases of disaster?</t>
  </si>
  <si>
    <t xml:space="preserve">Consider availability and awareness of evacuaiotn plans and response mechanisms </t>
  </si>
  <si>
    <t>Are communities supported to protect and keep healthy during climate related hazards or extreme weather events?</t>
  </si>
  <si>
    <t xml:space="preserve">Consider provisions in Community Development Plans, budgets and awareness and information </t>
  </si>
  <si>
    <t>Is land use planning and enforcement functional and awareness raised about areas at risk?</t>
  </si>
  <si>
    <t xml:space="preserve">Consider public awareness of hazardous zones </t>
  </si>
  <si>
    <t>Is there effective solid waste management ?</t>
  </si>
  <si>
    <t xml:space="preserve">Consider SWM plans and functionality of SWM  </t>
  </si>
  <si>
    <t>Is there adequate sanitation that is not vulnerable to severe weather events ?</t>
  </si>
  <si>
    <t xml:space="preserve">Sanitation solutions respond to the hydrological conditions and are resilient </t>
  </si>
  <si>
    <t>Is there a mechanism that maintains or immediately recovers access to health services when adversely affected ?</t>
  </si>
  <si>
    <t>Consider DRM plans, evacuaiton plans, and disaster response times and recovery budgets</t>
  </si>
  <si>
    <t>Is the county holding industrial polluters accountable ?</t>
  </si>
  <si>
    <t xml:space="preserve">Consider enforcement of environmental regulatioons </t>
  </si>
  <si>
    <t>Is there access to a reinstatement program or mechanism for damaged or lost shelter for affected community members ?</t>
  </si>
  <si>
    <t>Consider access to finance for home recovery after disaster</t>
  </si>
  <si>
    <t>Is here a mechanism that maintains or immediately recovers access to critical public services when adversely affected ?</t>
  </si>
  <si>
    <t>Consider immediate recovery of critical infrastucture</t>
  </si>
  <si>
    <t>Are storm water flows fully planned and managed from source up to outlet/for the whole watershed/including use of natural infiltration?</t>
  </si>
  <si>
    <t xml:space="preserve">Consider storm water management planning based on location based hydrological assessment </t>
  </si>
  <si>
    <t>Are sanitary facilities adequate and properly designed in respect of ground water protection?</t>
  </si>
  <si>
    <t xml:space="preserve">This is specific to household sanitation; consider techncial assistance to ensure adequacy </t>
  </si>
  <si>
    <t>Are sewers properly designed in respect of ground water protection and fit for the local situaiton (and capability to connect)?</t>
  </si>
  <si>
    <t xml:space="preserve">Consider adequate infrastucture planning based on location based hydrological assessment </t>
  </si>
  <si>
    <t>Are there means to continously maintain the functionality of the most critical services and to provide access to energy, such as hospitals?</t>
  </si>
  <si>
    <t>Are there programs that facilitate access to alternative, green and renewable sources of energy for lighting and cooking ?</t>
  </si>
  <si>
    <t>Consider grid and solar kits</t>
  </si>
  <si>
    <t>Are water pipes properly planned and the layout and access points fit for the local situation?</t>
  </si>
  <si>
    <t>Is the relevant water treatment facility protected from hazards by the provider?</t>
  </si>
  <si>
    <t xml:space="preserve">Consider infrastructure protection measures </t>
  </si>
  <si>
    <t>Is water storage available, protected from hazards ?</t>
  </si>
  <si>
    <t xml:space="preserve">Consider availability of water storage and its protetcton </t>
  </si>
  <si>
    <t>Is the settlement accessible in all weather conditions (access to/and within)?</t>
  </si>
  <si>
    <t>Is access to communication ensured in all weather conditions ?</t>
  </si>
  <si>
    <t>Are there provisions to ensure access to water in the case of emergencies/scarcities?</t>
  </si>
  <si>
    <t xml:space="preserve">This includes prepositioning of water for drinking </t>
  </si>
  <si>
    <t>Are there provisions to ensure sufficient quantities of water in dry seasons / during interruted water supply ?</t>
  </si>
  <si>
    <t>Are there provisions to ensure drinking water quality ?</t>
  </si>
  <si>
    <t xml:space="preserve">Are geological assessments provenly considered in land use planning and engineeing designs? </t>
  </si>
  <si>
    <t xml:space="preserve">Consider adequate planning and design based on location based assessment </t>
  </si>
  <si>
    <t>Is sufficient permeability considered in the settlement plans as part of storm water management and infiltration ?</t>
  </si>
  <si>
    <t xml:space="preserve">Consider areas that allow for infiltration </t>
  </si>
  <si>
    <t>Is sufficient vegetation considered in the settlement plans as part of mitigation of extreme heat?</t>
  </si>
  <si>
    <t xml:space="preserve">Consider vegetative cover </t>
  </si>
  <si>
    <t>Are wetlands considred as part of the settlement plans and enforcement to maintain their natural functionality?</t>
  </si>
  <si>
    <t xml:space="preserve">Consider respect to wetland areas </t>
  </si>
  <si>
    <t>Are areas for undisturbed habitat/nisting/ and migrational routes respected as part of the settlement plans for conservation purposes and to mitigate human wildlife conflict ?</t>
  </si>
  <si>
    <t xml:space="preserve">Consider respect to natural habitat </t>
  </si>
  <si>
    <t>Is the river bed and flood plain of the nearby water body respected and/or springs protected from pollution?</t>
  </si>
  <si>
    <t xml:space="preserve">Consider respect to natural water flows </t>
  </si>
  <si>
    <t>Is the sea and tidal movements respected in the settlement plans ?</t>
  </si>
  <si>
    <t>Consider respect to tidal flows</t>
  </si>
  <si>
    <t>Are there environmnetal awareness programs conducted, and industrial polluters held responsible?</t>
  </si>
  <si>
    <t xml:space="preserve">Consider awareness for environmental regulations </t>
  </si>
  <si>
    <t>Are land use planning and enforcement by the local government effective and discourage settlement on inadequate land / in risky areas, and is the public aware of the importance in disaster risk reduction?</t>
  </si>
  <si>
    <t xml:space="preserve">Consider respect to hazardous areas and awareness </t>
  </si>
  <si>
    <t xml:space="preserve">Are there vegetative soil stabilisation measures combined with adaptive road network planning and storm water management planning? </t>
  </si>
  <si>
    <t xml:space="preserve">Consider erosion control measures </t>
  </si>
  <si>
    <t xml:space="preserve">Is there an Early Warning System with SOP's, responsibilities assigned and the community trained to respond in cases if emergency? </t>
  </si>
  <si>
    <t xml:space="preserve">Consider existence of plan and awareness of its content </t>
  </si>
  <si>
    <t>Is access to climate related information and understanding facilitated, such as warnings of weather events?</t>
  </si>
  <si>
    <t xml:space="preserve">Consider climate change awareness </t>
  </si>
  <si>
    <t>Does the local government effectively communicate to the community during disasters (is there a mechanism)?</t>
  </si>
  <si>
    <t xml:space="preserve">Consider evacuatio plans and disaster response mechanims </t>
  </si>
  <si>
    <t>Is there an established ressource planning and budgeting process at county level which is transparent to the community ?</t>
  </si>
  <si>
    <t xml:space="preserve">Consider participatory CIDP pocess and budgeting </t>
  </si>
  <si>
    <t xml:space="preserve">Is there a mechanism to ensure accessibility and functionaility of health services at all times (including access to water, electricity, food and personnell)? </t>
  </si>
  <si>
    <t xml:space="preserve">Consider maintained access to water, electricity, personnel and supplies </t>
  </si>
  <si>
    <t xml:space="preserve">Are there DRM plans, evacuation plans and evaculation centers for cases of disaster, and the neccessary supplies predispositioned? </t>
  </si>
  <si>
    <t xml:space="preserve">Consider availability and awareness </t>
  </si>
  <si>
    <t>Is there a mechanism to quickly mobilise disaster response staff and budget in case of emergency?</t>
  </si>
  <si>
    <t xml:space="preserve">Consider responsibilities and equipment </t>
  </si>
  <si>
    <t>Does the local government have the capacity and finance to quickly respond to disasters and access resources for disaster recovery in case of emergency?</t>
  </si>
  <si>
    <t xml:space="preserve">Consider access to funds in emergency situations </t>
  </si>
  <si>
    <t>Does the local government have the capacity and finance to manage and maintain / reinstate damaged infrastructure, and is infrastructue maintenance institutionalised?</t>
  </si>
  <si>
    <t>Consider access to funds for repairs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</si>
</sst>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theme="0"/>
      <name val="Calibri"/>
    </font>
    <font>
      <sz val="8"/>
      <color theme="0"/>
      <name val="Arial Black"/>
    </font>
    <font>
      <sz val="10"/>
      <color theme="0"/>
      <name val="Calibri"/>
    </font>
    <font>
      <b/>
      <sz val="16"/>
      <color theme="0"/>
      <name val="Calibri"/>
    </font>
    <font>
      <b/>
      <sz val="11"/>
      <color theme="0"/>
      <name val="Calibri"/>
    </font>
    <font>
      <b/>
      <i/>
      <sz val="11"/>
      <color rgb="FFFF0000"/>
      <name val="Calibri"/>
    </font>
    <font>
      <b/>
      <sz val="8"/>
      <color theme="0"/>
      <name val="Arial Black"/>
    </font>
    <font>
      <sz val="9"/>
      <color theme="0"/>
      <name val="Calibri"/>
    </font>
    <font>
      <sz val="8"/>
      <color theme="1"/>
      <name val="Calibri"/>
    </font>
    <font>
      <b/>
      <sz val="8"/>
      <color theme="1"/>
      <name val="Calibri"/>
    </font>
    <font>
      <sz val="9"/>
      <color rgb="FFBFBFBF"/>
      <name val="Calibri"/>
    </font>
    <font>
      <sz val="11"/>
      <color rgb="FFBFBFBF"/>
      <name val="Calibri"/>
    </font>
    <font>
      <b/>
      <i/>
      <sz val="11"/>
      <color theme="0"/>
      <name val="Calibri"/>
    </font>
    <font>
      <sz val="8"/>
      <color rgb="FF0070C0"/>
      <name val="Calibri"/>
    </font>
    <font>
      <b/>
      <sz val="9"/>
      <color theme="1"/>
      <name val="Calibri"/>
    </font>
    <font>
      <b/>
      <i/>
      <sz val="8"/>
      <color rgb="FFBFBFBF"/>
      <name val="Calibri"/>
    </font>
    <font>
      <sz val="9"/>
      <color theme="1"/>
      <name val="Calibri"/>
    </font>
    <font>
      <sz val="8"/>
      <color rgb="FFBFBFBF"/>
      <name val="Calibri"/>
    </font>
    <font>
      <sz val="11"/>
      <color rgb="FFFF0000"/>
      <name val="Calibri"/>
    </font>
    <font>
      <sz val="10"/>
      <color theme="1"/>
      <name val="Calibri"/>
    </font>
    <font>
      <b/>
      <sz val="11"/>
      <color theme="1"/>
      <name val="Calibri"/>
    </font>
    <font>
      <sz val="9"/>
      <color rgb="FFFF0000"/>
      <name val="Calibri"/>
    </font>
    <font>
      <sz val="8"/>
      <color rgb="FFFF0000"/>
      <name val="Calibri"/>
    </font>
    <font>
      <sz val="10"/>
      <color rgb="FFFF0000"/>
      <name val="Calibri"/>
    </font>
    <font>
      <sz val="11"/>
      <color rgb="FF00B05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002060"/>
        <bgColor rgb="FF00206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10" fillId="2" borderId="1" xfId="0" applyFont="1" applyFill="1" applyBorder="1" applyAlignment="1">
      <alignment horizontal="right" vertical="center" wrapText="1"/>
    </xf>
    <xf numFmtId="0" fontId="11" fillId="4" borderId="10" xfId="0" applyFont="1" applyFill="1" applyBorder="1" applyAlignment="1">
      <alignment vertical="center"/>
    </xf>
    <xf numFmtId="0" fontId="11" fillId="4" borderId="11" xfId="0" applyFont="1" applyFill="1" applyBorder="1" applyAlignment="1">
      <alignment vertical="center"/>
    </xf>
    <xf numFmtId="0" fontId="11" fillId="4" borderId="9" xfId="0" applyFont="1" applyFill="1" applyBorder="1" applyAlignment="1">
      <alignment vertical="center"/>
    </xf>
    <xf numFmtId="0" fontId="11" fillId="5" borderId="9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vertical="center"/>
    </xf>
    <xf numFmtId="0" fontId="12" fillId="0" borderId="9" xfId="0" applyFont="1" applyBorder="1" applyAlignment="1">
      <alignment vertical="center" wrapText="1"/>
    </xf>
    <xf numFmtId="0" fontId="13" fillId="2" borderId="1" xfId="0" applyFont="1" applyFill="1" applyBorder="1"/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11" fillId="7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15" fillId="2" borderId="1" xfId="0" applyFont="1" applyFill="1" applyBorder="1"/>
    <xf numFmtId="0" fontId="7" fillId="3" borderId="16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 wrapText="1"/>
    </xf>
    <xf numFmtId="0" fontId="11" fillId="4" borderId="10" xfId="0" applyFont="1" applyFill="1" applyBorder="1" applyAlignment="1">
      <alignment vertical="center" wrapText="1"/>
    </xf>
    <xf numFmtId="0" fontId="11" fillId="4" borderId="11" xfId="0" applyFont="1" applyFill="1" applyBorder="1" applyAlignment="1">
      <alignment horizontal="left" vertical="center" wrapText="1"/>
    </xf>
    <xf numFmtId="0" fontId="11" fillId="4" borderId="9" xfId="0" applyFont="1" applyFill="1" applyBorder="1" applyAlignment="1">
      <alignment vertical="center" wrapText="1"/>
    </xf>
    <xf numFmtId="0" fontId="11" fillId="5" borderId="15" xfId="0" applyFont="1" applyFill="1" applyBorder="1" applyAlignment="1">
      <alignment vertical="center" wrapText="1"/>
    </xf>
    <xf numFmtId="0" fontId="16" fillId="6" borderId="9" xfId="0" applyFont="1" applyFill="1" applyBorder="1" applyAlignment="1">
      <alignment vertical="center" wrapText="1"/>
    </xf>
    <xf numFmtId="0" fontId="17" fillId="0" borderId="9" xfId="0" applyFont="1" applyBorder="1" applyAlignment="1">
      <alignment vertical="center" wrapText="1"/>
    </xf>
    <xf numFmtId="0" fontId="18" fillId="2" borderId="1" xfId="0" applyFont="1" applyFill="1" applyBorder="1" applyAlignment="1">
      <alignment wrapText="1"/>
    </xf>
    <xf numFmtId="0" fontId="11" fillId="4" borderId="12" xfId="0" applyFont="1" applyFill="1" applyBorder="1" applyAlignment="1">
      <alignment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vertical="center" wrapText="1"/>
    </xf>
    <xf numFmtId="0" fontId="11" fillId="4" borderId="15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1" fillId="0" borderId="0" xfId="0" applyFont="1" applyAlignment="1">
      <alignment horizontal="right" vertical="center" wrapText="1"/>
    </xf>
    <xf numFmtId="0" fontId="24" fillId="2" borderId="1" xfId="0" applyFont="1" applyFill="1" applyBorder="1" applyAlignment="1">
      <alignment horizontal="right" vertical="center" wrapText="1"/>
    </xf>
    <xf numFmtId="0" fontId="25" fillId="4" borderId="14" xfId="0" applyFont="1" applyFill="1" applyBorder="1" applyAlignment="1">
      <alignment vertical="center" wrapText="1"/>
    </xf>
    <xf numFmtId="0" fontId="25" fillId="4" borderId="15" xfId="0" applyFont="1" applyFill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horizontal="right" vertical="center" wrapText="1"/>
    </xf>
    <xf numFmtId="0" fontId="25" fillId="4" borderId="12" xfId="0" applyFont="1" applyFill="1" applyBorder="1" applyAlignment="1">
      <alignment vertical="center" wrapText="1"/>
    </xf>
    <xf numFmtId="0" fontId="25" fillId="4" borderId="13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vertical="center" wrapText="1"/>
    </xf>
    <xf numFmtId="0" fontId="16" fillId="6" borderId="11" xfId="0" applyFont="1" applyFill="1" applyBorder="1" applyAlignment="1">
      <alignment vertical="center" wrapText="1"/>
    </xf>
    <xf numFmtId="0" fontId="2" fillId="0" borderId="3" xfId="0" applyFont="1" applyBorder="1"/>
    <xf numFmtId="0" fontId="2" fillId="0" borderId="4" xfId="0" applyFont="1" applyBorder="1"/>
    <xf numFmtId="0" fontId="6" fillId="3" borderId="2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74"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Adaptive%20Capacity'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1838325" cy="1292542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4431600" y="0"/>
          <a:ext cx="182880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3886200" cy="13096875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3402900" y="0"/>
          <a:ext cx="388620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0</xdr:colOff>
      <xdr:row>0</xdr:row>
      <xdr:rowOff>0</xdr:rowOff>
    </xdr:from>
    <xdr:ext cx="2667000" cy="12925425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4017263" y="0"/>
          <a:ext cx="2657475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1390650</xdr:colOff>
      <xdr:row>0</xdr:row>
      <xdr:rowOff>0</xdr:rowOff>
    </xdr:from>
    <xdr:ext cx="4886325" cy="1389697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>
        <a:xfrm>
          <a:off x="2907600" y="0"/>
          <a:ext cx="487680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</xdr:colOff>
      <xdr:row>58</xdr:row>
      <xdr:rowOff>0</xdr:rowOff>
    </xdr:from>
    <xdr:ext cx="1438275" cy="390525"/>
    <xdr:sp macro="" textlink="">
      <xdr:nvSpPr>
        <xdr:cNvPr id="94" name="Shape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/>
      </xdr:nvSpPr>
      <xdr:spPr>
        <a:xfrm>
          <a:off x="4631625" y="3589500"/>
          <a:ext cx="1428750" cy="381000"/>
        </a:xfrm>
        <a:prstGeom prst="rect">
          <a:avLst/>
        </a:prstGeom>
        <a:solidFill>
          <a:srgbClr val="D8D8D8"/>
        </a:solidFill>
        <a:ln>
          <a:noFill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Back to Top</a:t>
          </a:r>
          <a:endParaRPr sz="1600" b="1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58</xdr:row>
      <xdr:rowOff>0</xdr:rowOff>
    </xdr:from>
    <xdr:ext cx="39471600" cy="18973800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/>
      </xdr:nvSpPr>
      <xdr:spPr>
        <a:xfrm>
          <a:off x="0" y="0"/>
          <a:ext cx="10692000" cy="7560000"/>
        </a:xfrm>
        <a:prstGeom prst="rect">
          <a:avLst/>
        </a:prstGeom>
        <a:solidFill>
          <a:srgbClr val="00206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tc={BCB19127-150A-4546-BDDB-F4286867C34A}" id="{c2227f2e-0283-474c-befb-5292a64899de}" providerId="google-sheets"/>
  <x18tc:person displayName="tc={B1E4D265-672E-4F0D-BE20-A8A8F2678F65}" id="{38c2bfff-ed6e-457e-b8f4-e04855dd0687}" providerId="google-sheets"/>
  <x18tc:person displayName="tc={5279790D-34D8-4B60-96E9-CBD804A2EE99}" id="{5ede3fce-736d-4a8c-a6ab-4b636590b5ff}" providerId="google-sheets"/>
  <x18tc:person displayName="tc={152E50A1-6B57-44EE-8F56-ECC8BB69ECB0}" id="{e568db5e-7df8-48a0-9c0c-284ed0e9a2b8}" providerId="google-sheets"/>
  <x18tc:person displayName="tc={EA691DDA-771C-4015-BCDA-77ADEA3A9D31}" id="{3f7b630b-f377-4f5f-af1a-d825ea8472bf}" providerId="google-sheets"/>
  <x18tc:person displayName="tc={8236D9C4-AB1B-47BC-BE58-405022CD009E}" id="{ac9caeac-0c75-4583-81f5-faebc238423f}" providerId="google-sheets"/>
  <x18tc:person displayName="tc={AA92C9E5-E6AB-4B42-A8B9-05540BACBACE}" id="{a711943f-540f-4b7c-9631-8813c19aa9a0}" providerId="google-sheets"/>
  <x18tc:person displayName="tc={6C2569D8-5648-4A63-800F-2DCBE2E4A4A4}" id="{b831dca8-26ab-4d69-a57f-a161fd7327c8}" providerId="google-sheets"/>
  <x18tc:person displayName="tc={1499CBD5-ACBC-45DB-90C1-749DC7E3AB66}" id="{d0a0fc63-8e25-4b62-af67-00fa4ae891d1}" providerId="google-sheets"/>
  <x18tc:person displayName="tc={4A6E69F3-CFBD-4539-8A5B-0C749C7E1CAD}" id="{719d36d4-6a84-4dc0-af66-81a4e54e7115}" providerId="google-sheets"/>
  <x18tc:person displayName="tc={8D8D1A99-6415-41E4-A102-806518854BAD}" id="{f653ad6d-4f32-42f3-a662-009ac4c0dfc3}" providerId="google-sheets"/>
  <x18tc:person displayName="tc={2D832BCC-2D23-4FBA-8800-59BA706A8828}" id="{202f3b44-856a-44b0-801b-7a7b6f945d7c}" providerId="google-sheets"/>
  <x18tc:person displayName="tc={B4D0E3A4-5743-4613-84DC-B188745E7F63}" id="{b616f3bc-59b7-460d-b9e4-11d7940ca594}" providerId="google-sheets"/>
  <x18tc:person displayName="tc={13B199F0-12D6-4C6C-BD60-B218BD5B2A06}" id="{c1affc9c-4c3a-4d8e-b5c4-7b896451d4aa}" providerId="google-sheets"/>
  <x18tc:person displayName="tc={0029ED71-179F-4AB8-B5F9-9CB95F882850}" id="{e8c9a55b-ba8a-44a9-93a4-d4531dd32ef3}" providerId="google-sheets"/>
  <x18tc:person displayName="tc={88800B4C-E3E3-40EC-9D65-49B421E84300}" id="{24a35259-3116-4cb3-8bd4-742209b51116}" providerId="google-sheets"/>
  <x18tc:person displayName="tc={EFB1EBA2-E08F-4409-8D64-E051112F2580}" id="{6e7de301-c3c8-4721-9e23-369ce4f84c00}" providerId="google-sheets"/>
  <x18tc:person displayName="tc={F3659044-A267-4C8F-8644-9E47AD663DFD}" id="{585ea92f-529a-4598-8a6f-c704189edb62}" providerId="google-sheets"/>
  <x18tc:person displayName="tc={8AFCF116-E924-4D2F-A376-345F0C954450}" id="{b9d93a4c-be2e-489c-992c-18b89fc2e2f2}" providerId="google-sheets"/>
  <x18tc:person displayName="tc={581C6104-2103-4B0A-8430-5CBA5F59A871}" id="{7369f59a-a1f3-41e5-8cc7-3890ee3b434e}" providerId="google-sheets"/>
  <x18tc:person displayName="tc={3C0F006D-BBFA-4AE7-B74F-931CE6AB4ACE}" id="{8ee5aac7-f4ba-4c9e-b762-04869078aa62}" providerId="google-sheets"/>
  <x18tc:person displayName="tc={14D85522-EA3F-4CD7-88C2-54378C22D4CE}" id="{e7e70ff3-4bd7-476e-8de5-3f4114748a6f}" providerId="google-sheets"/>
  <x18tc:person displayName="tc={C855F588-92BB-41F0-8A6C-8F7F299773B1}" id="{bae9ded3-50d6-4a3b-acb3-972178792033}" providerId="google-sheets"/>
  <x18tc:person displayName="tc={8632FB96-80A9-4BC6-A013-0BB2ECE696A4}" id="{6e06f06b-bce4-40e0-b80a-e7e921003f57}" providerId="google-sheets"/>
  <x18tc:person displayName="tc={A2120EAC-884E-430B-B2E2-8E4F270DCD33}" id="{7b70a9bb-bb10-4ef8-9fdc-a6563d8b3fd1}" providerId="google-sheets"/>
  <x18tc:person displayName="tc={8A5FC834-D3C4-4EF8-8EA1-21CFB3396C83}" id="{d8e03110-9d03-4a88-9d7d-91370cedde81}" providerId="google-sheets"/>
  <x18tc:person displayName="tc={E7C0E3C1-B21B-4EF6-A531-798E18B67BC8}" id="{f4b86892-7ee2-4934-8e97-763fdd1cf0ad}" providerId="google-sheets"/>
  <x18tc:person displayName="tc={C7DFCABA-048A-4143-8A0E-7C5DAD0F7F7B}" id="{61775401-7662-4116-8934-c08d84594196}" providerId="google-sheets"/>
  <x18tc:person displayName="tc={05262680-6522-42F9-832D-8F8A38FD1A18}" id="{e8b17091-9eae-4898-be48-d3e8b47a1b39}" providerId="google-sheets"/>
  <x18tc:person displayName="tc={07735A6F-54B4-4EA0-BF42-509277F8FF33}" id="{733a02a1-7987-45bd-bfc0-e2b7e07d5ae5}" providerId="google-sheets"/>
  <x18tc:person displayName="tc={4D10F791-1194-4102-9417-64C9FF98AC8F}" id="{bb8857c4-f884-48b6-a397-1a70f6bae5dc}" providerId="google-sheets"/>
  <x18tc:person displayName="tc={DEAA6A99-BFEE-4C59-A02E-BF08AE152370}" id="{bb64a557-728b-487f-a38c-4fc999250f6e}" providerId="google-sheets"/>
  <x18tc:person displayName="tc={E89449CB-0DAB-4859-A124-FDD1A398DC98}" id="{f4c943a0-4bf7-46fa-a96a-8291b3786e4b}" providerId="google-sheets"/>
  <x18tc:person displayName="tc={79A18024-8208-4307-9383-CBF895D44EBB}" id="{1cc62d6e-69b6-445d-b4f7-f205078d299c}" providerId="google-sheets"/>
  <x18tc:person displayName="tc={F76A4260-CD11-4CE4-A59E-5B59625C13C6}" id="{1473a251-096d-4873-8e26-8c4b82a85dee}" providerId="google-sheets"/>
  <x18tc:person displayName="tc={19BD2979-BDF4-4675-B105-0EC8CA86BCC5}" id="{2326ca01-daa5-49ab-9c35-cd2e9343f2ee}" providerId="google-sheets"/>
  <x18tc:person displayName="tc={A3258B7D-366B-4083-AF5F-0EE246F32659}" id="{1aad0fe1-8883-4863-92a3-b11de0cea2d7}" providerId="google-sheets"/>
  <x18tc:person displayName="tc={ECF08E35-6976-441F-AE51-EEE39BB522CD}" id="{f34865ca-a3b0-4c5f-9afd-96a28ca90f20}" providerId="google-sheets"/>
  <x18tc:person displayName="tc={9D224B09-0A04-4F88-9329-3A32AC52F68A}" id="{98856eb1-f796-4bb0-92bc-535b4c3e5d08}" providerId="google-sheets"/>
  <x18tc:person displayName="tc={D805D5A5-2B54-45E8-B9F4-0B8F9F54C038}" id="{1f7bc1f5-67df-4f1a-b067-5b4aca21cd6f}" providerId="google-sheets"/>
  <x18tc:person displayName="tc={9AD633FC-D922-469A-B43F-E2461E6A7968}" id="{db6dda6e-f6d2-4046-83da-2626db6c0869}" providerId="google-sheets"/>
  <x18tc:person displayName="tc={2C20B72F-DD16-4473-B66D-82EA221CC9F1}" id="{66837a8c-a692-4cf6-b860-e95d3127da4b}" providerId="google-sheets"/>
  <x18tc:person displayName="tc={511C5BB8-4A46-4EF4-ABD2-DC647EAB829E}" id="{55ab602f-4ec6-4134-993c-1d03c43665c1}" providerId="google-sheets"/>
  <x18tc:person displayName="tc={BCF2632A-80EB-46F0-B23F-4F1E661FA6A5}" id="{2838fb31-59f4-4dd3-b140-0af3bcc262c2}" providerId="google-sheets"/>
  <x18tc:person displayName="tc={3D96EFE8-295D-439F-8C6D-D8E12F243E90}" id="{aaa4d25a-64fe-4c9d-b2b1-0e7d8510381a}" providerId="google-sheets"/>
  <x18tc:person displayName="tc={02B8BFAA-13D1-4BB6-BC90-C36CDE763007}" id="{05e3b62c-af2c-497b-b003-73529cbaa95c}" providerId="google-sheets"/>
  <x18tc:person displayName="tc={D1FAC6C5-4E4A-498C-BBB2-ADD3DA9859BF}" id="{738a440e-7e06-4b4e-994a-99d3e8abd688}" providerId="google-sheets"/>
  <x18tc:person displayName="tc={A19EB959-91DB-4271-9B63-98E8221DCBA3}" id="{f8f510a7-c54b-4a73-9e08-24b38f8614fd}" providerId="google-sheets"/>
  <x18tc:person displayName="tc={9B70D7D0-42EB-4535-8F26-E3D8CC648BAB}" id="{69ec4b6e-7307-409f-889a-b0aee33dba06}" providerId="google-sheets"/>
  <x18tc:person displayName="tc={8053323F-2FB4-4724-AF0F-89B3A5AB6756}" id="{2abe8347-7111-47fd-bf81-1169c1effa77}" providerId="google-sheets"/>
  <x18tc:person displayName="tc={0A46C273-6F6E-484A-85CF-991E0B46677A}" id="{78cfdfc6-94b4-4ad7-8b06-f65a713a295d}" providerId="google-sheets"/>
  <x18tc:person displayName="tc={B37318CD-EB8C-46A6-AC82-F703515CDD85}" id="{e4cff386-109a-4c6e-889d-aa7834bf4760}" providerId="google-sheets"/>
  <x18tc:person displayName="tc={E634E185-F7B9-42D7-9AFC-45658A5F36C0}" id="{24727e7e-0874-496c-976a-9d1357aaf876}" providerId="google-sheets"/>
  <x18tc:person displayName="tc={106389D2-FF2C-4486-947B-BF93E0C3D616}" id="{96587734-7a0b-4df6-8338-fccc5b746426}" providerId="google-sheets"/>
  <x18tc:person displayName="tc={1E54DE64-4892-40E9-85CE-F0F556A5EEF7}" id="{d6ee921a-1b32-4e93-bd32-74c01503ea66}" providerId="google-sheets"/>
  <x18tc:person displayName="tc={0CCEA066-44BA-4015-A123-5D8EBB1C0589}" id="{be986e8e-b3e2-4d61-9744-f1b6ed1dc61b}" providerId="google-sheets"/>
  <x18tc:person displayName="tc={291D0070-E9F5-4A8C-9CB3-0BDA24DCAC05}" id="{5ba1241c-63ef-46cb-9ceb-07560f4d90b2}" providerId="google-sheets"/>
  <x18tc:person displayName="tc={F616DD96-6BF3-473A-921C-ACBD7D994CA4}" id="{76da1495-6dc5-4f86-81be-c730366711ab}" providerId="google-sheets"/>
  <x18tc:person displayName="tc={B8D094FE-E942-451B-A6AB-A7F2F87D3E88}" id="{d45263dd-983a-4ba9-a024-7dd1cf7db609}" providerId="google-sheets"/>
  <x18tc:person displayName="tc={6FB12ECF-2B82-4FA1-A172-D162A5BA2BE7}" id="{3bf89f1e-7846-4f85-9603-413d8061dd97}" providerId="google-sheets"/>
  <x18tc:person displayName="tc={FA0DCBC7-2AD7-42FB-BD53-B196412DC2B4}" id="{7bba5fca-cb37-4115-b771-696279c96109}" providerId="google-sheets"/>
  <x18tc:person displayName="tc={C5BC73D5-C2E6-48E2-8C7D-64048645379B}" id="{241a7ada-27e1-445b-a1e8-452e3103df86}" providerId="google-sheets"/>
  <x18tc:person displayName="tc={F0FB76B0-9541-4628-A28F-1D9324924FA8}" id="{2aecff63-c806-434d-a2cd-6abea99add1e}" providerId="google-sheets"/>
  <x18tc:person displayName="tc={9BADB680-8E74-40DA-9506-3B062009653A}" id="{5ecfd8ed-d3cc-4c86-ad22-b80646018075}" providerId="google-sheets"/>
  <x18tc:person displayName="tc={BC22C01A-BDEC-468B-8751-35CF9EB219DC}" id="{7b584e5a-ae66-4223-94b4-2f3a0fa3aa89}" providerId="google-sheets"/>
  <x18tc:person displayName="tc={C7A81EE5-E534-4F13-BBE4-3264942C8BC9}" id="{26319299-3133-4023-823e-d47dd6d8ad2a}" providerId="google-sheets"/>
  <x18tc:person displayName="tc={A26000D8-5FCC-4FBB-9641-9080594B6A31}" id="{185a3750-0aaf-418a-8588-4bc414e83605}" providerId="google-sheets"/>
  <x18tc:person displayName="tc={FBBE08DB-7DA4-4758-A212-DF226FC3F96D}" id="{7bba3dc8-bf58-4bd0-b9bd-3612400e6827}" providerId="google-sheets"/>
  <x18tc:person displayName="tc={F4FBFCCB-6947-4A28-85D7-A4E23BE3CC14}" id="{35680d08-9cea-40ec-85cd-53071e4e611d}" providerId="google-sheets"/>
  <x18tc:person displayName="tc={77BBF8A9-E254-4575-8D3C-4D33AB9FD1BD}" id="{7f1602ae-5dcb-487f-8bf7-d592ba1a310d}" providerId="google-sheets"/>
  <x18tc:person displayName="tc={99D2435E-AA67-49B4-B6F8-67669EB8ACFD}" id="{061998d2-e742-4340-930d-61d556d3fb61}" providerId="google-sheets"/>
  <x18tc:person displayName="tc={ECB2CC8F-B46E-4E65-A631-D7BF24580951}" id="{e5f1fe36-5d54-4cb5-91ce-583ad502b90f}" providerId="google-sheets"/>
  <x18tc:person displayName="tc={8A6D56BD-1A6B-45FE-A350-CB09497F59A7}" id="{ae8548e6-3493-401f-a4b0-0301dd5d7f26}" providerId="google-sheets"/>
  <x18tc:person displayName="tc={6891E1A6-3E9B-412F-AC27-31643DEBAE44}" id="{95356044-b01b-452a-b30b-da1f602699a1}" providerId="google-sheets"/>
  <x18tc:person displayName="tc={30F0907E-D969-42D4-A100-A316797036FC}" id="{c53e0aac-674f-478d-99ac-2eae4db4b527}" providerId="google-sheets"/>
  <x18tc:person displayName="tc={179283D2-3E06-4A96-8B12-9B1FD859A748}" id="{c296abec-21c6-43ba-8303-893d15a51223}" providerId="google-sheets"/>
  <x18tc:person displayName="tc={50B56989-A261-4998-A078-AA668EC0AEA8}" id="{41a832bb-2ba8-4e5f-bcf5-a191cf8e3797}" providerId="google-sheets"/>
  <x18tc:person displayName="tc={6E2024E2-FCB1-4DA1-ADD1-9EEDBB2379B1}" id="{90d0e9f7-2fd3-49e8-82d5-3b265f01d32e}" providerId="google-sheets"/>
  <x18tc:person displayName="tc={DCCEC84C-0940-4168-AEB6-2C348BC3A9BD}" id="{559f32ac-8d4b-4915-9ba7-03fb25c83c59}" providerId="google-sheets"/>
  <x18tc:person displayName="tc={C10ECB65-EA55-4035-A700-7C5E08081D68}" id="{35b54313-b3f8-4670-a385-77a840c0ffab}" providerId="google-sheets"/>
  <x18tc:person displayName="tc={26F66363-E234-4185-9C15-7460F72054F0}" id="{4fcd50a5-5d7c-4342-b98d-328a6f845a3b}" providerId="google-sheets"/>
  <x18tc:person displayName="tc={D5C232EC-C2E9-4243-A2AC-F37DDB7FC0E5}" id="{4c34808a-ccd6-4c8a-8295-d069048f0f8c}" providerId="google-sheets"/>
  <x18tc:person displayName="tc={30CF5297-2CDC-4FCC-9A5E-DEEE07875610}" id="{0c7f31df-c4e9-43c8-850b-17cc7360cd34}" providerId="google-sheets"/>
  <x18tc:person displayName="tc={8A04D337-26D6-4CA9-B541-63CF704EAF40}" id="{e4b6bbd3-f4dd-4ffc-bbce-b6f7cea2a635}" providerId="google-sheets"/>
  <x18tc:person displayName="tc={DE8734DB-0C77-4102-9E99-4A59EBDAA45E}" id="{a0fc9e2d-ace3-41c4-8557-d1e19aab3476}" providerId="google-sheets"/>
  <x18tc:person displayName="tc={963F83EB-9BEF-4DD4-A26F-F0FB3A964E40}" id="{56f858b1-f8a2-469d-ad11-4adfea41e3de}" providerId="google-sheets"/>
  <x18tc:person displayName="tc={9BE218A9-0541-4F1C-9077-20DCD2272C2E}" id="{1d395383-c015-4dcd-b632-031e9637fae3}" providerId="google-sheets"/>
  <x18tc:person displayName="tc={B135B8BF-E48E-4B73-9C8D-525D54898334}" id="{45d7d4f6-f5e6-470c-8e38-47a36356b7c5}" providerId="google-sheets"/>
  <x18tc:person displayName="tc={D57EDA92-B501-4454-B185-361130355943}" id="{e84ed449-6408-4606-95a8-0c1d1cdf4df1}" providerId="google-sheets"/>
  <x18tc:person displayName="tc={F0A63CD0-C084-42A0-93BD-38ACCF6BE253}" id="{e5df3aed-cfae-4a33-8cd9-ca575136b2d7}" providerId="google-sheets"/>
  <x18tc:person displayName="tc={247AD83C-7047-4F3D-9C02-4579C0A94AA4}" id="{250a0066-50ee-443b-8863-5d7e3e01a27a}" providerId="google-sheets"/>
  <x18tc:person displayName="tc={56ED1D05-D521-429A-A030-9CC657193A43}" id="{d33bee8d-6bba-42ae-92f4-b465aa8b0a0d}" providerId="google-sheets"/>
  <x18tc:person displayName="tc={826CF7F8-0163-42C3-95A7-966A8AA6EFC5}" id="{e7631ab6-13e2-42d0-b16d-a306aefd8de5}" providerId="google-sheets"/>
  <x18tc:person displayName="tc={6F777BBF-2B7B-4584-910B-24701D861448}" id="{e6460151-388f-4df7-ad64-d994310ec52f}" providerId="google-sheets"/>
  <x18tc:person displayName="tc={4BE9F40F-7181-4C19-89CB-919AFF7A9245}" id="{12d67900-5c9b-4356-ba1b-388eb6afc2f5}" providerId="google-sheets"/>
  <x18tc:person displayName="tc={5081FFA3-D708-4CCA-A76B-2A5F90D9BD6B}" id="{814d7cce-4941-4453-bafa-cc04cf16efb3}" providerId="google-sheets"/>
  <x18tc:person displayName="tc={F16977A0-D55F-44E1-BCB3-96D9848A4944}" id="{ba5e7a53-f0bf-49fc-bd37-4127a4c1c799}" providerId="google-sheets"/>
  <x18tc:person displayName="tc={80246A25-D640-47F9-BCE4-68629BE1B031}" id="{ec35aca7-191f-490b-9ca4-4269461bef5b}" providerId="google-sheets"/>
  <x18tc:person displayName="tc={24DBCE6D-9280-4371-BCFA-05699C46D9EC}" id="{944a014e-64da-405a-b2a4-4b4c62a7dd66}" providerId="google-sheets"/>
  <x18tc:person displayName="tc={F3040E42-CC88-460D-AF7C-9E9E76D444FB}" id="{45b9e207-8753-49e4-999c-e483b082166f}" providerId="google-sheets"/>
  <x18tc:person displayName="tc={7EBC0A81-F636-4C23-B4C4-4DDF38D05243}" id="{588d6e1c-c37b-4029-af7a-7b6dec7c02de}" providerId="google-sheets"/>
  <x18tc:person displayName="tc={F6085AF4-9EA0-465E-A0BD-DCBDD8E7E41A}" id="{088afcd7-0b32-4c77-b5f5-64b4dfd8b59b}" providerId="google-sheets"/>
  <x18tc:person displayName="tc={208CC8E4-83AF-4943-B6F8-A0EBF57DE411}" id="{b69ce0d0-4d98-4669-b8ab-04dc337c6e19}" providerId="google-sheets"/>
  <x18tc:person displayName="tc={3E10C137-6FDB-4F67-8120-8517D4E7A695}" id="{b8daccf4-b128-4a8e-ad50-3a8f5bedce22}" providerId="google-sheets"/>
  <x18tc:person displayName="tc={A3933C81-D645-4777-B36E-28FA08112672}" id="{4db2e333-1836-46a8-bb97-00f47c2dc9a2}" providerId="google-sheets"/>
  <x18tc:person displayName="tc={17E1D3F7-E607-4D33-ABE7-308D09F70CCE}" id="{5fa1817b-977a-4be4-887c-91e194efc037}" providerId="google-sheets"/>
  <x18tc:person displayName="tc={84A95BBE-E7E6-43BC-BE05-8222EC6B68C7}" id="{8d261dae-46bc-4d2f-ab52-f1b01c6fafa2}" providerId="google-sheets"/>
  <x18tc:person displayName="tc={E74A02C6-DFBD-432B-A855-3E087A453A09}" id="{40fa2a18-99bd-4afb-b20f-388a4dae6357}" providerId="google-sheets"/>
  <x18tc:person displayName="tc={3E44B04F-2813-4BB2-936B-C9CC01256ED7}" id="{0921c014-e137-4b39-b611-3ea5a17bcb50}" providerId="google-sheets"/>
  <x18tc:person displayName="tc={A5710A50-7B4F-46C9-96D6-8A33DED34030}" id="{77ca22e8-383c-4f51-aa37-b4261e012d59}" providerId="google-sheets"/>
  <x18tc:person displayName="tc={F7233A42-127C-44DD-9371-966EC53E0EC7}" id="{12162d75-6ec1-423e-84c1-ca854d9ad697}" providerId="google-sheets"/>
  <x18tc:person displayName="tc={354C6BFC-66F7-4225-ACD7-AB171A4E8BA7}" id="{b3b53783-5df9-4d75-81e1-54bc7b6fa149}" providerId="google-sheets"/>
  <x18tc:person displayName="tc={34D2FE23-B743-4525-8AF9-BC02AD0E04CF}" id="{7c2985ed-390b-499c-90c5-f8adb9baae6d}" providerId="google-sheets"/>
  <x18tc:person displayName="tc={222C18D2-AAE3-4732-B810-8C24254AB815}" id="{a0a95da7-e5ff-4e7e-924e-0361f4c87152}" providerId="google-sheets"/>
  <x18tc:person displayName="tc={0493F1C2-A519-4F37-9327-3A6317489D6B}" id="{63e60972-18b7-460e-9c08-d7d76bfc639d}" providerId="google-sheets"/>
  <x18tc:person displayName="tc={3361789B-9545-4B92-89DF-13E8FBACB627}" id="{e5480933-e0dc-4ddd-92cb-fe537ce0fe66}" providerId="google-sheets"/>
  <x18tc:person displayName="tc={9D98D439-0456-475E-B4F6-63F6FE267AB1}" id="{d0a25966-968c-49f5-a181-fe3c2846069f}" providerId="google-sheets"/>
  <x18tc:person displayName="tc={A1D34730-8720-41F7-B9BA-D2DCCD6A8C75}" id="{df213614-cd72-4675-b7ea-536a6609e01a}" providerId="google-sheets"/>
  <x18tc:person displayName="tc={8374ED06-9C4E-439C-8F79-EC9856025128}" id="{f101193c-9844-438f-a81b-5121e4fafb20}" providerId="google-sheets"/>
  <x18tc:person displayName="tc={55EAE5A2-1315-4D4F-AD8A-8F90365A3CFD}" id="{a0998fe7-118e-46fd-86fd-a88799a3c6c4}" providerId="google-sheets"/>
  <x18tc:person displayName="tc={28E4B31D-3252-4721-B8BF-10DA41E51740}" id="{0001e910-010a-4938-8fde-2d90c5f42bd3}" providerId="google-sheets"/>
  <x18tc:person displayName="tc={8295A5F2-B410-4393-A96F-5AD90DD42DF0}" id="{c56f0707-9586-4f7d-a295-ed3d8de44dcb}" providerId="google-sheets"/>
  <x18tc:person displayName="tc={CB15E887-2FFF-4D37-985E-B44366B31A98}" id="{770684fc-4b1c-4a08-9ba8-ac37994d0ffe}" providerId="google-sheets"/>
  <x18tc:person displayName="tc={91BED853-A848-4CC1-8BA3-A205DB104816}" id="{b3336d2e-bb66-42aa-b14f-6be4d649527b}" providerId="google-sheets"/>
  <x18tc:person displayName="tc={B8C6C227-5434-4784-AE9A-A5A2D0EAE9AD}" id="{76f7c653-82c2-466a-b2ab-36600f6cd2a9}" providerId="google-sheets"/>
  <x18tc:person displayName="tc={7FED23F1-A38B-40DA-829E-38A2C71DDE30}" id="{af466a24-c633-4ca0-ace8-b6a775f29aa5}" providerId="google-sheets"/>
  <x18tc:person displayName="tc={E136BCC0-87B0-415D-B89E-F215757F47D2}" id="{2a751af0-2ac7-4044-b2ab-adf827e887d6}" providerId="google-sheets"/>
  <x18tc:person displayName="tc={BE01EF8A-53B2-4F8A-97F6-20438580C274}" id="{1899c59f-585b-41bd-a60b-e2aa59b74b27}" providerId="google-sheets"/>
  <x18tc:person displayName="tc={414A3C6F-87DC-4BC3-A879-8B0C81441823}" id="{036a3d85-2665-463b-b6e3-4541229eb7ef}" providerId="google-sheets"/>
  <x18tc:person displayName="tc={C8CD2825-49F8-49B5-B50B-08F14218EFFA}" id="{0d893ddf-e833-4d2f-aaaa-153d7093ec2a}" providerId="google-sheets"/>
  <x18tc:person displayName="tc={27451087-FFC7-4161-8C68-A5348A8A8694}" id="{05ceaaed-b393-406e-b73c-aad1996946b7}" providerId="google-sheets"/>
  <x18tc:person displayName="tc={5815E61F-E66E-40C4-B561-91A3DB323EC2}" id="{b80583ec-11bb-4ae5-87a2-ac8090a300e3}" providerId="google-sheets"/>
  <x18tc:person displayName="tc={E8921267-D816-424F-85FB-CDB5D4CA620E}" id="{00cafda2-bb60-4073-86db-6da8c211f876}" providerId="google-sheets"/>
  <x18tc:person displayName="tc={D4E1D5D2-95B7-4D17-AC98-35C13F1B7F7C}" id="{1c1b30ed-876b-4e0e-8a20-0ff5a006b0ce}" providerId="google-sheets"/>
  <x18tc:person displayName="tc={22BCC875-EC98-42AB-9BAC-6531D376620E}" id="{664c07ac-4100-45de-bf2b-bade63360a68}" providerId="google-sheets"/>
  <x18tc:person displayName="tc={0F77DD7F-4E23-4A95-8D71-EBDDB925781F}" id="{f56ff5bd-cb91-41f9-82ab-c868a9ddcec4}" providerId="google-sheets"/>
  <x18tc:person displayName="tc={820FA0D6-EA42-4B0A-BFB2-72A4562CC42D}" id="{6b57019f-96a9-4771-81f1-86990e4804b9}" providerId="google-sheets"/>
  <x18tc:person displayName="tc={7A12D7CA-B442-413D-8540-F9FF1348CF35}" id="{130737ef-4e06-4e02-b390-0a2e7a1a7bde}" providerId="google-sheets"/>
  <x18tc:person displayName="tc={514C7F25-EA65-47F3-B033-E02CF6CC3BCF}" id="{7b0f4535-49c8-421b-b7cc-36072a4a0d26}" providerId="google-sheets"/>
  <x18tc:person displayName="tc={50E3C338-8DF6-4D09-AA7E-3A0F36616DF1}" id="{13985439-4722-4f27-b21e-d03f4e0ccaaa}" providerId="google-sheets"/>
  <x18tc:person displayName="tc={35266D83-A6FB-4927-806B-16A2F08691E5}" id="{8833014a-0021-4466-8a04-7a5c7a93b028}" providerId="google-sheets"/>
  <x18tc:person displayName="tc={0301EA18-78C3-4915-A2D6-3AB5987F77A9}" id="{c20f1cd7-822a-43ee-861a-e85e67c0dd39}" providerId="google-sheets"/>
  <x18tc:person displayName="tc={D2634005-ADF0-451C-9618-8F4A9549C434}" id="{f641a68a-5024-4a22-b34a-649bcc40ca58}" providerId="google-sheets"/>
  <x18tc:person displayName="tc={AC5B3870-717A-461B-BB42-8779F4CAB575}" id="{36952934-3271-4568-aae2-5ec498412f49}" providerId="google-sheets"/>
  <x18tc:person displayName="tc={5C03CAFC-E143-4FB2-940E-83D237C54E65}" id="{378e93e0-b6a1-4fe8-9371-913bd72203d1}" providerId="google-sheets"/>
  <x18tc:person displayName="tc={3A6030EA-4C80-4D2B-A2A6-6ACCF5E5427A}" id="{b7bd40f3-247e-4ef7-88bf-1abf855a7148}" providerId="google-sheets"/>
  <x18tc:person displayName="tc={CEFA5E3C-7A91-4F62-8E40-949BB6124483}" id="{337d37f7-a91f-4d2c-9216-895000277f8e}" providerId="google-sheets"/>
  <x18tc:person displayName="tc={6D957B66-4D29-4BFD-A18B-AD39875D5782}" id="{7aa8e224-91cb-4b0d-8975-036fa018e993}" providerId="google-sheets"/>
  <x18tc:person displayName="tc={85FD59EA-647C-433E-9C4C-F872DB1D5ACF}" id="{dd9de6a6-24c6-4644-a199-8280d8b938b0}" providerId="google-sheets"/>
  <x18tc:person displayName="tc={161A5769-B105-4EFE-8D68-70442532F9AB}" id="{b9f805de-1ce1-4d8c-b20e-8b5db8bfc87d}" providerId="google-sheets"/>
  <x18tc:person displayName="tc={9BC95EB0-56D2-4FD6-BDE6-9E7B70FE9EB7}" id="{00d34d38-9165-4f85-83ff-7c91010fd77a}" providerId="google-sheets"/>
  <x18tc:person displayName="tc={E2CA55B4-7345-4DCE-B219-01EC52269DFA}" id="{62283b31-07a9-4092-b9d9-57592ea9978d}" providerId="google-sheets"/>
  <x18tc:person displayName="tc={0ED1D167-AE5F-4F9F-ABB3-984264D75E39}" id="{8e999962-9f0b-4a52-81aa-2288f586ee3c}" providerId="google-sheets"/>
  <x18tc:person displayName="tc={C4890ADB-FA9A-45E3-9B8F-19164660BA40}" id="{b9c4012e-3080-4b0f-9ec2-739540be5982}" providerId="google-sheets"/>
  <x18tc:person displayName="tc={03D55DED-F9FA-4D06-B882-2783E42126A3}" id="{38ba90a8-90e9-4ffe-9a1d-3e980352e089}" providerId="google-sheets"/>
  <x18tc:person displayName="tc={8B426584-A3B6-4DEF-B3DE-C38F03CCF607}" id="{12fb4b9a-aacc-4a31-bc45-e7278c45080b}" providerId="google-sheets"/>
  <x18tc:person displayName="tc={41C9FAF1-2949-4E8D-94BF-02B5A02C9353}" id="{10a10fa9-b9bf-4295-9bd6-e01223f0dac5}" providerId="google-sheets"/>
  <x18tc:person displayName="tc={1A2F07CD-8784-4E1E-9D5D-0CB157514B5B}" id="{b592ca98-456b-4d7b-85dd-03796e574a66}" providerId="google-sheets"/>
  <x18tc:person displayName="tc={83471135-3A7E-4ECE-BBCA-0D2CE8CB31E3}" id="{e302fe17-2ecb-4f23-971c-a90da0262829}" providerId="google-sheets"/>
  <x18tc:person displayName="tc={ED0EB930-594D-403A-B8B6-69E10B65DFBA}" id="{6e6f03b5-4b54-453c-922d-695d0f88050f}" providerId="google-sheets"/>
  <x18tc:person displayName="tc={D81682F1-9F62-4653-8098-84FA316D8E9F}" id="{bc74b6c2-6fb7-4e0b-9690-27a856aeef42}" providerId="google-sheets"/>
  <x18tc:person displayName="tc={2D6D9B4E-7756-4DD9-9877-10AE953F3CD7}" id="{121bfd6f-e4ba-43dc-a57e-698a8cd4f84b}" providerId="google-sheets"/>
  <x18tc:person displayName="tc={58DFAB11-E642-4299-9ABE-388FFE61EC42}" id="{58701d87-d374-4374-b719-9c621a769528}" providerId="google-sheets"/>
  <x18tc:person displayName="tc={0B7D5DCF-6547-4B4B-A53C-987B0AD7A770}" id="{0ccb5683-580a-4829-83ea-ed8377e5f978}" providerId="google-sheets"/>
  <x18tc:person displayName="tc={DDA42174-930A-42B3-888E-DB16F59B097C}" id="{58777255-82d2-4a3c-bfe5-aff1dbccd587}" providerId="google-sheets"/>
  <x18tc:person displayName="tc={3E53B506-0A77-4B4D-BF54-F79F24922008}" id="{a099d966-cddf-498f-9bc4-672d9c01db27}" providerId="google-sheets"/>
  <x18tc:person displayName="tc={4589BC48-F5EE-4B91-A640-ACA9D1F147EB}" id="{fc3d8367-038c-4930-9b8d-c3a3405dcfa3}" providerId="google-sheets"/>
  <x18tc:person displayName="tc={DDD078C3-5B1E-4C11-BE45-E897C870B7E1}" id="{fc85752f-2519-4b76-a197-b65251953d74}" providerId="google-sheets"/>
  <x18tc:person displayName="tc={61375AB2-F766-41F5-BB58-AF391564B52A}" id="{fb26e553-2005-4e51-974d-e5c572e82574}" providerId="google-sheets"/>
  <x18tc:person displayName="tc={F1678EBB-FADB-424F-A233-3A5E28B5AAD7}" id="{ff433da8-4305-48df-87a3-f1dedb668afc}" providerId="google-sheets"/>
  <x18tc:person displayName="tc={18B84DC0-3CEE-464B-87C0-D482020404FE}" id="{14ad0e48-d915-42c2-8fb4-82931fcfc522}" providerId="google-sheets"/>
  <x18tc:person displayName="tc={CB6C7EBC-B94C-4AE7-B306-00C1405F0A51}" id="{7d278a2f-1625-4f0f-bfa6-45000653f0f3}" providerId="google-sheets"/>
  <x18tc:person displayName="tc={81D148AB-782D-4931-B94E-2D37BBFC87E9}" id="{8d1db0b7-e612-44dc-bc2b-b478716436c1}" providerId="google-sheets"/>
  <x18tc:person displayName="tc={06A5C2B8-337E-43DD-A721-B798F03E6CED}" id="{ae89fa5a-812a-4b95-aedb-a24e79f86147}" providerId="google-sheets"/>
  <x18tc:person displayName="tc={9A9BEDF5-277E-4ED3-80B0-9366EEB56A66}" id="{cf5911e9-d1c6-4bd9-b31b-50c2a259d101}" providerId="google-sheets"/>
  <x18tc:person displayName="tc={4E4ABF3C-F288-475B-9212-61906CC29664}" id="{303ba254-48b6-43c9-ae96-d3a705a0d6ed}" providerId="google-sheets"/>
  <x18tc:person displayName="tc={CB517E1D-BBDB-436D-9A02-C0007CA3F003}" id="{1ab4953d-6806-4edf-98c3-1e4c9697ba1f}" providerId="google-sheets"/>
  <x18tc:person displayName="tc={266B538F-8319-4B59-A601-65ED4B8213DD}" id="{e7ae8c15-6810-44eb-ab6b-f17ee61ff447}" providerId="google-sheets"/>
  <x18tc:person displayName="tc={DF5AFEA3-D9E8-4502-A297-61B9F7BC5AB8}" id="{0267e2cc-c535-458d-9043-93812c0f8eeb}" providerId="google-sheets"/>
  <x18tc:person displayName="tc={569254A5-5471-4CAA-A05A-473C587C477F}" id="{5b681a68-50cc-4f87-a285-297a01c3f206}" providerId="google-sheets"/>
  <x18tc:person displayName="tc={BD30BFCA-6958-457B-8EB3-9F112828E5D7}" id="{eb284bc1-08a7-4d4a-89a6-bc0ccbc38b56}" providerId="google-sheets"/>
  <x18tc:person displayName="tc={15BD06CE-C32B-4777-8E0A-6AABBC138E34}" id="{164810ab-09bb-4630-a355-29c0b472962e}" providerId="google-sheets"/>
  <x18tc:person displayName="tc={4D62E0B0-C047-411A-8B4D-AE2F27024D85}" id="{4dcc859b-360a-4236-a516-6a3652040d02}" providerId="google-sheets"/>
  <x18tc:person displayName="tc={BC2BD0F3-79A3-4CC6-99C5-74D013E1E9AF}" id="{adc39837-1c3f-4f62-aec6-8d3d3b55cdfc}" providerId="google-sheets"/>
  <x18tc:person displayName="tc={BE558F7D-13A9-48E5-A42E-5FBA9E0877C0}" id="{f6a9af6a-5782-498c-a476-7f36bdb1f780}" providerId="google-sheets"/>
  <x18tc:person displayName="tc={E134FDA5-32FD-48BC-8CA1-687BEB64581E}" id="{610f9535-48d8-4b6e-985e-9ec3697135ad}" providerId="google-sheets"/>
  <x18tc:person displayName="tc={702113C2-122F-424D-B405-462A5FC89D11}" id="{e58c8513-1864-4a79-9966-f580e4135323}" providerId="google-sheets"/>
  <x18tc:person displayName="tc={59AC34B9-2A80-4E42-BA3D-115F93D15520}" id="{c96068c9-f6b2-4709-b731-3eab833dfb50}" providerId="google-sheets"/>
  <x18tc:person displayName="tc={82D207FE-2590-406A-83F0-1D4F0D2D6ADA}" id="{0d2eb238-46e7-4c7a-bb43-80fe70542518}" providerId="google-sheets"/>
  <x18tc:person displayName="tc={AD111940-F9D8-439F-AAEA-1CB53E1A97D5}" id="{19ce3905-17b3-4873-8428-a757e6850c22}" providerId="google-sheets"/>
  <x18tc:person displayName="tc={1CBF71BA-7E50-4EAE-BF87-76D8C96EF522}" id="{cf8a33e2-5435-40b6-90eb-62e7ca15c52f}" providerId="google-sheets"/>
  <x18tc:person displayName="tc={263C4112-D443-4ECE-828D-8E853A2F3C47}" id="{558bd88c-7b88-4b0e-86cd-7b88a7a2a29b}" providerId="google-sheets"/>
  <x18tc:person displayName="tc={7A698DDB-2755-4CD7-BBF3-E6E9CF1DCF03}" id="{6c391030-dd87-4be6-8eca-e0010b4783c1}" providerId="google-sheets"/>
  <x18tc:person displayName="tc={60CE209C-048B-4EBC-B49B-A0183BCB96D7}" id="{a12da689-629b-4a47-9197-74bcb5c746fd}" providerId="google-sheets"/>
  <x18tc:person displayName="tc={B915B898-4292-47D2-8CA9-E7EF2EBBF439}" id="{4ed987ed-e26b-4fc5-8ea9-fda0cfeeee55}" providerId="google-sheets"/>
  <x18tc:person displayName="tc={BF81A81B-CD66-4ACD-AC9F-40D83FF505CC}" id="{65f9b783-4dd2-4ced-96e8-9c7333b0690b}" providerId="google-sheets"/>
  <x18tc:person displayName="tc={029CEC46-472E-43ED-90EE-C4DB35219E65}" id="{8433d0f9-6731-4c6a-aec5-56c8027c110e}" providerId="google-sheets"/>
  <x18tc:person displayName="tc={35EBDC3E-4237-4293-8749-D9A9E3C8C8A8}" id="{0fb725cb-40b2-422c-9195-1c975a07dd83}" providerId="google-sheets"/>
  <x18tc:person displayName="tc={13C8E18C-6A8D-4C72-A797-2B76473FE780}" id="{5a735149-40a0-4872-bfb7-67b3021e9081}" providerId="google-sheets"/>
  <x18tc:person displayName="tc={A29C552B-F1C0-476F-9E89-6B787553155F}" id="{12ce0051-789c-48b7-9731-cebdeba059b6}" providerId="google-sheets"/>
  <x18tc:person displayName="tc={68688F5E-3F1D-47FD-8605-1BF3559EB23C}" id="{619bd3af-aeb0-40f6-8012-000e60134709}" providerId="google-sheets"/>
  <x18tc:person displayName="tc={56FB98D9-FF69-494D-B952-89EC981B676E}" id="{b8e3c4b7-198d-480f-b9b7-45b9860685d7}" providerId="google-sheets"/>
  <x18tc:person displayName="tc={B172BCFE-46B3-4DA7-AA64-07F66FE19F7C}" id="{f1c999df-61ad-4167-bd28-4c39b227c187}" providerId="google-sheets"/>
  <x18tc:person displayName="tc={5C2D70EC-2B06-45E8-A435-ABC5FDFECEB1}" id="{d664a822-d61d-431a-83ed-ab9766b0daa9}" providerId="google-sheets"/>
  <x18tc:person displayName="tc={EF7A46E1-0D5C-46DB-9C67-3C340558E0A6}" id="{e75b6adb-207c-417a-b227-09ed0f1d0983}" providerId="google-sheets"/>
  <x18tc:person displayName="tc={D5E33244-CB03-4D7B-92E5-0EF90BBB5F8D}" id="{0e8e6cf3-b672-4a1b-9abb-0d23c55471a4}" providerId="google-sheets"/>
  <x18tc:person displayName="tc={22D171E2-A852-49E5-B283-3DFA5A0E2295}" id="{3a50c2f7-5f1d-4fb7-953f-3b3cad759b3d}" providerId="google-sheets"/>
  <x18tc:person displayName="tc={4204A22E-E3D7-45E9-9BF8-80F0DFDE98F6}" id="{f5545d51-4bdc-40d3-8712-8d692655784d}" providerId="google-sheets"/>
  <x18tc:person displayName="tc={B880019D-E0CE-4812-8AC3-59B10D0E8A5A}" id="{40e978c8-f5f2-4bbe-a479-ff36f95f2386}" providerId="google-sheets"/>
  <x18tc:person displayName="tc={A1411A1C-52BC-41FD-9FDD-62719DEA86F9}" id="{deb41651-282f-4dc6-983e-c9f1354187a3}" providerId="google-sheets"/>
  <x18tc:person displayName="tc={82F9B662-C966-4B37-AC85-3D570B7CC0A2}" id="{904a6c00-ad8f-498c-b721-3a93f5d1bacd}" providerId="google-sheets"/>
  <x18tc:person displayName="tc={E30CA9D3-C5EF-4506-9EAA-1C3961F377E7}" id="{e1b45a35-2b1f-4027-aa5d-910c9ec2a8e9}" providerId="google-sheets"/>
  <x18tc:person displayName="tc={6F482BFD-3AAB-4106-A0F9-14519CD8E3DF}" id="{65709b37-7157-41c0-a36f-37a6167405b9}" providerId="google-sheets"/>
  <x18tc:person displayName="tc={158D72FF-4628-4D26-A6FE-129FCE952F3A}" id="{90ea147a-b04f-4473-9685-ddb62414027f}" providerId="google-sheets"/>
  <x18tc:person displayName="tc={0F3EACB5-50EB-4A30-9E7A-021619D9F612}" id="{1b594783-4ab1-4c58-a8b2-7301d34a93da}" providerId="google-sheets"/>
  <x18tc:person displayName="tc={175B205D-E9DD-4A8E-9208-8AE00C7665BF}" id="{8fa4c430-1ab5-4abe-bb49-2af4cdcc4a91}" providerId="google-sheets"/>
  <x18tc:person displayName="tc={5A9F3DB1-7986-42BC-B308-3737EDEC290E}" id="{6cde34fd-f99b-48d0-8f70-a07b4d4fa8cf}" providerId="google-sheets"/>
  <x18tc:person displayName="tc={7A3F21DB-862D-46CF-A262-ECBABAA32AF3}" id="{0b20f146-b536-4588-8ad7-ef778a908d75}" providerId="google-sheets"/>
  <x18tc:person displayName="tc={0EB2030F-0E46-470C-AF9D-76E29B4EBC62}" id="{85c0eeb7-9c95-490a-8adb-fd6aae72e42b}" providerId="google-sheets"/>
  <x18tc:person displayName="tc={51B8FBAC-34BC-4631-8710-DDD25E88194B}" id="{e0c4f2d4-a335-4308-b335-816b8d56fe0b}" providerId="google-sheets"/>
  <x18tc:person displayName="tc={EB6589C4-CB4B-40D8-8F64-77CE74663A37}" id="{3de8eb34-7785-4631-bd2c-07ce51bb131d}" providerId="google-sheets"/>
  <x18tc:person displayName="tc={BEC93294-84AB-4370-A715-D3629B4E3DE2}" id="{31dab5df-95b4-49a7-8c0e-40b3af02dc4d}" providerId="google-sheets"/>
  <x18tc:person displayName="tc={9EE6761B-1614-4EE9-A83D-0B4071B98354}" id="{8c7c6cc4-8253-4636-b742-d95e0be87f60}" providerId="google-sheets"/>
  <x18tc:person displayName="tc={B6CB6660-7C93-4F2A-9414-8BDD2A24C749}" id="{aa114e3a-54f5-42a3-b11f-92491b2cab27}" providerId="google-sheets"/>
  <x18tc:person displayName="tc={9DA6A948-BC38-43BD-8131-DD8D4A82F99E}" id="{c9645bd2-e402-4176-ba56-d0de57b51c71}" providerId="google-sheets"/>
  <x18tc:person displayName="tc={52C74642-52EA-491C-8F8B-03788277340C}" id="{a8525006-2182-4146-be60-d31bdc9ce40a}" providerId="google-sheets"/>
  <x18tc:person displayName="Nashon Omondi Muok" id="{5cb482dd-c481-48e5-bc31-53b2c104795e}" providerId="google-sheets"/>
  <x18tc:person displayName="tc={9D5C82E2-85A2-4F13-BBA2-9776A50DB683}" id="{e6034c98-0861-4a2b-b04c-f1d334725758}" providerId="google-sheets"/>
  <x18tc:person displayName="tc={E5198AF9-AD07-4E19-A5F6-C6E53A8E02F4}" id="{520c63d3-52ec-4383-8c36-1acfd123a010}" providerId="google-sheets"/>
  <x18tc:person displayName="tc={6EC01F8B-BC4F-4EBD-8C6E-6AC3D06FA78B}" id="{bd4a9302-a893-4710-9d0d-767a6fbe2193}" providerId="google-sheets"/>
  <x18tc:person displayName="tc={838986E0-52D9-4F49-A5CC-BA0E5C81185F}" id="{d5e599b2-ee45-47de-8d5c-68475203ac35}" providerId="google-sheets"/>
  <x18tc:person displayName="tc={9C42C7A0-110A-45D4-AAD4-E273CDAF00F7}" id="{e862bce9-1ac0-4be2-a458-1b3cb861f92b}" providerId="google-sheets"/>
  <x18tc:person displayName="tc={942F126A-7348-4BB8-9EDF-150079153772}" id="{0df58e03-14ef-4b97-bcad-3e9d9741865b}" providerId="google-sheets"/>
  <x18tc:person displayName="tc={6748C69C-1848-4F7D-A703-37BE0509921B}" id="{cdd91211-c877-42fd-906d-40589b73171b}" providerId="google-sheets"/>
  <x18tc:person displayName="tc={9DF4B334-43AF-483C-91ED-DE62B1232A93}" id="{a7d08b25-52ef-44bb-97a8-29ab235f8129}" providerId="google-sheets"/>
  <x18tc:person displayName="tc={FE0F8367-C2BC-4B59-8D91-C48BF5B569D9}" id="{2b233e27-1710-41f6-97c8-73a1fdf3fc20}" providerId="google-sheets"/>
  <x18tc:person displayName="tc={23843884-6F32-40F4-BDD1-7923823CC925}" id="{3f23fdfe-8f26-4602-b50d-feecb3ead2b2}" providerId="google-sheets"/>
  <x18tc:person displayName="tc={365D1A17-EF19-47DD-A524-7EAD84AD8117}" id="{de791586-8f11-49dc-b765-9dd2d48e14c5}" providerId="google-sheets"/>
  <x18tc:person displayName="tc={A524E421-81E9-48D3-B803-C343397D99F8}" id="{49ae3d4c-3a71-410c-9a9a-6318b42ea37b}" providerId="google-sheets"/>
  <x18tc:person displayName="tc={0B4434ED-DA92-4F5F-97E1-6C26DAD5337A}" id="{f50e2f11-c308-45a7-8467-62915a4c4812}" providerId="google-sheets"/>
  <x18tc:person displayName="tc={EE2F285B-F914-4001-8EFE-E3A118C62076}" id="{4c89f0bc-41a7-492d-8169-f1b15a2c67cb}" providerId="google-sheets"/>
  <x18tc:person displayName="tc={DE16C22A-E82A-400C-BA34-32271DDD2D1F}" id="{5fd64578-a0e6-4ca6-8808-26ce9beed707}" providerId="google-sheets"/>
  <x18tc:person displayName="tc={41FE78F2-E1E9-41CA-8305-6CF87327C685}" id="{b31b45ee-868e-4f40-9524-0dc439bf8084}" providerId="google-sheets"/>
  <x18tc:person displayName="tc={D704631D-BCFE-4E4A-9F24-F23006C22D3F}" id="{aa40dd50-b45b-4032-98b9-b221d4d82505}" providerId="google-sheets"/>
  <x18tc:person displayName="tc={7E78F5CD-A8C7-4175-8781-9597B00DAAE4}" id="{e9692918-e401-4135-bcdf-749bc2cd17f3}" providerId="google-sheets"/>
  <x18tc:person displayName="tc={E8A7E0CF-8430-4C31-B427-0C643E9A3711}" id="{79416eb0-245f-49ad-ae4c-7c58c376ef54}" providerId="google-sheets"/>
  <x18tc:person displayName="tc={8DA8E957-BE7A-431D-A5A5-96E476D0B7A9}" id="{9b008e78-3707-46b7-8992-03f4f630e65a}" providerId="google-sheets"/>
  <x18tc:person displayName="tc={8B80A9E7-4D21-49A3-9C94-D1FDCBA55B82}" id="{4bc5d320-63c7-4be1-afe9-051d87a9fd02}" providerId="google-sheets"/>
  <x18tc:person displayName="tc={7F8E821A-6978-4116-9880-29EEA7B4E1FB}" id="{26cf362d-d306-46a1-a322-011111b74eca}" providerId="google-sheets"/>
  <x18tc:person displayName="tc={ED6A2911-246C-4A27-A4EB-28AC59D5F425}" id="{c3508a5d-55ae-4f7f-b5c3-3186b2f1703f}" providerId="google-sheets"/>
  <x18tc:person displayName="tc={E568ED36-26CD-449D-A03A-418B1E28ED53}" id="{5f079114-355d-4166-b06d-cf43ab028e38}" providerId="google-sheets"/>
  <x18tc:person displayName="tc={CF2163B4-E140-4C28-AABD-9C3DCF1E8CD8}" id="{55ea2d0c-3395-4bac-9ee7-04b7d5b9b3b3}" providerId="google-sheets"/>
  <x18tc:person displayName="tc={978699D2-41AE-4647-B230-7706BA222FED}" id="{2c67eedd-ab89-4940-b242-931db39cc18e}" providerId="google-sheets"/>
  <x18tc:person displayName="tc={1C6BA5F2-6F04-4B82-9029-7C2567E18067}" id="{2a731829-0e08-4b66-8ffa-70df240d7b15}" providerId="google-sheets"/>
  <x18tc:person displayName="tc={B3672E0A-187F-4679-9178-C71C784E870C}" id="{e119d033-b918-42a8-9f43-cf762025c304}" providerId="google-sheets"/>
  <x18tc:person displayName="tc={8B79FEC1-BC25-4A26-A1C4-302951E6B992}" id="{e0ba1435-e151-42c0-918a-c3af044f10de}" providerId="google-sheets"/>
  <x18tc:person displayName="tc={C5DBAF61-6CDA-427E-A005-C93D1C0F13AA}" id="{8051c1b0-c2c2-48dc-aefc-eeda1f115c26}" providerId="google-sheets"/>
  <x18tc:person displayName="tc={D29F7F1E-8D37-4182-B1C5-4195D45B734F}" id="{0e15e504-0e77-410f-8793-00196f769b1f}" providerId="google-sheets"/>
  <x18tc:person displayName="tc={0495114B-3C8B-4E06-9753-D44284E53403}" id="{1a2944ff-9079-4c0b-b791-41ea2cbcefc4}" providerId="google-sheets"/>
  <x18tc:person displayName="tc={01B16E22-7666-4198-B8E0-D07009D15626}" id="{40fd7507-9690-46af-87ab-324de3e4672a}" providerId="google-sheets"/>
  <x18tc:person displayName="tc={0299B2E9-1790-4214-8281-A13A5FFE5247}" id="{e12d184a-fa37-474e-b60f-d9c0b48b4356}" providerId="google-sheets"/>
  <x18tc:person displayName="tc={39BC8D3C-29EB-4874-9D12-662EB8B2A863}" id="{d434bd78-f436-4d1e-a88a-dff6b1106901}" providerId="google-sheets"/>
  <x18tc:person displayName="tc={707DCFCD-8A18-4E85-AFA7-D16510A2A2E6}" id="{6bfdec76-571d-4d8f-852a-82b5ae0f77d3}" providerId="google-sheets"/>
  <x18tc:person displayName="tc={D3985536-22E2-49BF-BC35-DC90E98761D7}" id="{14db9453-ee5d-44a4-b7c9-73bcdd0bc1ae}" providerId="google-sheets"/>
  <x18tc:person displayName="tc={529F7FAB-0D01-48BA-809C-218EE901485B}" id="{eeecf3a5-2efb-48df-96b9-18de87c2682e}" providerId="google-sheets"/>
  <x18tc:person displayName="tc={8D694B30-1A4A-4AD3-8010-1A881DACD179}" id="{3adeecef-ee91-46d2-b5b8-0cf4953c0840}" providerId="google-sheets"/>
  <x18tc:person displayName="tc={EE456187-32F4-495A-A80B-A3D9CB3E5555}" id="{2c6f0669-c20f-4d73-b037-05132b11f292}" providerId="google-sheets"/>
  <x18tc:person displayName="tc={D8A01E7C-59AC-4A72-9A8D-6FFFA60CDE12}" id="{8e338292-3bc0-4094-afd7-ca0f8a0a5360}" providerId="google-sheets"/>
  <x18tc:person displayName="tc={65DB1BF8-F099-4EB4-99E4-B575EBBBFB7A}" id="{d3540e3c-96ba-4690-ae1e-62698051f72b}" providerId="google-sheets"/>
  <x18tc:person displayName="tc={57CC2B5B-9BDF-4854-8D09-FEE293027DD7}" id="{4a18ee96-0311-482b-9827-afc14906f8d1}" providerId="google-sheets"/>
  <x18tc:person displayName="tc={0C8D5ABD-1896-4A0C-AE94-16CCE61C2246}" id="{d18d5026-50c8-44ff-ab89-b8f1e7d5442b}" providerId="google-sheets"/>
  <x18tc:person displayName="tc={FB946CA7-2B69-46B0-B94D-4EEF7B6D48D5}" id="{ab62370e-085a-4bf2-9596-b355b75dded5}" providerId="google-sheets"/>
  <x18tc:person displayName="tc={860E6D2B-86A5-4367-9E4B-433FD32EB998}" id="{e007a404-439b-480a-bd9a-532497824f90}" providerId="google-sheets"/>
  <x18tc:person displayName="tc={823FE3B6-DEFE-4AD0-B9FD-9848FEEAFD75}" id="{ac5d8dcf-d295-4576-b11e-8c12fef5d9eb}" providerId="google-sheets"/>
  <x18tc:person displayName="tc={B6396D8E-F2F3-42CD-9872-C26CAA6916A8}" id="{5e4700ce-4468-4f28-8165-3a96a1fdeafc}" providerId="google-sheets"/>
  <x18tc:person displayName="tc={C9E7CD82-037B-4C3B-8BEF-4322ACBFE97D}" id="{e7e474ef-93ad-4e3a-ba17-222021073cf8}" providerId="google-sheets"/>
  <x18tc:person displayName="tc={6D78294B-0FAB-49EC-A484-C697BD1A43EE}" id="{7fa6e3a0-0b70-4b86-be88-a51c35f730ee}" providerId="google-sheets"/>
  <x18tc:person displayName="tc={AC7AC975-EAA7-4F23-9F2E-0D1C27205123}" id="{3ac026cb-0324-4b91-923e-3a6e3c219028}" providerId="google-sheets"/>
  <x18tc:person displayName="tc={5A033576-332D-4A70-AB30-8859465FD438}" id="{b79e7d95-dfaa-4291-85df-281b227e8299}" providerId="google-sheets"/>
  <x18tc:person displayName="tc={6CC3EA35-4704-4334-B99E-9C9732B89105}" id="{297c5e45-20ba-47db-ba0f-b64c739c104b}" providerId="google-sheets"/>
  <x18tc:person displayName="tc={0F7E7F4A-034D-4460-8385-E72CCB39F200}" id="{e4c06995-b734-4551-9041-7b2a9d039647}" providerId="google-sheets"/>
  <x18tc:person displayName="tc={B7662407-9CAF-4AF7-8109-301E2DC201F6}" id="{cf87115f-c21e-49b5-9c89-688d4f2a2580}" providerId="google-sheets"/>
  <x18tc:person displayName="tc={AAF06D48-AE71-4324-B332-CFF8D9EFAAA6}" id="{36e0ec75-07f0-4f9c-9351-fcc07c14c944}" providerId="google-sheets"/>
  <x18tc:person displayName="tc={D4E360DE-2C9A-4E9E-82D6-4A494E62C90F}" id="{8e286d7d-c9b8-4dcc-9ee6-722b1be8e65b}" providerId="google-sheets"/>
  <x18tc:person displayName="tc={9FB8B774-CE53-4725-AC49-2C7C47756668}" id="{a0c818e3-3fb9-4cea-bbb9-b24e5de4723b}" providerId="google-sheets"/>
  <x18tc:person displayName="tc={649175E9-9D17-42F4-8958-7E20E0A89258}" id="{f89ee930-211f-4645-b7fd-95f7920db2b2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5" dT="2026-02-15T16:33:51.00" personId="{b31b45ee-868e-4f40-9524-0dc439bf8084}" id="{95176bdf-ee19-4b3f-9e35-977da9658a61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Applicability or Frequency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11" dT="2026-02-15T16:33:51.00" personId="{e4b6bbd3-f4dd-4ffc-bbce-b6f7cea2a635}" id="{a66edc97-a719-48a8-a3e7-85d9eae769a9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Applicability or Frequency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30" dT="2026-02-15T16:33:51.00" personId="{eb284bc1-08a7-4d4a-89a6-bc0ccbc38b56}" id="{0bc51683-9cd4-468f-931b-2898827ecf06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Applicability or Frequency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C44" dT="2026-02-15T16:33:51.00" personId="{e1b45a35-2b1f-4027-aa5d-910c9ec2a8e9}" id="{ec35c53f-4f67-41d5-a2ba-f1073758f4f8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Land Use Inadiquacy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36" dT="2026-02-15T16:33:51.00" personId="{4c34808a-ccd6-4c8a-8295-d069048f0f8c}" id="{e3c6fb57-30f2-488c-822c-996d56ede151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Applicability or Frequency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52" dT="2026-02-15T16:33:51.00" personId="{dd9de6a6-24c6-4644-a199-8280d8b938b0}" id="{3fa85728-fa8e-4bac-b275-e68295dde33f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Earthquakes/volcanic activities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19" dT="2026-02-15T16:33:51.00" personId="{58777255-82d2-4a3c-bfe5-aff1dbccd587}" id="{49fb8c0d-c475-4a71-bf97-ca855960d97c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Applicability or Frequency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40" dT="2026-02-15T16:33:51.00" personId="{7d278a2f-1625-4f0f-bfa6-45000653f0f3}" id="{3efef5ef-f407-4b6b-abbd-c1c9f15e3371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Applicability or Frequency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4" dT="2026-02-15T16:33:51.00" personId="{19ce3905-17b3-4873-8428-a757e6850c22}" id="{bd376a5a-b04d-49e6-bae2-23923be495b8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Applicability or Frequency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5" dT="2026-02-15T16:33:51.00" personId="{0fb725cb-40b2-422c-9195-1c975a07dd83}" id="{d3fbf13e-a1e2-4062-b65c-1e89a346df44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Safety/Land use planning and control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1" dT="2026-02-15T16:33:51.00" personId="{f34865ca-a3b0-4c5f-9afd-96a28ca90f20}" id="{ef8c7410-b31e-44f0-9380-405cb6d59d70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Engagement county-community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6" dT="2026-02-15T16:33:51.00" personId="{b8daccf4-b128-4a8e-ad50-3a8f5bedce22}" id="{bdd61599-0239-45e1-adfd-588a13edd5ca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Solid Waste Management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4" dT="2026-02-15T16:33:51.00" personId="{6c391030-dd87-4be6-8eca-e0010b4783c1}" id="{d92c9245-1ba6-4de9-802c-8fc4e7dbd2af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Water Borne / vector borne / heat born diseases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39" dT="2026-02-15T16:33:51.00" personId="{4a18ee96-0311-482b-9827-afc14906f8d1}" id="{6cabe3cd-55b7-4af6-a21d-6678701cc355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Potable water treatment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9" dT="2026-02-15T16:33:51.00" personId="{d0a25966-968c-49f5-a181-fe3c2846069f}" id="{728a257a-ba98-4f5a-8e3e-d45815583b60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Access to Healthy Environment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7" dT="2026-02-15T16:33:51.00" personId="{f4b86892-7ee2-4934-8e97-763fdd1cf0ad}" id="{8254b632-88a0-455e-84e5-70b9b429b6cc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Public finance / Maintenance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49" dT="2026-02-15T16:33:51.00" personId="{05ceaaed-b393-406e-b73c-aad1996946b7}" id="{9ea660ca-1cba-45fb-b535-6313943a5bc6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Land cover and permeability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5" dT="2026-02-15T16:33:51.00" personId="{cf8a33e2-5435-40b6-90eb-62e7ca15c52f}" id="{3869fe41-e9e5-4d94-ad12-b1a6600266c7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Disaster response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4" dT="2026-02-15T16:33:51.00" personId="{e119d033-b918-42a8-9f43-cf762025c304}" id="{5690d6ec-38e8-4289-aaf1-d21efc74dbd4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Disaster preparedness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53" dT="2026-02-15T16:33:51.00" personId="{b9d93a4c-be2e-489c-992c-18b89fc2e2f2}" id="{62e7ccbb-3ee9-4778-adb4-df5def16348e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Natural water bodies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50" dT="2026-02-15T16:33:51.00" personId="{8fa4c430-1ab5-4abe-bb49-2af4cdcc4a91}" id="{d3500ff3-f625-41f7-8b87-8f7b32ca1d27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Natural Vegetation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2" dT="2026-02-15T16:33:51.00" personId="{35b54313-b3f8-4670-a385-77a840c0ffab}" id="{d884d678-e242-44a8-82ec-16cdfb5c996f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Resources / resources planning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55" dT="2026-02-15T16:33:51.00" personId="{a0c818e3-3fb9-4cea-bbb9-b24e5de4723b}" id="{f8692375-f644-432a-9f96-327b59f4feba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Ecosystem functionalyty / Riparian reserves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33" dT="2026-02-15T16:33:51.00" personId="{7fa6e3a0-0b70-4b86-be88-a51c35f730ee}" id="{4765fd20-08f1-4538-ae30-67e8db2d911e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Storm water drainage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6" dT="2026-02-15T16:33:51.00" personId="{d434bd78-f436-4d1e-a88a-dff6b1106901}" id="{b8528bf3-b237-490d-8ce4-42de0ee41980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Public finance / recovery grants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0" dT="2026-02-15T16:33:51.00" personId="{d6ee921a-1b32-4e93-bd32-74c01503ea66}" id="{97259ebb-fdb8-43c7-a64a-7b8fc9a943c3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Water for irrigation/and other domestic uses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1" dT="2026-02-15T16:33:51.00" personId="{a0a95da7-e5ff-4e7e-924e-0361f4c87152}" id="{2d632ad8-ccd5-407d-8c7a-f38d8092d38c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Acces to finance / insurance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7" dT="2026-02-15T16:33:51.00" personId="{1a2944ff-9079-4c0b-b791-41ea2cbcefc4}" id="{0c60581f-b5f6-4acb-a3f8-c218e45d0fd3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Liquid Waste Management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0" dT="2026-02-15T16:33:51.00" personId="{e8b17091-9eae-4898-be48-d3e8b47a1b39}" id="{400a93a6-6a11-46c8-bb2d-6a1de2e4b79c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Awareness and information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41" dT="2026-02-15T16:33:51.00" personId="{e7e70ff3-4bd7-476e-8de5-3f4114748a6f}" id="{58b95338-7feb-42ed-8859-475e7990ef9f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Roads and transport/mobility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8" dT="2026-02-15T16:33:51.00" personId="{5fd64578-a0e6-4ca6-8808-26ce9beed707}" id="{94ee87f9-3a7f-4b14-bd43-792efb041b03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Access to Health Services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59" dT="2026-02-15T16:33:51.00" personId="{b9c4012e-3080-4b0f-9ec2-739540be5982}" id="{9c95b6a7-61b8-4011-927b-12f1a34dc8a3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Early warning system or mechanism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C48" dT="2026-02-15T16:33:51.00" personId="{5cb482dd-c481-48e5-bc31-53b2c104795e}" id="{bece3f18-8381-4559-af7c-87b09f15af78}" done="0">
    <x18tc:text xml:space="preserve">User
Ecology and Biodiversity System</x18tc:text>
  </x18tc:threadedComment>
  <x18tc:threadedComment ref="D63" dT="2026-02-15T16:33:51.00" personId="{b592ca98-456b-4d7b-85dd-03796e574a66}" id="{b2098cf7-b172-487b-bf38-a341e04352b7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Health facilities operations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66" dT="2026-02-15T16:33:51.00" personId="{e5df3aed-cfae-4a33-8cd9-ca575136b2d7}" id="{e25d25be-0599-43a5-ba92-2e6f7c66fdba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Public finance / recovery grants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7" dT="2026-02-15T16:33:51.00" personId="{7c2985ed-390b-499c-90c5-f8adb9baae6d}" id="{a2f84f22-29e2-49fc-8d06-73a7f1eb3d73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Liquid Waste Management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49" dT="2026-02-15T16:33:51.00" personId="{69ec4b6e-7307-409f-889a-b0aee33dba06}" id="{849635c0-1860-42f0-a879-ad0bab67917f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Land cover and permeability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6" dT="2026-02-15T16:33:51.00" personId="{ac5d8dcf-d295-4576-b11e-8c12fef5d9eb}" id="{4a2c8ee4-2a6b-4f32-a073-413a622c99e8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Solid Waste Management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59" dT="2026-02-15T16:33:51.00" personId="{e862bce9-1ac0-4be2-a458-1b3cb861f92b}" id="{9b59197d-efaa-4adc-a65c-f5ac007791b6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Early warning system or mechanism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41" dT="2026-02-15T16:33:51.00" personId="{3ac026cb-0324-4b91-923e-3a6e3c219028}" id="{5d6e1353-9924-4e94-9f2f-fcf7919c3978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Roads and transport/mobility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3" dT="2026-02-15T16:33:51.00" personId="{7bba5fca-cb37-4115-b771-696279c96109}" id="{3bde22dc-fba4-41ec-ad15-aa0bccc477e4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Health facilities operations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55" dT="2026-02-15T16:33:51.00" personId="{24a35259-3116-4cb3-8bd4-742209b51116}" id="{5ec0ee56-b584-4007-844b-96698e5cc4c7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Ecosystem functionalyty / Riparian reserves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5" dT="2026-02-15T16:33:51.00" personId="{202f3b44-856a-44b0-801b-7a7b6f945d7c}" id="{bd01e5f8-e677-4528-a916-9fb90411f4e5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Safety/Land use planning and control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8" dT="2026-02-15T16:33:51.00" personId="{aaa4d25a-64fe-4c9d-b2b1-0e7d8510381a}" id="{957150f9-8803-4fb4-a1b5-9b5309077b81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Access to Health Services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53" dT="2026-02-15T16:33:51.00" personId="{45d7d4f6-f5e6-470c-8e38-47a36356b7c5}" id="{2dc891c4-5ccf-4feb-a36f-ae6b05e18ea6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Natural water bodies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5" dT="2026-02-15T16:33:51.00" personId="{deb41651-282f-4dc6-983e-c9f1354187a3}" id="{1b749de8-6ab0-49f9-8ca9-52e0a12a1509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Disaster response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1" dT="2026-02-15T16:33:51.00" personId="{31dab5df-95b4-49a7-8c0e-40b3af02dc4d}" id="{e70e6dce-f433-4472-bc8d-35cb21cde949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Acces to finance / insurance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33" dT="2026-02-15T16:33:51.00" personId="{be986e8e-b3e2-4d61-9744-f1b6ed1dc61b}" id="{9b44c26f-d067-40a4-bfa7-7acc795dc050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Storm water drainage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1" dT="2026-02-15T16:33:51.00" personId="{e7631ab6-13e2-42d0-b16d-a306aefd8de5}" id="{ffd8a8b5-3987-441f-a1f0-66b542370a34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Engagement county-community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4" dT="2026-02-15T16:33:51.00" personId="{76f7c653-82c2-466a-b2ab-36600f6cd2a9}" id="{ce4b3989-faab-4fb2-9e86-0aaf377b9fbe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Water Borne / vector borne / heat born diseases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39" dT="2026-02-15T16:33:51.00" personId="{061998d2-e742-4340-930d-61d556d3fb61}" id="{cae59f8c-bd1a-4138-9d11-5c8a1dcd22b9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Potable water treatment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9" dT="2026-02-15T16:33:51.00" personId="{3a50c2f7-5f1d-4fb7-953f-3b3cad759b3d}" id="{ed113e6f-baae-48a3-bf9b-48255e9aef04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Access to Healthy Environment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50" dT="2026-02-15T16:33:51.00" personId="{f8f510a7-c54b-4a73-9e08-24b38f8614fd}" id="{e8a975a0-880c-48ad-a8c9-5a6f4822d91d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Natural Vegetation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0" dT="2026-02-15T16:33:51.00" personId="{76da1495-6dc5-4f86-81be-c730366711ab}" id="{e2eb3c6c-a604-4893-b258-be286ef214d0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Awareness and information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2" dT="2026-02-15T16:33:51.00" personId="{cdd91211-c877-42fd-906d-40589b73171b}" id="{b079b2f0-ac8f-460e-977f-772dd644ae20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Resources / resources planning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7" dT="2026-02-15T16:33:51.00" personId="{c296abec-21c6-43ba-8303-893d15a51223}" id="{a8b77517-008f-4f38-9a20-3c630d9414b9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Public finance / Maintenance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4" dT="2026-02-15T16:33:51.00" personId="{de791586-8f11-49dc-b765-9dd2d48e14c5}" id="{b0a239d4-0813-4ed6-8d8f-2290e3d41525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Disaster preparedness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0" dT="2026-02-15T16:33:51.00" personId="{bb64a557-728b-487f-a38c-4fc999250f6e}" id="{683b3a62-6313-49d5-b4f4-3d8b26489608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Water for irrigation/and other domestic uses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9" dT="2026-02-15T16:33:51.00" personId="{6e06f06b-bce4-40e0-b80a-e7e921003f57}" id="{dc2bbde8-fb54-4286-936e-617c27aa37bc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Potable water treatment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53" dT="2026-02-15T16:33:51.00" personId="{4c89f0bc-41a7-492d-8169-f1b15a2c67cb}" id="{948adb7e-72d3-4774-9a30-1de7b1d873ce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Natural water bodies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5" dT="2026-02-15T16:33:51.00" personId="{45b9e207-8753-49e4-999c-e483b082166f}" id="{f87b8b0b-8cab-4548-b12f-1c855cabb3a4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Disaster response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8" dT="2026-02-15T16:33:51.00" personId="{5e4700ce-4468-4f28-8165-3a96a1fdeafc}" id="{426dedc9-6e76-4f71-ae5c-1bcd33215a23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Access to Health Services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33" dT="2026-02-15T16:33:51.00" personId="{719d36d4-6a84-4dc0-af66-81a4e54e7115}" id="{b1363afe-4c55-43f0-aa39-d67d996a4582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Storm water drainage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5" dT="2026-02-15T16:33:51.00" personId="{d33bee8d-6bba-42ae-92f4-b465aa8b0a0d}" id="{44c6d616-d694-4403-a9b7-d2bb07849b95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Safety/Land use planning and control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2" dT="2026-02-15T16:33:51.00" personId="{a0998fe7-118e-46fd-86fd-a88799a3c6c4}" id="{b3cc66c9-9af5-4a61-b2ed-8d289240759f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Resources / resources planning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6" dT="2026-02-15T16:33:51.00" personId="{0c7f31df-c4e9-43c8-850b-17cc7360cd34}" id="{e8140a9f-4eb7-4501-845b-d7dc16fe061f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Public finance / recovery grants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9" dT="2026-02-15T16:33:51.00" personId="{14db9453-ee5d-44a4-b7c9-73bcdd0bc1ae}" id="{e022c45f-986e-4f1f-bdee-702185ea65a0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Access to Healthy Environment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0" dT="2026-02-15T16:33:51.00" personId="{af466a24-c633-4ca0-ace8-b6a775f29aa5}" id="{4597677e-5137-438c-abe8-bccac3f6a914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Water for irrigation/and other domestic uses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1" dT="2026-02-15T16:33:51.00" personId="{90d0e9f7-2fd3-49e8-82d5-3b265f01d32e}" id="{33fb97d7-cfd0-4e94-8b07-54257560a5f8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Engagement county-community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0" dT="2026-02-15T16:33:51.00" personId="{f50e2f11-c308-45a7-8467-62915a4c4812}" id="{47dd61ad-2a91-49be-af97-5d3d867bdd2b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Awareness and information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3" dT="2026-02-15T16:33:51.00" personId="{38c2bfff-ed6e-457e-b8f4-e04855dd0687}" id="{d929d542-bf4d-4ce7-94c0-bcaa9e1c1a81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Health facilities operations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1" dT="2026-02-15T16:33:51.00" personId="{664c07ac-4100-45de-bf2b-bade63360a68}" id="{8e11584c-ceb8-4a97-9197-a76ef8517d26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Acces to finance / insurance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4" dT="2026-02-15T16:33:51.00" personId="{e6034c98-0861-4a2b-b04c-f1d334725758}" id="{6ea3f5f5-8fac-493e-a699-e228e61915f7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Water Borne / vector borne / heat born diseases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41" dT="2026-02-15T16:33:51.00" personId="{8e999962-9f0b-4a52-81aa-2288f586ee3c}" id="{ef03389a-124d-49cc-a8aa-29a174289161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Roads and transport/mobility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49" dT="2026-02-15T16:33:51.00" personId="{d0a0fc63-8e25-4b62-af67-00fa4ae891d1}" id="{988bbc1f-35cd-4ef4-ab11-8ac5cdf76330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Land cover and permeability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50" dT="2026-02-15T16:33:51.00" personId="{eeecf3a5-2efb-48df-96b9-18de87c2682e}" id="{99864397-3ce9-48e7-97b8-e7f458665f38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Natural Vegetation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4" dT="2026-02-15T16:33:51.00" personId="{3f7b630b-f377-4f5f-af1a-d825ea8472bf}" id="{92ebb325-363f-4436-a436-6404dd91ff49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Disaster preparedness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67" dT="2026-02-15T16:33:51.00" personId="{1d395383-c015-4dcd-b632-031e9637fae3}" id="{3428bf68-4ab2-490c-9276-9b5cea2b85aa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Public finance / Maintenance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7" dT="2026-02-15T16:33:51.00" personId="{7aa8e224-91cb-4b0d-8975-036fa018e993}" id="{46f293d9-0d9f-42ba-af6b-a4b6d34b976e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Liquid Waste Management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26" dT="2026-02-15T16:33:51.00" personId="{85c0eeb7-9c95-490a-8adb-fd6aae72e42b}" id="{6f36fbb7-88b9-451e-9f97-c14a4f2bcb27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Solid Waste Management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59" dT="2026-02-15T16:33:51.00" personId="{944a014e-64da-405a-b2a4-4b4c62a7dd66}" id="{e515b8c2-875d-45da-b523-ae68f17c2f63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Early warning system or mechanism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55" dT="2026-02-15T16:33:51.00" personId="{e8c9a55b-ba8a-44a9-93a4-d4531dd32ef3}" id="{5510f5fb-92a9-4f44-a6c4-16eb287fb4f2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Ecosystem functionalyty / Riparian reserves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2.xml"/><Relationship Id="rId4" Type="http://schemas.microsoft.com/office/2019/04/relationships/documenttask" Target="../documenttasks/documenttask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5" Type="http://schemas.microsoft.com/office/2017/10/relationships/threadedComment" Target="../threadedComments/threadedComment4.xml"/><Relationship Id="rId4" Type="http://schemas.microsoft.com/office/2019/04/relationships/documenttask" Target="../documenttasks/documenttask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Z992"/>
  <sheetViews>
    <sheetView showGridLines="0" topLeftCell="A19" workbookViewId="0">
      <selection sqref="A1:XFD8"/>
    </sheetView>
  </sheetViews>
  <sheetFormatPr defaultColWidth="14.42578125" defaultRowHeight="15" customHeight="1"/>
  <cols>
    <col min="1" max="2" width="2" customWidth="1"/>
    <col min="3" max="3" width="20" customWidth="1"/>
    <col min="4" max="4" width="27.42578125" customWidth="1"/>
    <col min="5" max="5" width="100.140625" customWidth="1"/>
    <col min="6" max="6" width="89" customWidth="1"/>
    <col min="7" max="7" width="22" customWidth="1"/>
    <col min="8" max="8" width="24.85546875" customWidth="1"/>
    <col min="9" max="9" width="11.5703125" hidden="1" customWidth="1"/>
    <col min="10" max="10" width="29.5703125" hidden="1" customWidth="1"/>
    <col min="11" max="11" width="17.140625" hidden="1" customWidth="1"/>
    <col min="12" max="26" width="8.7109375" customWidth="1"/>
  </cols>
  <sheetData>
    <row r="1" spans="1:26" ht="15.75" customHeight="1">
      <c r="A1" s="1"/>
      <c r="B1" s="2"/>
      <c r="C1" s="2"/>
      <c r="D1" s="2"/>
      <c r="E1" s="2"/>
      <c r="F1" s="2"/>
      <c r="G1" s="2"/>
      <c r="H1" s="1"/>
      <c r="I1" s="3"/>
      <c r="J1" s="3" t="s">
        <v>0</v>
      </c>
      <c r="K1" s="3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4"/>
    </row>
    <row r="2" spans="1:26" ht="23.25" customHeight="1">
      <c r="A2" s="1"/>
      <c r="B2" s="71" t="s">
        <v>1</v>
      </c>
      <c r="C2" s="72"/>
      <c r="D2" s="73"/>
      <c r="E2" s="7" t="s">
        <v>2</v>
      </c>
      <c r="F2" s="7" t="s">
        <v>3</v>
      </c>
      <c r="G2" s="8" t="s">
        <v>4</v>
      </c>
      <c r="H2" s="9" t="s">
        <v>5</v>
      </c>
      <c r="I2" s="10" t="s">
        <v>6</v>
      </c>
      <c r="J2" s="11" t="s">
        <v>7</v>
      </c>
      <c r="K2" s="12" t="s">
        <v>8</v>
      </c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</row>
    <row r="3" spans="1:26" ht="15.75" customHeight="1">
      <c r="A3" s="13">
        <v>1</v>
      </c>
      <c r="B3" s="14">
        <v>1</v>
      </c>
      <c r="C3" s="15" t="s">
        <v>9</v>
      </c>
      <c r="D3" s="16" t="s">
        <v>10</v>
      </c>
      <c r="E3" s="17" t="s">
        <v>11</v>
      </c>
      <c r="F3" s="18" t="s">
        <v>12</v>
      </c>
      <c r="G3" s="19" t="s">
        <v>13</v>
      </c>
      <c r="H3" s="20" t="str">
        <f>IF(OR(G3=$J$3,G3=$J$4,G3=$J$5),$J$1,#REF!)</f>
        <v/>
      </c>
      <c r="I3" s="10">
        <f t="shared" ref="I3:I4" si="0">IF(G3=$J$3,$K$3,IF(G3=$J$4,$K$4,$K$5))</f>
        <v>3</v>
      </c>
      <c r="J3" s="3" t="s">
        <v>14</v>
      </c>
      <c r="K3" s="3">
        <v>3</v>
      </c>
      <c r="L3" s="4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</row>
    <row r="4" spans="1:26" ht="15.75" customHeight="1">
      <c r="A4" s="13">
        <f t="shared" ref="A4:A5" si="1">A3+1</f>
        <v>2</v>
      </c>
      <c r="B4" s="21"/>
      <c r="C4" s="22"/>
      <c r="D4" s="16" t="s">
        <v>15</v>
      </c>
      <c r="E4" s="17" t="s">
        <v>16</v>
      </c>
      <c r="F4" s="18" t="s">
        <v>17</v>
      </c>
      <c r="G4" s="19" t="s">
        <v>18</v>
      </c>
      <c r="H4" s="20" t="str">
        <f>IF(OR(G4=$J$3,G4=$J$4,G4=$J$5),$J$1,#REF!)</f>
        <v/>
      </c>
      <c r="I4" s="10">
        <f t="shared" si="0"/>
        <v>1</v>
      </c>
      <c r="J4" s="3" t="s">
        <v>18</v>
      </c>
      <c r="K4" s="3">
        <v>1</v>
      </c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4"/>
    </row>
    <row r="5" spans="1:26" ht="15.75" customHeight="1">
      <c r="A5" s="13">
        <f t="shared" si="1"/>
        <v>3</v>
      </c>
      <c r="B5" s="23"/>
      <c r="C5" s="24"/>
      <c r="D5" s="16" t="s">
        <v>19</v>
      </c>
      <c r="E5" s="17" t="s">
        <v>20</v>
      </c>
      <c r="F5" s="18" t="s">
        <v>21</v>
      </c>
      <c r="G5" s="19" t="s">
        <v>22</v>
      </c>
      <c r="H5" s="20" t="str">
        <f>IF(OR(G5=$J$8,G5=$J$9,G5=$J$10),$J$1,#REF!)</f>
        <v/>
      </c>
      <c r="I5" s="10">
        <f>IF(G5=$J$8,$K$8,IF(G5=$J$9,$K$9,$K$10))</f>
        <v>1</v>
      </c>
      <c r="J5" s="3" t="s">
        <v>13</v>
      </c>
      <c r="K5" s="3">
        <v>3</v>
      </c>
      <c r="L5" s="4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4"/>
    </row>
    <row r="6" spans="1:26" ht="15.75" customHeight="1">
      <c r="A6" s="13"/>
      <c r="B6" s="25"/>
      <c r="C6" s="25"/>
      <c r="D6" s="25"/>
      <c r="E6" s="25"/>
      <c r="F6" s="25"/>
      <c r="G6" s="25"/>
      <c r="H6" s="26"/>
      <c r="I6" s="3" t="str">
        <f>""</f>
        <v/>
      </c>
      <c r="J6" s="3"/>
      <c r="K6" s="3"/>
      <c r="L6" s="4"/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4"/>
    </row>
    <row r="7" spans="1:26" ht="15.75" customHeight="1">
      <c r="A7" s="13">
        <f t="shared" ref="A7:A9" si="2">A6+1</f>
        <v>1</v>
      </c>
      <c r="B7" s="14">
        <v>2</v>
      </c>
      <c r="C7" s="14" t="s">
        <v>23</v>
      </c>
      <c r="D7" s="16" t="s">
        <v>10</v>
      </c>
      <c r="E7" s="17" t="s">
        <v>24</v>
      </c>
      <c r="F7" s="18" t="s">
        <v>25</v>
      </c>
      <c r="G7" s="19" t="s">
        <v>18</v>
      </c>
      <c r="H7" s="20" t="str">
        <f>IF(OR(G7=$J$3,G7=$J$4,G7=$J$5),$J$1,#REF!)</f>
        <v/>
      </c>
      <c r="I7" s="10">
        <f t="shared" ref="I7:I8" si="3">IF(G7=$J$3,$K$3,IF(G7=$J$4,$K$4,$K$5))</f>
        <v>1</v>
      </c>
      <c r="J7" s="11" t="s">
        <v>26</v>
      </c>
      <c r="K7" s="12" t="s">
        <v>27</v>
      </c>
      <c r="L7" s="4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4"/>
    </row>
    <row r="8" spans="1:26" ht="15.75" customHeight="1">
      <c r="A8" s="13">
        <f t="shared" si="2"/>
        <v>2</v>
      </c>
      <c r="B8" s="21"/>
      <c r="C8" s="21"/>
      <c r="D8" s="16" t="s">
        <v>15</v>
      </c>
      <c r="E8" s="17" t="s">
        <v>28</v>
      </c>
      <c r="F8" s="18" t="s">
        <v>29</v>
      </c>
      <c r="G8" s="19" t="s">
        <v>18</v>
      </c>
      <c r="H8" s="20" t="str">
        <f>IF(OR(G8=$J$3,G8=$J$4,G8=$J$5),$J$1,#REF!)</f>
        <v/>
      </c>
      <c r="I8" s="10">
        <f t="shared" si="3"/>
        <v>1</v>
      </c>
      <c r="J8" s="3" t="s">
        <v>30</v>
      </c>
      <c r="K8" s="3">
        <v>3</v>
      </c>
      <c r="L8" s="4"/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4"/>
    </row>
    <row r="9" spans="1:26" ht="15.75" customHeight="1">
      <c r="A9" s="13">
        <f t="shared" si="2"/>
        <v>3</v>
      </c>
      <c r="B9" s="23"/>
      <c r="C9" s="23"/>
      <c r="D9" s="16" t="s">
        <v>19</v>
      </c>
      <c r="E9" s="17" t="s">
        <v>31</v>
      </c>
      <c r="F9" s="18" t="s">
        <v>32</v>
      </c>
      <c r="G9" s="19" t="s">
        <v>22</v>
      </c>
      <c r="H9" s="20" t="str">
        <f>IF(OR(G9=$J$8,G9=$J$9,G9=$J$10),$J$1,#REF!)</f>
        <v/>
      </c>
      <c r="I9" s="10">
        <f>IF(G9=$J$8,$K$8,IF(G9=$J$9,$K$9,$K$10))</f>
        <v>1</v>
      </c>
      <c r="J9" s="3" t="s">
        <v>33</v>
      </c>
      <c r="K9" s="3">
        <v>2</v>
      </c>
      <c r="L9" s="4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4"/>
    </row>
    <row r="10" spans="1:26" ht="15.75" customHeight="1">
      <c r="A10" s="13"/>
      <c r="B10" s="25"/>
      <c r="C10" s="25"/>
      <c r="D10" s="25"/>
      <c r="E10" s="25"/>
      <c r="F10" s="25"/>
      <c r="G10" s="25"/>
      <c r="H10" s="26"/>
      <c r="I10" s="10"/>
      <c r="J10" s="3" t="s">
        <v>22</v>
      </c>
      <c r="K10" s="3">
        <v>1</v>
      </c>
      <c r="L10" s="4"/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4"/>
    </row>
    <row r="11" spans="1:26" ht="15.75" customHeight="1">
      <c r="A11" s="13">
        <f t="shared" ref="A11:A14" si="4">A10+1</f>
        <v>1</v>
      </c>
      <c r="B11" s="14">
        <v>3</v>
      </c>
      <c r="C11" s="15" t="s">
        <v>34</v>
      </c>
      <c r="D11" s="16" t="s">
        <v>10</v>
      </c>
      <c r="E11" s="17" t="s">
        <v>35</v>
      </c>
      <c r="F11" s="18" t="s">
        <v>36</v>
      </c>
      <c r="G11" s="19" t="s">
        <v>22</v>
      </c>
      <c r="H11" s="20" t="str">
        <f>IF(OR(G11=$J$23,G11=$J$24,G11=$J$25),$J$1,#REF!)</f>
        <v/>
      </c>
      <c r="I11" s="10">
        <f>IF(G11=$J$8,$K$8,IF(G11=$J$9,$K$9,$K$10))</f>
        <v>1</v>
      </c>
      <c r="J11" s="3"/>
      <c r="K11" s="27"/>
      <c r="L11" s="4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4"/>
    </row>
    <row r="12" spans="1:26" ht="15.75" customHeight="1">
      <c r="A12" s="13">
        <f t="shared" si="4"/>
        <v>2</v>
      </c>
      <c r="B12" s="21"/>
      <c r="C12" s="22"/>
      <c r="D12" s="16" t="s">
        <v>37</v>
      </c>
      <c r="E12" s="17" t="s">
        <v>38</v>
      </c>
      <c r="F12" s="18" t="s">
        <v>39</v>
      </c>
      <c r="G12" s="19" t="s">
        <v>30</v>
      </c>
      <c r="H12" s="20" t="str">
        <f>IF(OR(G12=$J$23,G12=$J$24,G12=$J$25),$J$1,#REF!)</f>
        <v/>
      </c>
      <c r="I12" s="10">
        <f>IF(G12=$J$23,$K$23,IF(G12=$J$24,$K$24,$K$25))</f>
        <v>1</v>
      </c>
      <c r="J12" s="11" t="s">
        <v>40</v>
      </c>
      <c r="K12" s="12" t="s">
        <v>27</v>
      </c>
      <c r="L12" s="4"/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4"/>
    </row>
    <row r="13" spans="1:26" ht="15.75" customHeight="1">
      <c r="A13" s="13">
        <f t="shared" si="4"/>
        <v>3</v>
      </c>
      <c r="B13" s="21"/>
      <c r="C13" s="22"/>
      <c r="D13" s="16" t="s">
        <v>15</v>
      </c>
      <c r="E13" s="17" t="s">
        <v>41</v>
      </c>
      <c r="F13" s="18" t="s">
        <v>42</v>
      </c>
      <c r="G13" s="19" t="s">
        <v>43</v>
      </c>
      <c r="H13" s="20" t="str">
        <f>IF(OR(G13=$J$18,G13=$J$19,G13=$J$20),$J$1,#REF!)</f>
        <v/>
      </c>
      <c r="I13" s="10">
        <f>IF(G13=$J$18,$K$18,IF(G13=$J$19,$K$19,$K$20))</f>
        <v>1</v>
      </c>
      <c r="J13" s="3" t="s">
        <v>44</v>
      </c>
      <c r="K13" s="3">
        <v>3</v>
      </c>
      <c r="L13" s="4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4"/>
    </row>
    <row r="14" spans="1:26" ht="15.75" customHeight="1">
      <c r="A14" s="13">
        <f t="shared" si="4"/>
        <v>4</v>
      </c>
      <c r="B14" s="23"/>
      <c r="C14" s="24"/>
      <c r="D14" s="16" t="s">
        <v>19</v>
      </c>
      <c r="E14" s="17" t="s">
        <v>45</v>
      </c>
      <c r="F14" s="18" t="s">
        <v>46</v>
      </c>
      <c r="G14" s="19" t="s">
        <v>22</v>
      </c>
      <c r="H14" s="20" t="str">
        <f>IF(OR(G14=$J$23,G14=$J$24,G14=$J$25),$J$1,#REF!)</f>
        <v/>
      </c>
      <c r="I14" s="10">
        <f>IF(G14=$J$8,$K$8,IF(G14=$J$9,$K$9,$K$10))</f>
        <v>1</v>
      </c>
      <c r="J14" s="3" t="s">
        <v>33</v>
      </c>
      <c r="K14" s="3">
        <v>2</v>
      </c>
      <c r="L14" s="4"/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4"/>
    </row>
    <row r="15" spans="1:26" ht="15.75" customHeight="1">
      <c r="A15" s="13"/>
      <c r="B15" s="25"/>
      <c r="C15" s="25"/>
      <c r="D15" s="25"/>
      <c r="E15" s="25"/>
      <c r="F15" s="25"/>
      <c r="G15" s="25"/>
      <c r="H15" s="26"/>
      <c r="I15" s="3"/>
      <c r="J15" s="3" t="s">
        <v>47</v>
      </c>
      <c r="K15" s="3">
        <v>1</v>
      </c>
      <c r="L15" s="4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4"/>
    </row>
    <row r="16" spans="1:26" ht="15.75" customHeight="1">
      <c r="A16" s="13">
        <f t="shared" ref="A16:A20" si="5">A15+1</f>
        <v>1</v>
      </c>
      <c r="B16" s="14">
        <v>4</v>
      </c>
      <c r="C16" s="14" t="s">
        <v>48</v>
      </c>
      <c r="D16" s="16" t="s">
        <v>10</v>
      </c>
      <c r="E16" s="17" t="s">
        <v>49</v>
      </c>
      <c r="F16" s="18" t="s">
        <v>50</v>
      </c>
      <c r="G16" s="19" t="s">
        <v>22</v>
      </c>
      <c r="H16" s="20" t="str">
        <f>IF(OR(G16=$J$8,G16=$J$9,G16=$J$10),$J$1,#REF!)</f>
        <v/>
      </c>
      <c r="I16" s="10">
        <f>IF(G16=$J$8,$K$8,IF(G16=$J$9,$K$9,$K$10))</f>
        <v>1</v>
      </c>
      <c r="J16" s="3"/>
      <c r="K16" s="3"/>
      <c r="L16" s="4"/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4"/>
    </row>
    <row r="17" spans="1:26" ht="15.75" customHeight="1">
      <c r="A17" s="13">
        <f t="shared" si="5"/>
        <v>2</v>
      </c>
      <c r="B17" s="21"/>
      <c r="C17" s="21"/>
      <c r="D17" s="16" t="s">
        <v>37</v>
      </c>
      <c r="E17" s="17" t="s">
        <v>51</v>
      </c>
      <c r="F17" s="18" t="s">
        <v>52</v>
      </c>
      <c r="G17" s="19" t="s">
        <v>30</v>
      </c>
      <c r="H17" s="20" t="str">
        <f>IF(OR(G17=$J$23,G17=$J$24,G17=$J$25),$J$1,#REF!)</f>
        <v/>
      </c>
      <c r="I17" s="10">
        <f>IF(G17=$J$23,$K$23,IF(G17=$J$24,$K$24,$K$25))</f>
        <v>1</v>
      </c>
      <c r="J17" s="11" t="s">
        <v>53</v>
      </c>
      <c r="K17" s="12" t="s">
        <v>27</v>
      </c>
      <c r="L17" s="4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4"/>
    </row>
    <row r="18" spans="1:26" ht="15.75" customHeight="1">
      <c r="A18" s="13">
        <f t="shared" si="5"/>
        <v>3</v>
      </c>
      <c r="B18" s="21"/>
      <c r="C18" s="21"/>
      <c r="D18" s="16" t="s">
        <v>15</v>
      </c>
      <c r="E18" s="17" t="s">
        <v>54</v>
      </c>
      <c r="F18" s="18" t="s">
        <v>55</v>
      </c>
      <c r="G18" s="19" t="s">
        <v>56</v>
      </c>
      <c r="H18" s="20" t="str">
        <f>IF(OR(G18=$J$45,G18=$J$46,G18=$J$47),$J$1,#REF!)</f>
        <v/>
      </c>
      <c r="I18" s="10">
        <f>IF(G18=$J$45,$K$45,IF(G18=$J$46,$K$46,$K$47))</f>
        <v>1</v>
      </c>
      <c r="J18" s="3" t="s">
        <v>57</v>
      </c>
      <c r="K18" s="3">
        <v>3</v>
      </c>
      <c r="L18" s="4"/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4"/>
    </row>
    <row r="19" spans="1:26" ht="15.75" customHeight="1">
      <c r="A19" s="13">
        <f t="shared" si="5"/>
        <v>4</v>
      </c>
      <c r="B19" s="21"/>
      <c r="C19" s="21"/>
      <c r="D19" s="16" t="s">
        <v>58</v>
      </c>
      <c r="E19" s="17" t="s">
        <v>59</v>
      </c>
      <c r="F19" s="18" t="s">
        <v>55</v>
      </c>
      <c r="G19" s="19" t="s">
        <v>60</v>
      </c>
      <c r="H19" s="20" t="str">
        <f>IF(OR(G19=$J$50,G19=$J$51,G19=$J$52),$J$1,#REF!)</f>
        <v/>
      </c>
      <c r="I19" s="10">
        <f>IF(G19=$J$50,$K$50,IF(G19=$J$51,$K$51,$K$52))</f>
        <v>1</v>
      </c>
      <c r="J19" s="3" t="s">
        <v>43</v>
      </c>
      <c r="K19" s="3">
        <v>1</v>
      </c>
      <c r="L19" s="4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4"/>
    </row>
    <row r="20" spans="1:26" ht="15.75" customHeight="1">
      <c r="A20" s="13">
        <f t="shared" si="5"/>
        <v>5</v>
      </c>
      <c r="B20" s="23"/>
      <c r="C20" s="23"/>
      <c r="D20" s="16" t="s">
        <v>19</v>
      </c>
      <c r="E20" s="17" t="s">
        <v>61</v>
      </c>
      <c r="F20" s="18" t="s">
        <v>62</v>
      </c>
      <c r="G20" s="19" t="s">
        <v>47</v>
      </c>
      <c r="H20" s="20" t="str">
        <f>IF(OR(G20=$J$13,G20=$J$14,G20=$J$15),$J$1,#REF!)</f>
        <v/>
      </c>
      <c r="I20" s="10">
        <f>IF(G20=$J$13,$K$13,IF(G20=$J$14,$K$14,$K$15))</f>
        <v>1</v>
      </c>
      <c r="J20" s="3" t="s">
        <v>63</v>
      </c>
      <c r="K20" s="3">
        <v>2</v>
      </c>
      <c r="L20" s="4"/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4"/>
    </row>
    <row r="21" spans="1:26" ht="15.75" customHeight="1">
      <c r="A21" s="13"/>
      <c r="B21" s="25"/>
      <c r="C21" s="25"/>
      <c r="D21" s="25"/>
      <c r="E21" s="25"/>
      <c r="F21" s="25"/>
      <c r="G21" s="25"/>
      <c r="H21" s="26"/>
      <c r="I21" s="10"/>
      <c r="J21" s="3"/>
      <c r="K21" s="3"/>
      <c r="L21" s="4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4"/>
    </row>
    <row r="22" spans="1:26" ht="15.75" customHeight="1">
      <c r="A22" s="13">
        <f t="shared" ref="A22:A26" si="6">A21+1</f>
        <v>1</v>
      </c>
      <c r="B22" s="14">
        <v>5</v>
      </c>
      <c r="C22" s="14" t="s">
        <v>64</v>
      </c>
      <c r="D22" s="16" t="s">
        <v>10</v>
      </c>
      <c r="E22" s="17" t="s">
        <v>65</v>
      </c>
      <c r="F22" s="18" t="s">
        <v>66</v>
      </c>
      <c r="G22" s="19" t="s">
        <v>22</v>
      </c>
      <c r="H22" s="20" t="str">
        <f>IF(OR(G22=$J$8,G22=$J$9,G22=$J$10),$J$1,#REF!)</f>
        <v/>
      </c>
      <c r="I22" s="10">
        <f t="shared" ref="I22:I23" si="7">IF(G22=$J$8,$K$8,IF(G22=$J$9,$K$9,$K$10))</f>
        <v>1</v>
      </c>
      <c r="J22" s="11" t="s">
        <v>67</v>
      </c>
      <c r="K22" s="12" t="s">
        <v>68</v>
      </c>
      <c r="L22" s="4"/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4"/>
    </row>
    <row r="23" spans="1:26" ht="15.75" customHeight="1">
      <c r="A23" s="13">
        <f t="shared" si="6"/>
        <v>2</v>
      </c>
      <c r="B23" s="21"/>
      <c r="C23" s="21"/>
      <c r="D23" s="16" t="s">
        <v>37</v>
      </c>
      <c r="E23" s="17" t="s">
        <v>69</v>
      </c>
      <c r="F23" s="18" t="s">
        <v>70</v>
      </c>
      <c r="G23" s="19" t="s">
        <v>22</v>
      </c>
      <c r="H23" s="20" t="str">
        <f>IF(OR(G23=$J$23,G23=$J$24,G23=$J$25),$J$1,#REF!)</f>
        <v/>
      </c>
      <c r="I23" s="10">
        <f t="shared" si="7"/>
        <v>1</v>
      </c>
      <c r="J23" s="3" t="s">
        <v>30</v>
      </c>
      <c r="K23" s="3">
        <v>1</v>
      </c>
      <c r="L23" s="4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4"/>
    </row>
    <row r="24" spans="1:26" ht="15.75" customHeight="1">
      <c r="A24" s="13">
        <f t="shared" si="6"/>
        <v>3</v>
      </c>
      <c r="B24" s="21"/>
      <c r="C24" s="21"/>
      <c r="D24" s="16" t="s">
        <v>15</v>
      </c>
      <c r="E24" s="17" t="s">
        <v>71</v>
      </c>
      <c r="F24" s="18" t="s">
        <v>72</v>
      </c>
      <c r="G24" s="19" t="s">
        <v>56</v>
      </c>
      <c r="H24" s="20" t="str">
        <f>IF(OR(G24=$J$45,G24=$J$46,G24=$J$47),$J$1,#REF!)</f>
        <v/>
      </c>
      <c r="I24" s="10">
        <f>IF(G24=$J$45,$K$45,IF(G24=$J$46,$K$46,$K$47))</f>
        <v>1</v>
      </c>
      <c r="J24" s="3" t="s">
        <v>33</v>
      </c>
      <c r="K24" s="3">
        <v>2</v>
      </c>
      <c r="L24" s="4"/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4"/>
    </row>
    <row r="25" spans="1:26" ht="15.75" customHeight="1">
      <c r="A25" s="13">
        <f t="shared" si="6"/>
        <v>4</v>
      </c>
      <c r="B25" s="21"/>
      <c r="C25" s="21"/>
      <c r="D25" s="16" t="s">
        <v>58</v>
      </c>
      <c r="E25" s="17" t="s">
        <v>73</v>
      </c>
      <c r="F25" s="18" t="s">
        <v>72</v>
      </c>
      <c r="G25" s="19" t="s">
        <v>60</v>
      </c>
      <c r="H25" s="20" t="str">
        <f>IF(OR(G25=$J$50,G25=$J$51,G25=$J$52),$J$1,#REF!)</f>
        <v/>
      </c>
      <c r="I25" s="10">
        <f>IF(G25=$J$50,$K$50,IF(G25=$J$51,$K$51,$K$52))</f>
        <v>1</v>
      </c>
      <c r="J25" s="3" t="s">
        <v>22</v>
      </c>
      <c r="K25" s="3">
        <v>3</v>
      </c>
      <c r="L25" s="4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4"/>
    </row>
    <row r="26" spans="1:26" ht="15.75" customHeight="1">
      <c r="A26" s="13">
        <f t="shared" si="6"/>
        <v>5</v>
      </c>
      <c r="B26" s="23"/>
      <c r="C26" s="23"/>
      <c r="D26" s="16" t="s">
        <v>19</v>
      </c>
      <c r="E26" s="17" t="s">
        <v>74</v>
      </c>
      <c r="F26" s="18" t="s">
        <v>75</v>
      </c>
      <c r="G26" s="19" t="s">
        <v>47</v>
      </c>
      <c r="H26" s="20" t="str">
        <f>IF(OR(G26=$J$13,G26=$J$14,G26=$J$15),$J$1,#REF!)</f>
        <v/>
      </c>
      <c r="I26" s="10">
        <f>IF(G26=$J$13,$K$13,IF(G26=$J$14,$K$14,$K$15))</f>
        <v>1</v>
      </c>
      <c r="J26" s="3"/>
      <c r="K26" s="3"/>
      <c r="L26" s="4"/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4"/>
    </row>
    <row r="27" spans="1:26" ht="15.75" customHeight="1">
      <c r="A27" s="13"/>
      <c r="B27" s="25"/>
      <c r="C27" s="25"/>
      <c r="D27" s="25"/>
      <c r="E27" s="25"/>
      <c r="F27" s="25"/>
      <c r="G27" s="25"/>
      <c r="H27" s="26"/>
      <c r="I27" s="10"/>
      <c r="J27" s="11" t="s">
        <v>76</v>
      </c>
      <c r="K27" s="12" t="s">
        <v>77</v>
      </c>
      <c r="L27" s="4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4"/>
    </row>
    <row r="28" spans="1:26" ht="15.75" customHeight="1">
      <c r="A28" s="13">
        <f>A20+1</f>
        <v>6</v>
      </c>
      <c r="B28" s="14">
        <v>6</v>
      </c>
      <c r="C28" s="14" t="s">
        <v>78</v>
      </c>
      <c r="D28" s="16" t="s">
        <v>10</v>
      </c>
      <c r="E28" s="17" t="s">
        <v>79</v>
      </c>
      <c r="F28" s="18" t="s">
        <v>80</v>
      </c>
      <c r="G28" s="19" t="s">
        <v>18</v>
      </c>
      <c r="H28" s="20" t="str">
        <f>IF(OR(G28=$J$3,G28=$J$4,G28=$J$5),$J$1,#REF!)</f>
        <v/>
      </c>
      <c r="I28" s="10">
        <f t="shared" ref="I28:I29" si="8">IF(G28=$J$3,$K$3,IF(G28=$J$4,$K$4,$K$5))</f>
        <v>1</v>
      </c>
      <c r="J28" s="3" t="s">
        <v>81</v>
      </c>
      <c r="K28" s="3">
        <v>3</v>
      </c>
      <c r="L28" s="4"/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4"/>
    </row>
    <row r="29" spans="1:26" ht="15.75" customHeight="1">
      <c r="A29" s="13">
        <f t="shared" ref="A29:A30" si="9">A28+1</f>
        <v>7</v>
      </c>
      <c r="B29" s="21"/>
      <c r="C29" s="21"/>
      <c r="D29" s="16" t="s">
        <v>15</v>
      </c>
      <c r="E29" s="17" t="s">
        <v>82</v>
      </c>
      <c r="F29" s="18" t="s">
        <v>83</v>
      </c>
      <c r="G29" s="19" t="s">
        <v>18</v>
      </c>
      <c r="H29" s="20" t="str">
        <f>IF(OR(G29=$J$3,G29=$J$4,G29=$J$5),$J$1,#REF!)</f>
        <v/>
      </c>
      <c r="I29" s="10">
        <f t="shared" si="8"/>
        <v>1</v>
      </c>
      <c r="J29" s="3" t="s">
        <v>84</v>
      </c>
      <c r="K29" s="3">
        <v>2</v>
      </c>
      <c r="L29" s="4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4"/>
    </row>
    <row r="30" spans="1:26" ht="15.75" customHeight="1">
      <c r="A30" s="13">
        <f t="shared" si="9"/>
        <v>8</v>
      </c>
      <c r="B30" s="21"/>
      <c r="C30" s="21"/>
      <c r="D30" s="16" t="s">
        <v>19</v>
      </c>
      <c r="E30" s="17" t="s">
        <v>85</v>
      </c>
      <c r="F30" s="18" t="s">
        <v>86</v>
      </c>
      <c r="G30" s="19" t="s">
        <v>22</v>
      </c>
      <c r="H30" s="20" t="str">
        <f>IF(OR(G30=$J$8,G30=$J$9,G30=$J$10),$J$1,#REF!)</f>
        <v/>
      </c>
      <c r="I30" s="10">
        <f>IF(G30=$J$8,$K$8,IF(G30=$J$9,$K$9,$K$10))</f>
        <v>1</v>
      </c>
      <c r="J30" s="3" t="s">
        <v>87</v>
      </c>
      <c r="K30" s="3">
        <v>1</v>
      </c>
      <c r="L30" s="4"/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4"/>
    </row>
    <row r="31" spans="1:26" ht="15.75" customHeight="1">
      <c r="A31" s="13"/>
      <c r="B31" s="25"/>
      <c r="C31" s="25"/>
      <c r="D31" s="25"/>
      <c r="E31" s="25"/>
      <c r="F31" s="25"/>
      <c r="G31" s="25"/>
      <c r="H31" s="26"/>
      <c r="I31" s="10"/>
      <c r="J31" s="3"/>
      <c r="K31" s="3"/>
      <c r="L31" s="4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4"/>
    </row>
    <row r="32" spans="1:26" ht="15.75" customHeight="1">
      <c r="A32" s="13">
        <f t="shared" ref="A32:A34" si="10">A31+1</f>
        <v>1</v>
      </c>
      <c r="B32" s="14">
        <v>7</v>
      </c>
      <c r="C32" s="14" t="s">
        <v>88</v>
      </c>
      <c r="D32" s="16" t="s">
        <v>10</v>
      </c>
      <c r="E32" s="17" t="s">
        <v>89</v>
      </c>
      <c r="F32" s="18" t="s">
        <v>90</v>
      </c>
      <c r="G32" s="19" t="s">
        <v>87</v>
      </c>
      <c r="H32" s="20" t="str">
        <f>IF(OR(G32=$J$28,G32=$J$29,G32=$J$30),$J$1,#REF!)</f>
        <v/>
      </c>
      <c r="I32" s="10">
        <f>IF(G32=$J$28,$K$28,IF(G32=$J$29,$K$29,$K$30))</f>
        <v>1</v>
      </c>
      <c r="J32" s="3"/>
      <c r="K32" s="3"/>
      <c r="L32" s="4"/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4"/>
    </row>
    <row r="33" spans="1:26" ht="15.75" customHeight="1">
      <c r="A33" s="13">
        <f t="shared" si="10"/>
        <v>2</v>
      </c>
      <c r="B33" s="21"/>
      <c r="C33" s="21"/>
      <c r="D33" s="16" t="s">
        <v>15</v>
      </c>
      <c r="E33" s="17" t="s">
        <v>91</v>
      </c>
      <c r="F33" s="18" t="s">
        <v>92</v>
      </c>
      <c r="G33" s="19" t="s">
        <v>93</v>
      </c>
      <c r="H33" s="20" t="str">
        <f>IF(OR(G33=$J$34,G33=$J$35,G33=$J$36),$J$1,#REF!)</f>
        <v/>
      </c>
      <c r="I33" s="10">
        <f>IF(G33=$J$34,$K$34,IF(G33=$J$35,$K$35,$K$36))</f>
        <v>1</v>
      </c>
      <c r="J33" s="11" t="s">
        <v>94</v>
      </c>
      <c r="K33" s="12" t="s">
        <v>27</v>
      </c>
      <c r="L33" s="4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4"/>
    </row>
    <row r="34" spans="1:26" ht="15.75" customHeight="1">
      <c r="A34" s="13">
        <f t="shared" si="10"/>
        <v>3</v>
      </c>
      <c r="B34" s="23"/>
      <c r="C34" s="21"/>
      <c r="D34" s="16" t="s">
        <v>19</v>
      </c>
      <c r="E34" s="17" t="s">
        <v>95</v>
      </c>
      <c r="F34" s="18" t="s">
        <v>96</v>
      </c>
      <c r="G34" s="19" t="s">
        <v>22</v>
      </c>
      <c r="H34" s="20" t="str">
        <f>IF(OR(G34=$J$8,G34=$J$9,G34=$J$10),$J$1,#REF!)</f>
        <v/>
      </c>
      <c r="I34" s="10">
        <f>IF(G34=$J$8,$K$8,IF(G34=$J$9,$K$9,$K$10))</f>
        <v>1</v>
      </c>
      <c r="J34" s="3" t="s">
        <v>97</v>
      </c>
      <c r="K34" s="3">
        <v>3</v>
      </c>
      <c r="L34" s="4"/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4"/>
    </row>
    <row r="35" spans="1:26" ht="15.75" customHeight="1">
      <c r="A35" s="13"/>
      <c r="B35" s="25"/>
      <c r="C35" s="25"/>
      <c r="D35" s="25"/>
      <c r="E35" s="25"/>
      <c r="F35" s="25"/>
      <c r="G35" s="25"/>
      <c r="H35" s="26"/>
      <c r="I35" s="10"/>
      <c r="J35" s="3" t="s">
        <v>47</v>
      </c>
      <c r="K35" s="3">
        <v>2</v>
      </c>
      <c r="L35" s="4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4"/>
    </row>
    <row r="36" spans="1:26" ht="15.75" customHeight="1">
      <c r="A36" s="13">
        <f t="shared" ref="A36:A38" si="11">A35+1</f>
        <v>1</v>
      </c>
      <c r="B36" s="14">
        <v>8</v>
      </c>
      <c r="C36" s="14" t="s">
        <v>98</v>
      </c>
      <c r="D36" s="16" t="s">
        <v>99</v>
      </c>
      <c r="E36" s="17" t="s">
        <v>100</v>
      </c>
      <c r="F36" s="18" t="s">
        <v>101</v>
      </c>
      <c r="G36" s="19" t="s">
        <v>22</v>
      </c>
      <c r="H36" s="20" t="str">
        <f>IF(OR(G36=$J$39,G36=$J$40,G36=$J$41),$J$1,#REF!)</f>
        <v/>
      </c>
      <c r="I36" s="10">
        <f>IF(G36=$J$39,$K$39,IF(G36=$J$40,$K$40,$K$41))</f>
        <v>1</v>
      </c>
      <c r="J36" s="3" t="s">
        <v>93</v>
      </c>
      <c r="K36" s="3">
        <v>1</v>
      </c>
      <c r="L36" s="4"/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4"/>
    </row>
    <row r="37" spans="1:26" ht="15.75" customHeight="1">
      <c r="A37" s="13">
        <f t="shared" si="11"/>
        <v>2</v>
      </c>
      <c r="B37" s="21"/>
      <c r="C37" s="21"/>
      <c r="D37" s="16" t="s">
        <v>19</v>
      </c>
      <c r="E37" s="17" t="s">
        <v>102</v>
      </c>
      <c r="F37" s="18" t="s">
        <v>103</v>
      </c>
      <c r="G37" s="19" t="s">
        <v>22</v>
      </c>
      <c r="H37" s="20" t="str">
        <f>IF(OR(G37=$J$8,G37=$J$9,G37=$J$10),$J$1,#REF!)</f>
        <v/>
      </c>
      <c r="I37" s="10">
        <f t="shared" ref="I37:I38" si="12">IF(G37=$J$8,$K$8,IF(G37=$J$9,$K$9,$K$10))</f>
        <v>1</v>
      </c>
      <c r="J37" s="11"/>
      <c r="K37" s="12"/>
      <c r="L37" s="4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4"/>
    </row>
    <row r="38" spans="1:26" ht="15.75" customHeight="1">
      <c r="A38" s="13">
        <f t="shared" si="11"/>
        <v>3</v>
      </c>
      <c r="B38" s="23"/>
      <c r="C38" s="21"/>
      <c r="D38" s="16" t="s">
        <v>104</v>
      </c>
      <c r="E38" s="17" t="s">
        <v>105</v>
      </c>
      <c r="F38" s="18" t="s">
        <v>106</v>
      </c>
      <c r="G38" s="19" t="s">
        <v>22</v>
      </c>
      <c r="H38" s="20" t="str">
        <f>IF(OR(G38=$J$23,G38=$J$24,G38=$J$25),$J$1,#REF!)</f>
        <v/>
      </c>
      <c r="I38" s="10">
        <f t="shared" si="12"/>
        <v>1</v>
      </c>
      <c r="J38" s="11" t="s">
        <v>107</v>
      </c>
      <c r="K38" s="12" t="s">
        <v>27</v>
      </c>
      <c r="L38" s="4"/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4"/>
    </row>
    <row r="39" spans="1:26" ht="15.75" customHeight="1">
      <c r="A39" s="13"/>
      <c r="B39" s="25"/>
      <c r="C39" s="25"/>
      <c r="D39" s="25"/>
      <c r="E39" s="25"/>
      <c r="F39" s="25"/>
      <c r="G39" s="25"/>
      <c r="H39" s="26"/>
      <c r="I39" s="10"/>
      <c r="J39" s="3" t="s">
        <v>30</v>
      </c>
      <c r="K39" s="3">
        <v>3</v>
      </c>
      <c r="L39" s="4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4"/>
    </row>
    <row r="40" spans="1:26" ht="15.75" customHeight="1">
      <c r="A40" s="13">
        <f t="shared" ref="A40:A47" si="13">A39+1</f>
        <v>1</v>
      </c>
      <c r="B40" s="14">
        <v>9</v>
      </c>
      <c r="C40" s="14" t="s">
        <v>108</v>
      </c>
      <c r="D40" s="16" t="s">
        <v>109</v>
      </c>
      <c r="E40" s="17" t="s">
        <v>110</v>
      </c>
      <c r="F40" s="18" t="s">
        <v>111</v>
      </c>
      <c r="G40" s="19" t="s">
        <v>47</v>
      </c>
      <c r="H40" s="20" t="str">
        <f>IF(OR(G40=$J$13,G40=$J$14,G40=$J$15),$J$1,#REF!)</f>
        <v/>
      </c>
      <c r="I40" s="10">
        <f t="shared" ref="I40:I44" si="14">IF(G40=$J$13,$K$13,IF(G40=$J$14,$K$14,$K$15))</f>
        <v>1</v>
      </c>
      <c r="J40" s="3" t="s">
        <v>112</v>
      </c>
      <c r="K40" s="3">
        <v>2</v>
      </c>
      <c r="L40" s="4"/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4"/>
    </row>
    <row r="41" spans="1:26" ht="15.75" customHeight="1">
      <c r="A41" s="13">
        <f t="shared" si="13"/>
        <v>2</v>
      </c>
      <c r="B41" s="21"/>
      <c r="C41" s="21"/>
      <c r="D41" s="16" t="s">
        <v>113</v>
      </c>
      <c r="E41" s="17" t="s">
        <v>114</v>
      </c>
      <c r="F41" s="18" t="s">
        <v>115</v>
      </c>
      <c r="G41" s="19" t="s">
        <v>47</v>
      </c>
      <c r="H41" s="20" t="str">
        <f>IF(OR(G41=$J$13,G41=$J$14,G41=$J$15),$J$1,#REF!)</f>
        <v/>
      </c>
      <c r="I41" s="10">
        <f t="shared" si="14"/>
        <v>1</v>
      </c>
      <c r="J41" s="3" t="s">
        <v>22</v>
      </c>
      <c r="K41" s="3">
        <v>1</v>
      </c>
      <c r="L41" s="4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4"/>
    </row>
    <row r="42" spans="1:26" ht="15.75" customHeight="1">
      <c r="A42" s="13">
        <f t="shared" si="13"/>
        <v>3</v>
      </c>
      <c r="B42" s="21"/>
      <c r="C42" s="21"/>
      <c r="D42" s="16" t="s">
        <v>116</v>
      </c>
      <c r="E42" s="17" t="s">
        <v>117</v>
      </c>
      <c r="F42" s="18" t="s">
        <v>118</v>
      </c>
      <c r="G42" s="19" t="s">
        <v>47</v>
      </c>
      <c r="H42" s="20" t="str">
        <f>IF(OR(G42=$J$13,G42=$J$14,G42=$J$15),$J$1,#REF!)</f>
        <v/>
      </c>
      <c r="I42" s="10">
        <f t="shared" si="14"/>
        <v>1</v>
      </c>
      <c r="J42" s="3"/>
      <c r="K42" s="3"/>
      <c r="L42" s="4"/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4"/>
    </row>
    <row r="43" spans="1:26" ht="15.75" customHeight="1">
      <c r="A43" s="13">
        <f t="shared" si="13"/>
        <v>4</v>
      </c>
      <c r="B43" s="21"/>
      <c r="C43" s="21"/>
      <c r="D43" s="16" t="s">
        <v>119</v>
      </c>
      <c r="E43" s="17" t="s">
        <v>120</v>
      </c>
      <c r="F43" s="18" t="s">
        <v>121</v>
      </c>
      <c r="G43" s="19" t="s">
        <v>47</v>
      </c>
      <c r="H43" s="20" t="str">
        <f>IF(OR(G43=$J$13,G43=$J$14,G43=$J$15),$J$1,#REF!)</f>
        <v/>
      </c>
      <c r="I43" s="10">
        <f t="shared" si="14"/>
        <v>1</v>
      </c>
      <c r="J43" s="3"/>
      <c r="K43" s="3"/>
      <c r="L43" s="4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4"/>
    </row>
    <row r="44" spans="1:26" ht="15.75" customHeight="1">
      <c r="A44" s="13">
        <f t="shared" si="13"/>
        <v>5</v>
      </c>
      <c r="B44" s="21"/>
      <c r="C44" s="21"/>
      <c r="D44" s="16" t="s">
        <v>122</v>
      </c>
      <c r="E44" s="17" t="s">
        <v>123</v>
      </c>
      <c r="F44" s="18" t="s">
        <v>124</v>
      </c>
      <c r="G44" s="19" t="s">
        <v>47</v>
      </c>
      <c r="H44" s="20" t="str">
        <f>IF(OR(G44=$J$13,G44=$J$14,G44=$J$15),$J$1,#REF!)</f>
        <v/>
      </c>
      <c r="I44" s="10">
        <f t="shared" si="14"/>
        <v>1</v>
      </c>
      <c r="J44" s="11" t="s">
        <v>125</v>
      </c>
      <c r="K44" s="12" t="s">
        <v>27</v>
      </c>
      <c r="L44" s="4"/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4"/>
    </row>
    <row r="45" spans="1:26" ht="15.75" customHeight="1">
      <c r="A45" s="13">
        <f t="shared" si="13"/>
        <v>6</v>
      </c>
      <c r="B45" s="21"/>
      <c r="C45" s="21"/>
      <c r="D45" s="16" t="s">
        <v>126</v>
      </c>
      <c r="E45" s="17" t="s">
        <v>127</v>
      </c>
      <c r="F45" s="18" t="s">
        <v>128</v>
      </c>
      <c r="G45" s="19" t="s">
        <v>22</v>
      </c>
      <c r="H45" s="20" t="str">
        <f>IF(OR(G45=$J$39,G45=$J$40,G45=$J$41),$J$1,#REF!)</f>
        <v/>
      </c>
      <c r="I45" s="10">
        <f t="shared" ref="I45:I47" si="15">IF(G45=$J$39,$K$39,IF(G45=$J$40,$K$40,$K$41))</f>
        <v>1</v>
      </c>
      <c r="J45" s="3" t="s">
        <v>56</v>
      </c>
      <c r="K45" s="3">
        <v>1</v>
      </c>
      <c r="L45" s="4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4"/>
    </row>
    <row r="46" spans="1:26" ht="15.75" customHeight="1">
      <c r="A46" s="13">
        <f t="shared" si="13"/>
        <v>7</v>
      </c>
      <c r="B46" s="21"/>
      <c r="C46" s="21"/>
      <c r="D46" s="16" t="s">
        <v>129</v>
      </c>
      <c r="E46" s="17" t="s">
        <v>130</v>
      </c>
      <c r="F46" s="18" t="s">
        <v>131</v>
      </c>
      <c r="G46" s="19" t="s">
        <v>22</v>
      </c>
      <c r="H46" s="20" t="str">
        <f>IF(OR(G46=$J$39,G46=$J$40,G46=$J$41),$J$1,#REF!)</f>
        <v/>
      </c>
      <c r="I46" s="10">
        <f t="shared" si="15"/>
        <v>1</v>
      </c>
      <c r="J46" s="3" t="s">
        <v>132</v>
      </c>
      <c r="K46" s="3">
        <v>2</v>
      </c>
      <c r="L46" s="4"/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4"/>
    </row>
    <row r="47" spans="1:26" ht="15.75" customHeight="1">
      <c r="A47" s="13">
        <f t="shared" si="13"/>
        <v>8</v>
      </c>
      <c r="B47" s="21"/>
      <c r="C47" s="21"/>
      <c r="D47" s="16" t="s">
        <v>133</v>
      </c>
      <c r="E47" s="17" t="s">
        <v>134</v>
      </c>
      <c r="F47" s="18" t="s">
        <v>135</v>
      </c>
      <c r="G47" s="19" t="s">
        <v>22</v>
      </c>
      <c r="H47" s="20" t="str">
        <f>IF(OR(G47=$J$39,G47=$J$40,G47=$J$41),$J$1,#REF!)</f>
        <v/>
      </c>
      <c r="I47" s="10">
        <f t="shared" si="15"/>
        <v>1</v>
      </c>
      <c r="J47" s="3" t="s">
        <v>136</v>
      </c>
      <c r="K47" s="3">
        <v>3</v>
      </c>
      <c r="L47" s="4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4"/>
    </row>
    <row r="48" spans="1:26" ht="28.5" customHeight="1">
      <c r="A48" s="28"/>
      <c r="B48" s="2"/>
      <c r="C48" s="2"/>
      <c r="D48" s="2"/>
      <c r="E48" s="2"/>
      <c r="F48" s="29"/>
      <c r="G48" s="2"/>
      <c r="H48" s="30"/>
      <c r="I48" s="3"/>
      <c r="J48" s="3"/>
      <c r="K48" s="3"/>
      <c r="L48" s="4"/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4"/>
    </row>
    <row r="49" spans="1:26" ht="15.75" customHeight="1">
      <c r="A49" s="1"/>
      <c r="B49" s="2"/>
      <c r="C49" s="2"/>
      <c r="D49" s="2"/>
      <c r="E49" s="2"/>
      <c r="F49" s="2"/>
      <c r="G49" s="2"/>
      <c r="H49" s="30"/>
      <c r="I49" s="3"/>
      <c r="J49" s="11" t="s">
        <v>137</v>
      </c>
      <c r="K49" s="12" t="s">
        <v>138</v>
      </c>
      <c r="L49" s="4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4"/>
    </row>
    <row r="50" spans="1:26" ht="15.75" hidden="1" customHeight="1">
      <c r="A50" s="28"/>
      <c r="B50" s="2"/>
      <c r="C50" s="29"/>
      <c r="D50" s="29"/>
      <c r="E50" s="2"/>
      <c r="F50" s="29"/>
      <c r="G50" s="2"/>
      <c r="H50" s="30"/>
      <c r="I50" s="3"/>
      <c r="J50" s="3" t="s">
        <v>139</v>
      </c>
      <c r="K50" s="3">
        <v>3</v>
      </c>
      <c r="L50" s="4"/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4"/>
    </row>
    <row r="51" spans="1:26" ht="15.75" hidden="1" customHeight="1">
      <c r="A51" s="28"/>
      <c r="B51" s="2"/>
      <c r="C51" s="2"/>
      <c r="D51" s="2"/>
      <c r="E51" s="2"/>
      <c r="F51" s="2"/>
      <c r="G51" s="2"/>
      <c r="H51" s="1"/>
      <c r="I51" s="3"/>
      <c r="J51" s="3" t="s">
        <v>140</v>
      </c>
      <c r="K51" s="3">
        <v>2</v>
      </c>
      <c r="L51" s="4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4"/>
    </row>
    <row r="52" spans="1:26" ht="15.75" hidden="1" customHeight="1">
      <c r="A52" s="28"/>
      <c r="B52" s="29"/>
      <c r="C52" s="2"/>
      <c r="D52" s="2"/>
      <c r="E52" s="2"/>
      <c r="F52" s="2"/>
      <c r="G52" s="2"/>
      <c r="H52" s="1"/>
      <c r="I52" s="3"/>
      <c r="J52" s="3" t="s">
        <v>60</v>
      </c>
      <c r="K52" s="3">
        <v>1</v>
      </c>
      <c r="L52" s="4"/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4"/>
    </row>
    <row r="53" spans="1:26" ht="14.25" hidden="1" customHeight="1">
      <c r="A53" s="31"/>
      <c r="B53" s="32"/>
      <c r="C53" s="33"/>
      <c r="D53" s="33"/>
      <c r="E53" s="33"/>
      <c r="F53" s="33"/>
      <c r="G53" s="33"/>
      <c r="H53" s="1"/>
      <c r="I53" s="3"/>
      <c r="J53" s="3"/>
      <c r="K53" s="3"/>
      <c r="L53" s="4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4"/>
    </row>
    <row r="54" spans="1:26" ht="14.25" hidden="1" customHeight="1">
      <c r="A54" s="31"/>
      <c r="B54" s="33"/>
      <c r="C54" s="33"/>
      <c r="D54" s="33"/>
      <c r="E54" s="33"/>
      <c r="F54" s="33"/>
      <c r="G54" s="33"/>
      <c r="H54" s="1"/>
      <c r="I54" s="3"/>
      <c r="J54" s="3"/>
      <c r="K54" s="3"/>
      <c r="L54" s="4"/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4"/>
    </row>
    <row r="55" spans="1:26" ht="14.25" hidden="1" customHeight="1">
      <c r="A55" s="31"/>
      <c r="B55" s="33"/>
      <c r="C55" s="33"/>
      <c r="D55" s="33"/>
      <c r="E55" s="33"/>
      <c r="F55" s="33"/>
      <c r="G55" s="33"/>
      <c r="H55" s="1"/>
      <c r="I55" s="3"/>
      <c r="J55" s="3"/>
      <c r="K55" s="3"/>
      <c r="L55" s="4"/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4"/>
    </row>
    <row r="56" spans="1:26" ht="14.25" hidden="1" customHeight="1">
      <c r="A56" s="4"/>
      <c r="B56" s="33"/>
      <c r="C56" s="33"/>
      <c r="D56" s="33"/>
      <c r="E56" s="33"/>
      <c r="F56" s="33"/>
      <c r="G56" s="33"/>
      <c r="H56" s="1"/>
      <c r="I56" s="3"/>
      <c r="J56" s="3"/>
      <c r="K56" s="3"/>
      <c r="L56" s="4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4"/>
    </row>
    <row r="57" spans="1:26" ht="14.25" hidden="1" customHeight="1">
      <c r="A57" s="4"/>
      <c r="B57" s="33"/>
      <c r="C57" s="33"/>
      <c r="D57" s="33"/>
      <c r="E57" s="33"/>
      <c r="F57" s="33"/>
      <c r="G57" s="33"/>
      <c r="H57" s="1"/>
      <c r="I57" s="3"/>
      <c r="J57" s="3"/>
      <c r="K57" s="3"/>
      <c r="L57" s="4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4"/>
    </row>
    <row r="58" spans="1:26" ht="14.25" hidden="1" customHeight="1">
      <c r="A58" s="4"/>
      <c r="B58" s="33"/>
      <c r="C58" s="33"/>
      <c r="D58" s="33"/>
      <c r="E58" s="33"/>
      <c r="F58" s="33"/>
      <c r="G58" s="33"/>
      <c r="H58" s="1"/>
      <c r="I58" s="3"/>
      <c r="J58" s="3"/>
      <c r="K58" s="3"/>
      <c r="L58" s="4"/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4"/>
    </row>
    <row r="59" spans="1:26" ht="14.25" hidden="1" customHeight="1">
      <c r="A59" s="4"/>
      <c r="B59" s="33"/>
      <c r="C59" s="33"/>
      <c r="D59" s="33"/>
      <c r="E59" s="33"/>
      <c r="F59" s="33"/>
      <c r="G59" s="33"/>
      <c r="H59" s="1"/>
      <c r="I59" s="3"/>
      <c r="J59" s="3"/>
      <c r="K59" s="3"/>
      <c r="L59" s="4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4"/>
    </row>
    <row r="60" spans="1:26" ht="14.25" hidden="1" customHeight="1">
      <c r="A60" s="4"/>
      <c r="B60" s="33"/>
      <c r="C60" s="33"/>
      <c r="D60" s="33"/>
      <c r="E60" s="33"/>
      <c r="F60" s="33"/>
      <c r="G60" s="33"/>
      <c r="H60" s="1"/>
      <c r="I60" s="3"/>
      <c r="J60" s="3"/>
      <c r="K60" s="3"/>
      <c r="L60" s="4"/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4"/>
    </row>
    <row r="61" spans="1:26" ht="14.25" hidden="1" customHeight="1">
      <c r="A61" s="4"/>
      <c r="B61" s="33"/>
      <c r="C61" s="33"/>
      <c r="D61" s="33"/>
      <c r="E61" s="33"/>
      <c r="F61" s="33"/>
      <c r="G61" s="33"/>
      <c r="H61" s="1"/>
      <c r="I61" s="3"/>
      <c r="J61" s="3"/>
      <c r="K61" s="3"/>
      <c r="L61" s="4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4"/>
    </row>
    <row r="62" spans="1:26" ht="14.25" hidden="1" customHeight="1">
      <c r="A62" s="4"/>
      <c r="B62" s="33"/>
      <c r="C62" s="33"/>
      <c r="D62" s="33"/>
      <c r="E62" s="33"/>
      <c r="F62" s="33"/>
      <c r="G62" s="33"/>
      <c r="H62" s="1"/>
      <c r="I62" s="3"/>
      <c r="J62" s="3"/>
      <c r="K62" s="3"/>
      <c r="L62" s="4"/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4"/>
    </row>
    <row r="63" spans="1:26" ht="14.25" hidden="1" customHeight="1">
      <c r="A63" s="4"/>
      <c r="B63" s="33"/>
      <c r="C63" s="33"/>
      <c r="D63" s="33"/>
      <c r="E63" s="33"/>
      <c r="F63" s="33"/>
      <c r="G63" s="33"/>
      <c r="H63" s="1"/>
      <c r="I63" s="3"/>
      <c r="J63" s="3"/>
      <c r="K63" s="3"/>
      <c r="L63" s="4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4"/>
    </row>
    <row r="64" spans="1:26" ht="14.25" hidden="1" customHeight="1">
      <c r="A64" s="4"/>
      <c r="B64" s="33"/>
      <c r="C64" s="33"/>
      <c r="D64" s="33"/>
      <c r="E64" s="33"/>
      <c r="F64" s="33"/>
      <c r="G64" s="33"/>
      <c r="H64" s="1"/>
      <c r="I64" s="3"/>
      <c r="J64" s="3"/>
      <c r="K64" s="3"/>
      <c r="L64" s="4"/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4"/>
    </row>
    <row r="65" spans="1:26" ht="14.25" hidden="1" customHeight="1">
      <c r="A65" s="4"/>
      <c r="B65" s="33"/>
      <c r="C65" s="33"/>
      <c r="D65" s="33"/>
      <c r="E65" s="33"/>
      <c r="F65" s="33"/>
      <c r="G65" s="33"/>
      <c r="H65" s="1"/>
      <c r="I65" s="3"/>
      <c r="J65" s="3"/>
      <c r="K65" s="3"/>
      <c r="L65" s="4"/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4"/>
    </row>
    <row r="66" spans="1:26" ht="14.25" hidden="1" customHeight="1">
      <c r="A66" s="4"/>
      <c r="B66" s="33"/>
      <c r="C66" s="33"/>
      <c r="D66" s="33"/>
      <c r="E66" s="33"/>
      <c r="F66" s="33"/>
      <c r="G66" s="33"/>
      <c r="H66" s="1"/>
      <c r="I66" s="3"/>
      <c r="J66" s="3"/>
      <c r="K66" s="3"/>
      <c r="L66" s="4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4"/>
    </row>
    <row r="67" spans="1:26" ht="14.25" hidden="1" customHeight="1">
      <c r="A67" s="4"/>
      <c r="B67" s="33"/>
      <c r="C67" s="33"/>
      <c r="D67" s="33"/>
      <c r="E67" s="33"/>
      <c r="F67" s="33"/>
      <c r="G67" s="33"/>
      <c r="H67" s="1"/>
      <c r="I67" s="3"/>
      <c r="J67" s="3"/>
      <c r="K67" s="3"/>
      <c r="L67" s="4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4"/>
    </row>
    <row r="68" spans="1:26" ht="14.25" hidden="1" customHeight="1">
      <c r="A68" s="4"/>
      <c r="B68" s="33"/>
      <c r="C68" s="33"/>
      <c r="D68" s="33"/>
      <c r="E68" s="33"/>
      <c r="F68" s="33"/>
      <c r="G68" s="33"/>
      <c r="H68" s="1"/>
      <c r="I68" s="3"/>
      <c r="J68" s="3"/>
      <c r="K68" s="3"/>
      <c r="L68" s="4"/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4"/>
    </row>
    <row r="69" spans="1:26" ht="14.25" hidden="1" customHeight="1">
      <c r="A69" s="4"/>
      <c r="B69" s="33"/>
      <c r="C69" s="33"/>
      <c r="D69" s="33"/>
      <c r="E69" s="33"/>
      <c r="F69" s="33"/>
      <c r="G69" s="33"/>
      <c r="H69" s="1"/>
      <c r="I69" s="3"/>
      <c r="J69" s="3"/>
      <c r="K69" s="3"/>
      <c r="L69" s="4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4"/>
    </row>
    <row r="70" spans="1:26" ht="14.25" hidden="1" customHeight="1">
      <c r="A70" s="4"/>
      <c r="B70" s="33"/>
      <c r="C70" s="33"/>
      <c r="D70" s="33"/>
      <c r="E70" s="33"/>
      <c r="F70" s="33"/>
      <c r="G70" s="33"/>
      <c r="H70" s="1"/>
      <c r="I70" s="3"/>
      <c r="J70" s="3"/>
      <c r="K70" s="3"/>
      <c r="L70" s="4"/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4"/>
    </row>
    <row r="71" spans="1:26" ht="14.25" hidden="1" customHeight="1">
      <c r="A71" s="4"/>
      <c r="B71" s="33"/>
      <c r="C71" s="33"/>
      <c r="D71" s="33"/>
      <c r="E71" s="33"/>
      <c r="F71" s="33"/>
      <c r="G71" s="33"/>
      <c r="H71" s="1"/>
      <c r="I71" s="3"/>
      <c r="J71" s="3"/>
      <c r="K71" s="3"/>
      <c r="L71" s="4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4"/>
    </row>
    <row r="72" spans="1:26" ht="14.25" hidden="1" customHeight="1">
      <c r="A72" s="4"/>
      <c r="B72" s="33"/>
      <c r="C72" s="33"/>
      <c r="D72" s="33"/>
      <c r="E72" s="33"/>
      <c r="F72" s="33"/>
      <c r="G72" s="33"/>
      <c r="H72" s="1"/>
      <c r="I72" s="3"/>
      <c r="J72" s="3"/>
      <c r="K72" s="3"/>
      <c r="L72" s="4"/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4"/>
    </row>
    <row r="73" spans="1:26" ht="14.25" hidden="1" customHeight="1">
      <c r="A73" s="4"/>
      <c r="B73" s="33"/>
      <c r="C73" s="33"/>
      <c r="D73" s="33"/>
      <c r="E73" s="33"/>
      <c r="F73" s="33"/>
      <c r="G73" s="33"/>
      <c r="H73" s="1"/>
      <c r="I73" s="3"/>
      <c r="J73" s="3"/>
      <c r="K73" s="3"/>
      <c r="L73" s="4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4"/>
    </row>
    <row r="74" spans="1:26" ht="14.25" hidden="1" customHeight="1">
      <c r="A74" s="4"/>
      <c r="B74" s="33"/>
      <c r="C74" s="33"/>
      <c r="D74" s="33"/>
      <c r="E74" s="33"/>
      <c r="F74" s="33"/>
      <c r="G74" s="33"/>
      <c r="H74" s="1"/>
      <c r="I74" s="3"/>
      <c r="J74" s="3"/>
      <c r="K74" s="3"/>
      <c r="L74" s="4"/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4"/>
    </row>
    <row r="75" spans="1:26" ht="14.25" hidden="1" customHeight="1">
      <c r="A75" s="4"/>
      <c r="B75" s="33"/>
      <c r="C75" s="33"/>
      <c r="D75" s="33"/>
      <c r="E75" s="33"/>
      <c r="F75" s="33"/>
      <c r="G75" s="33"/>
      <c r="H75" s="1"/>
      <c r="I75" s="3"/>
      <c r="J75" s="3"/>
      <c r="K75" s="3"/>
      <c r="L75" s="4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4"/>
    </row>
    <row r="76" spans="1:26" ht="14.25" hidden="1" customHeight="1">
      <c r="A76" s="4"/>
      <c r="B76" s="33"/>
      <c r="C76" s="33"/>
      <c r="D76" s="33"/>
      <c r="E76" s="33"/>
      <c r="F76" s="33"/>
      <c r="G76" s="33"/>
      <c r="H76" s="1"/>
      <c r="I76" s="3"/>
      <c r="J76" s="3"/>
      <c r="K76" s="3"/>
      <c r="L76" s="4"/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4"/>
    </row>
    <row r="77" spans="1:26" ht="14.25" hidden="1" customHeight="1">
      <c r="A77" s="4"/>
      <c r="B77" s="33"/>
      <c r="C77" s="33"/>
      <c r="D77" s="33"/>
      <c r="E77" s="33"/>
      <c r="F77" s="33"/>
      <c r="G77" s="33"/>
      <c r="H77" s="1"/>
      <c r="I77" s="3"/>
      <c r="J77" s="3"/>
      <c r="K77" s="3"/>
      <c r="L77" s="4"/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4"/>
    </row>
    <row r="78" spans="1:26" ht="14.25" hidden="1" customHeight="1">
      <c r="A78" s="4"/>
      <c r="B78" s="33"/>
      <c r="C78" s="33"/>
      <c r="D78" s="33"/>
      <c r="E78" s="33"/>
      <c r="F78" s="33"/>
      <c r="G78" s="33"/>
      <c r="H78" s="1"/>
      <c r="I78" s="3"/>
      <c r="J78" s="3"/>
      <c r="K78" s="3"/>
      <c r="L78" s="4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4"/>
    </row>
    <row r="79" spans="1:26" ht="14.25" hidden="1" customHeight="1">
      <c r="A79" s="4"/>
      <c r="B79" s="33"/>
      <c r="C79" s="33"/>
      <c r="D79" s="33"/>
      <c r="E79" s="33"/>
      <c r="F79" s="33"/>
      <c r="G79" s="33"/>
      <c r="H79" s="1"/>
      <c r="I79" s="3"/>
      <c r="J79" s="3"/>
      <c r="K79" s="3"/>
      <c r="L79" s="4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4"/>
    </row>
    <row r="80" spans="1:26" ht="14.25" hidden="1" customHeight="1">
      <c r="A80" s="4"/>
      <c r="B80" s="33"/>
      <c r="C80" s="33"/>
      <c r="D80" s="33"/>
      <c r="E80" s="33"/>
      <c r="F80" s="33"/>
      <c r="G80" s="33"/>
      <c r="H80" s="1"/>
      <c r="I80" s="3"/>
      <c r="J80" s="3"/>
      <c r="K80" s="3"/>
      <c r="L80" s="4"/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4"/>
    </row>
    <row r="81" spans="1:26" ht="14.25" hidden="1" customHeight="1">
      <c r="A81" s="4"/>
      <c r="B81" s="33"/>
      <c r="C81" s="33"/>
      <c r="D81" s="33"/>
      <c r="E81" s="33"/>
      <c r="F81" s="33"/>
      <c r="G81" s="33"/>
      <c r="H81" s="1"/>
      <c r="I81" s="3"/>
      <c r="J81" s="3"/>
      <c r="K81" s="3"/>
      <c r="L81" s="4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4"/>
    </row>
    <row r="82" spans="1:26" ht="14.25" hidden="1" customHeight="1">
      <c r="A82" s="4"/>
      <c r="B82" s="33"/>
      <c r="C82" s="33"/>
      <c r="D82" s="33"/>
      <c r="E82" s="33"/>
      <c r="F82" s="33"/>
      <c r="G82" s="33"/>
      <c r="H82" s="1"/>
      <c r="I82" s="3"/>
      <c r="J82" s="3"/>
      <c r="K82" s="3"/>
      <c r="L82" s="4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4"/>
    </row>
    <row r="83" spans="1:26" ht="14.25" hidden="1" customHeight="1">
      <c r="A83" s="4"/>
      <c r="B83" s="33"/>
      <c r="C83" s="33"/>
      <c r="D83" s="33"/>
      <c r="E83" s="33"/>
      <c r="F83" s="33"/>
      <c r="G83" s="33"/>
      <c r="H83" s="1"/>
      <c r="I83" s="3"/>
      <c r="J83" s="3"/>
      <c r="K83" s="3"/>
      <c r="L83" s="4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4"/>
    </row>
    <row r="84" spans="1:26" ht="14.25" hidden="1" customHeight="1">
      <c r="A84" s="4"/>
      <c r="B84" s="33"/>
      <c r="C84" s="33"/>
      <c r="D84" s="33"/>
      <c r="E84" s="33"/>
      <c r="F84" s="33"/>
      <c r="G84" s="33"/>
      <c r="H84" s="1"/>
      <c r="I84" s="3"/>
      <c r="J84" s="3"/>
      <c r="K84" s="3"/>
      <c r="L84" s="4"/>
      <c r="M84" s="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4"/>
    </row>
    <row r="85" spans="1:26" ht="14.25" hidden="1" customHeight="1">
      <c r="A85" s="4"/>
      <c r="B85" s="33"/>
      <c r="C85" s="33"/>
      <c r="D85" s="33"/>
      <c r="E85" s="33"/>
      <c r="F85" s="33"/>
      <c r="G85" s="33"/>
      <c r="H85" s="1"/>
      <c r="I85" s="3"/>
      <c r="J85" s="3"/>
      <c r="K85" s="3"/>
      <c r="L85" s="4"/>
      <c r="M85" s="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4"/>
    </row>
    <row r="86" spans="1:26" ht="14.25" hidden="1" customHeight="1">
      <c r="A86" s="4"/>
      <c r="B86" s="33"/>
      <c r="C86" s="33"/>
      <c r="D86" s="33"/>
      <c r="E86" s="33"/>
      <c r="F86" s="33"/>
      <c r="G86" s="33"/>
      <c r="H86" s="1"/>
      <c r="I86" s="3"/>
      <c r="J86" s="3"/>
      <c r="K86" s="3"/>
      <c r="L86" s="4"/>
      <c r="M86" s="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4"/>
    </row>
    <row r="87" spans="1:26" ht="14.25" hidden="1" customHeight="1">
      <c r="A87" s="4"/>
      <c r="B87" s="33"/>
      <c r="C87" s="33"/>
      <c r="D87" s="33"/>
      <c r="E87" s="33"/>
      <c r="F87" s="33"/>
      <c r="G87" s="33"/>
      <c r="H87" s="1"/>
      <c r="I87" s="3"/>
      <c r="J87" s="3"/>
      <c r="K87" s="3"/>
      <c r="L87" s="4"/>
      <c r="M87" s="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4"/>
    </row>
    <row r="88" spans="1:26" ht="14.25" hidden="1" customHeight="1">
      <c r="A88" s="4"/>
      <c r="B88" s="33"/>
      <c r="C88" s="33"/>
      <c r="D88" s="33"/>
      <c r="E88" s="33"/>
      <c r="F88" s="33"/>
      <c r="G88" s="33"/>
      <c r="H88" s="1"/>
      <c r="I88" s="3"/>
      <c r="J88" s="3"/>
      <c r="K88" s="3"/>
      <c r="L88" s="4"/>
      <c r="M88" s="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4"/>
    </row>
    <row r="89" spans="1:26" ht="14.25" hidden="1" customHeight="1">
      <c r="A89" s="4"/>
      <c r="B89" s="33"/>
      <c r="C89" s="33"/>
      <c r="D89" s="33"/>
      <c r="E89" s="33"/>
      <c r="F89" s="33"/>
      <c r="G89" s="33"/>
      <c r="H89" s="1"/>
      <c r="I89" s="3"/>
      <c r="J89" s="3"/>
      <c r="K89" s="3"/>
      <c r="L89" s="4"/>
      <c r="M89" s="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4"/>
    </row>
    <row r="90" spans="1:26" ht="14.25" hidden="1" customHeight="1">
      <c r="A90" s="4"/>
      <c r="B90" s="33"/>
      <c r="C90" s="33"/>
      <c r="D90" s="33"/>
      <c r="E90" s="33"/>
      <c r="F90" s="33"/>
      <c r="G90" s="33"/>
      <c r="H90" s="1"/>
      <c r="I90" s="3"/>
      <c r="J90" s="3"/>
      <c r="K90" s="3"/>
      <c r="L90" s="4"/>
      <c r="M90" s="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4"/>
    </row>
    <row r="91" spans="1:26" ht="14.25" hidden="1" customHeight="1">
      <c r="A91" s="4"/>
      <c r="B91" s="33"/>
      <c r="C91" s="33"/>
      <c r="D91" s="33"/>
      <c r="E91" s="33"/>
      <c r="F91" s="33"/>
      <c r="G91" s="33"/>
      <c r="H91" s="1"/>
      <c r="I91" s="3"/>
      <c r="J91" s="3"/>
      <c r="K91" s="3"/>
      <c r="L91" s="4"/>
      <c r="M91" s="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4"/>
    </row>
    <row r="92" spans="1:26" ht="14.25" hidden="1" customHeight="1">
      <c r="A92" s="4"/>
      <c r="B92" s="33"/>
      <c r="C92" s="33"/>
      <c r="D92" s="33"/>
      <c r="E92" s="33"/>
      <c r="F92" s="33"/>
      <c r="G92" s="33"/>
      <c r="H92" s="1"/>
      <c r="I92" s="3"/>
      <c r="J92" s="3"/>
      <c r="K92" s="3"/>
      <c r="L92" s="4"/>
      <c r="M92" s="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4"/>
    </row>
    <row r="93" spans="1:26" ht="14.25" hidden="1" customHeight="1">
      <c r="A93" s="4"/>
      <c r="B93" s="33"/>
      <c r="C93" s="33"/>
      <c r="D93" s="33"/>
      <c r="E93" s="33"/>
      <c r="F93" s="33"/>
      <c r="G93" s="33"/>
      <c r="H93" s="1"/>
      <c r="I93" s="3"/>
      <c r="J93" s="3"/>
      <c r="K93" s="3"/>
      <c r="L93" s="4"/>
      <c r="M93" s="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4"/>
    </row>
    <row r="94" spans="1:26" ht="14.25" hidden="1" customHeight="1">
      <c r="A94" s="4"/>
      <c r="B94" s="33"/>
      <c r="C94" s="33"/>
      <c r="D94" s="33"/>
      <c r="E94" s="33"/>
      <c r="F94" s="33"/>
      <c r="G94" s="33"/>
      <c r="H94" s="1"/>
      <c r="I94" s="3"/>
      <c r="J94" s="3"/>
      <c r="K94" s="3"/>
      <c r="L94" s="4"/>
      <c r="M94" s="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4"/>
    </row>
    <row r="95" spans="1:26" ht="14.25" hidden="1" customHeight="1">
      <c r="A95" s="4"/>
      <c r="B95" s="33"/>
      <c r="C95" s="33"/>
      <c r="D95" s="33"/>
      <c r="E95" s="33"/>
      <c r="F95" s="33"/>
      <c r="G95" s="33"/>
      <c r="H95" s="1"/>
      <c r="I95" s="3"/>
      <c r="J95" s="3"/>
      <c r="K95" s="3"/>
      <c r="L95" s="4"/>
      <c r="M95" s="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4"/>
    </row>
    <row r="96" spans="1:26" ht="14.25" hidden="1" customHeight="1">
      <c r="A96" s="4"/>
      <c r="B96" s="33"/>
      <c r="C96" s="33"/>
      <c r="D96" s="33"/>
      <c r="E96" s="33"/>
      <c r="F96" s="33"/>
      <c r="G96" s="33"/>
      <c r="H96" s="1"/>
      <c r="I96" s="3"/>
      <c r="J96" s="3"/>
      <c r="K96" s="3"/>
      <c r="L96" s="4"/>
      <c r="M96" s="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4"/>
    </row>
    <row r="97" spans="1:26" ht="14.25" hidden="1" customHeight="1">
      <c r="A97" s="4"/>
      <c r="B97" s="33"/>
      <c r="C97" s="33"/>
      <c r="D97" s="33"/>
      <c r="E97" s="33"/>
      <c r="F97" s="33"/>
      <c r="G97" s="33"/>
      <c r="H97" s="1"/>
      <c r="I97" s="3"/>
      <c r="J97" s="3"/>
      <c r="K97" s="3"/>
      <c r="L97" s="4"/>
      <c r="M97" s="4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4"/>
    </row>
    <row r="98" spans="1:26" ht="14.25" hidden="1" customHeight="1">
      <c r="A98" s="4"/>
      <c r="B98" s="33"/>
      <c r="C98" s="33"/>
      <c r="D98" s="33"/>
      <c r="E98" s="33"/>
      <c r="F98" s="33"/>
      <c r="G98" s="33"/>
      <c r="H98" s="1"/>
      <c r="I98" s="3"/>
      <c r="J98" s="3"/>
      <c r="K98" s="3"/>
      <c r="L98" s="4"/>
      <c r="M98" s="4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4"/>
    </row>
    <row r="99" spans="1:26" ht="14.25" hidden="1" customHeight="1">
      <c r="A99" s="4"/>
      <c r="B99" s="33"/>
      <c r="C99" s="33"/>
      <c r="D99" s="33"/>
      <c r="E99" s="33"/>
      <c r="F99" s="33"/>
      <c r="G99" s="33"/>
      <c r="H99" s="1"/>
      <c r="I99" s="3"/>
      <c r="J99" s="3"/>
      <c r="K99" s="3"/>
      <c r="L99" s="4"/>
      <c r="M99" s="4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4"/>
    </row>
    <row r="100" spans="1:26" ht="14.25" hidden="1" customHeight="1">
      <c r="A100" s="4"/>
      <c r="B100" s="33"/>
      <c r="C100" s="33"/>
      <c r="D100" s="33"/>
      <c r="E100" s="33"/>
      <c r="F100" s="33"/>
      <c r="G100" s="33"/>
      <c r="H100" s="1"/>
      <c r="I100" s="3"/>
      <c r="J100" s="3"/>
      <c r="K100" s="3"/>
      <c r="L100" s="4"/>
      <c r="M100" s="4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4"/>
    </row>
    <row r="101" spans="1:26" ht="14.25" hidden="1" customHeight="1">
      <c r="A101" s="4"/>
      <c r="B101" s="33"/>
      <c r="C101" s="33"/>
      <c r="D101" s="33"/>
      <c r="E101" s="33"/>
      <c r="F101" s="33"/>
      <c r="G101" s="33"/>
      <c r="H101" s="1"/>
      <c r="I101" s="3"/>
      <c r="J101" s="3"/>
      <c r="K101" s="3"/>
      <c r="L101" s="4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4"/>
    </row>
    <row r="102" spans="1:26" ht="14.25" hidden="1" customHeight="1">
      <c r="A102" s="4"/>
      <c r="B102" s="33"/>
      <c r="C102" s="33"/>
      <c r="D102" s="33"/>
      <c r="E102" s="33"/>
      <c r="F102" s="33"/>
      <c r="G102" s="33"/>
      <c r="H102" s="1"/>
      <c r="I102" s="3"/>
      <c r="J102" s="3"/>
      <c r="K102" s="3"/>
      <c r="L102" s="4"/>
      <c r="M102" s="4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4"/>
    </row>
    <row r="103" spans="1:26" ht="14.25" hidden="1" customHeight="1">
      <c r="A103" s="4"/>
      <c r="B103" s="33"/>
      <c r="C103" s="33"/>
      <c r="D103" s="33"/>
      <c r="E103" s="33"/>
      <c r="F103" s="33"/>
      <c r="G103" s="33"/>
      <c r="H103" s="1"/>
      <c r="I103" s="3"/>
      <c r="J103" s="3"/>
      <c r="K103" s="3"/>
      <c r="L103" s="4"/>
      <c r="M103" s="4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4"/>
    </row>
    <row r="104" spans="1:26" ht="14.25" hidden="1" customHeight="1">
      <c r="A104" s="4"/>
      <c r="B104" s="33"/>
      <c r="C104" s="33"/>
      <c r="D104" s="33"/>
      <c r="E104" s="33"/>
      <c r="F104" s="33"/>
      <c r="G104" s="33"/>
      <c r="H104" s="1"/>
      <c r="I104" s="3"/>
      <c r="J104" s="3"/>
      <c r="K104" s="3"/>
      <c r="L104" s="4"/>
      <c r="M104" s="4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4"/>
    </row>
    <row r="105" spans="1:26" ht="14.25" hidden="1" customHeight="1">
      <c r="A105" s="4"/>
      <c r="B105" s="33"/>
      <c r="C105" s="33"/>
      <c r="D105" s="33"/>
      <c r="E105" s="33"/>
      <c r="F105" s="33"/>
      <c r="G105" s="33"/>
      <c r="H105" s="1"/>
      <c r="I105" s="3"/>
      <c r="J105" s="3"/>
      <c r="K105" s="3"/>
      <c r="L105" s="4"/>
      <c r="M105" s="4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4"/>
    </row>
    <row r="106" spans="1:26" ht="14.25" hidden="1" customHeight="1">
      <c r="A106" s="4"/>
      <c r="B106" s="33"/>
      <c r="C106" s="33"/>
      <c r="D106" s="33"/>
      <c r="E106" s="33"/>
      <c r="F106" s="33"/>
      <c r="G106" s="33"/>
      <c r="H106" s="1"/>
      <c r="I106" s="3"/>
      <c r="J106" s="3"/>
      <c r="K106" s="3"/>
      <c r="L106" s="4"/>
      <c r="M106" s="4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4"/>
    </row>
    <row r="107" spans="1:26" ht="14.25" hidden="1" customHeight="1">
      <c r="A107" s="4"/>
      <c r="B107" s="33"/>
      <c r="C107" s="33"/>
      <c r="D107" s="33"/>
      <c r="E107" s="33"/>
      <c r="F107" s="33"/>
      <c r="G107" s="33"/>
      <c r="H107" s="1"/>
      <c r="I107" s="3"/>
      <c r="J107" s="3"/>
      <c r="K107" s="3"/>
      <c r="L107" s="4"/>
      <c r="M107" s="4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4"/>
    </row>
    <row r="108" spans="1:26" ht="14.25" hidden="1" customHeight="1">
      <c r="A108" s="4"/>
      <c r="B108" s="33"/>
      <c r="C108" s="33"/>
      <c r="D108" s="33"/>
      <c r="E108" s="33"/>
      <c r="F108" s="33"/>
      <c r="G108" s="33"/>
      <c r="H108" s="1"/>
      <c r="I108" s="3"/>
      <c r="J108" s="3"/>
      <c r="K108" s="3"/>
      <c r="L108" s="4"/>
      <c r="M108" s="4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4"/>
    </row>
    <row r="109" spans="1:26" ht="14.25" hidden="1" customHeight="1">
      <c r="A109" s="4"/>
      <c r="B109" s="33"/>
      <c r="C109" s="33"/>
      <c r="D109" s="33"/>
      <c r="E109" s="33"/>
      <c r="F109" s="33"/>
      <c r="G109" s="33"/>
      <c r="H109" s="1"/>
      <c r="I109" s="3"/>
      <c r="J109" s="3"/>
      <c r="K109" s="3"/>
      <c r="L109" s="4"/>
      <c r="M109" s="4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4"/>
    </row>
    <row r="110" spans="1:26" ht="14.25" hidden="1" customHeight="1">
      <c r="A110" s="4"/>
      <c r="B110" s="33"/>
      <c r="C110" s="33"/>
      <c r="D110" s="33"/>
      <c r="E110" s="33"/>
      <c r="F110" s="33"/>
      <c r="G110" s="33"/>
      <c r="H110" s="1"/>
      <c r="I110" s="3"/>
      <c r="J110" s="3"/>
      <c r="K110" s="3"/>
      <c r="L110" s="4"/>
      <c r="M110" s="4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4"/>
    </row>
    <row r="111" spans="1:26" ht="14.25" hidden="1" customHeight="1">
      <c r="A111" s="4"/>
      <c r="B111" s="33"/>
      <c r="C111" s="33"/>
      <c r="D111" s="33"/>
      <c r="E111" s="33"/>
      <c r="F111" s="33"/>
      <c r="G111" s="33"/>
      <c r="H111" s="1"/>
      <c r="I111" s="3"/>
      <c r="J111" s="3"/>
      <c r="K111" s="3"/>
      <c r="L111" s="4"/>
      <c r="M111" s="4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4"/>
    </row>
    <row r="112" spans="1:26" ht="14.25" hidden="1" customHeight="1">
      <c r="A112" s="4"/>
      <c r="B112" s="33"/>
      <c r="C112" s="33"/>
      <c r="D112" s="33"/>
      <c r="E112" s="33"/>
      <c r="F112" s="33"/>
      <c r="G112" s="33"/>
      <c r="H112" s="1"/>
      <c r="I112" s="3"/>
      <c r="J112" s="3"/>
      <c r="K112" s="3"/>
      <c r="L112" s="4"/>
      <c r="M112" s="4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4"/>
    </row>
    <row r="113" spans="1:26" ht="14.25" hidden="1" customHeight="1">
      <c r="A113" s="4"/>
      <c r="B113" s="33"/>
      <c r="C113" s="33"/>
      <c r="D113" s="33"/>
      <c r="E113" s="33"/>
      <c r="F113" s="33"/>
      <c r="G113" s="33"/>
      <c r="H113" s="1"/>
      <c r="I113" s="3"/>
      <c r="J113" s="3"/>
      <c r="K113" s="3"/>
      <c r="L113" s="4"/>
      <c r="M113" s="4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4"/>
    </row>
    <row r="114" spans="1:26" ht="14.25" hidden="1" customHeight="1">
      <c r="A114" s="4"/>
      <c r="B114" s="33"/>
      <c r="C114" s="33"/>
      <c r="D114" s="33"/>
      <c r="E114" s="33"/>
      <c r="F114" s="33"/>
      <c r="G114" s="33"/>
      <c r="H114" s="1"/>
      <c r="I114" s="3"/>
      <c r="J114" s="3"/>
      <c r="K114" s="3"/>
      <c r="L114" s="4"/>
      <c r="M114" s="4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4"/>
    </row>
    <row r="115" spans="1:26" ht="14.25" hidden="1" customHeight="1">
      <c r="A115" s="4"/>
      <c r="B115" s="33"/>
      <c r="C115" s="33"/>
      <c r="D115" s="33"/>
      <c r="E115" s="33"/>
      <c r="F115" s="33"/>
      <c r="G115" s="33"/>
      <c r="H115" s="1"/>
      <c r="I115" s="3"/>
      <c r="J115" s="3"/>
      <c r="K115" s="3"/>
      <c r="L115" s="4"/>
      <c r="M115" s="4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4"/>
    </row>
    <row r="116" spans="1:26" ht="14.25" hidden="1" customHeight="1">
      <c r="A116" s="4"/>
      <c r="B116" s="33"/>
      <c r="C116" s="33"/>
      <c r="D116" s="33"/>
      <c r="E116" s="33"/>
      <c r="F116" s="33"/>
      <c r="G116" s="33"/>
      <c r="H116" s="1"/>
      <c r="I116" s="3"/>
      <c r="J116" s="3"/>
      <c r="K116" s="3"/>
      <c r="L116" s="4"/>
      <c r="M116" s="4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4"/>
    </row>
    <row r="117" spans="1:26" ht="14.25" hidden="1" customHeight="1">
      <c r="A117" s="4"/>
      <c r="B117" s="33"/>
      <c r="C117" s="33"/>
      <c r="D117" s="33"/>
      <c r="E117" s="33"/>
      <c r="F117" s="33"/>
      <c r="G117" s="33"/>
      <c r="H117" s="1"/>
      <c r="I117" s="3"/>
      <c r="J117" s="3"/>
      <c r="K117" s="3"/>
      <c r="L117" s="4"/>
      <c r="M117" s="4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4"/>
    </row>
    <row r="118" spans="1:26" ht="14.25" hidden="1" customHeight="1">
      <c r="A118" s="4"/>
      <c r="B118" s="33"/>
      <c r="C118" s="33"/>
      <c r="D118" s="33"/>
      <c r="E118" s="33"/>
      <c r="F118" s="33"/>
      <c r="G118" s="33"/>
      <c r="H118" s="1"/>
      <c r="I118" s="3"/>
      <c r="J118" s="3"/>
      <c r="K118" s="3"/>
      <c r="L118" s="4"/>
      <c r="M118" s="4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4"/>
    </row>
    <row r="119" spans="1:26" ht="14.25" hidden="1" customHeight="1">
      <c r="A119" s="4"/>
      <c r="B119" s="33"/>
      <c r="C119" s="33"/>
      <c r="D119" s="33"/>
      <c r="E119" s="33"/>
      <c r="F119" s="33"/>
      <c r="G119" s="33"/>
      <c r="H119" s="1"/>
      <c r="I119" s="3"/>
      <c r="J119" s="3"/>
      <c r="K119" s="3"/>
      <c r="L119" s="4"/>
      <c r="M119" s="4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4"/>
    </row>
    <row r="120" spans="1:26" ht="14.25" hidden="1" customHeight="1">
      <c r="A120" s="4"/>
      <c r="B120" s="33"/>
      <c r="C120" s="33"/>
      <c r="D120" s="33"/>
      <c r="E120" s="33"/>
      <c r="F120" s="33"/>
      <c r="G120" s="33"/>
      <c r="H120" s="1"/>
      <c r="I120" s="3"/>
      <c r="J120" s="3"/>
      <c r="K120" s="3"/>
      <c r="L120" s="4"/>
      <c r="M120" s="4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4"/>
    </row>
    <row r="121" spans="1:26" ht="14.25" hidden="1" customHeight="1">
      <c r="A121" s="4"/>
      <c r="B121" s="33"/>
      <c r="C121" s="33"/>
      <c r="D121" s="33"/>
      <c r="E121" s="33"/>
      <c r="F121" s="33"/>
      <c r="G121" s="33"/>
      <c r="H121" s="1"/>
      <c r="I121" s="3"/>
      <c r="J121" s="3"/>
      <c r="K121" s="3"/>
      <c r="L121" s="4"/>
      <c r="M121" s="4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4"/>
    </row>
    <row r="122" spans="1:26" ht="14.25" hidden="1" customHeight="1">
      <c r="A122" s="4"/>
      <c r="B122" s="33"/>
      <c r="C122" s="33"/>
      <c r="D122" s="33"/>
      <c r="E122" s="33"/>
      <c r="F122" s="33"/>
      <c r="G122" s="33"/>
      <c r="H122" s="1"/>
      <c r="I122" s="3"/>
      <c r="J122" s="3"/>
      <c r="K122" s="3"/>
      <c r="L122" s="4"/>
      <c r="M122" s="4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4"/>
    </row>
    <row r="123" spans="1:26" ht="14.25" hidden="1" customHeight="1">
      <c r="A123" s="4"/>
      <c r="B123" s="33"/>
      <c r="C123" s="33"/>
      <c r="D123" s="33"/>
      <c r="E123" s="33"/>
      <c r="F123" s="33"/>
      <c r="G123" s="33"/>
      <c r="H123" s="1"/>
      <c r="I123" s="3"/>
      <c r="J123" s="3"/>
      <c r="K123" s="3"/>
      <c r="L123" s="4"/>
      <c r="M123" s="4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4"/>
    </row>
    <row r="124" spans="1:26" ht="14.25" hidden="1" customHeight="1">
      <c r="A124" s="4"/>
      <c r="B124" s="33"/>
      <c r="C124" s="33"/>
      <c r="D124" s="33"/>
      <c r="E124" s="33"/>
      <c r="F124" s="33"/>
      <c r="G124" s="33"/>
      <c r="H124" s="1"/>
      <c r="I124" s="3"/>
      <c r="J124" s="3"/>
      <c r="K124" s="3"/>
      <c r="L124" s="4"/>
      <c r="M124" s="4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4"/>
    </row>
    <row r="125" spans="1:26" ht="14.25" hidden="1" customHeight="1">
      <c r="A125" s="4"/>
      <c r="B125" s="33"/>
      <c r="C125" s="33"/>
      <c r="D125" s="33"/>
      <c r="E125" s="33"/>
      <c r="F125" s="33"/>
      <c r="G125" s="33"/>
      <c r="H125" s="1"/>
      <c r="I125" s="3"/>
      <c r="J125" s="3"/>
      <c r="K125" s="3"/>
      <c r="L125" s="4"/>
      <c r="M125" s="4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4"/>
    </row>
    <row r="126" spans="1:26" ht="14.25" hidden="1" customHeight="1">
      <c r="A126" s="4"/>
      <c r="B126" s="33"/>
      <c r="C126" s="33"/>
      <c r="D126" s="33"/>
      <c r="E126" s="33"/>
      <c r="F126" s="33"/>
      <c r="G126" s="33"/>
      <c r="H126" s="1"/>
      <c r="I126" s="3"/>
      <c r="J126" s="3"/>
      <c r="K126" s="3"/>
      <c r="L126" s="4"/>
      <c r="M126" s="4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4"/>
    </row>
    <row r="127" spans="1:26" ht="14.25" hidden="1" customHeight="1">
      <c r="A127" s="4"/>
      <c r="B127" s="33"/>
      <c r="C127" s="33"/>
      <c r="D127" s="33"/>
      <c r="E127" s="33"/>
      <c r="F127" s="33"/>
      <c r="G127" s="33"/>
      <c r="H127" s="1"/>
      <c r="I127" s="3"/>
      <c r="J127" s="3"/>
      <c r="K127" s="3"/>
      <c r="L127" s="4"/>
      <c r="M127" s="4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4"/>
    </row>
    <row r="128" spans="1:26" ht="14.25" hidden="1" customHeight="1">
      <c r="A128" s="4"/>
      <c r="B128" s="33"/>
      <c r="C128" s="33"/>
      <c r="D128" s="33"/>
      <c r="E128" s="33"/>
      <c r="F128" s="33"/>
      <c r="G128" s="33"/>
      <c r="H128" s="1"/>
      <c r="I128" s="3"/>
      <c r="J128" s="3"/>
      <c r="K128" s="3"/>
      <c r="L128" s="4"/>
      <c r="M128" s="4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4"/>
    </row>
    <row r="129" spans="1:26" ht="14.25" hidden="1" customHeight="1">
      <c r="A129" s="4"/>
      <c r="B129" s="33"/>
      <c r="C129" s="33"/>
      <c r="D129" s="33"/>
      <c r="E129" s="33"/>
      <c r="F129" s="33"/>
      <c r="G129" s="33"/>
      <c r="H129" s="1"/>
      <c r="I129" s="3"/>
      <c r="J129" s="3"/>
      <c r="K129" s="3"/>
      <c r="L129" s="4"/>
      <c r="M129" s="4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4"/>
    </row>
    <row r="130" spans="1:26" ht="14.25" hidden="1" customHeight="1">
      <c r="A130" s="4"/>
      <c r="B130" s="33"/>
      <c r="C130" s="33"/>
      <c r="D130" s="33"/>
      <c r="E130" s="33"/>
      <c r="F130" s="33"/>
      <c r="G130" s="33"/>
      <c r="H130" s="1"/>
      <c r="I130" s="3"/>
      <c r="J130" s="3"/>
      <c r="K130" s="3"/>
      <c r="L130" s="4"/>
      <c r="M130" s="4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4"/>
    </row>
    <row r="131" spans="1:26" ht="14.25" hidden="1" customHeight="1">
      <c r="A131" s="4"/>
      <c r="B131" s="33"/>
      <c r="C131" s="33"/>
      <c r="D131" s="33"/>
      <c r="E131" s="33"/>
      <c r="F131" s="33"/>
      <c r="G131" s="33"/>
      <c r="H131" s="1"/>
      <c r="I131" s="3"/>
      <c r="J131" s="3"/>
      <c r="K131" s="3"/>
      <c r="L131" s="4"/>
      <c r="M131" s="4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4"/>
    </row>
    <row r="132" spans="1:26" ht="14.25" hidden="1" customHeight="1">
      <c r="A132" s="4"/>
      <c r="B132" s="33"/>
      <c r="C132" s="33"/>
      <c r="D132" s="33"/>
      <c r="E132" s="33"/>
      <c r="F132" s="33"/>
      <c r="G132" s="33"/>
      <c r="H132" s="1"/>
      <c r="I132" s="3"/>
      <c r="J132" s="3"/>
      <c r="K132" s="3"/>
      <c r="L132" s="4"/>
      <c r="M132" s="4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4"/>
    </row>
    <row r="133" spans="1:26" ht="14.25" hidden="1" customHeight="1">
      <c r="A133" s="4"/>
      <c r="B133" s="33"/>
      <c r="C133" s="33"/>
      <c r="D133" s="33"/>
      <c r="E133" s="33"/>
      <c r="F133" s="33"/>
      <c r="G133" s="33"/>
      <c r="H133" s="1"/>
      <c r="I133" s="3"/>
      <c r="J133" s="3"/>
      <c r="K133" s="3"/>
      <c r="L133" s="4"/>
      <c r="M133" s="4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4"/>
    </row>
    <row r="134" spans="1:26" ht="14.25" hidden="1" customHeight="1">
      <c r="A134" s="4"/>
      <c r="B134" s="33"/>
      <c r="C134" s="33"/>
      <c r="D134" s="33"/>
      <c r="E134" s="33"/>
      <c r="F134" s="33"/>
      <c r="G134" s="33"/>
      <c r="H134" s="1"/>
      <c r="I134" s="3"/>
      <c r="J134" s="3"/>
      <c r="K134" s="3"/>
      <c r="L134" s="4"/>
      <c r="M134" s="4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4"/>
    </row>
    <row r="135" spans="1:26" ht="14.25" hidden="1" customHeight="1">
      <c r="A135" s="4"/>
      <c r="B135" s="33"/>
      <c r="C135" s="33"/>
      <c r="D135" s="33"/>
      <c r="E135" s="33"/>
      <c r="F135" s="33"/>
      <c r="G135" s="33"/>
      <c r="H135" s="1"/>
      <c r="I135" s="3"/>
      <c r="J135" s="3"/>
      <c r="K135" s="3"/>
      <c r="L135" s="4"/>
      <c r="M135" s="4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4"/>
    </row>
    <row r="136" spans="1:26" ht="14.25" hidden="1" customHeight="1">
      <c r="A136" s="4"/>
      <c r="B136" s="33"/>
      <c r="C136" s="33"/>
      <c r="D136" s="33"/>
      <c r="E136" s="33"/>
      <c r="F136" s="33"/>
      <c r="G136" s="33"/>
      <c r="H136" s="1"/>
      <c r="I136" s="3"/>
      <c r="J136" s="3"/>
      <c r="K136" s="3"/>
      <c r="L136" s="4"/>
      <c r="M136" s="4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4"/>
    </row>
    <row r="137" spans="1:26" ht="14.25" hidden="1" customHeight="1">
      <c r="A137" s="4"/>
      <c r="B137" s="33"/>
      <c r="C137" s="33"/>
      <c r="D137" s="33"/>
      <c r="E137" s="33"/>
      <c r="F137" s="33"/>
      <c r="G137" s="33"/>
      <c r="H137" s="1"/>
      <c r="I137" s="3"/>
      <c r="J137" s="3"/>
      <c r="K137" s="3"/>
      <c r="L137" s="4"/>
      <c r="M137" s="4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4"/>
    </row>
    <row r="138" spans="1:26" ht="14.25" hidden="1" customHeight="1">
      <c r="A138" s="4"/>
      <c r="B138" s="33"/>
      <c r="C138" s="33"/>
      <c r="D138" s="33"/>
      <c r="E138" s="33"/>
      <c r="F138" s="33"/>
      <c r="G138" s="33"/>
      <c r="H138" s="1"/>
      <c r="I138" s="3"/>
      <c r="J138" s="3"/>
      <c r="K138" s="3"/>
      <c r="L138" s="4"/>
      <c r="M138" s="4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4"/>
    </row>
    <row r="139" spans="1:26" ht="14.25" hidden="1" customHeight="1">
      <c r="A139" s="4"/>
      <c r="B139" s="33"/>
      <c r="C139" s="33"/>
      <c r="D139" s="33"/>
      <c r="E139" s="33"/>
      <c r="F139" s="33"/>
      <c r="G139" s="33"/>
      <c r="H139" s="1"/>
      <c r="I139" s="3"/>
      <c r="J139" s="3"/>
      <c r="K139" s="3"/>
      <c r="L139" s="4"/>
      <c r="M139" s="4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4"/>
    </row>
    <row r="140" spans="1:26" ht="14.25" hidden="1" customHeight="1">
      <c r="A140" s="4"/>
      <c r="B140" s="33"/>
      <c r="C140" s="33"/>
      <c r="D140" s="33"/>
      <c r="E140" s="33"/>
      <c r="F140" s="33"/>
      <c r="G140" s="33"/>
      <c r="H140" s="1"/>
      <c r="I140" s="3"/>
      <c r="J140" s="3"/>
      <c r="K140" s="3"/>
      <c r="L140" s="4"/>
      <c r="M140" s="4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4"/>
    </row>
    <row r="141" spans="1:26" ht="14.25" hidden="1" customHeight="1">
      <c r="A141" s="4"/>
      <c r="B141" s="33"/>
      <c r="C141" s="33"/>
      <c r="D141" s="33"/>
      <c r="E141" s="33"/>
      <c r="F141" s="33"/>
      <c r="G141" s="33"/>
      <c r="H141" s="1"/>
      <c r="I141" s="3"/>
      <c r="J141" s="3"/>
      <c r="K141" s="3"/>
      <c r="L141" s="4"/>
      <c r="M141" s="4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4"/>
    </row>
    <row r="142" spans="1:26" ht="14.25" hidden="1" customHeight="1">
      <c r="A142" s="4"/>
      <c r="B142" s="33"/>
      <c r="C142" s="33"/>
      <c r="D142" s="33"/>
      <c r="E142" s="33"/>
      <c r="F142" s="33"/>
      <c r="G142" s="33"/>
      <c r="H142" s="1"/>
      <c r="I142" s="3"/>
      <c r="J142" s="3"/>
      <c r="K142" s="3"/>
      <c r="L142" s="4"/>
      <c r="M142" s="4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4"/>
    </row>
    <row r="143" spans="1:26" ht="14.25" hidden="1" customHeight="1">
      <c r="A143" s="4"/>
      <c r="B143" s="33"/>
      <c r="C143" s="33"/>
      <c r="D143" s="33"/>
      <c r="E143" s="33"/>
      <c r="F143" s="33"/>
      <c r="G143" s="33"/>
      <c r="H143" s="1"/>
      <c r="I143" s="3"/>
      <c r="J143" s="3"/>
      <c r="K143" s="3"/>
      <c r="L143" s="4"/>
      <c r="M143" s="4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4"/>
    </row>
    <row r="144" spans="1:26" ht="14.25" hidden="1" customHeight="1">
      <c r="A144" s="4"/>
      <c r="B144" s="33"/>
      <c r="C144" s="33"/>
      <c r="D144" s="33"/>
      <c r="E144" s="33"/>
      <c r="F144" s="33"/>
      <c r="G144" s="33"/>
      <c r="H144" s="1"/>
      <c r="I144" s="3"/>
      <c r="J144" s="3"/>
      <c r="K144" s="3"/>
      <c r="L144" s="4"/>
      <c r="M144" s="4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4"/>
    </row>
    <row r="145" spans="1:26" ht="14.25" hidden="1" customHeight="1">
      <c r="A145" s="4"/>
      <c r="B145" s="33"/>
      <c r="C145" s="33"/>
      <c r="D145" s="33"/>
      <c r="E145" s="33"/>
      <c r="F145" s="33"/>
      <c r="G145" s="33"/>
      <c r="H145" s="1"/>
      <c r="I145" s="3"/>
      <c r="J145" s="3"/>
      <c r="K145" s="3"/>
      <c r="L145" s="4"/>
      <c r="M145" s="4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4"/>
    </row>
    <row r="146" spans="1:26" ht="14.25" hidden="1" customHeight="1">
      <c r="A146" s="4"/>
      <c r="B146" s="33"/>
      <c r="C146" s="33"/>
      <c r="D146" s="33"/>
      <c r="E146" s="33"/>
      <c r="F146" s="33"/>
      <c r="G146" s="33"/>
      <c r="H146" s="1"/>
      <c r="I146" s="3"/>
      <c r="J146" s="3"/>
      <c r="K146" s="3"/>
      <c r="L146" s="4"/>
      <c r="M146" s="4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4"/>
    </row>
    <row r="147" spans="1:26" ht="14.25" hidden="1" customHeight="1">
      <c r="A147" s="4"/>
      <c r="B147" s="33"/>
      <c r="C147" s="33"/>
      <c r="D147" s="33"/>
      <c r="E147" s="33"/>
      <c r="F147" s="33"/>
      <c r="G147" s="33"/>
      <c r="H147" s="1"/>
      <c r="I147" s="3"/>
      <c r="J147" s="3"/>
      <c r="K147" s="3"/>
      <c r="L147" s="4"/>
      <c r="M147" s="4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4"/>
    </row>
    <row r="148" spans="1:26" ht="14.25" hidden="1" customHeight="1">
      <c r="A148" s="4"/>
      <c r="B148" s="33"/>
      <c r="C148" s="33"/>
      <c r="D148" s="33"/>
      <c r="E148" s="33"/>
      <c r="F148" s="33"/>
      <c r="G148" s="33"/>
      <c r="H148" s="1"/>
      <c r="I148" s="3"/>
      <c r="J148" s="3"/>
      <c r="K148" s="3"/>
      <c r="L148" s="4"/>
      <c r="M148" s="4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4"/>
    </row>
    <row r="149" spans="1:26" ht="14.25" hidden="1" customHeight="1">
      <c r="A149" s="4"/>
      <c r="B149" s="33"/>
      <c r="C149" s="33"/>
      <c r="D149" s="33"/>
      <c r="E149" s="33"/>
      <c r="F149" s="33"/>
      <c r="G149" s="33"/>
      <c r="H149" s="1"/>
      <c r="I149" s="3"/>
      <c r="J149" s="3"/>
      <c r="K149" s="3"/>
      <c r="L149" s="4"/>
      <c r="M149" s="4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4"/>
    </row>
    <row r="150" spans="1:26" ht="14.25" hidden="1" customHeight="1">
      <c r="A150" s="4"/>
      <c r="B150" s="33"/>
      <c r="C150" s="33"/>
      <c r="D150" s="33"/>
      <c r="E150" s="33"/>
      <c r="F150" s="33"/>
      <c r="G150" s="33"/>
      <c r="H150" s="1"/>
      <c r="I150" s="3"/>
      <c r="J150" s="3"/>
      <c r="K150" s="3"/>
      <c r="L150" s="4"/>
      <c r="M150" s="4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4"/>
    </row>
    <row r="151" spans="1:26" ht="14.25" hidden="1" customHeight="1">
      <c r="A151" s="4"/>
      <c r="B151" s="33"/>
      <c r="C151" s="33"/>
      <c r="D151" s="33"/>
      <c r="E151" s="33"/>
      <c r="F151" s="33"/>
      <c r="G151" s="33"/>
      <c r="H151" s="1"/>
      <c r="I151" s="3"/>
      <c r="J151" s="3"/>
      <c r="K151" s="3"/>
      <c r="L151" s="4"/>
      <c r="M151" s="4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4"/>
    </row>
    <row r="152" spans="1:26" ht="14.25" hidden="1" customHeight="1">
      <c r="A152" s="4"/>
      <c r="B152" s="33"/>
      <c r="C152" s="33"/>
      <c r="D152" s="33"/>
      <c r="E152" s="33"/>
      <c r="F152" s="33"/>
      <c r="G152" s="33"/>
      <c r="H152" s="1"/>
      <c r="I152" s="3"/>
      <c r="J152" s="3"/>
      <c r="K152" s="3"/>
      <c r="L152" s="4"/>
      <c r="M152" s="4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4"/>
    </row>
    <row r="153" spans="1:26" ht="14.25" hidden="1" customHeight="1">
      <c r="A153" s="4"/>
      <c r="B153" s="33"/>
      <c r="C153" s="33"/>
      <c r="D153" s="33"/>
      <c r="E153" s="33"/>
      <c r="F153" s="33"/>
      <c r="G153" s="33"/>
      <c r="H153" s="1"/>
      <c r="I153" s="3"/>
      <c r="J153" s="3"/>
      <c r="K153" s="3"/>
      <c r="L153" s="4"/>
      <c r="M153" s="4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4"/>
    </row>
    <row r="154" spans="1:26" ht="14.25" hidden="1" customHeight="1">
      <c r="A154" s="4"/>
      <c r="B154" s="33"/>
      <c r="C154" s="33"/>
      <c r="D154" s="33"/>
      <c r="E154" s="33"/>
      <c r="F154" s="33"/>
      <c r="G154" s="33"/>
      <c r="H154" s="1"/>
      <c r="I154" s="3"/>
      <c r="J154" s="3"/>
      <c r="K154" s="3"/>
      <c r="L154" s="4"/>
      <c r="M154" s="4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4"/>
    </row>
    <row r="155" spans="1:26" ht="14.25" hidden="1" customHeight="1">
      <c r="A155" s="4"/>
      <c r="B155" s="33"/>
      <c r="C155" s="33"/>
      <c r="D155" s="33"/>
      <c r="E155" s="33"/>
      <c r="F155" s="33"/>
      <c r="G155" s="33"/>
      <c r="H155" s="1"/>
      <c r="I155" s="3"/>
      <c r="J155" s="3"/>
      <c r="K155" s="3"/>
      <c r="L155" s="4"/>
      <c r="M155" s="4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4"/>
    </row>
    <row r="156" spans="1:26" ht="14.25" hidden="1" customHeight="1">
      <c r="A156" s="4"/>
      <c r="B156" s="33"/>
      <c r="C156" s="33"/>
      <c r="D156" s="33"/>
      <c r="E156" s="33"/>
      <c r="F156" s="33"/>
      <c r="G156" s="33"/>
      <c r="H156" s="1"/>
      <c r="I156" s="3"/>
      <c r="J156" s="3"/>
      <c r="K156" s="3"/>
      <c r="L156" s="4"/>
      <c r="M156" s="4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4"/>
    </row>
    <row r="157" spans="1:26" ht="14.25" hidden="1" customHeight="1">
      <c r="A157" s="4"/>
      <c r="B157" s="33"/>
      <c r="C157" s="33"/>
      <c r="D157" s="33"/>
      <c r="E157" s="33"/>
      <c r="F157" s="33"/>
      <c r="G157" s="33"/>
      <c r="H157" s="1"/>
      <c r="I157" s="3"/>
      <c r="J157" s="3"/>
      <c r="K157" s="3"/>
      <c r="L157" s="4"/>
      <c r="M157" s="4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4"/>
    </row>
    <row r="158" spans="1:26" ht="14.25" hidden="1" customHeight="1">
      <c r="A158" s="4"/>
      <c r="B158" s="33"/>
      <c r="C158" s="33"/>
      <c r="D158" s="33"/>
      <c r="E158" s="33"/>
      <c r="F158" s="33"/>
      <c r="G158" s="33"/>
      <c r="H158" s="1"/>
      <c r="I158" s="3"/>
      <c r="J158" s="3"/>
      <c r="K158" s="3"/>
      <c r="L158" s="4"/>
      <c r="M158" s="4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4"/>
    </row>
    <row r="159" spans="1:26" ht="14.25" hidden="1" customHeight="1">
      <c r="A159" s="4"/>
      <c r="B159" s="33"/>
      <c r="C159" s="33"/>
      <c r="D159" s="33"/>
      <c r="E159" s="33"/>
      <c r="F159" s="33"/>
      <c r="G159" s="33"/>
      <c r="H159" s="1"/>
      <c r="I159" s="3"/>
      <c r="J159" s="3"/>
      <c r="K159" s="3"/>
      <c r="L159" s="4"/>
      <c r="M159" s="4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4"/>
    </row>
    <row r="160" spans="1:26" ht="14.25" hidden="1" customHeight="1">
      <c r="A160" s="4"/>
      <c r="B160" s="33"/>
      <c r="C160" s="33"/>
      <c r="D160" s="33"/>
      <c r="E160" s="33"/>
      <c r="F160" s="33"/>
      <c r="G160" s="33"/>
      <c r="H160" s="1"/>
      <c r="I160" s="3"/>
      <c r="J160" s="3"/>
      <c r="K160" s="3"/>
      <c r="L160" s="4"/>
      <c r="M160" s="4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4"/>
    </row>
    <row r="161" spans="1:26" ht="14.25" hidden="1" customHeight="1">
      <c r="A161" s="4"/>
      <c r="B161" s="33"/>
      <c r="C161" s="33"/>
      <c r="D161" s="33"/>
      <c r="E161" s="33"/>
      <c r="F161" s="33"/>
      <c r="G161" s="33"/>
      <c r="H161" s="1"/>
      <c r="I161" s="3"/>
      <c r="J161" s="3"/>
      <c r="K161" s="3"/>
      <c r="L161" s="4"/>
      <c r="M161" s="4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4"/>
    </row>
    <row r="162" spans="1:26" ht="14.25" hidden="1" customHeight="1">
      <c r="A162" s="4"/>
      <c r="B162" s="33"/>
      <c r="C162" s="33"/>
      <c r="D162" s="33"/>
      <c r="E162" s="33"/>
      <c r="F162" s="33"/>
      <c r="G162" s="33"/>
      <c r="H162" s="1"/>
      <c r="I162" s="3"/>
      <c r="J162" s="3"/>
      <c r="K162" s="3"/>
      <c r="L162" s="4"/>
      <c r="M162" s="4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4"/>
    </row>
    <row r="163" spans="1:26" ht="14.25" hidden="1" customHeight="1">
      <c r="A163" s="4"/>
      <c r="B163" s="33"/>
      <c r="C163" s="33"/>
      <c r="D163" s="33"/>
      <c r="E163" s="33"/>
      <c r="F163" s="33"/>
      <c r="G163" s="33"/>
      <c r="H163" s="1"/>
      <c r="I163" s="3"/>
      <c r="J163" s="3"/>
      <c r="K163" s="3"/>
      <c r="L163" s="4"/>
      <c r="M163" s="4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4"/>
    </row>
    <row r="164" spans="1:26" ht="14.25" hidden="1" customHeight="1">
      <c r="A164" s="4"/>
      <c r="B164" s="33"/>
      <c r="C164" s="33"/>
      <c r="D164" s="33"/>
      <c r="E164" s="33"/>
      <c r="F164" s="33"/>
      <c r="G164" s="33"/>
      <c r="H164" s="1"/>
      <c r="I164" s="3"/>
      <c r="J164" s="3"/>
      <c r="K164" s="3"/>
      <c r="L164" s="4"/>
      <c r="M164" s="4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4"/>
    </row>
    <row r="165" spans="1:26" ht="14.25" hidden="1" customHeight="1">
      <c r="A165" s="4"/>
      <c r="B165" s="33"/>
      <c r="C165" s="33"/>
      <c r="D165" s="33"/>
      <c r="E165" s="33"/>
      <c r="F165" s="33"/>
      <c r="G165" s="33"/>
      <c r="H165" s="1"/>
      <c r="I165" s="3"/>
      <c r="J165" s="3"/>
      <c r="K165" s="3"/>
      <c r="L165" s="4"/>
      <c r="M165" s="4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4"/>
    </row>
    <row r="166" spans="1:26" ht="14.25" hidden="1" customHeight="1">
      <c r="A166" s="4"/>
      <c r="B166" s="33"/>
      <c r="C166" s="33"/>
      <c r="D166" s="33"/>
      <c r="E166" s="33"/>
      <c r="F166" s="33"/>
      <c r="G166" s="33"/>
      <c r="H166" s="1"/>
      <c r="I166" s="3"/>
      <c r="J166" s="3"/>
      <c r="K166" s="3"/>
      <c r="L166" s="4"/>
      <c r="M166" s="4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4"/>
    </row>
    <row r="167" spans="1:26" ht="14.25" customHeight="1">
      <c r="A167" s="1"/>
      <c r="B167" s="33"/>
      <c r="C167" s="33"/>
      <c r="D167" s="33"/>
      <c r="E167" s="33"/>
      <c r="F167" s="33"/>
      <c r="G167" s="33"/>
      <c r="H167" s="1"/>
      <c r="I167" s="3"/>
      <c r="J167" s="3"/>
      <c r="K167" s="3"/>
      <c r="L167" s="4"/>
      <c r="M167" s="4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4"/>
    </row>
    <row r="168" spans="1:26" ht="14.25" customHeight="1">
      <c r="A168" s="1"/>
      <c r="B168" s="33"/>
      <c r="C168" s="33"/>
      <c r="D168" s="33"/>
      <c r="E168" s="33"/>
      <c r="F168" s="33"/>
      <c r="G168" s="33"/>
      <c r="H168" s="1"/>
      <c r="I168" s="3"/>
      <c r="J168" s="3"/>
      <c r="K168" s="3"/>
      <c r="L168" s="4"/>
      <c r="M168" s="4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4"/>
    </row>
    <row r="169" spans="1:26" ht="14.25" customHeight="1">
      <c r="A169" s="1"/>
      <c r="B169" s="33"/>
      <c r="C169" s="33"/>
      <c r="D169" s="33"/>
      <c r="E169" s="33"/>
      <c r="F169" s="33"/>
      <c r="G169" s="33"/>
      <c r="H169" s="1"/>
      <c r="I169" s="3"/>
      <c r="J169" s="3"/>
      <c r="K169" s="3"/>
      <c r="L169" s="4"/>
      <c r="M169" s="4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4"/>
    </row>
    <row r="170" spans="1:26" ht="14.25" customHeight="1">
      <c r="A170" s="1"/>
      <c r="B170" s="33"/>
      <c r="C170" s="33"/>
      <c r="D170" s="33"/>
      <c r="E170" s="33"/>
      <c r="F170" s="33"/>
      <c r="G170" s="33"/>
      <c r="H170" s="1"/>
      <c r="I170" s="3"/>
      <c r="J170" s="3"/>
      <c r="K170" s="3"/>
      <c r="L170" s="4"/>
      <c r="M170" s="4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4"/>
    </row>
    <row r="171" spans="1:26" ht="14.25" customHeight="1">
      <c r="A171" s="1"/>
      <c r="B171" s="33"/>
      <c r="C171" s="33"/>
      <c r="D171" s="33"/>
      <c r="E171" s="33"/>
      <c r="F171" s="33"/>
      <c r="G171" s="33"/>
      <c r="H171" s="1"/>
      <c r="I171" s="3"/>
      <c r="J171" s="3"/>
      <c r="K171" s="3"/>
      <c r="L171" s="4"/>
      <c r="M171" s="4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4"/>
    </row>
    <row r="172" spans="1:26" ht="14.25" customHeight="1">
      <c r="A172" s="1"/>
      <c r="B172" s="33"/>
      <c r="C172" s="33"/>
      <c r="D172" s="33"/>
      <c r="E172" s="33"/>
      <c r="F172" s="33"/>
      <c r="G172" s="33"/>
      <c r="H172" s="1"/>
      <c r="I172" s="3"/>
      <c r="J172" s="3"/>
      <c r="K172" s="3"/>
      <c r="L172" s="4"/>
      <c r="M172" s="4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4"/>
    </row>
    <row r="173" spans="1:26" ht="14.25" customHeight="1">
      <c r="A173" s="1"/>
      <c r="B173" s="33"/>
      <c r="C173" s="33"/>
      <c r="D173" s="33"/>
      <c r="E173" s="33"/>
      <c r="F173" s="33"/>
      <c r="G173" s="33"/>
      <c r="H173" s="1"/>
      <c r="I173" s="3"/>
      <c r="J173" s="3"/>
      <c r="K173" s="3"/>
      <c r="L173" s="4"/>
      <c r="M173" s="4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4"/>
    </row>
    <row r="174" spans="1:26" ht="14.25" customHeight="1">
      <c r="A174" s="1"/>
      <c r="B174" s="33"/>
      <c r="C174" s="33"/>
      <c r="D174" s="33"/>
      <c r="E174" s="33"/>
      <c r="F174" s="33"/>
      <c r="G174" s="33"/>
      <c r="H174" s="1"/>
      <c r="I174" s="3"/>
      <c r="J174" s="3"/>
      <c r="K174" s="3"/>
      <c r="L174" s="4"/>
      <c r="M174" s="4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4"/>
    </row>
    <row r="175" spans="1:26" ht="14.25" customHeight="1">
      <c r="A175" s="1"/>
      <c r="B175" s="33"/>
      <c r="C175" s="33"/>
      <c r="D175" s="33"/>
      <c r="E175" s="33"/>
      <c r="F175" s="33"/>
      <c r="G175" s="33"/>
      <c r="H175" s="1"/>
      <c r="I175" s="3"/>
      <c r="J175" s="3"/>
      <c r="K175" s="3"/>
      <c r="L175" s="4"/>
      <c r="M175" s="4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4"/>
    </row>
    <row r="176" spans="1:26" ht="14.25" customHeight="1">
      <c r="A176" s="1"/>
      <c r="B176" s="33"/>
      <c r="C176" s="33"/>
      <c r="D176" s="33"/>
      <c r="E176" s="33"/>
      <c r="F176" s="33"/>
      <c r="G176" s="33"/>
      <c r="H176" s="1"/>
      <c r="I176" s="3"/>
      <c r="J176" s="3"/>
      <c r="K176" s="3"/>
      <c r="L176" s="4"/>
      <c r="M176" s="4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4"/>
    </row>
    <row r="177" spans="1:26" ht="14.25" customHeight="1">
      <c r="A177" s="1"/>
      <c r="B177" s="33"/>
      <c r="C177" s="33"/>
      <c r="D177" s="33"/>
      <c r="E177" s="33"/>
      <c r="F177" s="33"/>
      <c r="G177" s="33"/>
      <c r="H177" s="1"/>
      <c r="I177" s="3"/>
      <c r="J177" s="3"/>
      <c r="K177" s="3"/>
      <c r="L177" s="4"/>
      <c r="M177" s="4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4"/>
    </row>
    <row r="178" spans="1:26" ht="14.25" customHeight="1">
      <c r="A178" s="1"/>
      <c r="B178" s="33"/>
      <c r="C178" s="33"/>
      <c r="D178" s="33"/>
      <c r="E178" s="33"/>
      <c r="F178" s="33"/>
      <c r="G178" s="33"/>
      <c r="H178" s="1"/>
      <c r="I178" s="3"/>
      <c r="J178" s="3"/>
      <c r="K178" s="3"/>
      <c r="L178" s="4"/>
      <c r="M178" s="4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4"/>
    </row>
    <row r="179" spans="1:26" ht="14.25" customHeight="1">
      <c r="A179" s="1"/>
      <c r="B179" s="33"/>
      <c r="C179" s="33"/>
      <c r="D179" s="33"/>
      <c r="E179" s="33"/>
      <c r="F179" s="33"/>
      <c r="G179" s="33"/>
      <c r="H179" s="1"/>
      <c r="I179" s="3"/>
      <c r="J179" s="3"/>
      <c r="K179" s="3"/>
      <c r="L179" s="4"/>
      <c r="M179" s="4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4"/>
    </row>
    <row r="180" spans="1:26" ht="14.25" customHeight="1">
      <c r="A180" s="1"/>
      <c r="B180" s="33"/>
      <c r="C180" s="33"/>
      <c r="D180" s="33"/>
      <c r="E180" s="33"/>
      <c r="F180" s="33"/>
      <c r="G180" s="33"/>
      <c r="H180" s="1"/>
      <c r="I180" s="3"/>
      <c r="J180" s="3"/>
      <c r="K180" s="3"/>
      <c r="L180" s="4"/>
      <c r="M180" s="4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4"/>
    </row>
    <row r="181" spans="1:26" ht="14.25" customHeight="1">
      <c r="A181" s="1"/>
      <c r="B181" s="33"/>
      <c r="C181" s="33"/>
      <c r="D181" s="33"/>
      <c r="E181" s="33"/>
      <c r="F181" s="33"/>
      <c r="G181" s="33"/>
      <c r="H181" s="1"/>
      <c r="I181" s="3"/>
      <c r="J181" s="3"/>
      <c r="K181" s="3"/>
      <c r="L181" s="4"/>
      <c r="M181" s="4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4"/>
    </row>
    <row r="182" spans="1:26" ht="14.25" customHeight="1">
      <c r="A182" s="1"/>
      <c r="B182" s="33"/>
      <c r="C182" s="33"/>
      <c r="D182" s="33"/>
      <c r="E182" s="33"/>
      <c r="F182" s="33"/>
      <c r="G182" s="33"/>
      <c r="H182" s="1"/>
      <c r="I182" s="3"/>
      <c r="J182" s="3"/>
      <c r="K182" s="3"/>
      <c r="L182" s="4"/>
      <c r="M182" s="4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4"/>
    </row>
    <row r="183" spans="1:26" ht="14.25" customHeight="1">
      <c r="A183" s="1"/>
      <c r="B183" s="33"/>
      <c r="C183" s="33"/>
      <c r="D183" s="33"/>
      <c r="E183" s="33"/>
      <c r="F183" s="33"/>
      <c r="G183" s="33"/>
      <c r="H183" s="1"/>
      <c r="I183" s="3"/>
      <c r="J183" s="3"/>
      <c r="K183" s="3"/>
      <c r="L183" s="4"/>
      <c r="M183" s="4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4"/>
    </row>
    <row r="184" spans="1:26" ht="14.25" customHeight="1">
      <c r="A184" s="1"/>
      <c r="B184" s="33"/>
      <c r="C184" s="33"/>
      <c r="D184" s="33"/>
      <c r="E184" s="33"/>
      <c r="F184" s="33"/>
      <c r="G184" s="33"/>
      <c r="H184" s="1"/>
      <c r="I184" s="3"/>
      <c r="J184" s="3"/>
      <c r="K184" s="3"/>
      <c r="L184" s="4"/>
      <c r="M184" s="4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4"/>
    </row>
    <row r="185" spans="1:26" ht="14.25" customHeight="1">
      <c r="A185" s="1"/>
      <c r="B185" s="33"/>
      <c r="C185" s="33"/>
      <c r="D185" s="33"/>
      <c r="E185" s="33"/>
      <c r="F185" s="33"/>
      <c r="G185" s="33"/>
      <c r="H185" s="1"/>
      <c r="I185" s="3"/>
      <c r="J185" s="3"/>
      <c r="K185" s="3"/>
      <c r="L185" s="4"/>
      <c r="M185" s="4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4"/>
    </row>
    <row r="186" spans="1:26" ht="14.25" customHeight="1">
      <c r="A186" s="1"/>
      <c r="B186" s="33"/>
      <c r="C186" s="33"/>
      <c r="D186" s="33"/>
      <c r="E186" s="33"/>
      <c r="F186" s="33"/>
      <c r="G186" s="33"/>
      <c r="H186" s="1"/>
      <c r="I186" s="3"/>
      <c r="J186" s="3"/>
      <c r="K186" s="3"/>
      <c r="L186" s="4"/>
      <c r="M186" s="4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4"/>
    </row>
    <row r="187" spans="1:26" ht="14.25" customHeight="1">
      <c r="A187" s="1"/>
      <c r="B187" s="33"/>
      <c r="C187" s="33"/>
      <c r="D187" s="33"/>
      <c r="E187" s="33"/>
      <c r="F187" s="33"/>
      <c r="G187" s="33"/>
      <c r="H187" s="1"/>
      <c r="I187" s="3"/>
      <c r="J187" s="3"/>
      <c r="K187" s="3"/>
      <c r="L187" s="4"/>
      <c r="M187" s="4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4"/>
    </row>
    <row r="188" spans="1:26" ht="14.25" customHeight="1">
      <c r="A188" s="1"/>
      <c r="B188" s="33"/>
      <c r="C188" s="33"/>
      <c r="D188" s="33"/>
      <c r="E188" s="33"/>
      <c r="F188" s="33"/>
      <c r="G188" s="33"/>
      <c r="H188" s="1"/>
      <c r="I188" s="3"/>
      <c r="J188" s="3"/>
      <c r="K188" s="3"/>
      <c r="L188" s="4"/>
      <c r="M188" s="4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4"/>
    </row>
    <row r="189" spans="1:26" ht="14.25" customHeight="1">
      <c r="A189" s="1"/>
      <c r="B189" s="33"/>
      <c r="C189" s="33"/>
      <c r="D189" s="33"/>
      <c r="E189" s="33"/>
      <c r="F189" s="33"/>
      <c r="G189" s="33"/>
      <c r="H189" s="1"/>
      <c r="I189" s="3"/>
      <c r="J189" s="3"/>
      <c r="K189" s="3"/>
      <c r="L189" s="4"/>
      <c r="M189" s="4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4"/>
    </row>
    <row r="190" spans="1:26" ht="14.25" customHeight="1">
      <c r="A190" s="1"/>
      <c r="B190" s="33"/>
      <c r="C190" s="33"/>
      <c r="D190" s="33"/>
      <c r="E190" s="33"/>
      <c r="F190" s="33"/>
      <c r="G190" s="33"/>
      <c r="H190" s="1"/>
      <c r="I190" s="3"/>
      <c r="J190" s="3"/>
      <c r="K190" s="3"/>
      <c r="L190" s="4"/>
      <c r="M190" s="4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4"/>
    </row>
    <row r="191" spans="1:26" ht="14.25" customHeight="1">
      <c r="A191" s="1"/>
      <c r="B191" s="33"/>
      <c r="C191" s="33"/>
      <c r="D191" s="33"/>
      <c r="E191" s="33"/>
      <c r="F191" s="33"/>
      <c r="G191" s="33"/>
      <c r="H191" s="1"/>
      <c r="I191" s="3"/>
      <c r="J191" s="3"/>
      <c r="K191" s="3"/>
      <c r="L191" s="4"/>
      <c r="M191" s="4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4"/>
    </row>
    <row r="192" spans="1:26" ht="14.25" customHeight="1">
      <c r="A192" s="1"/>
      <c r="B192" s="33"/>
      <c r="C192" s="33"/>
      <c r="D192" s="33"/>
      <c r="E192" s="33"/>
      <c r="F192" s="33"/>
      <c r="G192" s="33"/>
      <c r="H192" s="1"/>
      <c r="I192" s="3"/>
      <c r="J192" s="3"/>
      <c r="K192" s="3"/>
      <c r="L192" s="4"/>
      <c r="M192" s="4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4"/>
    </row>
    <row r="193" spans="1:26" ht="14.25" customHeight="1">
      <c r="A193" s="1"/>
      <c r="B193" s="33"/>
      <c r="C193" s="33"/>
      <c r="D193" s="33"/>
      <c r="E193" s="33"/>
      <c r="F193" s="33"/>
      <c r="G193" s="33"/>
      <c r="H193" s="1"/>
      <c r="I193" s="3"/>
      <c r="J193" s="3"/>
      <c r="K193" s="3"/>
      <c r="L193" s="4"/>
      <c r="M193" s="4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4"/>
    </row>
    <row r="194" spans="1:26" ht="14.25" customHeight="1">
      <c r="A194" s="1"/>
      <c r="B194" s="33"/>
      <c r="C194" s="33"/>
      <c r="D194" s="33"/>
      <c r="E194" s="33"/>
      <c r="F194" s="33"/>
      <c r="G194" s="33"/>
      <c r="H194" s="1"/>
      <c r="I194" s="3"/>
      <c r="J194" s="3"/>
      <c r="K194" s="3"/>
      <c r="L194" s="4"/>
      <c r="M194" s="4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4"/>
    </row>
    <row r="195" spans="1:26" ht="14.25" customHeight="1">
      <c r="A195" s="1"/>
      <c r="B195" s="33"/>
      <c r="C195" s="33"/>
      <c r="D195" s="33"/>
      <c r="E195" s="33"/>
      <c r="F195" s="33"/>
      <c r="G195" s="33"/>
      <c r="H195" s="1"/>
      <c r="I195" s="3"/>
      <c r="J195" s="3"/>
      <c r="K195" s="3"/>
      <c r="L195" s="4"/>
      <c r="M195" s="4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4"/>
    </row>
    <row r="196" spans="1:26" ht="14.25" customHeight="1">
      <c r="A196" s="1"/>
      <c r="B196" s="33"/>
      <c r="C196" s="33"/>
      <c r="D196" s="33"/>
      <c r="E196" s="33"/>
      <c r="F196" s="33"/>
      <c r="G196" s="33"/>
      <c r="H196" s="1"/>
      <c r="I196" s="3"/>
      <c r="J196" s="3"/>
      <c r="K196" s="3"/>
      <c r="L196" s="4"/>
      <c r="M196" s="4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4"/>
    </row>
    <row r="197" spans="1:26" ht="14.25" customHeight="1">
      <c r="A197" s="1"/>
      <c r="B197" s="33"/>
      <c r="C197" s="33"/>
      <c r="D197" s="33"/>
      <c r="E197" s="33"/>
      <c r="F197" s="33"/>
      <c r="G197" s="33"/>
      <c r="H197" s="1"/>
      <c r="I197" s="3"/>
      <c r="J197" s="3"/>
      <c r="K197" s="3"/>
      <c r="L197" s="4"/>
      <c r="M197" s="4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4"/>
    </row>
    <row r="198" spans="1:26" ht="14.25" customHeight="1">
      <c r="A198" s="1"/>
      <c r="B198" s="33"/>
      <c r="C198" s="33"/>
      <c r="D198" s="33"/>
      <c r="E198" s="33"/>
      <c r="F198" s="33"/>
      <c r="G198" s="33"/>
      <c r="H198" s="1"/>
      <c r="I198" s="3"/>
      <c r="J198" s="3"/>
      <c r="K198" s="3"/>
      <c r="L198" s="4"/>
      <c r="M198" s="4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4"/>
    </row>
    <row r="199" spans="1:26" ht="14.25" customHeight="1">
      <c r="A199" s="1"/>
      <c r="B199" s="33"/>
      <c r="C199" s="33"/>
      <c r="D199" s="33"/>
      <c r="E199" s="33"/>
      <c r="F199" s="33"/>
      <c r="G199" s="33"/>
      <c r="H199" s="1"/>
      <c r="I199" s="3"/>
      <c r="J199" s="3"/>
      <c r="K199" s="3"/>
      <c r="L199" s="4"/>
      <c r="M199" s="4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4"/>
    </row>
    <row r="200" spans="1:26" ht="14.25" customHeight="1">
      <c r="A200" s="1"/>
      <c r="B200" s="33"/>
      <c r="C200" s="33"/>
      <c r="D200" s="33"/>
      <c r="E200" s="33"/>
      <c r="F200" s="33"/>
      <c r="G200" s="33"/>
      <c r="H200" s="1"/>
      <c r="I200" s="3"/>
      <c r="J200" s="3"/>
      <c r="K200" s="3"/>
      <c r="L200" s="4"/>
      <c r="M200" s="4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4"/>
    </row>
    <row r="201" spans="1:26" ht="14.25" customHeight="1">
      <c r="A201" s="1"/>
      <c r="B201" s="33"/>
      <c r="C201" s="33"/>
      <c r="D201" s="33"/>
      <c r="E201" s="33"/>
      <c r="F201" s="33"/>
      <c r="G201" s="33"/>
      <c r="H201" s="1"/>
      <c r="I201" s="3"/>
      <c r="J201" s="3"/>
      <c r="K201" s="3"/>
      <c r="L201" s="4"/>
      <c r="M201" s="4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4"/>
    </row>
    <row r="202" spans="1:26" ht="14.25" customHeight="1">
      <c r="A202" s="1"/>
      <c r="B202" s="33"/>
      <c r="C202" s="33"/>
      <c r="D202" s="33"/>
      <c r="E202" s="33"/>
      <c r="F202" s="33"/>
      <c r="G202" s="33"/>
      <c r="H202" s="1"/>
      <c r="I202" s="3"/>
      <c r="J202" s="3"/>
      <c r="K202" s="3"/>
      <c r="L202" s="4"/>
      <c r="M202" s="4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4"/>
    </row>
    <row r="203" spans="1:26" ht="14.25" customHeight="1">
      <c r="A203" s="1"/>
      <c r="B203" s="33"/>
      <c r="C203" s="33"/>
      <c r="D203" s="33"/>
      <c r="E203" s="33"/>
      <c r="F203" s="33"/>
      <c r="G203" s="33"/>
      <c r="H203" s="1"/>
      <c r="I203" s="3"/>
      <c r="J203" s="3"/>
      <c r="K203" s="3"/>
      <c r="L203" s="4"/>
      <c r="M203" s="4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4"/>
    </row>
    <row r="204" spans="1:26" ht="14.25" customHeight="1">
      <c r="A204" s="1"/>
      <c r="B204" s="33"/>
      <c r="C204" s="33"/>
      <c r="D204" s="33"/>
      <c r="E204" s="33"/>
      <c r="F204" s="33"/>
      <c r="G204" s="33"/>
      <c r="H204" s="1"/>
      <c r="I204" s="3"/>
      <c r="J204" s="3"/>
      <c r="K204" s="3"/>
      <c r="L204" s="4"/>
      <c r="M204" s="4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4"/>
    </row>
    <row r="205" spans="1:26" ht="14.25" customHeight="1">
      <c r="A205" s="1"/>
      <c r="B205" s="33"/>
      <c r="C205" s="33"/>
      <c r="D205" s="33"/>
      <c r="E205" s="33"/>
      <c r="F205" s="33"/>
      <c r="G205" s="33"/>
      <c r="H205" s="1"/>
      <c r="I205" s="3"/>
      <c r="J205" s="3"/>
      <c r="K205" s="3"/>
      <c r="L205" s="4"/>
      <c r="M205" s="4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4"/>
    </row>
    <row r="206" spans="1:26" ht="14.25" customHeight="1">
      <c r="A206" s="1"/>
      <c r="B206" s="33"/>
      <c r="C206" s="33"/>
      <c r="D206" s="33"/>
      <c r="E206" s="33"/>
      <c r="F206" s="33"/>
      <c r="G206" s="33"/>
      <c r="H206" s="1"/>
      <c r="I206" s="3"/>
      <c r="J206" s="3"/>
      <c r="K206" s="3"/>
      <c r="L206" s="4"/>
      <c r="M206" s="4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4"/>
    </row>
    <row r="207" spans="1:26" ht="14.25" customHeight="1">
      <c r="A207" s="1"/>
      <c r="B207" s="33"/>
      <c r="C207" s="33"/>
      <c r="D207" s="33"/>
      <c r="E207" s="33"/>
      <c r="F207" s="33"/>
      <c r="G207" s="33"/>
      <c r="H207" s="1"/>
      <c r="I207" s="3"/>
      <c r="J207" s="3"/>
      <c r="K207" s="3"/>
      <c r="L207" s="4"/>
      <c r="M207" s="4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4"/>
    </row>
    <row r="208" spans="1:26" ht="14.25" customHeight="1">
      <c r="A208" s="1"/>
      <c r="B208" s="33"/>
      <c r="C208" s="33"/>
      <c r="D208" s="33"/>
      <c r="E208" s="33"/>
      <c r="F208" s="33"/>
      <c r="G208" s="33"/>
      <c r="H208" s="1"/>
      <c r="I208" s="3"/>
      <c r="J208" s="3"/>
      <c r="K208" s="3"/>
      <c r="L208" s="4"/>
      <c r="M208" s="4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4"/>
    </row>
    <row r="209" spans="1:26" ht="14.25" customHeight="1">
      <c r="A209" s="1"/>
      <c r="B209" s="33"/>
      <c r="C209" s="33"/>
      <c r="D209" s="33"/>
      <c r="E209" s="33"/>
      <c r="F209" s="33"/>
      <c r="G209" s="33"/>
      <c r="H209" s="1"/>
      <c r="I209" s="3"/>
      <c r="J209" s="3"/>
      <c r="K209" s="3"/>
      <c r="L209" s="4"/>
      <c r="M209" s="4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4"/>
    </row>
    <row r="210" spans="1:26" ht="14.25" customHeight="1">
      <c r="A210" s="1"/>
      <c r="B210" s="33"/>
      <c r="C210" s="33"/>
      <c r="D210" s="33"/>
      <c r="E210" s="33"/>
      <c r="F210" s="33"/>
      <c r="G210" s="33"/>
      <c r="H210" s="1"/>
      <c r="I210" s="3"/>
      <c r="J210" s="3"/>
      <c r="K210" s="3"/>
      <c r="L210" s="4"/>
      <c r="M210" s="4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4"/>
    </row>
    <row r="211" spans="1:26" ht="14.25" customHeight="1">
      <c r="A211" s="1"/>
      <c r="B211" s="33"/>
      <c r="C211" s="33"/>
      <c r="D211" s="33"/>
      <c r="E211" s="33"/>
      <c r="F211" s="33"/>
      <c r="G211" s="33"/>
      <c r="H211" s="1"/>
      <c r="I211" s="3"/>
      <c r="J211" s="3"/>
      <c r="K211" s="3"/>
      <c r="L211" s="4"/>
      <c r="M211" s="4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4"/>
    </row>
    <row r="212" spans="1:26" ht="14.25" customHeight="1">
      <c r="A212" s="1"/>
      <c r="B212" s="33"/>
      <c r="C212" s="33"/>
      <c r="D212" s="33"/>
      <c r="E212" s="33"/>
      <c r="F212" s="33"/>
      <c r="G212" s="33"/>
      <c r="H212" s="1"/>
      <c r="I212" s="3"/>
      <c r="J212" s="3"/>
      <c r="K212" s="3"/>
      <c r="L212" s="4"/>
      <c r="M212" s="4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4"/>
    </row>
    <row r="213" spans="1:26" ht="14.25" customHeight="1">
      <c r="A213" s="1"/>
      <c r="B213" s="33"/>
      <c r="C213" s="33"/>
      <c r="D213" s="33"/>
      <c r="E213" s="33"/>
      <c r="F213" s="33"/>
      <c r="G213" s="33"/>
      <c r="H213" s="1"/>
      <c r="I213" s="3"/>
      <c r="J213" s="3"/>
      <c r="K213" s="3"/>
      <c r="L213" s="4"/>
      <c r="M213" s="4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4"/>
    </row>
    <row r="214" spans="1:26" ht="14.25" customHeight="1">
      <c r="A214" s="1"/>
      <c r="B214" s="33"/>
      <c r="C214" s="33"/>
      <c r="D214" s="33"/>
      <c r="E214" s="33"/>
      <c r="F214" s="33"/>
      <c r="G214" s="33"/>
      <c r="H214" s="1"/>
      <c r="I214" s="3"/>
      <c r="J214" s="3"/>
      <c r="K214" s="3"/>
      <c r="L214" s="4"/>
      <c r="M214" s="4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4"/>
    </row>
    <row r="215" spans="1:26" ht="14.25" customHeight="1">
      <c r="A215" s="1"/>
      <c r="B215" s="33"/>
      <c r="C215" s="33"/>
      <c r="D215" s="33"/>
      <c r="E215" s="33"/>
      <c r="F215" s="33"/>
      <c r="G215" s="33"/>
      <c r="H215" s="1"/>
      <c r="I215" s="3"/>
      <c r="J215" s="3"/>
      <c r="K215" s="3"/>
      <c r="L215" s="4"/>
      <c r="M215" s="4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4"/>
    </row>
    <row r="216" spans="1:26" ht="14.25" customHeight="1">
      <c r="A216" s="1"/>
      <c r="B216" s="33"/>
      <c r="C216" s="33"/>
      <c r="D216" s="33"/>
      <c r="E216" s="33"/>
      <c r="F216" s="33"/>
      <c r="G216" s="33"/>
      <c r="H216" s="1"/>
      <c r="I216" s="3"/>
      <c r="J216" s="3"/>
      <c r="K216" s="3"/>
      <c r="L216" s="4"/>
      <c r="M216" s="4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4"/>
    </row>
    <row r="217" spans="1:26" ht="14.25" customHeight="1">
      <c r="A217" s="1"/>
      <c r="B217" s="33"/>
      <c r="C217" s="33"/>
      <c r="D217" s="33"/>
      <c r="E217" s="33"/>
      <c r="F217" s="33"/>
      <c r="G217" s="33"/>
      <c r="H217" s="1"/>
      <c r="I217" s="3"/>
      <c r="J217" s="3"/>
      <c r="K217" s="3"/>
      <c r="L217" s="4"/>
      <c r="M217" s="4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4"/>
    </row>
    <row r="218" spans="1:26" ht="14.25" customHeight="1">
      <c r="A218" s="1"/>
      <c r="B218" s="33"/>
      <c r="C218" s="33"/>
      <c r="D218" s="33"/>
      <c r="E218" s="33"/>
      <c r="F218" s="33"/>
      <c r="G218" s="33"/>
      <c r="H218" s="1"/>
      <c r="I218" s="3"/>
      <c r="J218" s="3"/>
      <c r="K218" s="3"/>
      <c r="L218" s="4"/>
      <c r="M218" s="4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4"/>
    </row>
    <row r="219" spans="1:26" ht="14.25" customHeight="1">
      <c r="A219" s="1"/>
      <c r="B219" s="33"/>
      <c r="C219" s="33"/>
      <c r="D219" s="33"/>
      <c r="E219" s="33"/>
      <c r="F219" s="33"/>
      <c r="G219" s="33"/>
      <c r="H219" s="1"/>
      <c r="I219" s="3"/>
      <c r="J219" s="3"/>
      <c r="K219" s="3"/>
      <c r="L219" s="4"/>
      <c r="M219" s="4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4"/>
    </row>
    <row r="220" spans="1:26" ht="14.25" customHeight="1">
      <c r="A220" s="1"/>
      <c r="B220" s="33"/>
      <c r="C220" s="33"/>
      <c r="D220" s="33"/>
      <c r="E220" s="33"/>
      <c r="F220" s="33"/>
      <c r="G220" s="33"/>
      <c r="H220" s="1"/>
      <c r="I220" s="3"/>
      <c r="J220" s="3"/>
      <c r="K220" s="3"/>
      <c r="L220" s="4"/>
      <c r="M220" s="4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4"/>
    </row>
    <row r="221" spans="1:26" ht="14.25" customHeight="1">
      <c r="A221" s="1"/>
      <c r="B221" s="33"/>
      <c r="C221" s="33"/>
      <c r="D221" s="33"/>
      <c r="E221" s="33"/>
      <c r="F221" s="33"/>
      <c r="G221" s="33"/>
      <c r="H221" s="1"/>
      <c r="I221" s="3"/>
      <c r="J221" s="3"/>
      <c r="K221" s="3"/>
      <c r="L221" s="4"/>
      <c r="M221" s="4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4"/>
    </row>
    <row r="222" spans="1:26" ht="14.25" customHeight="1">
      <c r="A222" s="1"/>
      <c r="B222" s="33"/>
      <c r="C222" s="33"/>
      <c r="D222" s="33"/>
      <c r="E222" s="33"/>
      <c r="F222" s="33"/>
      <c r="G222" s="33"/>
      <c r="H222" s="1"/>
      <c r="I222" s="3"/>
      <c r="J222" s="3"/>
      <c r="K222" s="3"/>
      <c r="L222" s="4"/>
      <c r="M222" s="4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4"/>
    </row>
    <row r="223" spans="1:26" ht="14.25" customHeight="1">
      <c r="A223" s="1"/>
      <c r="B223" s="33"/>
      <c r="C223" s="33"/>
      <c r="D223" s="33"/>
      <c r="E223" s="33"/>
      <c r="F223" s="33"/>
      <c r="G223" s="33"/>
      <c r="H223" s="1"/>
      <c r="I223" s="3"/>
      <c r="J223" s="3"/>
      <c r="K223" s="3"/>
      <c r="L223" s="4"/>
      <c r="M223" s="4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4"/>
    </row>
    <row r="224" spans="1:26" ht="14.25" customHeight="1">
      <c r="A224" s="1"/>
      <c r="B224" s="33"/>
      <c r="C224" s="33"/>
      <c r="D224" s="33"/>
      <c r="E224" s="33"/>
      <c r="F224" s="33"/>
      <c r="G224" s="33"/>
      <c r="H224" s="1"/>
      <c r="I224" s="3"/>
      <c r="J224" s="3"/>
      <c r="K224" s="3"/>
      <c r="L224" s="4"/>
      <c r="M224" s="4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4"/>
    </row>
    <row r="225" spans="1:26" ht="14.25" customHeight="1">
      <c r="A225" s="1"/>
      <c r="B225" s="33"/>
      <c r="C225" s="33"/>
      <c r="D225" s="33"/>
      <c r="E225" s="33"/>
      <c r="F225" s="33"/>
      <c r="G225" s="33"/>
      <c r="H225" s="1"/>
      <c r="I225" s="3"/>
      <c r="J225" s="3"/>
      <c r="K225" s="3"/>
      <c r="L225" s="4"/>
      <c r="M225" s="4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4"/>
    </row>
    <row r="226" spans="1:26" ht="14.25" customHeight="1">
      <c r="A226" s="1"/>
      <c r="B226" s="33"/>
      <c r="C226" s="33"/>
      <c r="D226" s="33"/>
      <c r="E226" s="33"/>
      <c r="F226" s="33"/>
      <c r="G226" s="33"/>
      <c r="H226" s="1"/>
      <c r="I226" s="3"/>
      <c r="J226" s="3"/>
      <c r="K226" s="3"/>
      <c r="L226" s="4"/>
      <c r="M226" s="4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4"/>
    </row>
    <row r="227" spans="1:26" ht="14.25" customHeight="1">
      <c r="A227" s="1"/>
      <c r="B227" s="33"/>
      <c r="C227" s="33"/>
      <c r="D227" s="33"/>
      <c r="E227" s="33"/>
      <c r="F227" s="33"/>
      <c r="G227" s="33"/>
      <c r="H227" s="1"/>
      <c r="I227" s="3"/>
      <c r="J227" s="3"/>
      <c r="K227" s="3"/>
      <c r="L227" s="4"/>
      <c r="M227" s="4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4"/>
    </row>
    <row r="228" spans="1:26" ht="14.25" customHeight="1">
      <c r="A228" s="1"/>
      <c r="B228" s="33"/>
      <c r="C228" s="33"/>
      <c r="D228" s="33"/>
      <c r="E228" s="33"/>
      <c r="F228" s="33"/>
      <c r="G228" s="33"/>
      <c r="H228" s="1"/>
      <c r="I228" s="3"/>
      <c r="J228" s="3"/>
      <c r="K228" s="3"/>
      <c r="L228" s="4"/>
      <c r="M228" s="4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4"/>
    </row>
    <row r="229" spans="1:26" ht="14.25" customHeight="1">
      <c r="A229" s="1"/>
      <c r="B229" s="33"/>
      <c r="C229" s="33"/>
      <c r="D229" s="33"/>
      <c r="E229" s="33"/>
      <c r="F229" s="33"/>
      <c r="G229" s="33"/>
      <c r="H229" s="1"/>
      <c r="I229" s="3"/>
      <c r="J229" s="3"/>
      <c r="K229" s="3"/>
      <c r="L229" s="4"/>
      <c r="M229" s="4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4"/>
    </row>
    <row r="230" spans="1:26" ht="14.25" customHeight="1">
      <c r="A230" s="1"/>
      <c r="B230" s="33"/>
      <c r="C230" s="33"/>
      <c r="D230" s="33"/>
      <c r="E230" s="33"/>
      <c r="F230" s="33"/>
      <c r="G230" s="33"/>
      <c r="H230" s="1"/>
      <c r="I230" s="3"/>
      <c r="J230" s="3"/>
      <c r="K230" s="3"/>
      <c r="L230" s="4"/>
      <c r="M230" s="4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4"/>
    </row>
    <row r="231" spans="1:26" ht="14.25" customHeight="1">
      <c r="A231" s="1"/>
      <c r="B231" s="33"/>
      <c r="C231" s="33"/>
      <c r="D231" s="33"/>
      <c r="E231" s="33"/>
      <c r="F231" s="33"/>
      <c r="G231" s="33"/>
      <c r="H231" s="1"/>
      <c r="I231" s="3"/>
      <c r="J231" s="3"/>
      <c r="K231" s="3"/>
      <c r="L231" s="4"/>
      <c r="M231" s="4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4"/>
    </row>
    <row r="232" spans="1:26" ht="14.25" customHeight="1">
      <c r="A232" s="1"/>
      <c r="B232" s="33"/>
      <c r="C232" s="33"/>
      <c r="D232" s="33"/>
      <c r="E232" s="33"/>
      <c r="F232" s="33"/>
      <c r="G232" s="33"/>
      <c r="H232" s="1"/>
      <c r="I232" s="3"/>
      <c r="J232" s="3"/>
      <c r="K232" s="3"/>
      <c r="L232" s="4"/>
      <c r="M232" s="4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4"/>
    </row>
    <row r="233" spans="1:26" ht="14.25" customHeight="1">
      <c r="A233" s="1"/>
      <c r="B233" s="33"/>
      <c r="C233" s="33"/>
      <c r="D233" s="33"/>
      <c r="E233" s="33"/>
      <c r="F233" s="33"/>
      <c r="G233" s="33"/>
      <c r="H233" s="1"/>
      <c r="I233" s="3"/>
      <c r="J233" s="3"/>
      <c r="K233" s="3"/>
      <c r="L233" s="4"/>
      <c r="M233" s="4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4"/>
    </row>
    <row r="234" spans="1:26" ht="14.25" customHeight="1">
      <c r="A234" s="1"/>
      <c r="B234" s="33"/>
      <c r="C234" s="33"/>
      <c r="D234" s="33"/>
      <c r="E234" s="33"/>
      <c r="F234" s="33"/>
      <c r="G234" s="33"/>
      <c r="H234" s="1"/>
      <c r="I234" s="3"/>
      <c r="J234" s="3"/>
      <c r="K234" s="3"/>
      <c r="L234" s="4"/>
      <c r="M234" s="4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4"/>
    </row>
    <row r="235" spans="1:26" ht="14.25" customHeight="1">
      <c r="A235" s="1"/>
      <c r="B235" s="33"/>
      <c r="C235" s="33"/>
      <c r="D235" s="33"/>
      <c r="E235" s="33"/>
      <c r="F235" s="33"/>
      <c r="G235" s="33"/>
      <c r="H235" s="1"/>
      <c r="I235" s="3"/>
      <c r="J235" s="3"/>
      <c r="K235" s="3"/>
      <c r="L235" s="4"/>
      <c r="M235" s="4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4"/>
    </row>
    <row r="236" spans="1:26" ht="14.25" customHeight="1">
      <c r="A236" s="1"/>
      <c r="B236" s="33"/>
      <c r="C236" s="33"/>
      <c r="D236" s="33"/>
      <c r="E236" s="33"/>
      <c r="F236" s="33"/>
      <c r="G236" s="33"/>
      <c r="H236" s="1"/>
      <c r="I236" s="3"/>
      <c r="J236" s="3"/>
      <c r="K236" s="3"/>
      <c r="L236" s="4"/>
      <c r="M236" s="4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4"/>
    </row>
    <row r="237" spans="1:26" ht="14.25" customHeight="1">
      <c r="A237" s="1"/>
      <c r="B237" s="33"/>
      <c r="C237" s="33"/>
      <c r="D237" s="33"/>
      <c r="E237" s="33"/>
      <c r="F237" s="33"/>
      <c r="G237" s="33"/>
      <c r="H237" s="1"/>
      <c r="I237" s="3"/>
      <c r="J237" s="3"/>
      <c r="K237" s="3"/>
      <c r="L237" s="4"/>
      <c r="M237" s="4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4"/>
    </row>
    <row r="238" spans="1:26" ht="14.25" customHeight="1">
      <c r="A238" s="1"/>
      <c r="B238" s="33"/>
      <c r="C238" s="33"/>
      <c r="D238" s="33"/>
      <c r="E238" s="33"/>
      <c r="F238" s="33"/>
      <c r="G238" s="33"/>
      <c r="H238" s="1"/>
      <c r="I238" s="3"/>
      <c r="J238" s="3"/>
      <c r="K238" s="3"/>
      <c r="L238" s="4"/>
      <c r="M238" s="4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4"/>
    </row>
    <row r="239" spans="1:26" ht="14.25" customHeight="1">
      <c r="A239" s="1"/>
      <c r="B239" s="33"/>
      <c r="C239" s="33"/>
      <c r="D239" s="33"/>
      <c r="E239" s="33"/>
      <c r="F239" s="33"/>
      <c r="G239" s="33"/>
      <c r="H239" s="1"/>
      <c r="I239" s="3"/>
      <c r="J239" s="3"/>
      <c r="K239" s="3"/>
      <c r="L239" s="4"/>
      <c r="M239" s="4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4"/>
    </row>
    <row r="240" spans="1:26" ht="14.25" customHeight="1">
      <c r="A240" s="1"/>
      <c r="B240" s="33"/>
      <c r="C240" s="33"/>
      <c r="D240" s="33"/>
      <c r="E240" s="33"/>
      <c r="F240" s="33"/>
      <c r="G240" s="33"/>
      <c r="H240" s="1"/>
      <c r="I240" s="3"/>
      <c r="J240" s="3"/>
      <c r="K240" s="3"/>
      <c r="L240" s="4"/>
      <c r="M240" s="4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4"/>
    </row>
    <row r="241" spans="1:26" ht="14.25" customHeight="1">
      <c r="A241" s="1"/>
      <c r="B241" s="33"/>
      <c r="C241" s="33"/>
      <c r="D241" s="33"/>
      <c r="E241" s="33"/>
      <c r="F241" s="33"/>
      <c r="G241" s="33"/>
      <c r="H241" s="1"/>
      <c r="I241" s="3"/>
      <c r="J241" s="3"/>
      <c r="K241" s="3"/>
      <c r="L241" s="4"/>
      <c r="M241" s="4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4"/>
    </row>
    <row r="242" spans="1:26" ht="14.25" customHeight="1">
      <c r="A242" s="1"/>
      <c r="B242" s="33"/>
      <c r="C242" s="33"/>
      <c r="D242" s="33"/>
      <c r="E242" s="33"/>
      <c r="F242" s="33"/>
      <c r="G242" s="33"/>
      <c r="H242" s="1"/>
      <c r="I242" s="3"/>
      <c r="J242" s="3"/>
      <c r="K242" s="3"/>
      <c r="L242" s="4"/>
      <c r="M242" s="4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4"/>
    </row>
    <row r="243" spans="1:26" ht="14.25" customHeight="1">
      <c r="A243" s="1"/>
      <c r="B243" s="33"/>
      <c r="C243" s="33"/>
      <c r="D243" s="33"/>
      <c r="E243" s="33"/>
      <c r="F243" s="33"/>
      <c r="G243" s="33"/>
      <c r="H243" s="1"/>
      <c r="I243" s="3"/>
      <c r="J243" s="3"/>
      <c r="K243" s="3"/>
      <c r="L243" s="4"/>
      <c r="M243" s="4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4"/>
    </row>
    <row r="244" spans="1:26" ht="14.25" customHeight="1">
      <c r="A244" s="1"/>
      <c r="B244" s="33"/>
      <c r="C244" s="33"/>
      <c r="D244" s="33"/>
      <c r="E244" s="33"/>
      <c r="F244" s="33"/>
      <c r="G244" s="33"/>
      <c r="H244" s="1"/>
      <c r="I244" s="3"/>
      <c r="J244" s="3"/>
      <c r="K244" s="3"/>
      <c r="L244" s="4"/>
      <c r="M244" s="4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4"/>
    </row>
    <row r="245" spans="1:26" ht="14.25" customHeight="1">
      <c r="A245" s="1"/>
      <c r="B245" s="33"/>
      <c r="C245" s="33"/>
      <c r="D245" s="33"/>
      <c r="E245" s="33"/>
      <c r="F245" s="33"/>
      <c r="G245" s="33"/>
      <c r="H245" s="1"/>
      <c r="I245" s="3"/>
      <c r="J245" s="3"/>
      <c r="K245" s="3"/>
      <c r="L245" s="4"/>
      <c r="M245" s="4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4"/>
    </row>
    <row r="246" spans="1:26" ht="14.25" customHeight="1">
      <c r="A246" s="1"/>
      <c r="B246" s="33"/>
      <c r="C246" s="33"/>
      <c r="D246" s="33"/>
      <c r="E246" s="33"/>
      <c r="F246" s="33"/>
      <c r="G246" s="33"/>
      <c r="H246" s="1"/>
      <c r="I246" s="3"/>
      <c r="J246" s="3"/>
      <c r="K246" s="3"/>
      <c r="L246" s="4"/>
      <c r="M246" s="4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4"/>
    </row>
    <row r="247" spans="1:26" ht="14.25" customHeight="1">
      <c r="A247" s="1"/>
      <c r="B247" s="33"/>
      <c r="C247" s="33"/>
      <c r="D247" s="33"/>
      <c r="E247" s="33"/>
      <c r="F247" s="33"/>
      <c r="G247" s="33"/>
      <c r="H247" s="1"/>
      <c r="I247" s="3"/>
      <c r="J247" s="3"/>
      <c r="K247" s="3"/>
      <c r="L247" s="4"/>
      <c r="M247" s="4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4"/>
    </row>
    <row r="248" spans="1:26" ht="14.25" customHeight="1">
      <c r="A248" s="1"/>
      <c r="B248" s="33"/>
      <c r="C248" s="33"/>
      <c r="D248" s="33"/>
      <c r="E248" s="33"/>
      <c r="F248" s="33"/>
      <c r="G248" s="33"/>
      <c r="H248" s="1"/>
      <c r="I248" s="3"/>
      <c r="J248" s="3"/>
      <c r="K248" s="3"/>
      <c r="L248" s="4"/>
      <c r="M248" s="4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4"/>
    </row>
    <row r="249" spans="1:26" ht="14.25" customHeight="1">
      <c r="A249" s="1"/>
      <c r="B249" s="33"/>
      <c r="C249" s="33"/>
      <c r="D249" s="33"/>
      <c r="E249" s="33"/>
      <c r="F249" s="33"/>
      <c r="G249" s="33"/>
      <c r="H249" s="1"/>
      <c r="I249" s="3"/>
      <c r="J249" s="3"/>
      <c r="K249" s="3"/>
      <c r="L249" s="4"/>
      <c r="M249" s="4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4"/>
    </row>
    <row r="250" spans="1:26" ht="14.25" customHeight="1">
      <c r="A250" s="1"/>
      <c r="B250" s="33"/>
      <c r="C250" s="33"/>
      <c r="D250" s="33"/>
      <c r="E250" s="33"/>
      <c r="F250" s="33"/>
      <c r="G250" s="33"/>
      <c r="H250" s="1"/>
      <c r="I250" s="3"/>
      <c r="J250" s="3"/>
      <c r="K250" s="3"/>
      <c r="L250" s="4"/>
      <c r="M250" s="4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4"/>
    </row>
    <row r="251" spans="1:26" ht="14.25" customHeight="1">
      <c r="A251" s="1"/>
      <c r="B251" s="33"/>
      <c r="C251" s="33"/>
      <c r="D251" s="33"/>
      <c r="E251" s="33"/>
      <c r="F251" s="33"/>
      <c r="G251" s="33"/>
      <c r="H251" s="1"/>
      <c r="I251" s="3"/>
      <c r="J251" s="3"/>
      <c r="K251" s="3"/>
      <c r="L251" s="4"/>
      <c r="M251" s="4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4"/>
    </row>
    <row r="252" spans="1:26" ht="14.25" customHeight="1">
      <c r="A252" s="1"/>
      <c r="B252" s="33"/>
      <c r="C252" s="33"/>
      <c r="D252" s="33"/>
      <c r="E252" s="33"/>
      <c r="F252" s="33"/>
      <c r="G252" s="33"/>
      <c r="H252" s="1"/>
      <c r="I252" s="3"/>
      <c r="J252" s="3"/>
      <c r="K252" s="3"/>
      <c r="L252" s="4"/>
      <c r="M252" s="4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4"/>
    </row>
    <row r="253" spans="1:26" ht="14.25" customHeight="1">
      <c r="A253" s="1"/>
      <c r="B253" s="33"/>
      <c r="C253" s="33"/>
      <c r="D253" s="33"/>
      <c r="E253" s="33"/>
      <c r="F253" s="33"/>
      <c r="G253" s="33"/>
      <c r="H253" s="1"/>
      <c r="I253" s="3"/>
      <c r="J253" s="3"/>
      <c r="K253" s="3"/>
      <c r="L253" s="4"/>
      <c r="M253" s="4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4"/>
    </row>
    <row r="254" spans="1:26" ht="14.25" customHeight="1">
      <c r="A254" s="1"/>
      <c r="B254" s="33"/>
      <c r="C254" s="33"/>
      <c r="D254" s="33"/>
      <c r="E254" s="33"/>
      <c r="F254" s="33"/>
      <c r="G254" s="33"/>
      <c r="H254" s="1"/>
      <c r="I254" s="3"/>
      <c r="J254" s="3"/>
      <c r="K254" s="3"/>
      <c r="L254" s="4"/>
      <c r="M254" s="4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4"/>
    </row>
    <row r="255" spans="1:26" ht="14.25" customHeight="1">
      <c r="A255" s="1"/>
      <c r="B255" s="33"/>
      <c r="C255" s="33"/>
      <c r="D255" s="33"/>
      <c r="E255" s="33"/>
      <c r="F255" s="33"/>
      <c r="G255" s="33"/>
      <c r="H255" s="1"/>
      <c r="I255" s="3"/>
      <c r="J255" s="3"/>
      <c r="K255" s="3"/>
      <c r="L255" s="4"/>
      <c r="M255" s="4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4"/>
    </row>
    <row r="256" spans="1:26" ht="14.25" customHeight="1">
      <c r="A256" s="1"/>
      <c r="B256" s="33"/>
      <c r="C256" s="33"/>
      <c r="D256" s="33"/>
      <c r="E256" s="33"/>
      <c r="F256" s="33"/>
      <c r="G256" s="33"/>
      <c r="H256" s="1"/>
      <c r="I256" s="3"/>
      <c r="J256" s="3"/>
      <c r="K256" s="3"/>
      <c r="L256" s="4"/>
      <c r="M256" s="4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4"/>
    </row>
    <row r="257" spans="1:26" ht="14.25" customHeight="1">
      <c r="A257" s="1"/>
      <c r="B257" s="33"/>
      <c r="C257" s="33"/>
      <c r="D257" s="33"/>
      <c r="E257" s="33"/>
      <c r="F257" s="33"/>
      <c r="G257" s="33"/>
      <c r="H257" s="1"/>
      <c r="I257" s="3"/>
      <c r="J257" s="3"/>
      <c r="K257" s="3"/>
      <c r="L257" s="4"/>
      <c r="M257" s="4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4"/>
    </row>
    <row r="258" spans="1:26" ht="14.25" customHeight="1">
      <c r="A258" s="1"/>
      <c r="B258" s="33"/>
      <c r="C258" s="33"/>
      <c r="D258" s="33"/>
      <c r="E258" s="33"/>
      <c r="F258" s="33"/>
      <c r="G258" s="33"/>
      <c r="H258" s="1"/>
      <c r="I258" s="3"/>
      <c r="J258" s="3"/>
      <c r="K258" s="3"/>
      <c r="L258" s="4"/>
      <c r="M258" s="4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4"/>
    </row>
    <row r="259" spans="1:26" ht="14.25" customHeight="1">
      <c r="A259" s="1"/>
      <c r="B259" s="33"/>
      <c r="C259" s="33"/>
      <c r="D259" s="33"/>
      <c r="E259" s="33"/>
      <c r="F259" s="33"/>
      <c r="G259" s="33"/>
      <c r="H259" s="1"/>
      <c r="I259" s="3"/>
      <c r="J259" s="3"/>
      <c r="K259" s="3"/>
      <c r="L259" s="4"/>
      <c r="M259" s="4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4"/>
    </row>
    <row r="260" spans="1:26" ht="14.25" customHeight="1">
      <c r="A260" s="1"/>
      <c r="B260" s="33"/>
      <c r="C260" s="33"/>
      <c r="D260" s="33"/>
      <c r="E260" s="33"/>
      <c r="F260" s="33"/>
      <c r="G260" s="33"/>
      <c r="H260" s="1"/>
      <c r="I260" s="3"/>
      <c r="J260" s="3"/>
      <c r="K260" s="3"/>
      <c r="L260" s="4"/>
      <c r="M260" s="4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4"/>
    </row>
    <row r="261" spans="1:26" ht="14.25" customHeight="1">
      <c r="A261" s="1"/>
      <c r="B261" s="33"/>
      <c r="C261" s="33"/>
      <c r="D261" s="33"/>
      <c r="E261" s="33"/>
      <c r="F261" s="33"/>
      <c r="G261" s="33"/>
      <c r="H261" s="1"/>
      <c r="I261" s="3"/>
      <c r="J261" s="3"/>
      <c r="K261" s="3"/>
      <c r="L261" s="4"/>
      <c r="M261" s="4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4"/>
    </row>
    <row r="262" spans="1:26" ht="14.25" customHeight="1">
      <c r="A262" s="1"/>
      <c r="B262" s="33"/>
      <c r="C262" s="33"/>
      <c r="D262" s="33"/>
      <c r="E262" s="33"/>
      <c r="F262" s="33"/>
      <c r="G262" s="33"/>
      <c r="H262" s="1"/>
      <c r="I262" s="3"/>
      <c r="J262" s="3"/>
      <c r="K262" s="3"/>
      <c r="L262" s="4"/>
      <c r="M262" s="4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4"/>
    </row>
    <row r="263" spans="1:26" ht="14.25" customHeight="1">
      <c r="A263" s="1"/>
      <c r="B263" s="33"/>
      <c r="C263" s="33"/>
      <c r="D263" s="33"/>
      <c r="E263" s="33"/>
      <c r="F263" s="33"/>
      <c r="G263" s="33"/>
      <c r="H263" s="1"/>
      <c r="I263" s="3"/>
      <c r="J263" s="3"/>
      <c r="K263" s="3"/>
      <c r="L263" s="4"/>
      <c r="M263" s="4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4"/>
    </row>
    <row r="264" spans="1:26" ht="14.25" customHeight="1">
      <c r="A264" s="1"/>
      <c r="B264" s="33"/>
      <c r="C264" s="33"/>
      <c r="D264" s="33"/>
      <c r="E264" s="33"/>
      <c r="F264" s="33"/>
      <c r="G264" s="33"/>
      <c r="H264" s="1"/>
      <c r="I264" s="3"/>
      <c r="J264" s="3"/>
      <c r="K264" s="3"/>
      <c r="L264" s="4"/>
      <c r="M264" s="4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4"/>
    </row>
    <row r="265" spans="1:26" ht="14.25" customHeight="1">
      <c r="A265" s="1"/>
      <c r="B265" s="33"/>
      <c r="C265" s="33"/>
      <c r="D265" s="33"/>
      <c r="E265" s="33"/>
      <c r="F265" s="33"/>
      <c r="G265" s="33"/>
      <c r="H265" s="1"/>
      <c r="I265" s="3"/>
      <c r="J265" s="3"/>
      <c r="K265" s="3"/>
      <c r="L265" s="4"/>
      <c r="M265" s="4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4"/>
    </row>
    <row r="266" spans="1:26" ht="14.25" customHeight="1">
      <c r="A266" s="1"/>
      <c r="B266" s="33"/>
      <c r="C266" s="33"/>
      <c r="D266" s="33"/>
      <c r="E266" s="33"/>
      <c r="F266" s="33"/>
      <c r="G266" s="33"/>
      <c r="H266" s="1"/>
      <c r="I266" s="3"/>
      <c r="J266" s="3"/>
      <c r="K266" s="3"/>
      <c r="L266" s="4"/>
      <c r="M266" s="4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4"/>
    </row>
    <row r="267" spans="1:26" ht="14.25" customHeight="1">
      <c r="A267" s="1"/>
      <c r="B267" s="33"/>
      <c r="C267" s="33"/>
      <c r="D267" s="33"/>
      <c r="E267" s="33"/>
      <c r="F267" s="33"/>
      <c r="G267" s="33"/>
      <c r="H267" s="1"/>
      <c r="I267" s="3"/>
      <c r="J267" s="3"/>
      <c r="K267" s="3"/>
      <c r="L267" s="4"/>
      <c r="M267" s="4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4"/>
    </row>
    <row r="268" spans="1:26" ht="14.25" customHeight="1">
      <c r="A268" s="1"/>
      <c r="B268" s="33"/>
      <c r="C268" s="33"/>
      <c r="D268" s="33"/>
      <c r="E268" s="33"/>
      <c r="F268" s="33"/>
      <c r="G268" s="33"/>
      <c r="H268" s="1"/>
      <c r="I268" s="3"/>
      <c r="J268" s="3"/>
      <c r="K268" s="3"/>
      <c r="L268" s="4"/>
      <c r="M268" s="4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4"/>
    </row>
    <row r="269" spans="1:26" ht="14.25" customHeight="1">
      <c r="A269" s="1"/>
      <c r="B269" s="33"/>
      <c r="C269" s="33"/>
      <c r="D269" s="33"/>
      <c r="E269" s="33"/>
      <c r="F269" s="33"/>
      <c r="G269" s="33"/>
      <c r="H269" s="1"/>
      <c r="I269" s="3"/>
      <c r="J269" s="3"/>
      <c r="K269" s="3"/>
      <c r="L269" s="4"/>
      <c r="M269" s="4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4"/>
    </row>
    <row r="270" spans="1:26" ht="14.25" customHeight="1">
      <c r="A270" s="1"/>
      <c r="B270" s="33"/>
      <c r="C270" s="33"/>
      <c r="D270" s="33"/>
      <c r="E270" s="33"/>
      <c r="F270" s="33"/>
      <c r="G270" s="33"/>
      <c r="H270" s="1"/>
      <c r="I270" s="3"/>
      <c r="J270" s="3"/>
      <c r="K270" s="3"/>
      <c r="L270" s="4"/>
      <c r="M270" s="4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4"/>
    </row>
    <row r="271" spans="1:26" ht="14.25" customHeight="1">
      <c r="A271" s="1"/>
      <c r="B271" s="33"/>
      <c r="C271" s="33"/>
      <c r="D271" s="33"/>
      <c r="E271" s="33"/>
      <c r="F271" s="33"/>
      <c r="G271" s="33"/>
      <c r="H271" s="1"/>
      <c r="I271" s="3"/>
      <c r="J271" s="3"/>
      <c r="K271" s="3"/>
      <c r="L271" s="4"/>
      <c r="M271" s="4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4"/>
    </row>
    <row r="272" spans="1:26" ht="14.25" customHeight="1">
      <c r="A272" s="1"/>
      <c r="B272" s="33"/>
      <c r="C272" s="33"/>
      <c r="D272" s="33"/>
      <c r="E272" s="33"/>
      <c r="F272" s="33"/>
      <c r="G272" s="33"/>
      <c r="H272" s="1"/>
      <c r="I272" s="3"/>
      <c r="J272" s="3"/>
      <c r="K272" s="3"/>
      <c r="L272" s="4"/>
      <c r="M272" s="4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4"/>
    </row>
    <row r="273" spans="1:26" ht="14.25" customHeight="1">
      <c r="A273" s="1"/>
      <c r="B273" s="33"/>
      <c r="C273" s="33"/>
      <c r="D273" s="33"/>
      <c r="E273" s="33"/>
      <c r="F273" s="33"/>
      <c r="G273" s="33"/>
      <c r="H273" s="1"/>
      <c r="I273" s="3"/>
      <c r="J273" s="3"/>
      <c r="K273" s="3"/>
      <c r="L273" s="4"/>
      <c r="M273" s="4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4"/>
    </row>
    <row r="274" spans="1:26" ht="14.25" customHeight="1">
      <c r="A274" s="1"/>
      <c r="B274" s="33"/>
      <c r="C274" s="33"/>
      <c r="D274" s="33"/>
      <c r="E274" s="33"/>
      <c r="F274" s="33"/>
      <c r="G274" s="33"/>
      <c r="H274" s="1"/>
      <c r="I274" s="3"/>
      <c r="J274" s="3"/>
      <c r="K274" s="3"/>
      <c r="L274" s="4"/>
      <c r="M274" s="4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4"/>
    </row>
    <row r="275" spans="1:26" ht="14.25" customHeight="1">
      <c r="A275" s="1"/>
      <c r="B275" s="33"/>
      <c r="C275" s="33"/>
      <c r="D275" s="33"/>
      <c r="E275" s="33"/>
      <c r="F275" s="33"/>
      <c r="G275" s="33"/>
      <c r="H275" s="1"/>
      <c r="I275" s="3"/>
      <c r="J275" s="3"/>
      <c r="K275" s="3"/>
      <c r="L275" s="4"/>
      <c r="M275" s="4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4"/>
    </row>
    <row r="276" spans="1:26" ht="14.25" customHeight="1">
      <c r="A276" s="1"/>
      <c r="B276" s="33"/>
      <c r="C276" s="33"/>
      <c r="D276" s="33"/>
      <c r="E276" s="33"/>
      <c r="F276" s="33"/>
      <c r="G276" s="33"/>
      <c r="H276" s="1"/>
      <c r="I276" s="3"/>
      <c r="J276" s="3"/>
      <c r="K276" s="3"/>
      <c r="L276" s="4"/>
      <c r="M276" s="4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4"/>
    </row>
    <row r="277" spans="1:26" ht="14.25" customHeight="1">
      <c r="A277" s="1"/>
      <c r="B277" s="33"/>
      <c r="C277" s="33"/>
      <c r="D277" s="33"/>
      <c r="E277" s="33"/>
      <c r="F277" s="33"/>
      <c r="G277" s="33"/>
      <c r="H277" s="1"/>
      <c r="I277" s="3"/>
      <c r="J277" s="3"/>
      <c r="K277" s="3"/>
      <c r="L277" s="4"/>
      <c r="M277" s="4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4"/>
    </row>
    <row r="278" spans="1:26" ht="14.25" customHeight="1">
      <c r="A278" s="1"/>
      <c r="B278" s="33"/>
      <c r="C278" s="33"/>
      <c r="D278" s="33"/>
      <c r="E278" s="33"/>
      <c r="F278" s="33"/>
      <c r="G278" s="33"/>
      <c r="H278" s="1"/>
      <c r="I278" s="3"/>
      <c r="J278" s="3"/>
      <c r="K278" s="3"/>
      <c r="L278" s="4"/>
      <c r="M278" s="4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4"/>
    </row>
    <row r="279" spans="1:26" ht="14.25" customHeight="1">
      <c r="A279" s="1"/>
      <c r="B279" s="33"/>
      <c r="C279" s="33"/>
      <c r="D279" s="33"/>
      <c r="E279" s="33"/>
      <c r="F279" s="33"/>
      <c r="G279" s="33"/>
      <c r="H279" s="1"/>
      <c r="I279" s="3"/>
      <c r="J279" s="3"/>
      <c r="K279" s="3"/>
      <c r="L279" s="4"/>
      <c r="M279" s="4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4"/>
    </row>
    <row r="280" spans="1:26" ht="14.25" customHeight="1">
      <c r="A280" s="1"/>
      <c r="B280" s="33"/>
      <c r="C280" s="33"/>
      <c r="D280" s="33"/>
      <c r="E280" s="33"/>
      <c r="F280" s="33"/>
      <c r="G280" s="33"/>
      <c r="H280" s="1"/>
      <c r="I280" s="3"/>
      <c r="J280" s="3"/>
      <c r="K280" s="3"/>
      <c r="L280" s="4"/>
      <c r="M280" s="4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4"/>
    </row>
    <row r="281" spans="1:26" ht="14.25" customHeight="1">
      <c r="A281" s="1"/>
      <c r="B281" s="33"/>
      <c r="C281" s="33"/>
      <c r="D281" s="33"/>
      <c r="E281" s="33"/>
      <c r="F281" s="33"/>
      <c r="G281" s="33"/>
      <c r="H281" s="1"/>
      <c r="I281" s="3"/>
      <c r="J281" s="3"/>
      <c r="K281" s="3"/>
      <c r="L281" s="4"/>
      <c r="M281" s="4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4"/>
    </row>
    <row r="282" spans="1:26" ht="14.25" customHeight="1">
      <c r="A282" s="1"/>
      <c r="B282" s="33"/>
      <c r="C282" s="33"/>
      <c r="D282" s="33"/>
      <c r="E282" s="33"/>
      <c r="F282" s="33"/>
      <c r="G282" s="33"/>
      <c r="H282" s="1"/>
      <c r="I282" s="3"/>
      <c r="J282" s="3"/>
      <c r="K282" s="3"/>
      <c r="L282" s="4"/>
      <c r="M282" s="4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4"/>
    </row>
    <row r="283" spans="1:26" ht="14.25" customHeight="1">
      <c r="A283" s="1"/>
      <c r="B283" s="33"/>
      <c r="C283" s="33"/>
      <c r="D283" s="33"/>
      <c r="E283" s="33"/>
      <c r="F283" s="33"/>
      <c r="G283" s="33"/>
      <c r="H283" s="1"/>
      <c r="I283" s="3"/>
      <c r="J283" s="3"/>
      <c r="K283" s="3"/>
      <c r="L283" s="4"/>
      <c r="M283" s="4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4"/>
    </row>
    <row r="284" spans="1:26" ht="14.25" customHeight="1">
      <c r="A284" s="1"/>
      <c r="B284" s="33"/>
      <c r="C284" s="33"/>
      <c r="D284" s="33"/>
      <c r="E284" s="33"/>
      <c r="F284" s="33"/>
      <c r="G284" s="33"/>
      <c r="H284" s="1"/>
      <c r="I284" s="3"/>
      <c r="J284" s="3"/>
      <c r="K284" s="3"/>
      <c r="L284" s="4"/>
      <c r="M284" s="4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4"/>
    </row>
    <row r="285" spans="1:26" ht="14.25" customHeight="1">
      <c r="A285" s="1"/>
      <c r="B285" s="33"/>
      <c r="C285" s="33"/>
      <c r="D285" s="33"/>
      <c r="E285" s="33"/>
      <c r="F285" s="33"/>
      <c r="G285" s="33"/>
      <c r="H285" s="1"/>
      <c r="I285" s="3"/>
      <c r="J285" s="3"/>
      <c r="K285" s="3"/>
      <c r="L285" s="4"/>
      <c r="M285" s="4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4"/>
    </row>
    <row r="286" spans="1:26" ht="14.25" customHeight="1">
      <c r="A286" s="1"/>
      <c r="B286" s="33"/>
      <c r="C286" s="33"/>
      <c r="D286" s="33"/>
      <c r="E286" s="33"/>
      <c r="F286" s="33"/>
      <c r="G286" s="33"/>
      <c r="H286" s="1"/>
      <c r="I286" s="3"/>
      <c r="J286" s="3"/>
      <c r="K286" s="3"/>
      <c r="L286" s="4"/>
      <c r="M286" s="4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4"/>
    </row>
    <row r="287" spans="1:26" ht="14.25" customHeight="1">
      <c r="A287" s="1"/>
      <c r="B287" s="33"/>
      <c r="C287" s="33"/>
      <c r="D287" s="33"/>
      <c r="E287" s="33"/>
      <c r="F287" s="33"/>
      <c r="G287" s="33"/>
      <c r="H287" s="1"/>
      <c r="I287" s="3"/>
      <c r="J287" s="3"/>
      <c r="K287" s="3"/>
      <c r="L287" s="4"/>
      <c r="M287" s="4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4"/>
    </row>
    <row r="288" spans="1:26" ht="14.25" customHeight="1">
      <c r="A288" s="1"/>
      <c r="B288" s="33"/>
      <c r="C288" s="33"/>
      <c r="D288" s="33"/>
      <c r="E288" s="33"/>
      <c r="F288" s="33"/>
      <c r="G288" s="33"/>
      <c r="H288" s="1"/>
      <c r="I288" s="3"/>
      <c r="J288" s="3"/>
      <c r="K288" s="3"/>
      <c r="L288" s="4"/>
      <c r="M288" s="4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4"/>
    </row>
    <row r="289" spans="1:26" ht="14.25" customHeight="1">
      <c r="A289" s="1"/>
      <c r="B289" s="33"/>
      <c r="C289" s="33"/>
      <c r="D289" s="33"/>
      <c r="E289" s="33"/>
      <c r="F289" s="33"/>
      <c r="G289" s="33"/>
      <c r="H289" s="1"/>
      <c r="I289" s="3"/>
      <c r="J289" s="3"/>
      <c r="K289" s="3"/>
      <c r="L289" s="4"/>
      <c r="M289" s="4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4"/>
    </row>
    <row r="290" spans="1:26" ht="14.25" customHeight="1">
      <c r="A290" s="1"/>
      <c r="B290" s="33"/>
      <c r="C290" s="33"/>
      <c r="D290" s="33"/>
      <c r="E290" s="33"/>
      <c r="F290" s="33"/>
      <c r="G290" s="33"/>
      <c r="H290" s="1"/>
      <c r="I290" s="3"/>
      <c r="J290" s="3"/>
      <c r="K290" s="3"/>
      <c r="L290" s="4"/>
      <c r="M290" s="4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4"/>
    </row>
    <row r="291" spans="1:26" ht="14.25" customHeight="1">
      <c r="A291" s="1"/>
      <c r="B291" s="33"/>
      <c r="C291" s="33"/>
      <c r="D291" s="33"/>
      <c r="E291" s="33"/>
      <c r="F291" s="33"/>
      <c r="G291" s="33"/>
      <c r="H291" s="1"/>
      <c r="I291" s="3"/>
      <c r="J291" s="3"/>
      <c r="K291" s="3"/>
      <c r="L291" s="4"/>
      <c r="M291" s="4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4"/>
    </row>
    <row r="292" spans="1:26" ht="14.25" customHeight="1">
      <c r="A292" s="1"/>
      <c r="B292" s="33"/>
      <c r="C292" s="33"/>
      <c r="D292" s="33"/>
      <c r="E292" s="33"/>
      <c r="F292" s="33"/>
      <c r="G292" s="33"/>
      <c r="H292" s="1"/>
      <c r="I292" s="3"/>
      <c r="J292" s="3"/>
      <c r="K292" s="3"/>
      <c r="L292" s="4"/>
      <c r="M292" s="4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4"/>
    </row>
    <row r="293" spans="1:26" ht="14.25" customHeight="1">
      <c r="A293" s="1"/>
      <c r="B293" s="33"/>
      <c r="C293" s="33"/>
      <c r="D293" s="33"/>
      <c r="E293" s="33"/>
      <c r="F293" s="33"/>
      <c r="G293" s="33"/>
      <c r="H293" s="1"/>
      <c r="I293" s="3"/>
      <c r="J293" s="3"/>
      <c r="K293" s="3"/>
      <c r="L293" s="4"/>
      <c r="M293" s="4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4"/>
    </row>
    <row r="294" spans="1:26" ht="14.25" customHeight="1">
      <c r="A294" s="1"/>
      <c r="B294" s="33"/>
      <c r="C294" s="33"/>
      <c r="D294" s="33"/>
      <c r="E294" s="33"/>
      <c r="F294" s="33"/>
      <c r="G294" s="33"/>
      <c r="H294" s="1"/>
      <c r="I294" s="3"/>
      <c r="J294" s="3"/>
      <c r="K294" s="3"/>
      <c r="L294" s="4"/>
      <c r="M294" s="4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4"/>
    </row>
    <row r="295" spans="1:26" ht="14.25" customHeight="1">
      <c r="A295" s="1"/>
      <c r="B295" s="33"/>
      <c r="C295" s="33"/>
      <c r="D295" s="33"/>
      <c r="E295" s="33"/>
      <c r="F295" s="33"/>
      <c r="G295" s="33"/>
      <c r="H295" s="1"/>
      <c r="I295" s="3"/>
      <c r="J295" s="3"/>
      <c r="K295" s="3"/>
      <c r="L295" s="4"/>
      <c r="M295" s="4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4"/>
    </row>
    <row r="296" spans="1:26" ht="14.25" customHeight="1">
      <c r="A296" s="1"/>
      <c r="B296" s="33"/>
      <c r="C296" s="33"/>
      <c r="D296" s="33"/>
      <c r="E296" s="33"/>
      <c r="F296" s="33"/>
      <c r="G296" s="33"/>
      <c r="H296" s="1"/>
      <c r="I296" s="3"/>
      <c r="J296" s="3"/>
      <c r="K296" s="3"/>
      <c r="L296" s="4"/>
      <c r="M296" s="4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4"/>
    </row>
    <row r="297" spans="1:26" ht="14.25" customHeight="1">
      <c r="A297" s="1"/>
      <c r="B297" s="33"/>
      <c r="C297" s="33"/>
      <c r="D297" s="33"/>
      <c r="E297" s="33"/>
      <c r="F297" s="33"/>
      <c r="G297" s="33"/>
      <c r="H297" s="1"/>
      <c r="I297" s="3"/>
      <c r="J297" s="3"/>
      <c r="K297" s="3"/>
      <c r="L297" s="4"/>
      <c r="M297" s="4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4"/>
    </row>
    <row r="298" spans="1:26" ht="14.25" customHeight="1">
      <c r="A298" s="1"/>
      <c r="B298" s="33"/>
      <c r="C298" s="33"/>
      <c r="D298" s="33"/>
      <c r="E298" s="33"/>
      <c r="F298" s="33"/>
      <c r="G298" s="33"/>
      <c r="H298" s="1"/>
      <c r="I298" s="3"/>
      <c r="J298" s="3"/>
      <c r="K298" s="3"/>
      <c r="L298" s="4"/>
      <c r="M298" s="4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4"/>
    </row>
    <row r="299" spans="1:26" ht="14.25" customHeight="1">
      <c r="A299" s="1"/>
      <c r="B299" s="33"/>
      <c r="C299" s="33"/>
      <c r="D299" s="33"/>
      <c r="E299" s="33"/>
      <c r="F299" s="33"/>
      <c r="G299" s="33"/>
      <c r="H299" s="1"/>
      <c r="I299" s="3"/>
      <c r="J299" s="3"/>
      <c r="K299" s="3"/>
      <c r="L299" s="4"/>
      <c r="M299" s="4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4"/>
    </row>
    <row r="300" spans="1:26" ht="14.25" customHeight="1">
      <c r="A300" s="1"/>
      <c r="B300" s="33"/>
      <c r="C300" s="33"/>
      <c r="D300" s="33"/>
      <c r="E300" s="33"/>
      <c r="F300" s="33"/>
      <c r="G300" s="33"/>
      <c r="H300" s="1"/>
      <c r="I300" s="3"/>
      <c r="J300" s="3"/>
      <c r="K300" s="3"/>
      <c r="L300" s="4"/>
      <c r="M300" s="4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4"/>
    </row>
    <row r="301" spans="1:26" ht="14.25" customHeight="1">
      <c r="A301" s="1"/>
      <c r="B301" s="33"/>
      <c r="C301" s="33"/>
      <c r="D301" s="33"/>
      <c r="E301" s="33"/>
      <c r="F301" s="33"/>
      <c r="G301" s="33"/>
      <c r="H301" s="1"/>
      <c r="I301" s="3"/>
      <c r="J301" s="3"/>
      <c r="K301" s="3"/>
      <c r="L301" s="4"/>
      <c r="M301" s="4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4"/>
    </row>
    <row r="302" spans="1:26" ht="14.25" customHeight="1">
      <c r="A302" s="1"/>
      <c r="B302" s="33"/>
      <c r="C302" s="33"/>
      <c r="D302" s="33"/>
      <c r="E302" s="33"/>
      <c r="F302" s="33"/>
      <c r="G302" s="33"/>
      <c r="H302" s="1"/>
      <c r="I302" s="3"/>
      <c r="J302" s="3"/>
      <c r="K302" s="3"/>
      <c r="L302" s="4"/>
      <c r="M302" s="4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4"/>
    </row>
    <row r="303" spans="1:26" ht="14.25" customHeight="1">
      <c r="A303" s="1"/>
      <c r="B303" s="33"/>
      <c r="C303" s="33"/>
      <c r="D303" s="33"/>
      <c r="E303" s="33"/>
      <c r="F303" s="33"/>
      <c r="G303" s="33"/>
      <c r="H303" s="1"/>
      <c r="I303" s="3"/>
      <c r="J303" s="3"/>
      <c r="K303" s="3"/>
      <c r="L303" s="4"/>
      <c r="M303" s="4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4"/>
    </row>
    <row r="304" spans="1:26" ht="14.25" customHeight="1">
      <c r="A304" s="1"/>
      <c r="B304" s="33"/>
      <c r="C304" s="33"/>
      <c r="D304" s="33"/>
      <c r="E304" s="33"/>
      <c r="F304" s="33"/>
      <c r="G304" s="33"/>
      <c r="H304" s="1"/>
      <c r="I304" s="3"/>
      <c r="J304" s="3"/>
      <c r="K304" s="3"/>
      <c r="L304" s="4"/>
      <c r="M304" s="4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4"/>
    </row>
    <row r="305" spans="1:26" ht="14.25" customHeight="1">
      <c r="A305" s="1"/>
      <c r="B305" s="33"/>
      <c r="C305" s="33"/>
      <c r="D305" s="33"/>
      <c r="E305" s="33"/>
      <c r="F305" s="33"/>
      <c r="G305" s="33"/>
      <c r="H305" s="1"/>
      <c r="I305" s="3"/>
      <c r="J305" s="3"/>
      <c r="K305" s="3"/>
      <c r="L305" s="4"/>
      <c r="M305" s="4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4"/>
    </row>
    <row r="306" spans="1:26" ht="14.25" customHeight="1">
      <c r="A306" s="1"/>
      <c r="B306" s="33"/>
      <c r="C306" s="33"/>
      <c r="D306" s="33"/>
      <c r="E306" s="33"/>
      <c r="F306" s="33"/>
      <c r="G306" s="33"/>
      <c r="H306" s="1"/>
      <c r="I306" s="3"/>
      <c r="J306" s="3"/>
      <c r="K306" s="3"/>
      <c r="L306" s="4"/>
      <c r="M306" s="4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4"/>
    </row>
    <row r="307" spans="1:26" ht="14.25" customHeight="1">
      <c r="A307" s="1"/>
      <c r="B307" s="33"/>
      <c r="C307" s="33"/>
      <c r="D307" s="33"/>
      <c r="E307" s="33"/>
      <c r="F307" s="33"/>
      <c r="G307" s="33"/>
      <c r="H307" s="1"/>
      <c r="I307" s="3"/>
      <c r="J307" s="3"/>
      <c r="K307" s="3"/>
      <c r="L307" s="4"/>
      <c r="M307" s="4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4"/>
    </row>
    <row r="308" spans="1:26" ht="14.25" customHeight="1">
      <c r="A308" s="1"/>
      <c r="B308" s="33"/>
      <c r="C308" s="33"/>
      <c r="D308" s="33"/>
      <c r="E308" s="33"/>
      <c r="F308" s="33"/>
      <c r="G308" s="33"/>
      <c r="H308" s="1"/>
      <c r="I308" s="3"/>
      <c r="J308" s="3"/>
      <c r="K308" s="3"/>
      <c r="L308" s="4"/>
      <c r="M308" s="4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4"/>
    </row>
    <row r="309" spans="1:26" ht="14.25" customHeight="1">
      <c r="A309" s="1"/>
      <c r="B309" s="33"/>
      <c r="C309" s="33"/>
      <c r="D309" s="33"/>
      <c r="E309" s="33"/>
      <c r="F309" s="33"/>
      <c r="G309" s="33"/>
      <c r="H309" s="1"/>
      <c r="I309" s="3"/>
      <c r="J309" s="3"/>
      <c r="K309" s="3"/>
      <c r="L309" s="4"/>
      <c r="M309" s="4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4"/>
    </row>
    <row r="310" spans="1:26" ht="14.25" customHeight="1">
      <c r="A310" s="1"/>
      <c r="B310" s="33"/>
      <c r="C310" s="33"/>
      <c r="D310" s="33"/>
      <c r="E310" s="33"/>
      <c r="F310" s="33"/>
      <c r="G310" s="33"/>
      <c r="H310" s="1"/>
      <c r="I310" s="3"/>
      <c r="J310" s="3"/>
      <c r="K310" s="3"/>
      <c r="L310" s="4"/>
      <c r="M310" s="4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4"/>
    </row>
    <row r="311" spans="1:26" ht="14.25" customHeight="1">
      <c r="A311" s="1"/>
      <c r="B311" s="33"/>
      <c r="C311" s="33"/>
      <c r="D311" s="33"/>
      <c r="E311" s="33"/>
      <c r="F311" s="33"/>
      <c r="G311" s="33"/>
      <c r="H311" s="1"/>
      <c r="I311" s="3"/>
      <c r="J311" s="3"/>
      <c r="K311" s="3"/>
      <c r="L311" s="4"/>
      <c r="M311" s="4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4"/>
    </row>
    <row r="312" spans="1:26" ht="14.25" customHeight="1">
      <c r="A312" s="1"/>
      <c r="B312" s="33"/>
      <c r="C312" s="33"/>
      <c r="D312" s="33"/>
      <c r="E312" s="33"/>
      <c r="F312" s="33"/>
      <c r="G312" s="33"/>
      <c r="H312" s="1"/>
      <c r="I312" s="3"/>
      <c r="J312" s="3"/>
      <c r="K312" s="3"/>
      <c r="L312" s="4"/>
      <c r="M312" s="4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4"/>
    </row>
    <row r="313" spans="1:26" ht="14.25" customHeight="1">
      <c r="A313" s="1"/>
      <c r="B313" s="33"/>
      <c r="C313" s="33"/>
      <c r="D313" s="33"/>
      <c r="E313" s="33"/>
      <c r="F313" s="33"/>
      <c r="G313" s="33"/>
      <c r="H313" s="1"/>
      <c r="I313" s="3"/>
      <c r="J313" s="3"/>
      <c r="K313" s="3"/>
      <c r="L313" s="4"/>
      <c r="M313" s="4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4"/>
    </row>
    <row r="314" spans="1:26" ht="14.25" customHeight="1">
      <c r="A314" s="1"/>
      <c r="B314" s="33"/>
      <c r="C314" s="33"/>
      <c r="D314" s="33"/>
      <c r="E314" s="33"/>
      <c r="F314" s="33"/>
      <c r="G314" s="33"/>
      <c r="H314" s="1"/>
      <c r="I314" s="3"/>
      <c r="J314" s="3"/>
      <c r="K314" s="3"/>
      <c r="L314" s="4"/>
      <c r="M314" s="4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4"/>
    </row>
    <row r="315" spans="1:26" ht="14.25" customHeight="1">
      <c r="A315" s="1"/>
      <c r="B315" s="33"/>
      <c r="C315" s="33"/>
      <c r="D315" s="33"/>
      <c r="E315" s="33"/>
      <c r="F315" s="33"/>
      <c r="G315" s="33"/>
      <c r="H315" s="1"/>
      <c r="I315" s="3"/>
      <c r="J315" s="3"/>
      <c r="K315" s="3"/>
      <c r="L315" s="4"/>
      <c r="M315" s="4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4"/>
    </row>
    <row r="316" spans="1:26" ht="14.25" customHeight="1">
      <c r="A316" s="1"/>
      <c r="B316" s="33"/>
      <c r="C316" s="33"/>
      <c r="D316" s="33"/>
      <c r="E316" s="33"/>
      <c r="F316" s="33"/>
      <c r="G316" s="33"/>
      <c r="H316" s="1"/>
      <c r="I316" s="3"/>
      <c r="J316" s="3"/>
      <c r="K316" s="3"/>
      <c r="L316" s="4"/>
      <c r="M316" s="4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4"/>
    </row>
    <row r="317" spans="1:26" ht="14.25" customHeight="1">
      <c r="A317" s="1"/>
      <c r="B317" s="33"/>
      <c r="C317" s="33"/>
      <c r="D317" s="33"/>
      <c r="E317" s="33"/>
      <c r="F317" s="33"/>
      <c r="G317" s="33"/>
      <c r="H317" s="1"/>
      <c r="I317" s="3"/>
      <c r="J317" s="3"/>
      <c r="K317" s="3"/>
      <c r="L317" s="4"/>
      <c r="M317" s="4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4"/>
    </row>
    <row r="318" spans="1:26" ht="14.25" customHeight="1">
      <c r="A318" s="1"/>
      <c r="B318" s="33"/>
      <c r="C318" s="33"/>
      <c r="D318" s="33"/>
      <c r="E318" s="33"/>
      <c r="F318" s="33"/>
      <c r="G318" s="33"/>
      <c r="H318" s="1"/>
      <c r="I318" s="3"/>
      <c r="J318" s="3"/>
      <c r="K318" s="3"/>
      <c r="L318" s="4"/>
      <c r="M318" s="4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4"/>
    </row>
    <row r="319" spans="1:26" ht="14.25" customHeight="1">
      <c r="A319" s="1"/>
      <c r="B319" s="33"/>
      <c r="C319" s="33"/>
      <c r="D319" s="33"/>
      <c r="E319" s="33"/>
      <c r="F319" s="33"/>
      <c r="G319" s="33"/>
      <c r="H319" s="1"/>
      <c r="I319" s="3"/>
      <c r="J319" s="3"/>
      <c r="K319" s="3"/>
      <c r="L319" s="4"/>
      <c r="M319" s="4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4"/>
    </row>
    <row r="320" spans="1:26" ht="14.25" customHeight="1">
      <c r="A320" s="1"/>
      <c r="B320" s="33"/>
      <c r="C320" s="33"/>
      <c r="D320" s="33"/>
      <c r="E320" s="33"/>
      <c r="F320" s="33"/>
      <c r="G320" s="33"/>
      <c r="H320" s="1"/>
      <c r="I320" s="3"/>
      <c r="J320" s="3"/>
      <c r="K320" s="3"/>
      <c r="L320" s="4"/>
      <c r="M320" s="4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4"/>
    </row>
    <row r="321" spans="1:26" ht="14.25" customHeight="1">
      <c r="A321" s="1"/>
      <c r="B321" s="33"/>
      <c r="C321" s="33"/>
      <c r="D321" s="33"/>
      <c r="E321" s="33"/>
      <c r="F321" s="33"/>
      <c r="G321" s="33"/>
      <c r="H321" s="1"/>
      <c r="I321" s="3"/>
      <c r="J321" s="3"/>
      <c r="K321" s="3"/>
      <c r="L321" s="4"/>
      <c r="M321" s="4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4"/>
    </row>
    <row r="322" spans="1:26" ht="14.25" customHeight="1">
      <c r="A322" s="1"/>
      <c r="B322" s="33"/>
      <c r="C322" s="33"/>
      <c r="D322" s="33"/>
      <c r="E322" s="33"/>
      <c r="F322" s="33"/>
      <c r="G322" s="33"/>
      <c r="H322" s="1"/>
      <c r="I322" s="3"/>
      <c r="J322" s="3"/>
      <c r="K322" s="3"/>
      <c r="L322" s="4"/>
      <c r="M322" s="4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4"/>
    </row>
    <row r="323" spans="1:26" ht="14.25" customHeight="1">
      <c r="A323" s="1"/>
      <c r="B323" s="33"/>
      <c r="C323" s="33"/>
      <c r="D323" s="33"/>
      <c r="E323" s="33"/>
      <c r="F323" s="33"/>
      <c r="G323" s="33"/>
      <c r="H323" s="1"/>
      <c r="I323" s="3"/>
      <c r="J323" s="3"/>
      <c r="K323" s="3"/>
      <c r="L323" s="4"/>
      <c r="M323" s="4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4"/>
    </row>
    <row r="324" spans="1:26" ht="14.25" customHeight="1">
      <c r="A324" s="1"/>
      <c r="B324" s="33"/>
      <c r="C324" s="33"/>
      <c r="D324" s="33"/>
      <c r="E324" s="33"/>
      <c r="F324" s="33"/>
      <c r="G324" s="33"/>
      <c r="H324" s="1"/>
      <c r="I324" s="3"/>
      <c r="J324" s="3"/>
      <c r="K324" s="3"/>
      <c r="L324" s="4"/>
      <c r="M324" s="4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4"/>
    </row>
    <row r="325" spans="1:26" ht="14.25" customHeight="1">
      <c r="A325" s="1"/>
      <c r="B325" s="33"/>
      <c r="C325" s="33"/>
      <c r="D325" s="33"/>
      <c r="E325" s="33"/>
      <c r="F325" s="33"/>
      <c r="G325" s="33"/>
      <c r="H325" s="1"/>
      <c r="I325" s="3"/>
      <c r="J325" s="3"/>
      <c r="K325" s="3"/>
      <c r="L325" s="4"/>
      <c r="M325" s="4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4"/>
    </row>
    <row r="326" spans="1:26" ht="14.25" customHeight="1">
      <c r="A326" s="1"/>
      <c r="B326" s="33"/>
      <c r="C326" s="33"/>
      <c r="D326" s="33"/>
      <c r="E326" s="33"/>
      <c r="F326" s="33"/>
      <c r="G326" s="33"/>
      <c r="H326" s="1"/>
      <c r="I326" s="3"/>
      <c r="J326" s="3"/>
      <c r="K326" s="3"/>
      <c r="L326" s="4"/>
      <c r="M326" s="4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4"/>
    </row>
    <row r="327" spans="1:26" ht="14.25" customHeight="1">
      <c r="A327" s="1"/>
      <c r="B327" s="33"/>
      <c r="C327" s="33"/>
      <c r="D327" s="33"/>
      <c r="E327" s="33"/>
      <c r="F327" s="33"/>
      <c r="G327" s="33"/>
      <c r="H327" s="1"/>
      <c r="I327" s="3"/>
      <c r="J327" s="3"/>
      <c r="K327" s="3"/>
      <c r="L327" s="4"/>
      <c r="M327" s="4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4"/>
    </row>
    <row r="328" spans="1:26" ht="14.25" customHeight="1">
      <c r="A328" s="1"/>
      <c r="B328" s="33"/>
      <c r="C328" s="33"/>
      <c r="D328" s="33"/>
      <c r="E328" s="33"/>
      <c r="F328" s="33"/>
      <c r="G328" s="33"/>
      <c r="H328" s="1"/>
      <c r="I328" s="3"/>
      <c r="J328" s="3"/>
      <c r="K328" s="3"/>
      <c r="L328" s="4"/>
      <c r="M328" s="4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4"/>
    </row>
    <row r="329" spans="1:26" ht="14.25" customHeight="1">
      <c r="A329" s="1"/>
      <c r="B329" s="33"/>
      <c r="C329" s="33"/>
      <c r="D329" s="33"/>
      <c r="E329" s="33"/>
      <c r="F329" s="33"/>
      <c r="G329" s="33"/>
      <c r="H329" s="1"/>
      <c r="I329" s="3"/>
      <c r="J329" s="3"/>
      <c r="K329" s="3"/>
      <c r="L329" s="4"/>
      <c r="M329" s="4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4"/>
    </row>
    <row r="330" spans="1:26" ht="14.25" customHeight="1">
      <c r="A330" s="1"/>
      <c r="B330" s="33"/>
      <c r="C330" s="33"/>
      <c r="D330" s="33"/>
      <c r="E330" s="33"/>
      <c r="F330" s="33"/>
      <c r="G330" s="33"/>
      <c r="H330" s="1"/>
      <c r="I330" s="3"/>
      <c r="J330" s="3"/>
      <c r="K330" s="3"/>
      <c r="L330" s="4"/>
      <c r="M330" s="4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4"/>
    </row>
    <row r="331" spans="1:26" ht="14.25" customHeight="1">
      <c r="A331" s="1"/>
      <c r="B331" s="33"/>
      <c r="C331" s="33"/>
      <c r="D331" s="33"/>
      <c r="E331" s="33"/>
      <c r="F331" s="33"/>
      <c r="G331" s="33"/>
      <c r="H331" s="1"/>
      <c r="I331" s="3"/>
      <c r="J331" s="3"/>
      <c r="K331" s="3"/>
      <c r="L331" s="4"/>
      <c r="M331" s="4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4"/>
    </row>
    <row r="332" spans="1:26" ht="14.25" customHeight="1">
      <c r="A332" s="1"/>
      <c r="B332" s="33"/>
      <c r="C332" s="33"/>
      <c r="D332" s="33"/>
      <c r="E332" s="33"/>
      <c r="F332" s="33"/>
      <c r="G332" s="33"/>
      <c r="H332" s="1"/>
      <c r="I332" s="3"/>
      <c r="J332" s="3"/>
      <c r="K332" s="3"/>
      <c r="L332" s="4"/>
      <c r="M332" s="4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4"/>
    </row>
    <row r="333" spans="1:26" ht="14.25" customHeight="1">
      <c r="A333" s="1"/>
      <c r="B333" s="33"/>
      <c r="C333" s="33"/>
      <c r="D333" s="33"/>
      <c r="E333" s="33"/>
      <c r="F333" s="33"/>
      <c r="G333" s="33"/>
      <c r="H333" s="1"/>
      <c r="I333" s="3"/>
      <c r="J333" s="3"/>
      <c r="K333" s="3"/>
      <c r="L333" s="4"/>
      <c r="M333" s="4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4"/>
    </row>
    <row r="334" spans="1:26" ht="14.25" customHeight="1">
      <c r="A334" s="1"/>
      <c r="B334" s="33"/>
      <c r="C334" s="33"/>
      <c r="D334" s="33"/>
      <c r="E334" s="33"/>
      <c r="F334" s="33"/>
      <c r="G334" s="33"/>
      <c r="H334" s="1"/>
      <c r="I334" s="3"/>
      <c r="J334" s="3"/>
      <c r="K334" s="3"/>
      <c r="L334" s="4"/>
      <c r="M334" s="4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4"/>
    </row>
    <row r="335" spans="1:26" ht="14.25" customHeight="1">
      <c r="A335" s="1"/>
      <c r="B335" s="33"/>
      <c r="C335" s="33"/>
      <c r="D335" s="33"/>
      <c r="E335" s="33"/>
      <c r="F335" s="33"/>
      <c r="G335" s="33"/>
      <c r="H335" s="1"/>
      <c r="I335" s="3"/>
      <c r="J335" s="3"/>
      <c r="K335" s="3"/>
      <c r="L335" s="4"/>
      <c r="M335" s="4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4"/>
    </row>
    <row r="336" spans="1:26" ht="14.25" customHeight="1">
      <c r="A336" s="1"/>
      <c r="B336" s="33"/>
      <c r="C336" s="33"/>
      <c r="D336" s="33"/>
      <c r="E336" s="33"/>
      <c r="F336" s="33"/>
      <c r="G336" s="33"/>
      <c r="H336" s="1"/>
      <c r="I336" s="3"/>
      <c r="J336" s="3"/>
      <c r="K336" s="3"/>
      <c r="L336" s="4"/>
      <c r="M336" s="4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4"/>
    </row>
    <row r="337" spans="1:26" ht="14.25" customHeight="1">
      <c r="A337" s="1"/>
      <c r="B337" s="33"/>
      <c r="C337" s="33"/>
      <c r="D337" s="33"/>
      <c r="E337" s="33"/>
      <c r="F337" s="33"/>
      <c r="G337" s="33"/>
      <c r="H337" s="1"/>
      <c r="I337" s="3"/>
      <c r="J337" s="3"/>
      <c r="K337" s="3"/>
      <c r="L337" s="4"/>
      <c r="M337" s="4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4"/>
    </row>
    <row r="338" spans="1:26" ht="14.25" customHeight="1">
      <c r="A338" s="1"/>
      <c r="B338" s="33"/>
      <c r="C338" s="33"/>
      <c r="D338" s="33"/>
      <c r="E338" s="33"/>
      <c r="F338" s="33"/>
      <c r="G338" s="33"/>
      <c r="H338" s="1"/>
      <c r="I338" s="3"/>
      <c r="J338" s="3"/>
      <c r="K338" s="3"/>
      <c r="L338" s="4"/>
      <c r="M338" s="4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4"/>
    </row>
    <row r="339" spans="1:26" ht="14.25" customHeight="1">
      <c r="A339" s="1"/>
      <c r="B339" s="33"/>
      <c r="C339" s="33"/>
      <c r="D339" s="33"/>
      <c r="E339" s="33"/>
      <c r="F339" s="33"/>
      <c r="G339" s="33"/>
      <c r="H339" s="1"/>
      <c r="I339" s="3"/>
      <c r="J339" s="3"/>
      <c r="K339" s="3"/>
      <c r="L339" s="4"/>
      <c r="M339" s="4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4"/>
    </row>
    <row r="340" spans="1:26" ht="14.25" customHeight="1">
      <c r="A340" s="1"/>
      <c r="B340" s="33"/>
      <c r="C340" s="33"/>
      <c r="D340" s="33"/>
      <c r="E340" s="33"/>
      <c r="F340" s="33"/>
      <c r="G340" s="33"/>
      <c r="H340" s="1"/>
      <c r="I340" s="3"/>
      <c r="J340" s="3"/>
      <c r="K340" s="3"/>
      <c r="L340" s="4"/>
      <c r="M340" s="4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4"/>
    </row>
    <row r="341" spans="1:26" ht="14.25" customHeight="1">
      <c r="A341" s="1"/>
      <c r="B341" s="33"/>
      <c r="C341" s="33"/>
      <c r="D341" s="33"/>
      <c r="E341" s="33"/>
      <c r="F341" s="33"/>
      <c r="G341" s="33"/>
      <c r="H341" s="1"/>
      <c r="I341" s="3"/>
      <c r="J341" s="3"/>
      <c r="K341" s="3"/>
      <c r="L341" s="4"/>
      <c r="M341" s="4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4"/>
    </row>
    <row r="342" spans="1:26" ht="14.25" customHeight="1">
      <c r="A342" s="1"/>
      <c r="B342" s="33"/>
      <c r="C342" s="33"/>
      <c r="D342" s="33"/>
      <c r="E342" s="33"/>
      <c r="F342" s="33"/>
      <c r="G342" s="33"/>
      <c r="H342" s="1"/>
      <c r="I342" s="3"/>
      <c r="J342" s="3"/>
      <c r="K342" s="3"/>
      <c r="L342" s="4"/>
      <c r="M342" s="4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4"/>
    </row>
    <row r="343" spans="1:26" ht="14.25" customHeight="1">
      <c r="A343" s="1"/>
      <c r="B343" s="33"/>
      <c r="C343" s="33"/>
      <c r="D343" s="33"/>
      <c r="E343" s="33"/>
      <c r="F343" s="33"/>
      <c r="G343" s="33"/>
      <c r="H343" s="1"/>
      <c r="I343" s="3"/>
      <c r="J343" s="3"/>
      <c r="K343" s="3"/>
      <c r="L343" s="4"/>
      <c r="M343" s="4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4"/>
    </row>
    <row r="344" spans="1:26" ht="14.25" customHeight="1">
      <c r="A344" s="1"/>
      <c r="B344" s="33"/>
      <c r="C344" s="33"/>
      <c r="D344" s="33"/>
      <c r="E344" s="33"/>
      <c r="F344" s="33"/>
      <c r="G344" s="33"/>
      <c r="H344" s="1"/>
      <c r="I344" s="3"/>
      <c r="J344" s="3"/>
      <c r="K344" s="3"/>
      <c r="L344" s="4"/>
      <c r="M344" s="4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4"/>
    </row>
    <row r="345" spans="1:26" ht="14.25" customHeight="1">
      <c r="A345" s="1"/>
      <c r="B345" s="33"/>
      <c r="C345" s="33"/>
      <c r="D345" s="33"/>
      <c r="E345" s="33"/>
      <c r="F345" s="33"/>
      <c r="G345" s="33"/>
      <c r="H345" s="1"/>
      <c r="I345" s="3"/>
      <c r="J345" s="3"/>
      <c r="K345" s="3"/>
      <c r="L345" s="4"/>
      <c r="M345" s="4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4"/>
    </row>
    <row r="346" spans="1:26" ht="14.25" customHeight="1">
      <c r="A346" s="1"/>
      <c r="B346" s="33"/>
      <c r="C346" s="33"/>
      <c r="D346" s="33"/>
      <c r="E346" s="33"/>
      <c r="F346" s="33"/>
      <c r="G346" s="33"/>
      <c r="H346" s="1"/>
      <c r="I346" s="3"/>
      <c r="J346" s="3"/>
      <c r="K346" s="3"/>
      <c r="L346" s="4"/>
      <c r="M346" s="4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4"/>
    </row>
    <row r="347" spans="1:26" ht="14.25" customHeight="1">
      <c r="A347" s="1"/>
      <c r="B347" s="33"/>
      <c r="C347" s="33"/>
      <c r="D347" s="33"/>
      <c r="E347" s="33"/>
      <c r="F347" s="33"/>
      <c r="G347" s="33"/>
      <c r="H347" s="1"/>
      <c r="I347" s="3"/>
      <c r="J347" s="3"/>
      <c r="K347" s="3"/>
      <c r="L347" s="4"/>
      <c r="M347" s="4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4"/>
    </row>
    <row r="348" spans="1:26" ht="14.25" customHeight="1">
      <c r="A348" s="1"/>
      <c r="B348" s="33"/>
      <c r="C348" s="33"/>
      <c r="D348" s="33"/>
      <c r="E348" s="33"/>
      <c r="F348" s="33"/>
      <c r="G348" s="33"/>
      <c r="H348" s="1"/>
      <c r="I348" s="3"/>
      <c r="J348" s="3"/>
      <c r="K348" s="3"/>
      <c r="L348" s="4"/>
      <c r="M348" s="4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4"/>
    </row>
    <row r="349" spans="1:26" ht="14.25" customHeight="1">
      <c r="A349" s="1"/>
      <c r="B349" s="33"/>
      <c r="C349" s="33"/>
      <c r="D349" s="33"/>
      <c r="E349" s="33"/>
      <c r="F349" s="33"/>
      <c r="G349" s="33"/>
      <c r="H349" s="1"/>
      <c r="I349" s="3"/>
      <c r="J349" s="3"/>
      <c r="K349" s="3"/>
      <c r="L349" s="4"/>
      <c r="M349" s="4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4"/>
    </row>
    <row r="350" spans="1:26" ht="14.25" customHeight="1">
      <c r="A350" s="1"/>
      <c r="B350" s="33"/>
      <c r="C350" s="33"/>
      <c r="D350" s="33"/>
      <c r="E350" s="33"/>
      <c r="F350" s="33"/>
      <c r="G350" s="33"/>
      <c r="H350" s="1"/>
      <c r="I350" s="3"/>
      <c r="J350" s="3"/>
      <c r="K350" s="3"/>
      <c r="L350" s="4"/>
      <c r="M350" s="4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4"/>
    </row>
    <row r="351" spans="1:26" ht="14.25" customHeight="1">
      <c r="A351" s="1"/>
      <c r="B351" s="33"/>
      <c r="C351" s="33"/>
      <c r="D351" s="33"/>
      <c r="E351" s="33"/>
      <c r="F351" s="33"/>
      <c r="G351" s="33"/>
      <c r="H351" s="1"/>
      <c r="I351" s="3"/>
      <c r="J351" s="3"/>
      <c r="K351" s="3"/>
      <c r="L351" s="4"/>
      <c r="M351" s="4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4"/>
    </row>
    <row r="352" spans="1:26" ht="14.25" customHeight="1">
      <c r="A352" s="1"/>
      <c r="B352" s="33"/>
      <c r="C352" s="33"/>
      <c r="D352" s="33"/>
      <c r="E352" s="33"/>
      <c r="F352" s="33"/>
      <c r="G352" s="33"/>
      <c r="H352" s="1"/>
      <c r="I352" s="3"/>
      <c r="J352" s="3"/>
      <c r="K352" s="3"/>
      <c r="L352" s="4"/>
      <c r="M352" s="4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4"/>
    </row>
    <row r="353" spans="1:26" ht="14.25" customHeight="1">
      <c r="A353" s="1"/>
      <c r="B353" s="33"/>
      <c r="C353" s="33"/>
      <c r="D353" s="33"/>
      <c r="E353" s="33"/>
      <c r="F353" s="33"/>
      <c r="G353" s="33"/>
      <c r="H353" s="1"/>
      <c r="I353" s="3"/>
      <c r="J353" s="3"/>
      <c r="K353" s="3"/>
      <c r="L353" s="4"/>
      <c r="M353" s="4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4"/>
    </row>
    <row r="354" spans="1:26" ht="14.25" customHeight="1">
      <c r="A354" s="1"/>
      <c r="B354" s="33"/>
      <c r="C354" s="33"/>
      <c r="D354" s="33"/>
      <c r="E354" s="33"/>
      <c r="F354" s="33"/>
      <c r="G354" s="33"/>
      <c r="H354" s="1"/>
      <c r="I354" s="3"/>
      <c r="J354" s="3"/>
      <c r="K354" s="3"/>
      <c r="L354" s="4"/>
      <c r="M354" s="4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4"/>
    </row>
    <row r="355" spans="1:26" ht="14.25" customHeight="1">
      <c r="A355" s="1"/>
      <c r="B355" s="33"/>
      <c r="C355" s="33"/>
      <c r="D355" s="33"/>
      <c r="E355" s="33"/>
      <c r="F355" s="33"/>
      <c r="G355" s="33"/>
      <c r="H355" s="1"/>
      <c r="I355" s="3"/>
      <c r="J355" s="3"/>
      <c r="K355" s="3"/>
      <c r="L355" s="4"/>
      <c r="M355" s="4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4"/>
    </row>
    <row r="356" spans="1:26" ht="14.25" customHeight="1">
      <c r="A356" s="1"/>
      <c r="B356" s="33"/>
      <c r="C356" s="33"/>
      <c r="D356" s="33"/>
      <c r="E356" s="33"/>
      <c r="F356" s="33"/>
      <c r="G356" s="33"/>
      <c r="H356" s="1"/>
      <c r="I356" s="3"/>
      <c r="J356" s="3"/>
      <c r="K356" s="3"/>
      <c r="L356" s="4"/>
      <c r="M356" s="4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4"/>
    </row>
    <row r="357" spans="1:26" ht="14.25" customHeight="1">
      <c r="A357" s="1"/>
      <c r="B357" s="33"/>
      <c r="C357" s="33"/>
      <c r="D357" s="33"/>
      <c r="E357" s="33"/>
      <c r="F357" s="33"/>
      <c r="G357" s="33"/>
      <c r="H357" s="1"/>
      <c r="I357" s="3"/>
      <c r="J357" s="3"/>
      <c r="K357" s="3"/>
      <c r="L357" s="4"/>
      <c r="M357" s="4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4"/>
    </row>
    <row r="358" spans="1:26" ht="14.25" customHeight="1">
      <c r="A358" s="1"/>
      <c r="B358" s="33"/>
      <c r="C358" s="33"/>
      <c r="D358" s="33"/>
      <c r="E358" s="33"/>
      <c r="F358" s="33"/>
      <c r="G358" s="33"/>
      <c r="H358" s="1"/>
      <c r="I358" s="3"/>
      <c r="J358" s="3"/>
      <c r="K358" s="3"/>
      <c r="L358" s="4"/>
      <c r="M358" s="4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4"/>
    </row>
    <row r="359" spans="1:26" ht="14.25" customHeight="1">
      <c r="A359" s="1"/>
      <c r="B359" s="33"/>
      <c r="C359" s="33"/>
      <c r="D359" s="33"/>
      <c r="E359" s="33"/>
      <c r="F359" s="33"/>
      <c r="G359" s="33"/>
      <c r="H359" s="1"/>
      <c r="I359" s="3"/>
      <c r="J359" s="3"/>
      <c r="K359" s="3"/>
      <c r="L359" s="4"/>
      <c r="M359" s="4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4"/>
    </row>
    <row r="360" spans="1:26" ht="14.25" customHeight="1">
      <c r="A360" s="1"/>
      <c r="B360" s="33"/>
      <c r="C360" s="33"/>
      <c r="D360" s="33"/>
      <c r="E360" s="33"/>
      <c r="F360" s="33"/>
      <c r="G360" s="33"/>
      <c r="H360" s="1"/>
      <c r="I360" s="3"/>
      <c r="J360" s="3"/>
      <c r="K360" s="3"/>
      <c r="L360" s="4"/>
      <c r="M360" s="4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4"/>
    </row>
    <row r="361" spans="1:26" ht="14.25" customHeight="1">
      <c r="A361" s="1"/>
      <c r="B361" s="33"/>
      <c r="C361" s="33"/>
      <c r="D361" s="33"/>
      <c r="E361" s="33"/>
      <c r="F361" s="33"/>
      <c r="G361" s="33"/>
      <c r="H361" s="1"/>
      <c r="I361" s="3"/>
      <c r="J361" s="3"/>
      <c r="K361" s="3"/>
      <c r="L361" s="4"/>
      <c r="M361" s="4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4"/>
    </row>
    <row r="362" spans="1:26" ht="14.25" customHeight="1">
      <c r="A362" s="1"/>
      <c r="B362" s="33"/>
      <c r="C362" s="33"/>
      <c r="D362" s="33"/>
      <c r="E362" s="33"/>
      <c r="F362" s="33"/>
      <c r="G362" s="33"/>
      <c r="H362" s="1"/>
      <c r="I362" s="3"/>
      <c r="J362" s="3"/>
      <c r="K362" s="3"/>
      <c r="L362" s="4"/>
      <c r="M362" s="4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4"/>
    </row>
    <row r="363" spans="1:26" ht="14.25" customHeight="1">
      <c r="A363" s="1"/>
      <c r="B363" s="33"/>
      <c r="C363" s="33"/>
      <c r="D363" s="33"/>
      <c r="E363" s="33"/>
      <c r="F363" s="33"/>
      <c r="G363" s="33"/>
      <c r="H363" s="1"/>
      <c r="I363" s="3"/>
      <c r="J363" s="3"/>
      <c r="K363" s="3"/>
      <c r="L363" s="4"/>
      <c r="M363" s="4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4"/>
    </row>
    <row r="364" spans="1:26" ht="14.25" customHeight="1">
      <c r="A364" s="1"/>
      <c r="B364" s="33"/>
      <c r="C364" s="33"/>
      <c r="D364" s="33"/>
      <c r="E364" s="33"/>
      <c r="F364" s="33"/>
      <c r="G364" s="33"/>
      <c r="H364" s="1"/>
      <c r="I364" s="3"/>
      <c r="J364" s="3"/>
      <c r="K364" s="3"/>
      <c r="L364" s="4"/>
      <c r="M364" s="4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4"/>
    </row>
    <row r="365" spans="1:26" ht="14.25" customHeight="1">
      <c r="A365" s="1"/>
      <c r="B365" s="33"/>
      <c r="C365" s="33"/>
      <c r="D365" s="33"/>
      <c r="E365" s="33"/>
      <c r="F365" s="33"/>
      <c r="G365" s="33"/>
      <c r="H365" s="1"/>
      <c r="I365" s="3"/>
      <c r="J365" s="3"/>
      <c r="K365" s="3"/>
      <c r="L365" s="4"/>
      <c r="M365" s="4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4"/>
    </row>
    <row r="366" spans="1:26" ht="14.25" customHeight="1">
      <c r="A366" s="1"/>
      <c r="B366" s="33"/>
      <c r="C366" s="33"/>
      <c r="D366" s="33"/>
      <c r="E366" s="33"/>
      <c r="F366" s="33"/>
      <c r="G366" s="33"/>
      <c r="H366" s="1"/>
      <c r="I366" s="3"/>
      <c r="J366" s="3"/>
      <c r="K366" s="3"/>
      <c r="L366" s="4"/>
      <c r="M366" s="4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4"/>
    </row>
    <row r="367" spans="1:26" ht="14.25" customHeight="1">
      <c r="A367" s="1"/>
      <c r="B367" s="33"/>
      <c r="C367" s="33"/>
      <c r="D367" s="33"/>
      <c r="E367" s="33"/>
      <c r="F367" s="33"/>
      <c r="G367" s="33"/>
      <c r="H367" s="1"/>
      <c r="I367" s="3"/>
      <c r="J367" s="3"/>
      <c r="K367" s="3"/>
      <c r="L367" s="4"/>
      <c r="M367" s="4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4"/>
    </row>
    <row r="368" spans="1:26" ht="14.25" customHeight="1">
      <c r="A368" s="1"/>
      <c r="B368" s="33"/>
      <c r="C368" s="33"/>
      <c r="D368" s="33"/>
      <c r="E368" s="33"/>
      <c r="F368" s="33"/>
      <c r="G368" s="33"/>
      <c r="H368" s="1"/>
      <c r="I368" s="3"/>
      <c r="J368" s="3"/>
      <c r="K368" s="3"/>
      <c r="L368" s="4"/>
      <c r="M368" s="4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4"/>
    </row>
    <row r="369" spans="1:26" ht="14.25" customHeight="1">
      <c r="A369" s="1"/>
      <c r="B369" s="33"/>
      <c r="C369" s="33"/>
      <c r="D369" s="33"/>
      <c r="E369" s="33"/>
      <c r="F369" s="33"/>
      <c r="G369" s="33"/>
      <c r="H369" s="1"/>
      <c r="I369" s="3"/>
      <c r="J369" s="3"/>
      <c r="K369" s="3"/>
      <c r="L369" s="4"/>
      <c r="M369" s="4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4"/>
    </row>
    <row r="370" spans="1:26" ht="14.25" customHeight="1">
      <c r="A370" s="1"/>
      <c r="B370" s="33"/>
      <c r="C370" s="33"/>
      <c r="D370" s="33"/>
      <c r="E370" s="33"/>
      <c r="F370" s="33"/>
      <c r="G370" s="33"/>
      <c r="H370" s="1"/>
      <c r="I370" s="3"/>
      <c r="J370" s="3"/>
      <c r="K370" s="3"/>
      <c r="L370" s="4"/>
      <c r="M370" s="4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4"/>
    </row>
    <row r="371" spans="1:26" ht="14.25" customHeight="1">
      <c r="A371" s="1"/>
      <c r="B371" s="33"/>
      <c r="C371" s="33"/>
      <c r="D371" s="33"/>
      <c r="E371" s="33"/>
      <c r="F371" s="33"/>
      <c r="G371" s="33"/>
      <c r="H371" s="1"/>
      <c r="I371" s="3"/>
      <c r="J371" s="3"/>
      <c r="K371" s="3"/>
      <c r="L371" s="4"/>
      <c r="M371" s="4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4"/>
    </row>
    <row r="372" spans="1:26" ht="14.25" customHeight="1">
      <c r="A372" s="1"/>
      <c r="B372" s="33"/>
      <c r="C372" s="33"/>
      <c r="D372" s="33"/>
      <c r="E372" s="33"/>
      <c r="F372" s="33"/>
      <c r="G372" s="33"/>
      <c r="H372" s="1"/>
      <c r="I372" s="3"/>
      <c r="J372" s="3"/>
      <c r="K372" s="3"/>
      <c r="L372" s="4"/>
      <c r="M372" s="4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4"/>
    </row>
    <row r="373" spans="1:26" ht="14.25" customHeight="1">
      <c r="A373" s="1"/>
      <c r="B373" s="33"/>
      <c r="C373" s="33"/>
      <c r="D373" s="33"/>
      <c r="E373" s="33"/>
      <c r="F373" s="33"/>
      <c r="G373" s="33"/>
      <c r="H373" s="1"/>
      <c r="I373" s="3"/>
      <c r="J373" s="3"/>
      <c r="K373" s="3"/>
      <c r="L373" s="4"/>
      <c r="M373" s="4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4"/>
    </row>
    <row r="374" spans="1:26" ht="14.25" customHeight="1">
      <c r="A374" s="1"/>
      <c r="B374" s="33"/>
      <c r="C374" s="33"/>
      <c r="D374" s="33"/>
      <c r="E374" s="33"/>
      <c r="F374" s="33"/>
      <c r="G374" s="33"/>
      <c r="H374" s="1"/>
      <c r="I374" s="3"/>
      <c r="J374" s="3"/>
      <c r="K374" s="3"/>
      <c r="L374" s="4"/>
      <c r="M374" s="4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4"/>
    </row>
    <row r="375" spans="1:26" ht="14.25" customHeight="1">
      <c r="A375" s="1"/>
      <c r="B375" s="33"/>
      <c r="C375" s="33"/>
      <c r="D375" s="33"/>
      <c r="E375" s="33"/>
      <c r="F375" s="33"/>
      <c r="G375" s="33"/>
      <c r="H375" s="1"/>
      <c r="I375" s="3"/>
      <c r="J375" s="3"/>
      <c r="K375" s="3"/>
      <c r="L375" s="4"/>
      <c r="M375" s="4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4"/>
    </row>
    <row r="376" spans="1:26" ht="14.25" customHeight="1">
      <c r="A376" s="1"/>
      <c r="B376" s="33"/>
      <c r="C376" s="33"/>
      <c r="D376" s="33"/>
      <c r="E376" s="33"/>
      <c r="F376" s="33"/>
      <c r="G376" s="33"/>
      <c r="H376" s="1"/>
      <c r="I376" s="3"/>
      <c r="J376" s="3"/>
      <c r="K376" s="3"/>
      <c r="L376" s="4"/>
      <c r="M376" s="4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4"/>
    </row>
    <row r="377" spans="1:26" ht="14.25" customHeight="1">
      <c r="A377" s="1"/>
      <c r="B377" s="33"/>
      <c r="C377" s="33"/>
      <c r="D377" s="33"/>
      <c r="E377" s="33"/>
      <c r="F377" s="33"/>
      <c r="G377" s="33"/>
      <c r="H377" s="1"/>
      <c r="I377" s="3"/>
      <c r="J377" s="3"/>
      <c r="K377" s="3"/>
      <c r="L377" s="4"/>
      <c r="M377" s="4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4"/>
    </row>
    <row r="378" spans="1:26" ht="14.25" customHeight="1">
      <c r="A378" s="1"/>
      <c r="B378" s="33"/>
      <c r="C378" s="33"/>
      <c r="D378" s="33"/>
      <c r="E378" s="33"/>
      <c r="F378" s="33"/>
      <c r="G378" s="33"/>
      <c r="H378" s="1"/>
      <c r="I378" s="3"/>
      <c r="J378" s="3"/>
      <c r="K378" s="3"/>
      <c r="L378" s="4"/>
      <c r="M378" s="4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4"/>
    </row>
    <row r="379" spans="1:26" ht="14.25" customHeight="1">
      <c r="A379" s="1"/>
      <c r="B379" s="33"/>
      <c r="C379" s="33"/>
      <c r="D379" s="33"/>
      <c r="E379" s="33"/>
      <c r="F379" s="33"/>
      <c r="G379" s="33"/>
      <c r="H379" s="1"/>
      <c r="I379" s="3"/>
      <c r="J379" s="3"/>
      <c r="K379" s="3"/>
      <c r="L379" s="4"/>
      <c r="M379" s="4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4"/>
    </row>
    <row r="380" spans="1:26" ht="14.25" customHeight="1">
      <c r="A380" s="1"/>
      <c r="B380" s="33"/>
      <c r="C380" s="33"/>
      <c r="D380" s="33"/>
      <c r="E380" s="33"/>
      <c r="F380" s="33"/>
      <c r="G380" s="33"/>
      <c r="H380" s="1"/>
      <c r="I380" s="3"/>
      <c r="J380" s="3"/>
      <c r="K380" s="3"/>
      <c r="L380" s="4"/>
      <c r="M380" s="4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4"/>
    </row>
    <row r="381" spans="1:26" ht="14.25" customHeight="1">
      <c r="A381" s="1"/>
      <c r="B381" s="33"/>
      <c r="C381" s="33"/>
      <c r="D381" s="33"/>
      <c r="E381" s="33"/>
      <c r="F381" s="33"/>
      <c r="G381" s="33"/>
      <c r="H381" s="1"/>
      <c r="I381" s="3"/>
      <c r="J381" s="3"/>
      <c r="K381" s="3"/>
      <c r="L381" s="4"/>
      <c r="M381" s="4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4"/>
    </row>
    <row r="382" spans="1:26" ht="14.25" customHeight="1">
      <c r="A382" s="1"/>
      <c r="B382" s="33"/>
      <c r="C382" s="33"/>
      <c r="D382" s="33"/>
      <c r="E382" s="33"/>
      <c r="F382" s="33"/>
      <c r="G382" s="33"/>
      <c r="H382" s="1"/>
      <c r="I382" s="3"/>
      <c r="J382" s="3"/>
      <c r="K382" s="3"/>
      <c r="L382" s="4"/>
      <c r="M382" s="4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4"/>
    </row>
    <row r="383" spans="1:26" ht="14.25" customHeight="1">
      <c r="A383" s="1"/>
      <c r="B383" s="33"/>
      <c r="C383" s="33"/>
      <c r="D383" s="33"/>
      <c r="E383" s="33"/>
      <c r="F383" s="33"/>
      <c r="G383" s="33"/>
      <c r="H383" s="1"/>
      <c r="I383" s="3"/>
      <c r="J383" s="3"/>
      <c r="K383" s="3"/>
      <c r="L383" s="4"/>
      <c r="M383" s="4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4"/>
    </row>
    <row r="384" spans="1:26" ht="14.25" customHeight="1">
      <c r="A384" s="1"/>
      <c r="B384" s="33"/>
      <c r="C384" s="33"/>
      <c r="D384" s="33"/>
      <c r="E384" s="33"/>
      <c r="F384" s="33"/>
      <c r="G384" s="33"/>
      <c r="H384" s="1"/>
      <c r="I384" s="3"/>
      <c r="J384" s="3"/>
      <c r="K384" s="3"/>
      <c r="L384" s="4"/>
      <c r="M384" s="4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4"/>
    </row>
    <row r="385" spans="1:26" ht="14.25" customHeight="1">
      <c r="A385" s="1"/>
      <c r="B385" s="33"/>
      <c r="C385" s="33"/>
      <c r="D385" s="33"/>
      <c r="E385" s="33"/>
      <c r="F385" s="33"/>
      <c r="G385" s="33"/>
      <c r="H385" s="1"/>
      <c r="I385" s="3"/>
      <c r="J385" s="3"/>
      <c r="K385" s="3"/>
      <c r="L385" s="4"/>
      <c r="M385" s="4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4"/>
    </row>
    <row r="386" spans="1:26" ht="14.25" customHeight="1">
      <c r="A386" s="1"/>
      <c r="B386" s="33"/>
      <c r="C386" s="33"/>
      <c r="D386" s="33"/>
      <c r="E386" s="33"/>
      <c r="F386" s="33"/>
      <c r="G386" s="33"/>
      <c r="H386" s="1"/>
      <c r="I386" s="3"/>
      <c r="J386" s="3"/>
      <c r="K386" s="3"/>
      <c r="L386" s="4"/>
      <c r="M386" s="4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4"/>
    </row>
    <row r="387" spans="1:26" ht="14.25" customHeight="1">
      <c r="A387" s="1"/>
      <c r="B387" s="33"/>
      <c r="C387" s="33"/>
      <c r="D387" s="33"/>
      <c r="E387" s="33"/>
      <c r="F387" s="33"/>
      <c r="G387" s="33"/>
      <c r="H387" s="1"/>
      <c r="I387" s="3"/>
      <c r="J387" s="3"/>
      <c r="K387" s="3"/>
      <c r="L387" s="4"/>
      <c r="M387" s="4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4"/>
    </row>
    <row r="388" spans="1:26" ht="14.25" customHeight="1">
      <c r="A388" s="1"/>
      <c r="B388" s="33"/>
      <c r="C388" s="33"/>
      <c r="D388" s="33"/>
      <c r="E388" s="33"/>
      <c r="F388" s="33"/>
      <c r="G388" s="33"/>
      <c r="H388" s="1"/>
      <c r="I388" s="3"/>
      <c r="J388" s="3"/>
      <c r="K388" s="3"/>
      <c r="L388" s="4"/>
      <c r="M388" s="4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4"/>
    </row>
    <row r="389" spans="1:26" ht="14.25" customHeight="1">
      <c r="A389" s="1"/>
      <c r="B389" s="33"/>
      <c r="C389" s="33"/>
      <c r="D389" s="33"/>
      <c r="E389" s="33"/>
      <c r="F389" s="33"/>
      <c r="G389" s="33"/>
      <c r="H389" s="1"/>
      <c r="I389" s="3"/>
      <c r="J389" s="3"/>
      <c r="K389" s="3"/>
      <c r="L389" s="4"/>
      <c r="M389" s="4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4"/>
    </row>
    <row r="390" spans="1:26" ht="14.25" customHeight="1">
      <c r="A390" s="1"/>
      <c r="B390" s="33"/>
      <c r="C390" s="33"/>
      <c r="D390" s="33"/>
      <c r="E390" s="33"/>
      <c r="F390" s="33"/>
      <c r="G390" s="33"/>
      <c r="H390" s="1"/>
      <c r="I390" s="3"/>
      <c r="J390" s="3"/>
      <c r="K390" s="3"/>
      <c r="L390" s="4"/>
      <c r="M390" s="4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4"/>
    </row>
    <row r="391" spans="1:26" ht="14.25" customHeight="1">
      <c r="A391" s="1"/>
      <c r="B391" s="33"/>
      <c r="C391" s="33"/>
      <c r="D391" s="33"/>
      <c r="E391" s="33"/>
      <c r="F391" s="33"/>
      <c r="G391" s="33"/>
      <c r="H391" s="1"/>
      <c r="I391" s="3"/>
      <c r="J391" s="3"/>
      <c r="K391" s="3"/>
      <c r="L391" s="4"/>
      <c r="M391" s="4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4"/>
    </row>
    <row r="392" spans="1:26" ht="14.25" customHeight="1">
      <c r="A392" s="1"/>
      <c r="B392" s="33"/>
      <c r="C392" s="33"/>
      <c r="D392" s="33"/>
      <c r="E392" s="33"/>
      <c r="F392" s="33"/>
      <c r="G392" s="33"/>
      <c r="H392" s="1"/>
      <c r="I392" s="3"/>
      <c r="J392" s="3"/>
      <c r="K392" s="3"/>
      <c r="L392" s="4"/>
      <c r="M392" s="4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4"/>
    </row>
    <row r="393" spans="1:26" ht="14.25" customHeight="1">
      <c r="A393" s="1"/>
      <c r="B393" s="33"/>
      <c r="C393" s="33"/>
      <c r="D393" s="33"/>
      <c r="E393" s="33"/>
      <c r="F393" s="33"/>
      <c r="G393" s="33"/>
      <c r="H393" s="1"/>
      <c r="I393" s="3"/>
      <c r="J393" s="3"/>
      <c r="K393" s="3"/>
      <c r="L393" s="4"/>
      <c r="M393" s="4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4"/>
    </row>
    <row r="394" spans="1:26" ht="14.25" customHeight="1">
      <c r="A394" s="1"/>
      <c r="B394" s="33"/>
      <c r="C394" s="33"/>
      <c r="D394" s="33"/>
      <c r="E394" s="33"/>
      <c r="F394" s="33"/>
      <c r="G394" s="33"/>
      <c r="H394" s="1"/>
      <c r="I394" s="3"/>
      <c r="J394" s="3"/>
      <c r="K394" s="3"/>
      <c r="L394" s="4"/>
      <c r="M394" s="4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4"/>
    </row>
    <row r="395" spans="1:26" ht="14.25" customHeight="1">
      <c r="A395" s="1"/>
      <c r="B395" s="33"/>
      <c r="C395" s="33"/>
      <c r="D395" s="33"/>
      <c r="E395" s="33"/>
      <c r="F395" s="33"/>
      <c r="G395" s="33"/>
      <c r="H395" s="1"/>
      <c r="I395" s="3"/>
      <c r="J395" s="3"/>
      <c r="K395" s="3"/>
      <c r="L395" s="4"/>
      <c r="M395" s="4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4"/>
    </row>
    <row r="396" spans="1:26" ht="14.25" customHeight="1">
      <c r="A396" s="1"/>
      <c r="B396" s="33"/>
      <c r="C396" s="33"/>
      <c r="D396" s="33"/>
      <c r="E396" s="33"/>
      <c r="F396" s="33"/>
      <c r="G396" s="33"/>
      <c r="H396" s="1"/>
      <c r="I396" s="3"/>
      <c r="J396" s="3"/>
      <c r="K396" s="3"/>
      <c r="L396" s="4"/>
      <c r="M396" s="4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4"/>
    </row>
    <row r="397" spans="1:26" ht="14.25" customHeight="1">
      <c r="A397" s="1"/>
      <c r="B397" s="33"/>
      <c r="C397" s="33"/>
      <c r="D397" s="33"/>
      <c r="E397" s="33"/>
      <c r="F397" s="33"/>
      <c r="G397" s="33"/>
      <c r="H397" s="1"/>
      <c r="I397" s="3"/>
      <c r="J397" s="3"/>
      <c r="K397" s="3"/>
      <c r="L397" s="4"/>
      <c r="M397" s="4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4"/>
    </row>
    <row r="398" spans="1:26" ht="14.25" customHeight="1">
      <c r="A398" s="1"/>
      <c r="B398" s="33"/>
      <c r="C398" s="33"/>
      <c r="D398" s="33"/>
      <c r="E398" s="33"/>
      <c r="F398" s="33"/>
      <c r="G398" s="33"/>
      <c r="H398" s="1"/>
      <c r="I398" s="3"/>
      <c r="J398" s="3"/>
      <c r="K398" s="3"/>
      <c r="L398" s="4"/>
      <c r="M398" s="4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4"/>
    </row>
    <row r="399" spans="1:26" ht="14.25" customHeight="1">
      <c r="A399" s="1"/>
      <c r="B399" s="33"/>
      <c r="C399" s="33"/>
      <c r="D399" s="33"/>
      <c r="E399" s="33"/>
      <c r="F399" s="33"/>
      <c r="G399" s="33"/>
      <c r="H399" s="1"/>
      <c r="I399" s="3"/>
      <c r="J399" s="3"/>
      <c r="K399" s="3"/>
      <c r="L399" s="4"/>
      <c r="M399" s="4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4"/>
    </row>
    <row r="400" spans="1:26" ht="14.25" customHeight="1">
      <c r="A400" s="1"/>
      <c r="B400" s="33"/>
      <c r="C400" s="33"/>
      <c r="D400" s="33"/>
      <c r="E400" s="33"/>
      <c r="F400" s="33"/>
      <c r="G400" s="33"/>
      <c r="H400" s="1"/>
      <c r="I400" s="3"/>
      <c r="J400" s="3"/>
      <c r="K400" s="3"/>
      <c r="L400" s="4"/>
      <c r="M400" s="4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4"/>
    </row>
    <row r="401" spans="1:26" ht="14.25" customHeight="1">
      <c r="A401" s="1"/>
      <c r="B401" s="33"/>
      <c r="C401" s="33"/>
      <c r="D401" s="33"/>
      <c r="E401" s="33"/>
      <c r="F401" s="33"/>
      <c r="G401" s="33"/>
      <c r="H401" s="1"/>
      <c r="I401" s="3"/>
      <c r="J401" s="3"/>
      <c r="K401" s="3"/>
      <c r="L401" s="4"/>
      <c r="M401" s="4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4"/>
    </row>
    <row r="402" spans="1:26" ht="14.25" customHeight="1">
      <c r="A402" s="1"/>
      <c r="B402" s="33"/>
      <c r="C402" s="33"/>
      <c r="D402" s="33"/>
      <c r="E402" s="33"/>
      <c r="F402" s="33"/>
      <c r="G402" s="33"/>
      <c r="H402" s="1"/>
      <c r="I402" s="3"/>
      <c r="J402" s="3"/>
      <c r="K402" s="3"/>
      <c r="L402" s="4"/>
      <c r="M402" s="4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4"/>
    </row>
    <row r="403" spans="1:26" ht="14.25" customHeight="1">
      <c r="A403" s="1"/>
      <c r="B403" s="33"/>
      <c r="C403" s="33"/>
      <c r="D403" s="33"/>
      <c r="E403" s="33"/>
      <c r="F403" s="33"/>
      <c r="G403" s="33"/>
      <c r="H403" s="1"/>
      <c r="I403" s="3"/>
      <c r="J403" s="3"/>
      <c r="K403" s="3"/>
      <c r="L403" s="4"/>
      <c r="M403" s="4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4"/>
    </row>
    <row r="404" spans="1:26" ht="14.25" customHeight="1">
      <c r="A404" s="1"/>
      <c r="B404" s="33"/>
      <c r="C404" s="33"/>
      <c r="D404" s="33"/>
      <c r="E404" s="33"/>
      <c r="F404" s="33"/>
      <c r="G404" s="33"/>
      <c r="H404" s="1"/>
      <c r="I404" s="3"/>
      <c r="J404" s="3"/>
      <c r="K404" s="3"/>
      <c r="L404" s="4"/>
      <c r="M404" s="4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4"/>
    </row>
    <row r="405" spans="1:26" ht="14.25" customHeight="1">
      <c r="A405" s="1"/>
      <c r="B405" s="33"/>
      <c r="C405" s="33"/>
      <c r="D405" s="33"/>
      <c r="E405" s="33"/>
      <c r="F405" s="33"/>
      <c r="G405" s="33"/>
      <c r="H405" s="1"/>
      <c r="I405" s="3"/>
      <c r="J405" s="3"/>
      <c r="K405" s="3"/>
      <c r="L405" s="4"/>
      <c r="M405" s="4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4"/>
    </row>
    <row r="406" spans="1:26" ht="14.25" customHeight="1">
      <c r="A406" s="1"/>
      <c r="B406" s="33"/>
      <c r="C406" s="33"/>
      <c r="D406" s="33"/>
      <c r="E406" s="33"/>
      <c r="F406" s="33"/>
      <c r="G406" s="33"/>
      <c r="H406" s="1"/>
      <c r="I406" s="3"/>
      <c r="J406" s="3"/>
      <c r="K406" s="3"/>
      <c r="L406" s="4"/>
      <c r="M406" s="4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4"/>
    </row>
    <row r="407" spans="1:26" ht="14.25" customHeight="1">
      <c r="A407" s="1"/>
      <c r="B407" s="33"/>
      <c r="C407" s="33"/>
      <c r="D407" s="33"/>
      <c r="E407" s="33"/>
      <c r="F407" s="33"/>
      <c r="G407" s="33"/>
      <c r="H407" s="1"/>
      <c r="I407" s="3"/>
      <c r="J407" s="3"/>
      <c r="K407" s="3"/>
      <c r="L407" s="4"/>
      <c r="M407" s="4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4"/>
    </row>
    <row r="408" spans="1:26" ht="14.25" customHeight="1">
      <c r="A408" s="1"/>
      <c r="B408" s="33"/>
      <c r="C408" s="33"/>
      <c r="D408" s="33"/>
      <c r="E408" s="33"/>
      <c r="F408" s="33"/>
      <c r="G408" s="33"/>
      <c r="H408" s="1"/>
      <c r="I408" s="3"/>
      <c r="J408" s="3"/>
      <c r="K408" s="3"/>
      <c r="L408" s="4"/>
      <c r="M408" s="4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4"/>
    </row>
    <row r="409" spans="1:26" ht="14.25" customHeight="1">
      <c r="A409" s="1"/>
      <c r="B409" s="33"/>
      <c r="C409" s="33"/>
      <c r="D409" s="33"/>
      <c r="E409" s="33"/>
      <c r="F409" s="33"/>
      <c r="G409" s="33"/>
      <c r="H409" s="1"/>
      <c r="I409" s="3"/>
      <c r="J409" s="3"/>
      <c r="K409" s="3"/>
      <c r="L409" s="4"/>
      <c r="M409" s="4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4"/>
    </row>
    <row r="410" spans="1:26" ht="14.25" customHeight="1">
      <c r="A410" s="1"/>
      <c r="B410" s="33"/>
      <c r="C410" s="33"/>
      <c r="D410" s="33"/>
      <c r="E410" s="33"/>
      <c r="F410" s="33"/>
      <c r="G410" s="33"/>
      <c r="H410" s="1"/>
      <c r="I410" s="3"/>
      <c r="J410" s="3"/>
      <c r="K410" s="3"/>
      <c r="L410" s="4"/>
      <c r="M410" s="4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4"/>
    </row>
    <row r="411" spans="1:26" ht="14.25" customHeight="1">
      <c r="A411" s="1"/>
      <c r="B411" s="33"/>
      <c r="C411" s="33"/>
      <c r="D411" s="33"/>
      <c r="E411" s="33"/>
      <c r="F411" s="33"/>
      <c r="G411" s="33"/>
      <c r="H411" s="1"/>
      <c r="I411" s="3"/>
      <c r="J411" s="3"/>
      <c r="K411" s="3"/>
      <c r="L411" s="4"/>
      <c r="M411" s="4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4"/>
    </row>
    <row r="412" spans="1:26" ht="14.25" customHeight="1">
      <c r="A412" s="1"/>
      <c r="B412" s="33"/>
      <c r="C412" s="33"/>
      <c r="D412" s="33"/>
      <c r="E412" s="33"/>
      <c r="F412" s="33"/>
      <c r="G412" s="33"/>
      <c r="H412" s="1"/>
      <c r="I412" s="3"/>
      <c r="J412" s="3"/>
      <c r="K412" s="3"/>
      <c r="L412" s="4"/>
      <c r="M412" s="4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4"/>
    </row>
    <row r="413" spans="1:26" ht="14.25" customHeight="1">
      <c r="A413" s="1"/>
      <c r="B413" s="33"/>
      <c r="C413" s="33"/>
      <c r="D413" s="33"/>
      <c r="E413" s="33"/>
      <c r="F413" s="33"/>
      <c r="G413" s="33"/>
      <c r="H413" s="1"/>
      <c r="I413" s="3"/>
      <c r="J413" s="3"/>
      <c r="K413" s="3"/>
      <c r="L413" s="4"/>
      <c r="M413" s="4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4"/>
    </row>
    <row r="414" spans="1:26" ht="14.25" customHeight="1">
      <c r="A414" s="1"/>
      <c r="B414" s="33"/>
      <c r="C414" s="33"/>
      <c r="D414" s="33"/>
      <c r="E414" s="33"/>
      <c r="F414" s="33"/>
      <c r="G414" s="33"/>
      <c r="H414" s="1"/>
      <c r="I414" s="3"/>
      <c r="J414" s="3"/>
      <c r="K414" s="3"/>
      <c r="L414" s="4"/>
      <c r="M414" s="4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4"/>
    </row>
    <row r="415" spans="1:26" ht="14.25" customHeight="1">
      <c r="A415" s="1"/>
      <c r="B415" s="33"/>
      <c r="C415" s="33"/>
      <c r="D415" s="33"/>
      <c r="E415" s="33"/>
      <c r="F415" s="33"/>
      <c r="G415" s="33"/>
      <c r="H415" s="1"/>
      <c r="I415" s="3"/>
      <c r="J415" s="3"/>
      <c r="K415" s="3"/>
      <c r="L415" s="4"/>
      <c r="M415" s="4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4"/>
    </row>
    <row r="416" spans="1:26" ht="14.25" customHeight="1">
      <c r="A416" s="1"/>
      <c r="B416" s="33"/>
      <c r="C416" s="33"/>
      <c r="D416" s="33"/>
      <c r="E416" s="33"/>
      <c r="F416" s="33"/>
      <c r="G416" s="33"/>
      <c r="H416" s="1"/>
      <c r="I416" s="3"/>
      <c r="J416" s="3"/>
      <c r="K416" s="3"/>
      <c r="L416" s="4"/>
      <c r="M416" s="4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4"/>
    </row>
    <row r="417" spans="1:26" ht="14.25" customHeight="1">
      <c r="A417" s="1"/>
      <c r="B417" s="33"/>
      <c r="C417" s="33"/>
      <c r="D417" s="33"/>
      <c r="E417" s="33"/>
      <c r="F417" s="33"/>
      <c r="G417" s="33"/>
      <c r="H417" s="1"/>
      <c r="I417" s="3"/>
      <c r="J417" s="3"/>
      <c r="K417" s="3"/>
      <c r="L417" s="4"/>
      <c r="M417" s="4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4"/>
    </row>
    <row r="418" spans="1:26" ht="14.25" customHeight="1">
      <c r="A418" s="1"/>
      <c r="B418" s="33"/>
      <c r="C418" s="33"/>
      <c r="D418" s="33"/>
      <c r="E418" s="33"/>
      <c r="F418" s="33"/>
      <c r="G418" s="33"/>
      <c r="H418" s="1"/>
      <c r="I418" s="3"/>
      <c r="J418" s="3"/>
      <c r="K418" s="3"/>
      <c r="L418" s="4"/>
      <c r="M418" s="4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4"/>
    </row>
    <row r="419" spans="1:26" ht="14.25" customHeight="1">
      <c r="A419" s="1"/>
      <c r="B419" s="33"/>
      <c r="C419" s="33"/>
      <c r="D419" s="33"/>
      <c r="E419" s="33"/>
      <c r="F419" s="33"/>
      <c r="G419" s="33"/>
      <c r="H419" s="1"/>
      <c r="I419" s="3"/>
      <c r="J419" s="3"/>
      <c r="K419" s="3"/>
      <c r="L419" s="4"/>
      <c r="M419" s="4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4"/>
    </row>
    <row r="420" spans="1:26" ht="14.25" customHeight="1">
      <c r="A420" s="1"/>
      <c r="B420" s="33"/>
      <c r="C420" s="33"/>
      <c r="D420" s="33"/>
      <c r="E420" s="33"/>
      <c r="F420" s="33"/>
      <c r="G420" s="33"/>
      <c r="H420" s="1"/>
      <c r="I420" s="3"/>
      <c r="J420" s="3"/>
      <c r="K420" s="3"/>
      <c r="L420" s="4"/>
      <c r="M420" s="4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4"/>
    </row>
    <row r="421" spans="1:26" ht="14.25" customHeight="1">
      <c r="A421" s="1"/>
      <c r="B421" s="33"/>
      <c r="C421" s="33"/>
      <c r="D421" s="33"/>
      <c r="E421" s="33"/>
      <c r="F421" s="33"/>
      <c r="G421" s="33"/>
      <c r="H421" s="1"/>
      <c r="I421" s="3"/>
      <c r="J421" s="3"/>
      <c r="K421" s="3"/>
      <c r="L421" s="4"/>
      <c r="M421" s="4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4"/>
    </row>
    <row r="422" spans="1:26" ht="14.25" customHeight="1">
      <c r="A422" s="1"/>
      <c r="B422" s="33"/>
      <c r="C422" s="33"/>
      <c r="D422" s="33"/>
      <c r="E422" s="33"/>
      <c r="F422" s="33"/>
      <c r="G422" s="33"/>
      <c r="H422" s="1"/>
      <c r="I422" s="3"/>
      <c r="J422" s="3"/>
      <c r="K422" s="3"/>
      <c r="L422" s="4"/>
      <c r="M422" s="4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4"/>
    </row>
    <row r="423" spans="1:26" ht="14.25" customHeight="1">
      <c r="A423" s="1"/>
      <c r="B423" s="33"/>
      <c r="C423" s="33"/>
      <c r="D423" s="33"/>
      <c r="E423" s="33"/>
      <c r="F423" s="33"/>
      <c r="G423" s="33"/>
      <c r="H423" s="1"/>
      <c r="I423" s="3"/>
      <c r="J423" s="3"/>
      <c r="K423" s="3"/>
      <c r="L423" s="4"/>
      <c r="M423" s="4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4"/>
    </row>
    <row r="424" spans="1:26" ht="14.25" customHeight="1">
      <c r="A424" s="1"/>
      <c r="B424" s="33"/>
      <c r="C424" s="33"/>
      <c r="D424" s="33"/>
      <c r="E424" s="33"/>
      <c r="F424" s="33"/>
      <c r="G424" s="33"/>
      <c r="H424" s="1"/>
      <c r="I424" s="3"/>
      <c r="J424" s="3"/>
      <c r="K424" s="3"/>
      <c r="L424" s="4"/>
      <c r="M424" s="4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4"/>
    </row>
    <row r="425" spans="1:26" ht="14.25" customHeight="1">
      <c r="A425" s="1"/>
      <c r="B425" s="33"/>
      <c r="C425" s="33"/>
      <c r="D425" s="33"/>
      <c r="E425" s="33"/>
      <c r="F425" s="33"/>
      <c r="G425" s="33"/>
      <c r="H425" s="1"/>
      <c r="I425" s="3"/>
      <c r="J425" s="3"/>
      <c r="K425" s="3"/>
      <c r="L425" s="4"/>
      <c r="M425" s="4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4"/>
    </row>
    <row r="426" spans="1:26" ht="14.25" customHeight="1">
      <c r="A426" s="1"/>
      <c r="B426" s="33"/>
      <c r="C426" s="33"/>
      <c r="D426" s="33"/>
      <c r="E426" s="33"/>
      <c r="F426" s="33"/>
      <c r="G426" s="33"/>
      <c r="H426" s="1"/>
      <c r="I426" s="3"/>
      <c r="J426" s="3"/>
      <c r="K426" s="3"/>
      <c r="L426" s="4"/>
      <c r="M426" s="4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4"/>
    </row>
    <row r="427" spans="1:26" ht="14.25" customHeight="1">
      <c r="A427" s="1"/>
      <c r="B427" s="33"/>
      <c r="C427" s="33"/>
      <c r="D427" s="33"/>
      <c r="E427" s="33"/>
      <c r="F427" s="33"/>
      <c r="G427" s="33"/>
      <c r="H427" s="1"/>
      <c r="I427" s="3"/>
      <c r="J427" s="3"/>
      <c r="K427" s="3"/>
      <c r="L427" s="4"/>
      <c r="M427" s="4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4"/>
    </row>
    <row r="428" spans="1:26" ht="14.25" customHeight="1">
      <c r="A428" s="1"/>
      <c r="B428" s="33"/>
      <c r="C428" s="33"/>
      <c r="D428" s="33"/>
      <c r="E428" s="33"/>
      <c r="F428" s="33"/>
      <c r="G428" s="33"/>
      <c r="H428" s="1"/>
      <c r="I428" s="3"/>
      <c r="J428" s="3"/>
      <c r="K428" s="3"/>
      <c r="L428" s="4"/>
      <c r="M428" s="4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4"/>
    </row>
    <row r="429" spans="1:26" ht="14.25" customHeight="1">
      <c r="A429" s="1"/>
      <c r="B429" s="33"/>
      <c r="C429" s="33"/>
      <c r="D429" s="33"/>
      <c r="E429" s="33"/>
      <c r="F429" s="33"/>
      <c r="G429" s="33"/>
      <c r="H429" s="1"/>
      <c r="I429" s="3"/>
      <c r="J429" s="3"/>
      <c r="K429" s="3"/>
      <c r="L429" s="4"/>
      <c r="M429" s="4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4"/>
    </row>
    <row r="430" spans="1:26" ht="14.25" customHeight="1">
      <c r="A430" s="1"/>
      <c r="B430" s="33"/>
      <c r="C430" s="33"/>
      <c r="D430" s="33"/>
      <c r="E430" s="33"/>
      <c r="F430" s="33"/>
      <c r="G430" s="33"/>
      <c r="H430" s="1"/>
      <c r="I430" s="3"/>
      <c r="J430" s="3"/>
      <c r="K430" s="3"/>
      <c r="L430" s="4"/>
      <c r="M430" s="4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4"/>
    </row>
    <row r="431" spans="1:26" ht="14.25" customHeight="1">
      <c r="A431" s="1"/>
      <c r="B431" s="33"/>
      <c r="C431" s="33"/>
      <c r="D431" s="33"/>
      <c r="E431" s="33"/>
      <c r="F431" s="33"/>
      <c r="G431" s="33"/>
      <c r="H431" s="1"/>
      <c r="I431" s="3"/>
      <c r="J431" s="3"/>
      <c r="K431" s="3"/>
      <c r="L431" s="4"/>
      <c r="M431" s="4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4"/>
    </row>
    <row r="432" spans="1:26" ht="14.25" customHeight="1">
      <c r="A432" s="1"/>
      <c r="B432" s="33"/>
      <c r="C432" s="33"/>
      <c r="D432" s="33"/>
      <c r="E432" s="33"/>
      <c r="F432" s="33"/>
      <c r="G432" s="33"/>
      <c r="H432" s="1"/>
      <c r="I432" s="3"/>
      <c r="J432" s="3"/>
      <c r="K432" s="3"/>
      <c r="L432" s="4"/>
      <c r="M432" s="4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4"/>
    </row>
    <row r="433" spans="1:26" ht="14.25" customHeight="1">
      <c r="A433" s="1"/>
      <c r="B433" s="33"/>
      <c r="C433" s="33"/>
      <c r="D433" s="33"/>
      <c r="E433" s="33"/>
      <c r="F433" s="33"/>
      <c r="G433" s="33"/>
      <c r="H433" s="1"/>
      <c r="I433" s="3"/>
      <c r="J433" s="3"/>
      <c r="K433" s="3"/>
      <c r="L433" s="4"/>
      <c r="M433" s="4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4"/>
    </row>
    <row r="434" spans="1:26" ht="14.25" customHeight="1">
      <c r="A434" s="1"/>
      <c r="B434" s="33"/>
      <c r="C434" s="33"/>
      <c r="D434" s="33"/>
      <c r="E434" s="33"/>
      <c r="F434" s="33"/>
      <c r="G434" s="33"/>
      <c r="H434" s="1"/>
      <c r="I434" s="3"/>
      <c r="J434" s="3"/>
      <c r="K434" s="3"/>
      <c r="L434" s="4"/>
      <c r="M434" s="4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4"/>
    </row>
    <row r="435" spans="1:26" ht="14.25" customHeight="1">
      <c r="A435" s="1"/>
      <c r="B435" s="33"/>
      <c r="C435" s="33"/>
      <c r="D435" s="33"/>
      <c r="E435" s="33"/>
      <c r="F435" s="33"/>
      <c r="G435" s="33"/>
      <c r="H435" s="1"/>
      <c r="I435" s="3"/>
      <c r="J435" s="3"/>
      <c r="K435" s="3"/>
      <c r="L435" s="4"/>
      <c r="M435" s="4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4"/>
    </row>
    <row r="436" spans="1:26" ht="14.25" customHeight="1">
      <c r="A436" s="1"/>
      <c r="B436" s="33"/>
      <c r="C436" s="33"/>
      <c r="D436" s="33"/>
      <c r="E436" s="33"/>
      <c r="F436" s="33"/>
      <c r="G436" s="33"/>
      <c r="H436" s="1"/>
      <c r="I436" s="3"/>
      <c r="J436" s="3"/>
      <c r="K436" s="3"/>
      <c r="L436" s="4"/>
      <c r="M436" s="4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4"/>
    </row>
    <row r="437" spans="1:26" ht="14.25" customHeight="1">
      <c r="A437" s="1"/>
      <c r="B437" s="33"/>
      <c r="C437" s="33"/>
      <c r="D437" s="33"/>
      <c r="E437" s="33"/>
      <c r="F437" s="33"/>
      <c r="G437" s="33"/>
      <c r="H437" s="1"/>
      <c r="I437" s="3"/>
      <c r="J437" s="3"/>
      <c r="K437" s="3"/>
      <c r="L437" s="4"/>
      <c r="M437" s="4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4"/>
    </row>
    <row r="438" spans="1:26" ht="14.25" customHeight="1">
      <c r="A438" s="1"/>
      <c r="B438" s="33"/>
      <c r="C438" s="33"/>
      <c r="D438" s="33"/>
      <c r="E438" s="33"/>
      <c r="F438" s="33"/>
      <c r="G438" s="33"/>
      <c r="H438" s="1"/>
      <c r="I438" s="3"/>
      <c r="J438" s="3"/>
      <c r="K438" s="3"/>
      <c r="L438" s="4"/>
      <c r="M438" s="4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4"/>
    </row>
    <row r="439" spans="1:26" ht="14.25" customHeight="1">
      <c r="A439" s="1"/>
      <c r="B439" s="33"/>
      <c r="C439" s="33"/>
      <c r="D439" s="33"/>
      <c r="E439" s="33"/>
      <c r="F439" s="33"/>
      <c r="G439" s="33"/>
      <c r="H439" s="1"/>
      <c r="I439" s="3"/>
      <c r="J439" s="3"/>
      <c r="K439" s="3"/>
      <c r="L439" s="4"/>
      <c r="M439" s="4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4"/>
    </row>
    <row r="440" spans="1:26" ht="14.25" customHeight="1">
      <c r="A440" s="1"/>
      <c r="B440" s="33"/>
      <c r="C440" s="33"/>
      <c r="D440" s="33"/>
      <c r="E440" s="33"/>
      <c r="F440" s="33"/>
      <c r="G440" s="33"/>
      <c r="H440" s="1"/>
      <c r="I440" s="3"/>
      <c r="J440" s="3"/>
      <c r="K440" s="3"/>
      <c r="L440" s="4"/>
      <c r="M440" s="4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4"/>
    </row>
    <row r="441" spans="1:26" ht="14.25" customHeight="1">
      <c r="A441" s="1"/>
      <c r="B441" s="33"/>
      <c r="C441" s="33"/>
      <c r="D441" s="33"/>
      <c r="E441" s="33"/>
      <c r="F441" s="33"/>
      <c r="G441" s="33"/>
      <c r="H441" s="1"/>
      <c r="I441" s="3"/>
      <c r="J441" s="3"/>
      <c r="K441" s="3"/>
      <c r="L441" s="4"/>
      <c r="M441" s="4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4"/>
    </row>
    <row r="442" spans="1:26" ht="14.25" customHeight="1">
      <c r="A442" s="1"/>
      <c r="B442" s="33"/>
      <c r="C442" s="33"/>
      <c r="D442" s="33"/>
      <c r="E442" s="33"/>
      <c r="F442" s="33"/>
      <c r="G442" s="33"/>
      <c r="H442" s="1"/>
      <c r="I442" s="3"/>
      <c r="J442" s="3"/>
      <c r="K442" s="3"/>
      <c r="L442" s="4"/>
      <c r="M442" s="4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4"/>
    </row>
    <row r="443" spans="1:26" ht="14.25" customHeight="1">
      <c r="A443" s="1"/>
      <c r="B443" s="33"/>
      <c r="C443" s="33"/>
      <c r="D443" s="33"/>
      <c r="E443" s="33"/>
      <c r="F443" s="33"/>
      <c r="G443" s="33"/>
      <c r="H443" s="1"/>
      <c r="I443" s="3"/>
      <c r="J443" s="3"/>
      <c r="K443" s="3"/>
      <c r="L443" s="4"/>
      <c r="M443" s="4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4"/>
    </row>
    <row r="444" spans="1:26" ht="14.25" customHeight="1">
      <c r="A444" s="1"/>
      <c r="B444" s="33"/>
      <c r="C444" s="33"/>
      <c r="D444" s="33"/>
      <c r="E444" s="33"/>
      <c r="F444" s="33"/>
      <c r="G444" s="33"/>
      <c r="H444" s="1"/>
      <c r="I444" s="3"/>
      <c r="J444" s="3"/>
      <c r="K444" s="3"/>
      <c r="L444" s="4"/>
      <c r="M444" s="4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4"/>
    </row>
    <row r="445" spans="1:26" ht="14.25" customHeight="1">
      <c r="A445" s="1"/>
      <c r="B445" s="33"/>
      <c r="C445" s="33"/>
      <c r="D445" s="33"/>
      <c r="E445" s="33"/>
      <c r="F445" s="33"/>
      <c r="G445" s="33"/>
      <c r="H445" s="1"/>
      <c r="I445" s="3"/>
      <c r="J445" s="3"/>
      <c r="K445" s="3"/>
      <c r="L445" s="4"/>
      <c r="M445" s="4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4"/>
    </row>
    <row r="446" spans="1:26" ht="14.25" customHeight="1">
      <c r="A446" s="1"/>
      <c r="B446" s="33"/>
      <c r="C446" s="33"/>
      <c r="D446" s="33"/>
      <c r="E446" s="33"/>
      <c r="F446" s="33"/>
      <c r="G446" s="33"/>
      <c r="H446" s="1"/>
      <c r="I446" s="3"/>
      <c r="J446" s="3"/>
      <c r="K446" s="3"/>
      <c r="L446" s="4"/>
      <c r="M446" s="4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4"/>
    </row>
    <row r="447" spans="1:26" ht="14.25" customHeight="1">
      <c r="A447" s="1"/>
      <c r="B447" s="33"/>
      <c r="C447" s="33"/>
      <c r="D447" s="33"/>
      <c r="E447" s="33"/>
      <c r="F447" s="33"/>
      <c r="G447" s="33"/>
      <c r="H447" s="1"/>
      <c r="I447" s="3"/>
      <c r="J447" s="3"/>
      <c r="K447" s="3"/>
      <c r="L447" s="4"/>
      <c r="M447" s="4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4"/>
    </row>
    <row r="448" spans="1:26" ht="14.25" customHeight="1">
      <c r="A448" s="1"/>
      <c r="B448" s="33"/>
      <c r="C448" s="33"/>
      <c r="D448" s="33"/>
      <c r="E448" s="33"/>
      <c r="F448" s="33"/>
      <c r="G448" s="33"/>
      <c r="H448" s="1"/>
      <c r="I448" s="3"/>
      <c r="J448" s="3"/>
      <c r="K448" s="3"/>
      <c r="L448" s="4"/>
      <c r="M448" s="4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4"/>
    </row>
    <row r="449" spans="1:26" ht="14.25" customHeight="1">
      <c r="A449" s="1"/>
      <c r="B449" s="33"/>
      <c r="C449" s="33"/>
      <c r="D449" s="33"/>
      <c r="E449" s="33"/>
      <c r="F449" s="33"/>
      <c r="G449" s="33"/>
      <c r="H449" s="1"/>
      <c r="I449" s="3"/>
      <c r="J449" s="3"/>
      <c r="K449" s="3"/>
      <c r="L449" s="4"/>
      <c r="M449" s="4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4"/>
    </row>
    <row r="450" spans="1:26" ht="14.25" customHeight="1">
      <c r="A450" s="1"/>
      <c r="B450" s="33"/>
      <c r="C450" s="33"/>
      <c r="D450" s="33"/>
      <c r="E450" s="33"/>
      <c r="F450" s="33"/>
      <c r="G450" s="33"/>
      <c r="H450" s="1"/>
      <c r="I450" s="3"/>
      <c r="J450" s="3"/>
      <c r="K450" s="3"/>
      <c r="L450" s="4"/>
      <c r="M450" s="4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4"/>
    </row>
    <row r="451" spans="1:26" ht="14.25" customHeight="1">
      <c r="A451" s="1"/>
      <c r="B451" s="33"/>
      <c r="C451" s="33"/>
      <c r="D451" s="33"/>
      <c r="E451" s="33"/>
      <c r="F451" s="33"/>
      <c r="G451" s="33"/>
      <c r="H451" s="1"/>
      <c r="I451" s="3"/>
      <c r="J451" s="3"/>
      <c r="K451" s="3"/>
      <c r="L451" s="4"/>
      <c r="M451" s="4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4"/>
    </row>
    <row r="452" spans="1:26" ht="14.25" customHeight="1">
      <c r="A452" s="1"/>
      <c r="B452" s="33"/>
      <c r="C452" s="33"/>
      <c r="D452" s="33"/>
      <c r="E452" s="33"/>
      <c r="F452" s="33"/>
      <c r="G452" s="33"/>
      <c r="H452" s="1"/>
      <c r="I452" s="3"/>
      <c r="J452" s="3"/>
      <c r="K452" s="3"/>
      <c r="L452" s="4"/>
      <c r="M452" s="4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4"/>
    </row>
    <row r="453" spans="1:26" ht="14.25" customHeight="1">
      <c r="A453" s="1"/>
      <c r="B453" s="33"/>
      <c r="C453" s="33"/>
      <c r="D453" s="33"/>
      <c r="E453" s="33"/>
      <c r="F453" s="33"/>
      <c r="G453" s="33"/>
      <c r="H453" s="1"/>
      <c r="I453" s="3"/>
      <c r="J453" s="3"/>
      <c r="K453" s="3"/>
      <c r="L453" s="4"/>
      <c r="M453" s="4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4"/>
    </row>
    <row r="454" spans="1:26" ht="14.25" customHeight="1">
      <c r="A454" s="1"/>
      <c r="B454" s="33"/>
      <c r="C454" s="33"/>
      <c r="D454" s="33"/>
      <c r="E454" s="33"/>
      <c r="F454" s="33"/>
      <c r="G454" s="33"/>
      <c r="H454" s="1"/>
      <c r="I454" s="3"/>
      <c r="J454" s="3"/>
      <c r="K454" s="3"/>
      <c r="L454" s="4"/>
      <c r="M454" s="4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4"/>
    </row>
    <row r="455" spans="1:26" ht="14.25" customHeight="1">
      <c r="A455" s="1"/>
      <c r="B455" s="33"/>
      <c r="C455" s="33"/>
      <c r="D455" s="33"/>
      <c r="E455" s="33"/>
      <c r="F455" s="33"/>
      <c r="G455" s="33"/>
      <c r="H455" s="1"/>
      <c r="I455" s="3"/>
      <c r="J455" s="3"/>
      <c r="K455" s="3"/>
      <c r="L455" s="4"/>
      <c r="M455" s="4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4"/>
    </row>
    <row r="456" spans="1:26" ht="14.25" customHeight="1">
      <c r="A456" s="1"/>
      <c r="B456" s="33"/>
      <c r="C456" s="33"/>
      <c r="D456" s="33"/>
      <c r="E456" s="33"/>
      <c r="F456" s="33"/>
      <c r="G456" s="33"/>
      <c r="H456" s="1"/>
      <c r="I456" s="3"/>
      <c r="J456" s="3"/>
      <c r="K456" s="3"/>
      <c r="L456" s="4"/>
      <c r="M456" s="4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4"/>
    </row>
    <row r="457" spans="1:26" ht="14.25" customHeight="1">
      <c r="A457" s="1"/>
      <c r="B457" s="33"/>
      <c r="C457" s="33"/>
      <c r="D457" s="33"/>
      <c r="E457" s="33"/>
      <c r="F457" s="33"/>
      <c r="G457" s="33"/>
      <c r="H457" s="1"/>
      <c r="I457" s="3"/>
      <c r="J457" s="3"/>
      <c r="K457" s="3"/>
      <c r="L457" s="4"/>
      <c r="M457" s="4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4"/>
    </row>
    <row r="458" spans="1:26" ht="14.25" customHeight="1">
      <c r="A458" s="1"/>
      <c r="B458" s="33"/>
      <c r="C458" s="33"/>
      <c r="D458" s="33"/>
      <c r="E458" s="33"/>
      <c r="F458" s="33"/>
      <c r="G458" s="33"/>
      <c r="H458" s="1"/>
      <c r="I458" s="3"/>
      <c r="J458" s="3"/>
      <c r="K458" s="3"/>
      <c r="L458" s="4"/>
      <c r="M458" s="4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4"/>
    </row>
    <row r="459" spans="1:26" ht="14.25" customHeight="1">
      <c r="A459" s="1"/>
      <c r="B459" s="33"/>
      <c r="C459" s="33"/>
      <c r="D459" s="33"/>
      <c r="E459" s="33"/>
      <c r="F459" s="33"/>
      <c r="G459" s="33"/>
      <c r="H459" s="1"/>
      <c r="I459" s="3"/>
      <c r="J459" s="3"/>
      <c r="K459" s="3"/>
      <c r="L459" s="4"/>
      <c r="M459" s="4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4"/>
    </row>
    <row r="460" spans="1:26" ht="14.25" customHeight="1">
      <c r="A460" s="1"/>
      <c r="B460" s="33"/>
      <c r="C460" s="33"/>
      <c r="D460" s="33"/>
      <c r="E460" s="33"/>
      <c r="F460" s="33"/>
      <c r="G460" s="33"/>
      <c r="H460" s="1"/>
      <c r="I460" s="3"/>
      <c r="J460" s="3"/>
      <c r="K460" s="3"/>
      <c r="L460" s="4"/>
      <c r="M460" s="4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4"/>
    </row>
    <row r="461" spans="1:26" ht="14.25" customHeight="1">
      <c r="A461" s="1"/>
      <c r="B461" s="33"/>
      <c r="C461" s="33"/>
      <c r="D461" s="33"/>
      <c r="E461" s="33"/>
      <c r="F461" s="33"/>
      <c r="G461" s="33"/>
      <c r="H461" s="1"/>
      <c r="I461" s="3"/>
      <c r="J461" s="3"/>
      <c r="K461" s="3"/>
      <c r="L461" s="4"/>
      <c r="M461" s="4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4"/>
    </row>
    <row r="462" spans="1:26" ht="14.25" customHeight="1">
      <c r="A462" s="1"/>
      <c r="B462" s="33"/>
      <c r="C462" s="33"/>
      <c r="D462" s="33"/>
      <c r="E462" s="33"/>
      <c r="F462" s="33"/>
      <c r="G462" s="33"/>
      <c r="H462" s="1"/>
      <c r="I462" s="3"/>
      <c r="J462" s="3"/>
      <c r="K462" s="3"/>
      <c r="L462" s="4"/>
      <c r="M462" s="4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4"/>
    </row>
    <row r="463" spans="1:26" ht="14.25" customHeight="1">
      <c r="A463" s="1"/>
      <c r="B463" s="33"/>
      <c r="C463" s="33"/>
      <c r="D463" s="33"/>
      <c r="E463" s="33"/>
      <c r="F463" s="33"/>
      <c r="G463" s="33"/>
      <c r="H463" s="1"/>
      <c r="I463" s="3"/>
      <c r="J463" s="3"/>
      <c r="K463" s="3"/>
      <c r="L463" s="4"/>
      <c r="M463" s="4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4"/>
    </row>
    <row r="464" spans="1:26" ht="14.25" customHeight="1">
      <c r="A464" s="1"/>
      <c r="B464" s="33"/>
      <c r="C464" s="33"/>
      <c r="D464" s="33"/>
      <c r="E464" s="33"/>
      <c r="F464" s="33"/>
      <c r="G464" s="33"/>
      <c r="H464" s="1"/>
      <c r="I464" s="3"/>
      <c r="J464" s="3"/>
      <c r="K464" s="3"/>
      <c r="L464" s="4"/>
      <c r="M464" s="4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4"/>
    </row>
    <row r="465" spans="1:26" ht="14.25" customHeight="1">
      <c r="A465" s="1"/>
      <c r="B465" s="33"/>
      <c r="C465" s="33"/>
      <c r="D465" s="33"/>
      <c r="E465" s="33"/>
      <c r="F465" s="33"/>
      <c r="G465" s="33"/>
      <c r="H465" s="1"/>
      <c r="I465" s="3"/>
      <c r="J465" s="3"/>
      <c r="K465" s="3"/>
      <c r="L465" s="4"/>
      <c r="M465" s="4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4"/>
    </row>
    <row r="466" spans="1:26" ht="14.25" customHeight="1">
      <c r="A466" s="1"/>
      <c r="B466" s="33"/>
      <c r="C466" s="33"/>
      <c r="D466" s="33"/>
      <c r="E466" s="33"/>
      <c r="F466" s="33"/>
      <c r="G466" s="33"/>
      <c r="H466" s="1"/>
      <c r="I466" s="3"/>
      <c r="J466" s="3"/>
      <c r="K466" s="3"/>
      <c r="L466" s="4"/>
      <c r="M466" s="4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4"/>
    </row>
    <row r="467" spans="1:26" ht="14.25" customHeight="1">
      <c r="A467" s="1"/>
      <c r="B467" s="33"/>
      <c r="C467" s="33"/>
      <c r="D467" s="33"/>
      <c r="E467" s="33"/>
      <c r="F467" s="33"/>
      <c r="G467" s="33"/>
      <c r="H467" s="1"/>
      <c r="I467" s="3"/>
      <c r="J467" s="3"/>
      <c r="K467" s="3"/>
      <c r="L467" s="4"/>
      <c r="M467" s="4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4"/>
    </row>
    <row r="468" spans="1:26" ht="14.25" customHeight="1">
      <c r="A468" s="1"/>
      <c r="B468" s="33"/>
      <c r="C468" s="33"/>
      <c r="D468" s="33"/>
      <c r="E468" s="33"/>
      <c r="F468" s="33"/>
      <c r="G468" s="33"/>
      <c r="H468" s="1"/>
      <c r="I468" s="3"/>
      <c r="J468" s="3"/>
      <c r="K468" s="3"/>
      <c r="L468" s="4"/>
      <c r="M468" s="4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4"/>
    </row>
    <row r="469" spans="1:26" ht="14.25" customHeight="1">
      <c r="A469" s="1"/>
      <c r="B469" s="33"/>
      <c r="C469" s="33"/>
      <c r="D469" s="33"/>
      <c r="E469" s="33"/>
      <c r="F469" s="33"/>
      <c r="G469" s="33"/>
      <c r="H469" s="1"/>
      <c r="I469" s="3"/>
      <c r="J469" s="3"/>
      <c r="K469" s="3"/>
      <c r="L469" s="4"/>
      <c r="M469" s="4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4"/>
    </row>
    <row r="470" spans="1:26" ht="14.25" customHeight="1">
      <c r="A470" s="1"/>
      <c r="B470" s="33"/>
      <c r="C470" s="33"/>
      <c r="D470" s="33"/>
      <c r="E470" s="33"/>
      <c r="F470" s="33"/>
      <c r="G470" s="33"/>
      <c r="H470" s="1"/>
      <c r="I470" s="3"/>
      <c r="J470" s="3"/>
      <c r="K470" s="3"/>
      <c r="L470" s="4"/>
      <c r="M470" s="4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4"/>
    </row>
    <row r="471" spans="1:26" ht="14.25" customHeight="1">
      <c r="A471" s="1"/>
      <c r="B471" s="33"/>
      <c r="C471" s="33"/>
      <c r="D471" s="33"/>
      <c r="E471" s="33"/>
      <c r="F471" s="33"/>
      <c r="G471" s="33"/>
      <c r="H471" s="1"/>
      <c r="I471" s="3"/>
      <c r="J471" s="3"/>
      <c r="K471" s="3"/>
      <c r="L471" s="4"/>
      <c r="M471" s="4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4"/>
    </row>
    <row r="472" spans="1:26" ht="14.25" customHeight="1">
      <c r="A472" s="1"/>
      <c r="B472" s="33"/>
      <c r="C472" s="33"/>
      <c r="D472" s="33"/>
      <c r="E472" s="33"/>
      <c r="F472" s="33"/>
      <c r="G472" s="33"/>
      <c r="H472" s="1"/>
      <c r="I472" s="3"/>
      <c r="J472" s="3"/>
      <c r="K472" s="3"/>
      <c r="L472" s="4"/>
      <c r="M472" s="4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4"/>
    </row>
    <row r="473" spans="1:26" ht="14.25" customHeight="1">
      <c r="A473" s="1"/>
      <c r="B473" s="33"/>
      <c r="C473" s="33"/>
      <c r="D473" s="33"/>
      <c r="E473" s="33"/>
      <c r="F473" s="33"/>
      <c r="G473" s="33"/>
      <c r="H473" s="1"/>
      <c r="I473" s="3"/>
      <c r="J473" s="3"/>
      <c r="K473" s="3"/>
      <c r="L473" s="4"/>
      <c r="M473" s="4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4"/>
    </row>
    <row r="474" spans="1:26" ht="14.25" customHeight="1">
      <c r="A474" s="1"/>
      <c r="B474" s="33"/>
      <c r="C474" s="33"/>
      <c r="D474" s="33"/>
      <c r="E474" s="33"/>
      <c r="F474" s="33"/>
      <c r="G474" s="33"/>
      <c r="H474" s="1"/>
      <c r="I474" s="3"/>
      <c r="J474" s="3"/>
      <c r="K474" s="3"/>
      <c r="L474" s="4"/>
      <c r="M474" s="4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4"/>
    </row>
    <row r="475" spans="1:26" ht="14.25" customHeight="1">
      <c r="A475" s="1"/>
      <c r="B475" s="33"/>
      <c r="C475" s="33"/>
      <c r="D475" s="33"/>
      <c r="E475" s="33"/>
      <c r="F475" s="33"/>
      <c r="G475" s="33"/>
      <c r="H475" s="1"/>
      <c r="I475" s="3"/>
      <c r="J475" s="3"/>
      <c r="K475" s="3"/>
      <c r="L475" s="4"/>
      <c r="M475" s="4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4"/>
    </row>
    <row r="476" spans="1:26" ht="14.25" customHeight="1">
      <c r="A476" s="1"/>
      <c r="B476" s="33"/>
      <c r="C476" s="33"/>
      <c r="D476" s="33"/>
      <c r="E476" s="33"/>
      <c r="F476" s="33"/>
      <c r="G476" s="33"/>
      <c r="H476" s="1"/>
      <c r="I476" s="3"/>
      <c r="J476" s="3"/>
      <c r="K476" s="3"/>
      <c r="L476" s="4"/>
      <c r="M476" s="4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4"/>
    </row>
    <row r="477" spans="1:26" ht="14.25" customHeight="1">
      <c r="A477" s="1"/>
      <c r="B477" s="33"/>
      <c r="C477" s="33"/>
      <c r="D477" s="33"/>
      <c r="E477" s="33"/>
      <c r="F477" s="33"/>
      <c r="G477" s="33"/>
      <c r="H477" s="1"/>
      <c r="I477" s="3"/>
      <c r="J477" s="3"/>
      <c r="K477" s="3"/>
      <c r="L477" s="4"/>
      <c r="M477" s="4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4"/>
    </row>
    <row r="478" spans="1:26" ht="14.25" customHeight="1">
      <c r="A478" s="1"/>
      <c r="B478" s="33"/>
      <c r="C478" s="33"/>
      <c r="D478" s="33"/>
      <c r="E478" s="33"/>
      <c r="F478" s="33"/>
      <c r="G478" s="33"/>
      <c r="H478" s="1"/>
      <c r="I478" s="3"/>
      <c r="J478" s="3"/>
      <c r="K478" s="3"/>
      <c r="L478" s="4"/>
      <c r="M478" s="4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4"/>
    </row>
    <row r="479" spans="1:26" ht="14.25" customHeight="1">
      <c r="A479" s="1"/>
      <c r="B479" s="33"/>
      <c r="C479" s="33"/>
      <c r="D479" s="33"/>
      <c r="E479" s="33"/>
      <c r="F479" s="33"/>
      <c r="G479" s="33"/>
      <c r="H479" s="1"/>
      <c r="I479" s="3"/>
      <c r="J479" s="3"/>
      <c r="K479" s="3"/>
      <c r="L479" s="4"/>
      <c r="M479" s="4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4"/>
    </row>
    <row r="480" spans="1:26" ht="14.25" customHeight="1">
      <c r="A480" s="1"/>
      <c r="B480" s="33"/>
      <c r="C480" s="33"/>
      <c r="D480" s="33"/>
      <c r="E480" s="33"/>
      <c r="F480" s="33"/>
      <c r="G480" s="33"/>
      <c r="H480" s="1"/>
      <c r="I480" s="3"/>
      <c r="J480" s="3"/>
      <c r="K480" s="3"/>
      <c r="L480" s="4"/>
      <c r="M480" s="4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4"/>
    </row>
    <row r="481" spans="1:26" ht="14.25" customHeight="1">
      <c r="A481" s="1"/>
      <c r="B481" s="33"/>
      <c r="C481" s="33"/>
      <c r="D481" s="33"/>
      <c r="E481" s="33"/>
      <c r="F481" s="33"/>
      <c r="G481" s="33"/>
      <c r="H481" s="1"/>
      <c r="I481" s="3"/>
      <c r="J481" s="3"/>
      <c r="K481" s="3"/>
      <c r="L481" s="4"/>
      <c r="M481" s="4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4"/>
    </row>
    <row r="482" spans="1:26" ht="14.25" customHeight="1">
      <c r="A482" s="1"/>
      <c r="B482" s="33"/>
      <c r="C482" s="33"/>
      <c r="D482" s="33"/>
      <c r="E482" s="33"/>
      <c r="F482" s="33"/>
      <c r="G482" s="33"/>
      <c r="H482" s="1"/>
      <c r="I482" s="3"/>
      <c r="J482" s="3"/>
      <c r="K482" s="3"/>
      <c r="L482" s="4"/>
      <c r="M482" s="4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4"/>
    </row>
    <row r="483" spans="1:26" ht="14.25" customHeight="1">
      <c r="A483" s="1"/>
      <c r="B483" s="33"/>
      <c r="C483" s="33"/>
      <c r="D483" s="33"/>
      <c r="E483" s="33"/>
      <c r="F483" s="33"/>
      <c r="G483" s="33"/>
      <c r="H483" s="1"/>
      <c r="I483" s="3"/>
      <c r="J483" s="3"/>
      <c r="K483" s="3"/>
      <c r="L483" s="4"/>
      <c r="M483" s="4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4"/>
    </row>
    <row r="484" spans="1:26" ht="14.25" customHeight="1">
      <c r="A484" s="1"/>
      <c r="B484" s="33"/>
      <c r="C484" s="33"/>
      <c r="D484" s="33"/>
      <c r="E484" s="33"/>
      <c r="F484" s="33"/>
      <c r="G484" s="33"/>
      <c r="H484" s="1"/>
      <c r="I484" s="3"/>
      <c r="J484" s="3"/>
      <c r="K484" s="3"/>
      <c r="L484" s="4"/>
      <c r="M484" s="4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4"/>
    </row>
    <row r="485" spans="1:26" ht="14.25" customHeight="1">
      <c r="A485" s="1"/>
      <c r="B485" s="33"/>
      <c r="C485" s="33"/>
      <c r="D485" s="33"/>
      <c r="E485" s="33"/>
      <c r="F485" s="33"/>
      <c r="G485" s="33"/>
      <c r="H485" s="1"/>
      <c r="I485" s="3"/>
      <c r="J485" s="3"/>
      <c r="K485" s="3"/>
      <c r="L485" s="4"/>
      <c r="M485" s="4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4"/>
    </row>
    <row r="486" spans="1:26" ht="14.25" customHeight="1">
      <c r="A486" s="1"/>
      <c r="B486" s="33"/>
      <c r="C486" s="33"/>
      <c r="D486" s="33"/>
      <c r="E486" s="33"/>
      <c r="F486" s="33"/>
      <c r="G486" s="33"/>
      <c r="H486" s="1"/>
      <c r="I486" s="3"/>
      <c r="J486" s="3"/>
      <c r="K486" s="3"/>
      <c r="L486" s="4"/>
      <c r="M486" s="4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4"/>
    </row>
    <row r="487" spans="1:26" ht="14.25" customHeight="1">
      <c r="A487" s="1"/>
      <c r="B487" s="33"/>
      <c r="C487" s="33"/>
      <c r="D487" s="33"/>
      <c r="E487" s="33"/>
      <c r="F487" s="33"/>
      <c r="G487" s="33"/>
      <c r="H487" s="1"/>
      <c r="I487" s="3"/>
      <c r="J487" s="3"/>
      <c r="K487" s="3"/>
      <c r="L487" s="4"/>
      <c r="M487" s="4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4"/>
    </row>
    <row r="488" spans="1:26" ht="14.25" customHeight="1">
      <c r="A488" s="1"/>
      <c r="B488" s="33"/>
      <c r="C488" s="33"/>
      <c r="D488" s="33"/>
      <c r="E488" s="33"/>
      <c r="F488" s="33"/>
      <c r="G488" s="33"/>
      <c r="H488" s="1"/>
      <c r="I488" s="3"/>
      <c r="J488" s="3"/>
      <c r="K488" s="3"/>
      <c r="L488" s="4"/>
      <c r="M488" s="4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4"/>
    </row>
    <row r="489" spans="1:26" ht="14.25" customHeight="1">
      <c r="A489" s="1"/>
      <c r="B489" s="33"/>
      <c r="C489" s="33"/>
      <c r="D489" s="33"/>
      <c r="E489" s="33"/>
      <c r="F489" s="33"/>
      <c r="G489" s="33"/>
      <c r="H489" s="1"/>
      <c r="I489" s="3"/>
      <c r="J489" s="3"/>
      <c r="K489" s="3"/>
      <c r="L489" s="4"/>
      <c r="M489" s="4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4"/>
    </row>
    <row r="490" spans="1:26" ht="14.25" customHeight="1">
      <c r="A490" s="1"/>
      <c r="B490" s="33"/>
      <c r="C490" s="33"/>
      <c r="D490" s="33"/>
      <c r="E490" s="33"/>
      <c r="F490" s="33"/>
      <c r="G490" s="33"/>
      <c r="H490" s="1"/>
      <c r="I490" s="3"/>
      <c r="J490" s="3"/>
      <c r="K490" s="3"/>
      <c r="L490" s="4"/>
      <c r="M490" s="4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4"/>
    </row>
    <row r="491" spans="1:26" ht="14.25" customHeight="1">
      <c r="A491" s="1"/>
      <c r="B491" s="33"/>
      <c r="C491" s="33"/>
      <c r="D491" s="33"/>
      <c r="E491" s="33"/>
      <c r="F491" s="33"/>
      <c r="G491" s="33"/>
      <c r="H491" s="1"/>
      <c r="I491" s="3"/>
      <c r="J491" s="3"/>
      <c r="K491" s="3"/>
      <c r="L491" s="4"/>
      <c r="M491" s="4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4"/>
    </row>
    <row r="492" spans="1:26" ht="14.25" customHeight="1">
      <c r="A492" s="1"/>
      <c r="B492" s="33"/>
      <c r="C492" s="33"/>
      <c r="D492" s="33"/>
      <c r="E492" s="33"/>
      <c r="F492" s="33"/>
      <c r="G492" s="33"/>
      <c r="H492" s="1"/>
      <c r="I492" s="3"/>
      <c r="J492" s="3"/>
      <c r="K492" s="3"/>
      <c r="L492" s="4"/>
      <c r="M492" s="4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4"/>
    </row>
    <row r="493" spans="1:26" ht="14.25" customHeight="1">
      <c r="A493" s="1"/>
      <c r="B493" s="33"/>
      <c r="C493" s="33"/>
      <c r="D493" s="33"/>
      <c r="E493" s="33"/>
      <c r="F493" s="33"/>
      <c r="G493" s="33"/>
      <c r="H493" s="1"/>
      <c r="I493" s="3"/>
      <c r="J493" s="3"/>
      <c r="K493" s="3"/>
      <c r="L493" s="4"/>
      <c r="M493" s="4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4"/>
    </row>
    <row r="494" spans="1:26" ht="14.25" customHeight="1">
      <c r="A494" s="1"/>
      <c r="B494" s="33"/>
      <c r="C494" s="33"/>
      <c r="D494" s="33"/>
      <c r="E494" s="33"/>
      <c r="F494" s="33"/>
      <c r="G494" s="33"/>
      <c r="H494" s="1"/>
      <c r="I494" s="3"/>
      <c r="J494" s="3"/>
      <c r="K494" s="3"/>
      <c r="L494" s="4"/>
      <c r="M494" s="4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4"/>
    </row>
    <row r="495" spans="1:26" ht="14.25" customHeight="1">
      <c r="A495" s="1"/>
      <c r="B495" s="33"/>
      <c r="C495" s="33"/>
      <c r="D495" s="33"/>
      <c r="E495" s="33"/>
      <c r="F495" s="33"/>
      <c r="G495" s="33"/>
      <c r="H495" s="1"/>
      <c r="I495" s="3"/>
      <c r="J495" s="3"/>
      <c r="K495" s="3"/>
      <c r="L495" s="4"/>
      <c r="M495" s="4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4"/>
    </row>
    <row r="496" spans="1:26" ht="14.25" customHeight="1">
      <c r="A496" s="1"/>
      <c r="B496" s="33"/>
      <c r="C496" s="33"/>
      <c r="D496" s="33"/>
      <c r="E496" s="33"/>
      <c r="F496" s="33"/>
      <c r="G496" s="33"/>
      <c r="H496" s="1"/>
      <c r="I496" s="3"/>
      <c r="J496" s="3"/>
      <c r="K496" s="3"/>
      <c r="L496" s="4"/>
      <c r="M496" s="4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4"/>
    </row>
    <row r="497" spans="1:26" ht="14.25" customHeight="1">
      <c r="A497" s="1"/>
      <c r="B497" s="33"/>
      <c r="C497" s="33"/>
      <c r="D497" s="33"/>
      <c r="E497" s="33"/>
      <c r="F497" s="33"/>
      <c r="G497" s="33"/>
      <c r="H497" s="1"/>
      <c r="I497" s="3"/>
      <c r="J497" s="3"/>
      <c r="K497" s="3"/>
      <c r="L497" s="4"/>
      <c r="M497" s="4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4"/>
    </row>
    <row r="498" spans="1:26" ht="14.25" customHeight="1">
      <c r="A498" s="1"/>
      <c r="B498" s="33"/>
      <c r="C498" s="33"/>
      <c r="D498" s="33"/>
      <c r="E498" s="33"/>
      <c r="F498" s="33"/>
      <c r="G498" s="33"/>
      <c r="H498" s="1"/>
      <c r="I498" s="3"/>
      <c r="J498" s="3"/>
      <c r="K498" s="3"/>
      <c r="L498" s="4"/>
      <c r="M498" s="4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4"/>
    </row>
    <row r="499" spans="1:26" ht="14.25" customHeight="1">
      <c r="A499" s="1"/>
      <c r="B499" s="33"/>
      <c r="C499" s="33"/>
      <c r="D499" s="33"/>
      <c r="E499" s="33"/>
      <c r="F499" s="33"/>
      <c r="G499" s="33"/>
      <c r="H499" s="1"/>
      <c r="I499" s="3"/>
      <c r="J499" s="3"/>
      <c r="K499" s="3"/>
      <c r="L499" s="4"/>
      <c r="M499" s="4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4"/>
    </row>
    <row r="500" spans="1:26" ht="14.25" customHeight="1">
      <c r="A500" s="1"/>
      <c r="B500" s="33"/>
      <c r="C500" s="33"/>
      <c r="D500" s="33"/>
      <c r="E500" s="33"/>
      <c r="F500" s="33"/>
      <c r="G500" s="33"/>
      <c r="H500" s="1"/>
      <c r="I500" s="3"/>
      <c r="J500" s="3"/>
      <c r="K500" s="3"/>
      <c r="L500" s="4"/>
      <c r="M500" s="4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4"/>
    </row>
    <row r="501" spans="1:26" ht="14.25" customHeight="1">
      <c r="A501" s="1"/>
      <c r="B501" s="33"/>
      <c r="C501" s="33"/>
      <c r="D501" s="33"/>
      <c r="E501" s="33"/>
      <c r="F501" s="33"/>
      <c r="G501" s="33"/>
      <c r="H501" s="1"/>
      <c r="I501" s="3"/>
      <c r="J501" s="3"/>
      <c r="K501" s="3"/>
      <c r="L501" s="4"/>
      <c r="M501" s="4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4"/>
    </row>
    <row r="502" spans="1:26" ht="14.25" customHeight="1">
      <c r="A502" s="1"/>
      <c r="B502" s="33"/>
      <c r="C502" s="33"/>
      <c r="D502" s="33"/>
      <c r="E502" s="33"/>
      <c r="F502" s="33"/>
      <c r="G502" s="33"/>
      <c r="H502" s="1"/>
      <c r="I502" s="3"/>
      <c r="J502" s="3"/>
      <c r="K502" s="3"/>
      <c r="L502" s="4"/>
      <c r="M502" s="4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4"/>
    </row>
    <row r="503" spans="1:26" ht="14.25" customHeight="1">
      <c r="A503" s="1"/>
      <c r="B503" s="33"/>
      <c r="C503" s="33"/>
      <c r="D503" s="33"/>
      <c r="E503" s="33"/>
      <c r="F503" s="33"/>
      <c r="G503" s="33"/>
      <c r="H503" s="1"/>
      <c r="I503" s="3"/>
      <c r="J503" s="3"/>
      <c r="K503" s="3"/>
      <c r="L503" s="4"/>
      <c r="M503" s="4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4"/>
    </row>
    <row r="504" spans="1:26" ht="14.25" customHeight="1">
      <c r="A504" s="1"/>
      <c r="B504" s="33"/>
      <c r="C504" s="33"/>
      <c r="D504" s="33"/>
      <c r="E504" s="33"/>
      <c r="F504" s="33"/>
      <c r="G504" s="33"/>
      <c r="H504" s="1"/>
      <c r="I504" s="3"/>
      <c r="J504" s="3"/>
      <c r="K504" s="3"/>
      <c r="L504" s="4"/>
      <c r="M504" s="4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4"/>
    </row>
    <row r="505" spans="1:26" ht="14.25" customHeight="1">
      <c r="A505" s="1"/>
      <c r="B505" s="33"/>
      <c r="C505" s="33"/>
      <c r="D505" s="33"/>
      <c r="E505" s="33"/>
      <c r="F505" s="33"/>
      <c r="G505" s="33"/>
      <c r="H505" s="1"/>
      <c r="I505" s="3"/>
      <c r="J505" s="3"/>
      <c r="K505" s="3"/>
      <c r="L505" s="4"/>
      <c r="M505" s="4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4"/>
    </row>
    <row r="506" spans="1:26" ht="14.25" customHeight="1">
      <c r="A506" s="1"/>
      <c r="B506" s="33"/>
      <c r="C506" s="33"/>
      <c r="D506" s="33"/>
      <c r="E506" s="33"/>
      <c r="F506" s="33"/>
      <c r="G506" s="33"/>
      <c r="H506" s="1"/>
      <c r="I506" s="3"/>
      <c r="J506" s="3"/>
      <c r="K506" s="3"/>
      <c r="L506" s="4"/>
      <c r="M506" s="4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4"/>
    </row>
    <row r="507" spans="1:26" ht="14.25" customHeight="1">
      <c r="A507" s="1"/>
      <c r="B507" s="33"/>
      <c r="C507" s="33"/>
      <c r="D507" s="33"/>
      <c r="E507" s="33"/>
      <c r="F507" s="33"/>
      <c r="G507" s="33"/>
      <c r="H507" s="1"/>
      <c r="I507" s="3"/>
      <c r="J507" s="3"/>
      <c r="K507" s="3"/>
      <c r="L507" s="4"/>
      <c r="M507" s="4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4"/>
    </row>
    <row r="508" spans="1:26" ht="14.25" customHeight="1">
      <c r="A508" s="1"/>
      <c r="B508" s="33"/>
      <c r="C508" s="33"/>
      <c r="D508" s="33"/>
      <c r="E508" s="33"/>
      <c r="F508" s="33"/>
      <c r="G508" s="33"/>
      <c r="H508" s="1"/>
      <c r="I508" s="3"/>
      <c r="J508" s="3"/>
      <c r="K508" s="3"/>
      <c r="L508" s="4"/>
      <c r="M508" s="4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4"/>
    </row>
    <row r="509" spans="1:26" ht="14.25" customHeight="1">
      <c r="A509" s="1"/>
      <c r="B509" s="33"/>
      <c r="C509" s="33"/>
      <c r="D509" s="33"/>
      <c r="E509" s="33"/>
      <c r="F509" s="33"/>
      <c r="G509" s="33"/>
      <c r="H509" s="1"/>
      <c r="I509" s="3"/>
      <c r="J509" s="3"/>
      <c r="K509" s="3"/>
      <c r="L509" s="4"/>
      <c r="M509" s="4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4"/>
    </row>
    <row r="510" spans="1:26" ht="14.25" customHeight="1">
      <c r="A510" s="1"/>
      <c r="B510" s="33"/>
      <c r="C510" s="33"/>
      <c r="D510" s="33"/>
      <c r="E510" s="33"/>
      <c r="F510" s="33"/>
      <c r="G510" s="33"/>
      <c r="H510" s="1"/>
      <c r="I510" s="3"/>
      <c r="J510" s="3"/>
      <c r="K510" s="3"/>
      <c r="L510" s="4"/>
      <c r="M510" s="4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4"/>
    </row>
    <row r="511" spans="1:26" ht="14.25" customHeight="1">
      <c r="A511" s="1"/>
      <c r="B511" s="33"/>
      <c r="C511" s="33"/>
      <c r="D511" s="33"/>
      <c r="E511" s="33"/>
      <c r="F511" s="33"/>
      <c r="G511" s="33"/>
      <c r="H511" s="1"/>
      <c r="I511" s="3"/>
      <c r="J511" s="3"/>
      <c r="K511" s="3"/>
      <c r="L511" s="4"/>
      <c r="M511" s="4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4"/>
    </row>
    <row r="512" spans="1:26" ht="14.25" customHeight="1">
      <c r="A512" s="1"/>
      <c r="B512" s="33"/>
      <c r="C512" s="33"/>
      <c r="D512" s="33"/>
      <c r="E512" s="33"/>
      <c r="F512" s="33"/>
      <c r="G512" s="33"/>
      <c r="H512" s="1"/>
      <c r="I512" s="3"/>
      <c r="J512" s="3"/>
      <c r="K512" s="3"/>
      <c r="L512" s="4"/>
      <c r="M512" s="4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4"/>
    </row>
    <row r="513" spans="1:26" ht="14.25" customHeight="1">
      <c r="A513" s="1"/>
      <c r="B513" s="33"/>
      <c r="C513" s="33"/>
      <c r="D513" s="33"/>
      <c r="E513" s="33"/>
      <c r="F513" s="33"/>
      <c r="G513" s="33"/>
      <c r="H513" s="1"/>
      <c r="I513" s="3"/>
      <c r="J513" s="3"/>
      <c r="K513" s="3"/>
      <c r="L513" s="4"/>
      <c r="M513" s="4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4"/>
    </row>
    <row r="514" spans="1:26" ht="14.25" customHeight="1">
      <c r="A514" s="1"/>
      <c r="B514" s="33"/>
      <c r="C514" s="33"/>
      <c r="D514" s="33"/>
      <c r="E514" s="33"/>
      <c r="F514" s="33"/>
      <c r="G514" s="33"/>
      <c r="H514" s="1"/>
      <c r="I514" s="3"/>
      <c r="J514" s="3"/>
      <c r="K514" s="3"/>
      <c r="L514" s="4"/>
      <c r="M514" s="4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4"/>
    </row>
    <row r="515" spans="1:26" ht="14.25" customHeight="1">
      <c r="A515" s="1"/>
      <c r="B515" s="33"/>
      <c r="C515" s="33"/>
      <c r="D515" s="33"/>
      <c r="E515" s="33"/>
      <c r="F515" s="33"/>
      <c r="G515" s="33"/>
      <c r="H515" s="1"/>
      <c r="I515" s="3"/>
      <c r="J515" s="3"/>
      <c r="K515" s="3"/>
      <c r="L515" s="4"/>
      <c r="M515" s="4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4"/>
    </row>
    <row r="516" spans="1:26" ht="14.25" customHeight="1">
      <c r="A516" s="1"/>
      <c r="B516" s="33"/>
      <c r="C516" s="33"/>
      <c r="D516" s="33"/>
      <c r="E516" s="33"/>
      <c r="F516" s="33"/>
      <c r="G516" s="33"/>
      <c r="H516" s="1"/>
      <c r="I516" s="3"/>
      <c r="J516" s="3"/>
      <c r="K516" s="3"/>
      <c r="L516" s="4"/>
      <c r="M516" s="4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4"/>
    </row>
    <row r="517" spans="1:26" ht="14.25" customHeight="1">
      <c r="A517" s="1"/>
      <c r="B517" s="33"/>
      <c r="C517" s="33"/>
      <c r="D517" s="33"/>
      <c r="E517" s="33"/>
      <c r="F517" s="33"/>
      <c r="G517" s="33"/>
      <c r="H517" s="1"/>
      <c r="I517" s="3"/>
      <c r="J517" s="3"/>
      <c r="K517" s="3"/>
      <c r="L517" s="4"/>
      <c r="M517" s="4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4"/>
    </row>
    <row r="518" spans="1:26" ht="14.25" customHeight="1">
      <c r="A518" s="1"/>
      <c r="B518" s="33"/>
      <c r="C518" s="33"/>
      <c r="D518" s="33"/>
      <c r="E518" s="33"/>
      <c r="F518" s="33"/>
      <c r="G518" s="33"/>
      <c r="H518" s="1"/>
      <c r="I518" s="3"/>
      <c r="J518" s="3"/>
      <c r="K518" s="3"/>
      <c r="L518" s="4"/>
      <c r="M518" s="4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4"/>
    </row>
    <row r="519" spans="1:26" ht="14.25" customHeight="1">
      <c r="A519" s="1"/>
      <c r="B519" s="33"/>
      <c r="C519" s="33"/>
      <c r="D519" s="33"/>
      <c r="E519" s="33"/>
      <c r="F519" s="33"/>
      <c r="G519" s="33"/>
      <c r="H519" s="1"/>
      <c r="I519" s="3"/>
      <c r="J519" s="3"/>
      <c r="K519" s="3"/>
      <c r="L519" s="4"/>
      <c r="M519" s="4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4"/>
    </row>
    <row r="520" spans="1:26" ht="14.25" customHeight="1">
      <c r="A520" s="1"/>
      <c r="B520" s="33"/>
      <c r="C520" s="33"/>
      <c r="D520" s="33"/>
      <c r="E520" s="33"/>
      <c r="F520" s="33"/>
      <c r="G520" s="33"/>
      <c r="H520" s="1"/>
      <c r="I520" s="3"/>
      <c r="J520" s="3"/>
      <c r="K520" s="3"/>
      <c r="L520" s="4"/>
      <c r="M520" s="4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4"/>
    </row>
    <row r="521" spans="1:26" ht="14.25" customHeight="1">
      <c r="A521" s="1"/>
      <c r="B521" s="33"/>
      <c r="C521" s="33"/>
      <c r="D521" s="33"/>
      <c r="E521" s="33"/>
      <c r="F521" s="33"/>
      <c r="G521" s="33"/>
      <c r="H521" s="1"/>
      <c r="I521" s="3"/>
      <c r="J521" s="3"/>
      <c r="K521" s="3"/>
      <c r="L521" s="4"/>
      <c r="M521" s="4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4"/>
    </row>
    <row r="522" spans="1:26" ht="14.25" customHeight="1">
      <c r="A522" s="1"/>
      <c r="B522" s="33"/>
      <c r="C522" s="33"/>
      <c r="D522" s="33"/>
      <c r="E522" s="33"/>
      <c r="F522" s="33"/>
      <c r="G522" s="33"/>
      <c r="H522" s="1"/>
      <c r="I522" s="3"/>
      <c r="J522" s="3"/>
      <c r="K522" s="3"/>
      <c r="L522" s="4"/>
      <c r="M522" s="4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4"/>
    </row>
    <row r="523" spans="1:26" ht="14.25" customHeight="1">
      <c r="A523" s="1"/>
      <c r="B523" s="33"/>
      <c r="C523" s="33"/>
      <c r="D523" s="33"/>
      <c r="E523" s="33"/>
      <c r="F523" s="33"/>
      <c r="G523" s="33"/>
      <c r="H523" s="1"/>
      <c r="I523" s="3"/>
      <c r="J523" s="3"/>
      <c r="K523" s="3"/>
      <c r="L523" s="4"/>
      <c r="M523" s="4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4"/>
    </row>
    <row r="524" spans="1:26" ht="14.25" customHeight="1">
      <c r="A524" s="1"/>
      <c r="B524" s="33"/>
      <c r="C524" s="33"/>
      <c r="D524" s="33"/>
      <c r="E524" s="33"/>
      <c r="F524" s="33"/>
      <c r="G524" s="33"/>
      <c r="H524" s="1"/>
      <c r="I524" s="3"/>
      <c r="J524" s="3"/>
      <c r="K524" s="3"/>
      <c r="L524" s="4"/>
      <c r="M524" s="4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4"/>
    </row>
    <row r="525" spans="1:26" ht="14.25" customHeight="1">
      <c r="A525" s="1"/>
      <c r="B525" s="33"/>
      <c r="C525" s="33"/>
      <c r="D525" s="33"/>
      <c r="E525" s="33"/>
      <c r="F525" s="33"/>
      <c r="G525" s="33"/>
      <c r="H525" s="1"/>
      <c r="I525" s="3"/>
      <c r="J525" s="3"/>
      <c r="K525" s="3"/>
      <c r="L525" s="4"/>
      <c r="M525" s="4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4"/>
    </row>
    <row r="526" spans="1:26" ht="14.25" customHeight="1">
      <c r="A526" s="1"/>
      <c r="B526" s="33"/>
      <c r="C526" s="33"/>
      <c r="D526" s="33"/>
      <c r="E526" s="33"/>
      <c r="F526" s="33"/>
      <c r="G526" s="33"/>
      <c r="H526" s="1"/>
      <c r="I526" s="3"/>
      <c r="J526" s="3"/>
      <c r="K526" s="3"/>
      <c r="L526" s="4"/>
      <c r="M526" s="4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4"/>
    </row>
    <row r="527" spans="1:26" ht="14.25" customHeight="1">
      <c r="A527" s="1"/>
      <c r="B527" s="33"/>
      <c r="C527" s="33"/>
      <c r="D527" s="33"/>
      <c r="E527" s="33"/>
      <c r="F527" s="33"/>
      <c r="G527" s="33"/>
      <c r="H527" s="1"/>
      <c r="I527" s="3"/>
      <c r="J527" s="3"/>
      <c r="K527" s="3"/>
      <c r="L527" s="4"/>
      <c r="M527" s="4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4"/>
    </row>
    <row r="528" spans="1:26" ht="14.25" customHeight="1">
      <c r="A528" s="1"/>
      <c r="B528" s="33"/>
      <c r="C528" s="33"/>
      <c r="D528" s="33"/>
      <c r="E528" s="33"/>
      <c r="F528" s="33"/>
      <c r="G528" s="33"/>
      <c r="H528" s="1"/>
      <c r="I528" s="3"/>
      <c r="J528" s="3"/>
      <c r="K528" s="3"/>
      <c r="L528" s="4"/>
      <c r="M528" s="4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4"/>
    </row>
    <row r="529" spans="1:26" ht="14.25" customHeight="1">
      <c r="A529" s="1"/>
      <c r="B529" s="33"/>
      <c r="C529" s="33"/>
      <c r="D529" s="33"/>
      <c r="E529" s="33"/>
      <c r="F529" s="33"/>
      <c r="G529" s="33"/>
      <c r="H529" s="1"/>
      <c r="I529" s="3"/>
      <c r="J529" s="3"/>
      <c r="K529" s="3"/>
      <c r="L529" s="4"/>
      <c r="M529" s="4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4"/>
    </row>
    <row r="530" spans="1:26" ht="14.25" customHeight="1">
      <c r="A530" s="1"/>
      <c r="B530" s="33"/>
      <c r="C530" s="33"/>
      <c r="D530" s="33"/>
      <c r="E530" s="33"/>
      <c r="F530" s="33"/>
      <c r="G530" s="33"/>
      <c r="H530" s="1"/>
      <c r="I530" s="3"/>
      <c r="J530" s="3"/>
      <c r="K530" s="3"/>
      <c r="L530" s="4"/>
      <c r="M530" s="4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4"/>
    </row>
    <row r="531" spans="1:26" ht="14.25" customHeight="1">
      <c r="A531" s="1"/>
      <c r="B531" s="33"/>
      <c r="C531" s="33"/>
      <c r="D531" s="33"/>
      <c r="E531" s="33"/>
      <c r="F531" s="33"/>
      <c r="G531" s="33"/>
      <c r="H531" s="1"/>
      <c r="I531" s="3"/>
      <c r="J531" s="3"/>
      <c r="K531" s="3"/>
      <c r="L531" s="4"/>
      <c r="M531" s="4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4"/>
    </row>
    <row r="532" spans="1:26" ht="14.25" customHeight="1">
      <c r="A532" s="1"/>
      <c r="B532" s="33"/>
      <c r="C532" s="33"/>
      <c r="D532" s="33"/>
      <c r="E532" s="33"/>
      <c r="F532" s="33"/>
      <c r="G532" s="33"/>
      <c r="H532" s="1"/>
      <c r="I532" s="3"/>
      <c r="J532" s="3"/>
      <c r="K532" s="3"/>
      <c r="L532" s="4"/>
      <c r="M532" s="4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4"/>
    </row>
    <row r="533" spans="1:26" ht="14.25" customHeight="1">
      <c r="A533" s="1"/>
      <c r="B533" s="33"/>
      <c r="C533" s="33"/>
      <c r="D533" s="33"/>
      <c r="E533" s="33"/>
      <c r="F533" s="33"/>
      <c r="G533" s="33"/>
      <c r="H533" s="1"/>
      <c r="I533" s="3"/>
      <c r="J533" s="3"/>
      <c r="K533" s="3"/>
      <c r="L533" s="4"/>
      <c r="M533" s="4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4"/>
    </row>
    <row r="534" spans="1:26" ht="14.25" customHeight="1">
      <c r="A534" s="1"/>
      <c r="B534" s="33"/>
      <c r="C534" s="33"/>
      <c r="D534" s="33"/>
      <c r="E534" s="33"/>
      <c r="F534" s="33"/>
      <c r="G534" s="33"/>
      <c r="H534" s="1"/>
      <c r="I534" s="3"/>
      <c r="J534" s="3"/>
      <c r="K534" s="3"/>
      <c r="L534" s="4"/>
      <c r="M534" s="4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4"/>
    </row>
    <row r="535" spans="1:26" ht="14.25" customHeight="1">
      <c r="A535" s="1"/>
      <c r="B535" s="33"/>
      <c r="C535" s="33"/>
      <c r="D535" s="33"/>
      <c r="E535" s="33"/>
      <c r="F535" s="33"/>
      <c r="G535" s="33"/>
      <c r="H535" s="1"/>
      <c r="I535" s="3"/>
      <c r="J535" s="3"/>
      <c r="K535" s="3"/>
      <c r="L535" s="4"/>
      <c r="M535" s="4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4"/>
    </row>
    <row r="536" spans="1:26" ht="14.25" customHeight="1">
      <c r="A536" s="1"/>
      <c r="B536" s="33"/>
      <c r="C536" s="33"/>
      <c r="D536" s="33"/>
      <c r="E536" s="33"/>
      <c r="F536" s="33"/>
      <c r="G536" s="33"/>
      <c r="H536" s="1"/>
      <c r="I536" s="3"/>
      <c r="J536" s="3"/>
      <c r="K536" s="3"/>
      <c r="L536" s="4"/>
      <c r="M536" s="4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4"/>
    </row>
    <row r="537" spans="1:26" ht="14.25" customHeight="1">
      <c r="A537" s="1"/>
      <c r="B537" s="33"/>
      <c r="C537" s="33"/>
      <c r="D537" s="33"/>
      <c r="E537" s="33"/>
      <c r="F537" s="33"/>
      <c r="G537" s="33"/>
      <c r="H537" s="1"/>
      <c r="I537" s="3"/>
      <c r="J537" s="3"/>
      <c r="K537" s="3"/>
      <c r="L537" s="4"/>
      <c r="M537" s="4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4"/>
    </row>
    <row r="538" spans="1:26" ht="14.25" customHeight="1">
      <c r="A538" s="1"/>
      <c r="B538" s="33"/>
      <c r="C538" s="33"/>
      <c r="D538" s="33"/>
      <c r="E538" s="33"/>
      <c r="F538" s="33"/>
      <c r="G538" s="33"/>
      <c r="H538" s="1"/>
      <c r="I538" s="3"/>
      <c r="J538" s="3"/>
      <c r="K538" s="3"/>
      <c r="L538" s="4"/>
      <c r="M538" s="4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4"/>
    </row>
    <row r="539" spans="1:26" ht="14.25" customHeight="1">
      <c r="A539" s="1"/>
      <c r="B539" s="33"/>
      <c r="C539" s="33"/>
      <c r="D539" s="33"/>
      <c r="E539" s="33"/>
      <c r="F539" s="33"/>
      <c r="G539" s="33"/>
      <c r="H539" s="1"/>
      <c r="I539" s="3"/>
      <c r="J539" s="3"/>
      <c r="K539" s="3"/>
      <c r="L539" s="4"/>
      <c r="M539" s="4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4"/>
    </row>
    <row r="540" spans="1:26" ht="14.25" customHeight="1">
      <c r="A540" s="1"/>
      <c r="B540" s="33"/>
      <c r="C540" s="33"/>
      <c r="D540" s="33"/>
      <c r="E540" s="33"/>
      <c r="F540" s="33"/>
      <c r="G540" s="33"/>
      <c r="H540" s="1"/>
      <c r="I540" s="3"/>
      <c r="J540" s="3"/>
      <c r="K540" s="3"/>
      <c r="L540" s="4"/>
      <c r="M540" s="4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4"/>
    </row>
    <row r="541" spans="1:26" ht="14.25" customHeight="1">
      <c r="A541" s="1"/>
      <c r="B541" s="33"/>
      <c r="C541" s="33"/>
      <c r="D541" s="33"/>
      <c r="E541" s="33"/>
      <c r="F541" s="33"/>
      <c r="G541" s="33"/>
      <c r="H541" s="1"/>
      <c r="I541" s="3"/>
      <c r="J541" s="3"/>
      <c r="K541" s="3"/>
      <c r="L541" s="4"/>
      <c r="M541" s="4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4"/>
    </row>
    <row r="542" spans="1:26" ht="14.25" customHeight="1">
      <c r="A542" s="1"/>
      <c r="B542" s="33"/>
      <c r="C542" s="33"/>
      <c r="D542" s="33"/>
      <c r="E542" s="33"/>
      <c r="F542" s="33"/>
      <c r="G542" s="33"/>
      <c r="H542" s="1"/>
      <c r="I542" s="3"/>
      <c r="J542" s="3"/>
      <c r="K542" s="3"/>
      <c r="L542" s="4"/>
      <c r="M542" s="4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4"/>
    </row>
    <row r="543" spans="1:26" ht="14.25" customHeight="1">
      <c r="A543" s="1"/>
      <c r="B543" s="33"/>
      <c r="C543" s="33"/>
      <c r="D543" s="33"/>
      <c r="E543" s="33"/>
      <c r="F543" s="33"/>
      <c r="G543" s="33"/>
      <c r="H543" s="1"/>
      <c r="I543" s="3"/>
      <c r="J543" s="3"/>
      <c r="K543" s="3"/>
      <c r="L543" s="4"/>
      <c r="M543" s="4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4"/>
    </row>
    <row r="544" spans="1:26" ht="14.25" customHeight="1">
      <c r="A544" s="1"/>
      <c r="B544" s="33"/>
      <c r="C544" s="33"/>
      <c r="D544" s="33"/>
      <c r="E544" s="33"/>
      <c r="F544" s="33"/>
      <c r="G544" s="33"/>
      <c r="H544" s="1"/>
      <c r="I544" s="3"/>
      <c r="J544" s="3"/>
      <c r="K544" s="3"/>
      <c r="L544" s="4"/>
      <c r="M544" s="4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4"/>
    </row>
    <row r="545" spans="1:26" ht="14.25" customHeight="1">
      <c r="A545" s="1"/>
      <c r="B545" s="33"/>
      <c r="C545" s="33"/>
      <c r="D545" s="33"/>
      <c r="E545" s="33"/>
      <c r="F545" s="33"/>
      <c r="G545" s="33"/>
      <c r="H545" s="1"/>
      <c r="I545" s="3"/>
      <c r="J545" s="3"/>
      <c r="K545" s="3"/>
      <c r="L545" s="4"/>
      <c r="M545" s="4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4"/>
    </row>
    <row r="546" spans="1:26" ht="14.25" customHeight="1">
      <c r="A546" s="1"/>
      <c r="B546" s="33"/>
      <c r="C546" s="33"/>
      <c r="D546" s="33"/>
      <c r="E546" s="33"/>
      <c r="F546" s="33"/>
      <c r="G546" s="33"/>
      <c r="H546" s="1"/>
      <c r="I546" s="3"/>
      <c r="J546" s="3"/>
      <c r="K546" s="3"/>
      <c r="L546" s="4"/>
      <c r="M546" s="4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4"/>
    </row>
    <row r="547" spans="1:26" ht="14.25" customHeight="1">
      <c r="A547" s="1"/>
      <c r="B547" s="33"/>
      <c r="C547" s="33"/>
      <c r="D547" s="33"/>
      <c r="E547" s="33"/>
      <c r="F547" s="33"/>
      <c r="G547" s="33"/>
      <c r="H547" s="1"/>
      <c r="I547" s="3"/>
      <c r="J547" s="3"/>
      <c r="K547" s="3"/>
      <c r="L547" s="4"/>
      <c r="M547" s="4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4"/>
    </row>
    <row r="548" spans="1:26" ht="14.25" customHeight="1">
      <c r="A548" s="1"/>
      <c r="B548" s="33"/>
      <c r="C548" s="33"/>
      <c r="D548" s="33"/>
      <c r="E548" s="33"/>
      <c r="F548" s="33"/>
      <c r="G548" s="33"/>
      <c r="H548" s="1"/>
      <c r="I548" s="3"/>
      <c r="J548" s="3"/>
      <c r="K548" s="3"/>
      <c r="L548" s="4"/>
      <c r="M548" s="4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4"/>
    </row>
    <row r="549" spans="1:26" ht="14.25" customHeight="1">
      <c r="A549" s="1"/>
      <c r="B549" s="33"/>
      <c r="C549" s="33"/>
      <c r="D549" s="33"/>
      <c r="E549" s="33"/>
      <c r="F549" s="33"/>
      <c r="G549" s="33"/>
      <c r="H549" s="1"/>
      <c r="I549" s="3"/>
      <c r="J549" s="3"/>
      <c r="K549" s="3"/>
      <c r="L549" s="4"/>
      <c r="M549" s="4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4"/>
    </row>
    <row r="550" spans="1:26" ht="14.25" customHeight="1">
      <c r="A550" s="1"/>
      <c r="B550" s="33"/>
      <c r="C550" s="33"/>
      <c r="D550" s="33"/>
      <c r="E550" s="33"/>
      <c r="F550" s="33"/>
      <c r="G550" s="33"/>
      <c r="H550" s="1"/>
      <c r="I550" s="3"/>
      <c r="J550" s="3"/>
      <c r="K550" s="3"/>
      <c r="L550" s="4"/>
      <c r="M550" s="4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4"/>
    </row>
    <row r="551" spans="1:26" ht="14.25" customHeight="1">
      <c r="A551" s="1"/>
      <c r="B551" s="33"/>
      <c r="C551" s="33"/>
      <c r="D551" s="33"/>
      <c r="E551" s="33"/>
      <c r="F551" s="33"/>
      <c r="G551" s="33"/>
      <c r="H551" s="1"/>
      <c r="I551" s="3"/>
      <c r="J551" s="3"/>
      <c r="K551" s="3"/>
      <c r="L551" s="4"/>
      <c r="M551" s="4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4"/>
    </row>
    <row r="552" spans="1:26" ht="14.25" customHeight="1">
      <c r="A552" s="1"/>
      <c r="B552" s="33"/>
      <c r="C552" s="33"/>
      <c r="D552" s="33"/>
      <c r="E552" s="33"/>
      <c r="F552" s="33"/>
      <c r="G552" s="33"/>
      <c r="H552" s="1"/>
      <c r="I552" s="3"/>
      <c r="J552" s="3"/>
      <c r="K552" s="3"/>
      <c r="L552" s="4"/>
      <c r="M552" s="4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4"/>
    </row>
    <row r="553" spans="1:26" ht="14.25" customHeight="1">
      <c r="A553" s="1"/>
      <c r="B553" s="33"/>
      <c r="C553" s="33"/>
      <c r="D553" s="33"/>
      <c r="E553" s="33"/>
      <c r="F553" s="33"/>
      <c r="G553" s="33"/>
      <c r="H553" s="1"/>
      <c r="I553" s="3"/>
      <c r="J553" s="3"/>
      <c r="K553" s="3"/>
      <c r="L553" s="4"/>
      <c r="M553" s="4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4"/>
    </row>
    <row r="554" spans="1:26" ht="14.25" customHeight="1">
      <c r="A554" s="1"/>
      <c r="B554" s="33"/>
      <c r="C554" s="33"/>
      <c r="D554" s="33"/>
      <c r="E554" s="33"/>
      <c r="F554" s="33"/>
      <c r="G554" s="33"/>
      <c r="H554" s="1"/>
      <c r="I554" s="3"/>
      <c r="J554" s="3"/>
      <c r="K554" s="3"/>
      <c r="L554" s="4"/>
      <c r="M554" s="4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4"/>
    </row>
    <row r="555" spans="1:26" ht="14.25" customHeight="1">
      <c r="A555" s="1"/>
      <c r="B555" s="33"/>
      <c r="C555" s="33"/>
      <c r="D555" s="33"/>
      <c r="E555" s="33"/>
      <c r="F555" s="33"/>
      <c r="G555" s="33"/>
      <c r="H555" s="1"/>
      <c r="I555" s="3"/>
      <c r="J555" s="3"/>
      <c r="K555" s="3"/>
      <c r="L555" s="4"/>
      <c r="M555" s="4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4"/>
    </row>
    <row r="556" spans="1:26" ht="14.25" customHeight="1">
      <c r="A556" s="1"/>
      <c r="B556" s="33"/>
      <c r="C556" s="33"/>
      <c r="D556" s="33"/>
      <c r="E556" s="33"/>
      <c r="F556" s="33"/>
      <c r="G556" s="33"/>
      <c r="H556" s="1"/>
      <c r="I556" s="3"/>
      <c r="J556" s="3"/>
      <c r="K556" s="3"/>
      <c r="L556" s="4"/>
      <c r="M556" s="4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4"/>
    </row>
    <row r="557" spans="1:26" ht="14.25" customHeight="1">
      <c r="A557" s="1"/>
      <c r="B557" s="33"/>
      <c r="C557" s="33"/>
      <c r="D557" s="33"/>
      <c r="E557" s="33"/>
      <c r="F557" s="33"/>
      <c r="G557" s="33"/>
      <c r="H557" s="1"/>
      <c r="I557" s="3"/>
      <c r="J557" s="3"/>
      <c r="K557" s="3"/>
      <c r="L557" s="4"/>
      <c r="M557" s="4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4"/>
    </row>
    <row r="558" spans="1:26" ht="14.25" customHeight="1">
      <c r="A558" s="1"/>
      <c r="B558" s="33"/>
      <c r="C558" s="33"/>
      <c r="D558" s="33"/>
      <c r="E558" s="33"/>
      <c r="F558" s="33"/>
      <c r="G558" s="33"/>
      <c r="H558" s="1"/>
      <c r="I558" s="3"/>
      <c r="J558" s="3"/>
      <c r="K558" s="3"/>
      <c r="L558" s="4"/>
      <c r="M558" s="4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4"/>
    </row>
    <row r="559" spans="1:26" ht="14.25" customHeight="1">
      <c r="A559" s="1"/>
      <c r="B559" s="33"/>
      <c r="C559" s="33"/>
      <c r="D559" s="33"/>
      <c r="E559" s="33"/>
      <c r="F559" s="33"/>
      <c r="G559" s="33"/>
      <c r="H559" s="1"/>
      <c r="I559" s="3"/>
      <c r="J559" s="3"/>
      <c r="K559" s="3"/>
      <c r="L559" s="4"/>
      <c r="M559" s="4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4"/>
    </row>
    <row r="560" spans="1:26" ht="14.25" customHeight="1">
      <c r="A560" s="1"/>
      <c r="B560" s="33"/>
      <c r="C560" s="33"/>
      <c r="D560" s="33"/>
      <c r="E560" s="33"/>
      <c r="F560" s="33"/>
      <c r="G560" s="33"/>
      <c r="H560" s="1"/>
      <c r="I560" s="3"/>
      <c r="J560" s="3"/>
      <c r="K560" s="3"/>
      <c r="L560" s="4"/>
      <c r="M560" s="4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4"/>
    </row>
    <row r="561" spans="1:26" ht="14.25" customHeight="1">
      <c r="A561" s="1"/>
      <c r="B561" s="33"/>
      <c r="C561" s="33"/>
      <c r="D561" s="33"/>
      <c r="E561" s="33"/>
      <c r="F561" s="33"/>
      <c r="G561" s="33"/>
      <c r="H561" s="1"/>
      <c r="I561" s="3"/>
      <c r="J561" s="3"/>
      <c r="K561" s="3"/>
      <c r="L561" s="4"/>
      <c r="M561" s="4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4"/>
    </row>
    <row r="562" spans="1:26" ht="14.25" customHeight="1">
      <c r="A562" s="1"/>
      <c r="B562" s="33"/>
      <c r="C562" s="33"/>
      <c r="D562" s="33"/>
      <c r="E562" s="33"/>
      <c r="F562" s="33"/>
      <c r="G562" s="33"/>
      <c r="H562" s="1"/>
      <c r="I562" s="3"/>
      <c r="J562" s="3"/>
      <c r="K562" s="3"/>
      <c r="L562" s="4"/>
      <c r="M562" s="4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4"/>
    </row>
    <row r="563" spans="1:26" ht="14.25" customHeight="1">
      <c r="A563" s="1"/>
      <c r="B563" s="33"/>
      <c r="C563" s="33"/>
      <c r="D563" s="33"/>
      <c r="E563" s="33"/>
      <c r="F563" s="33"/>
      <c r="G563" s="33"/>
      <c r="H563" s="1"/>
      <c r="I563" s="3"/>
      <c r="J563" s="3"/>
      <c r="K563" s="3"/>
      <c r="L563" s="4"/>
      <c r="M563" s="4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4"/>
    </row>
    <row r="564" spans="1:26" ht="14.25" customHeight="1">
      <c r="A564" s="1"/>
      <c r="B564" s="33"/>
      <c r="C564" s="33"/>
      <c r="D564" s="33"/>
      <c r="E564" s="33"/>
      <c r="F564" s="33"/>
      <c r="G564" s="33"/>
      <c r="H564" s="1"/>
      <c r="I564" s="3"/>
      <c r="J564" s="3"/>
      <c r="K564" s="3"/>
      <c r="L564" s="4"/>
      <c r="M564" s="4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4"/>
    </row>
    <row r="565" spans="1:26" ht="14.25" customHeight="1">
      <c r="A565" s="1"/>
      <c r="B565" s="33"/>
      <c r="C565" s="33"/>
      <c r="D565" s="33"/>
      <c r="E565" s="33"/>
      <c r="F565" s="33"/>
      <c r="G565" s="33"/>
      <c r="H565" s="1"/>
      <c r="I565" s="3"/>
      <c r="J565" s="3"/>
      <c r="K565" s="3"/>
      <c r="L565" s="4"/>
      <c r="M565" s="4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4"/>
    </row>
    <row r="566" spans="1:26" ht="14.25" customHeight="1">
      <c r="A566" s="1"/>
      <c r="B566" s="33"/>
      <c r="C566" s="33"/>
      <c r="D566" s="33"/>
      <c r="E566" s="33"/>
      <c r="F566" s="33"/>
      <c r="G566" s="33"/>
      <c r="H566" s="1"/>
      <c r="I566" s="3"/>
      <c r="J566" s="3"/>
      <c r="K566" s="3"/>
      <c r="L566" s="4"/>
      <c r="M566" s="4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4"/>
    </row>
    <row r="567" spans="1:26" ht="14.25" customHeight="1">
      <c r="A567" s="1"/>
      <c r="B567" s="33"/>
      <c r="C567" s="33"/>
      <c r="D567" s="33"/>
      <c r="E567" s="33"/>
      <c r="F567" s="33"/>
      <c r="G567" s="33"/>
      <c r="H567" s="1"/>
      <c r="I567" s="3"/>
      <c r="J567" s="3"/>
      <c r="K567" s="3"/>
      <c r="L567" s="4"/>
      <c r="M567" s="4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4"/>
    </row>
    <row r="568" spans="1:26" ht="14.25" customHeight="1">
      <c r="A568" s="1"/>
      <c r="B568" s="33"/>
      <c r="C568" s="33"/>
      <c r="D568" s="33"/>
      <c r="E568" s="33"/>
      <c r="F568" s="33"/>
      <c r="G568" s="33"/>
      <c r="H568" s="1"/>
      <c r="I568" s="3"/>
      <c r="J568" s="3"/>
      <c r="K568" s="3"/>
      <c r="L568" s="4"/>
      <c r="M568" s="4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4"/>
    </row>
    <row r="569" spans="1:26" ht="14.25" customHeight="1">
      <c r="A569" s="1"/>
      <c r="B569" s="33"/>
      <c r="C569" s="33"/>
      <c r="D569" s="33"/>
      <c r="E569" s="33"/>
      <c r="F569" s="33"/>
      <c r="G569" s="33"/>
      <c r="H569" s="1"/>
      <c r="I569" s="3"/>
      <c r="J569" s="3"/>
      <c r="K569" s="3"/>
      <c r="L569" s="4"/>
      <c r="M569" s="4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4"/>
    </row>
    <row r="570" spans="1:26" ht="14.25" customHeight="1">
      <c r="A570" s="1"/>
      <c r="B570" s="33"/>
      <c r="C570" s="33"/>
      <c r="D570" s="33"/>
      <c r="E570" s="33"/>
      <c r="F570" s="33"/>
      <c r="G570" s="33"/>
      <c r="H570" s="1"/>
      <c r="I570" s="3"/>
      <c r="J570" s="3"/>
      <c r="K570" s="3"/>
      <c r="L570" s="4"/>
      <c r="M570" s="4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4"/>
    </row>
    <row r="571" spans="1:26" ht="14.25" customHeight="1">
      <c r="A571" s="1"/>
      <c r="B571" s="33"/>
      <c r="C571" s="33"/>
      <c r="D571" s="33"/>
      <c r="E571" s="33"/>
      <c r="F571" s="33"/>
      <c r="G571" s="33"/>
      <c r="H571" s="1"/>
      <c r="I571" s="3"/>
      <c r="J571" s="3"/>
      <c r="K571" s="3"/>
      <c r="L571" s="4"/>
      <c r="M571" s="4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4"/>
    </row>
    <row r="572" spans="1:26" ht="14.25" customHeight="1">
      <c r="A572" s="1"/>
      <c r="B572" s="33"/>
      <c r="C572" s="33"/>
      <c r="D572" s="33"/>
      <c r="E572" s="33"/>
      <c r="F572" s="33"/>
      <c r="G572" s="33"/>
      <c r="H572" s="1"/>
      <c r="I572" s="3"/>
      <c r="J572" s="3"/>
      <c r="K572" s="3"/>
      <c r="L572" s="4"/>
      <c r="M572" s="4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4"/>
    </row>
    <row r="573" spans="1:26" ht="14.25" customHeight="1">
      <c r="A573" s="1"/>
      <c r="B573" s="33"/>
      <c r="C573" s="33"/>
      <c r="D573" s="33"/>
      <c r="E573" s="33"/>
      <c r="F573" s="33"/>
      <c r="G573" s="33"/>
      <c r="H573" s="1"/>
      <c r="I573" s="3"/>
      <c r="J573" s="3"/>
      <c r="K573" s="3"/>
      <c r="L573" s="4"/>
      <c r="M573" s="4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4"/>
    </row>
    <row r="574" spans="1:26" ht="14.25" customHeight="1">
      <c r="A574" s="1"/>
      <c r="B574" s="33"/>
      <c r="C574" s="33"/>
      <c r="D574" s="33"/>
      <c r="E574" s="33"/>
      <c r="F574" s="33"/>
      <c r="G574" s="33"/>
      <c r="H574" s="1"/>
      <c r="I574" s="3"/>
      <c r="J574" s="3"/>
      <c r="K574" s="3"/>
      <c r="L574" s="4"/>
      <c r="M574" s="4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4"/>
    </row>
    <row r="575" spans="1:26" ht="14.25" customHeight="1">
      <c r="A575" s="1"/>
      <c r="B575" s="33"/>
      <c r="C575" s="33"/>
      <c r="D575" s="33"/>
      <c r="E575" s="33"/>
      <c r="F575" s="33"/>
      <c r="G575" s="33"/>
      <c r="H575" s="1"/>
      <c r="I575" s="3"/>
      <c r="J575" s="3"/>
      <c r="K575" s="3"/>
      <c r="L575" s="4"/>
      <c r="M575" s="4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4"/>
    </row>
    <row r="576" spans="1:26" ht="14.25" customHeight="1">
      <c r="A576" s="1"/>
      <c r="B576" s="33"/>
      <c r="C576" s="33"/>
      <c r="D576" s="33"/>
      <c r="E576" s="33"/>
      <c r="F576" s="33"/>
      <c r="G576" s="33"/>
      <c r="H576" s="1"/>
      <c r="I576" s="3"/>
      <c r="J576" s="3"/>
      <c r="K576" s="3"/>
      <c r="L576" s="4"/>
      <c r="M576" s="4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4"/>
    </row>
    <row r="577" spans="1:26" ht="14.25" customHeight="1">
      <c r="A577" s="1"/>
      <c r="B577" s="33"/>
      <c r="C577" s="33"/>
      <c r="D577" s="33"/>
      <c r="E577" s="33"/>
      <c r="F577" s="33"/>
      <c r="G577" s="33"/>
      <c r="H577" s="1"/>
      <c r="I577" s="3"/>
      <c r="J577" s="3"/>
      <c r="K577" s="3"/>
      <c r="L577" s="4"/>
      <c r="M577" s="4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4"/>
    </row>
    <row r="578" spans="1:26" ht="14.25" customHeight="1">
      <c r="A578" s="1"/>
      <c r="B578" s="33"/>
      <c r="C578" s="33"/>
      <c r="D578" s="33"/>
      <c r="E578" s="33"/>
      <c r="F578" s="33"/>
      <c r="G578" s="33"/>
      <c r="H578" s="1"/>
      <c r="I578" s="3"/>
      <c r="J578" s="3"/>
      <c r="K578" s="3"/>
      <c r="L578" s="4"/>
      <c r="M578" s="4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4"/>
    </row>
    <row r="579" spans="1:26" ht="14.25" customHeight="1">
      <c r="A579" s="1"/>
      <c r="B579" s="33"/>
      <c r="C579" s="33"/>
      <c r="D579" s="33"/>
      <c r="E579" s="33"/>
      <c r="F579" s="33"/>
      <c r="G579" s="33"/>
      <c r="H579" s="1"/>
      <c r="I579" s="3"/>
      <c r="J579" s="3"/>
      <c r="K579" s="3"/>
      <c r="L579" s="4"/>
      <c r="M579" s="4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4"/>
    </row>
    <row r="580" spans="1:26" ht="14.25" customHeight="1">
      <c r="A580" s="1"/>
      <c r="B580" s="33"/>
      <c r="C580" s="33"/>
      <c r="D580" s="33"/>
      <c r="E580" s="33"/>
      <c r="F580" s="33"/>
      <c r="G580" s="33"/>
      <c r="H580" s="1"/>
      <c r="I580" s="3"/>
      <c r="J580" s="3"/>
      <c r="K580" s="3"/>
      <c r="L580" s="4"/>
      <c r="M580" s="4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4"/>
    </row>
    <row r="581" spans="1:26" ht="14.25" customHeight="1">
      <c r="A581" s="1"/>
      <c r="B581" s="33"/>
      <c r="C581" s="33"/>
      <c r="D581" s="33"/>
      <c r="E581" s="33"/>
      <c r="F581" s="33"/>
      <c r="G581" s="33"/>
      <c r="H581" s="1"/>
      <c r="I581" s="3"/>
      <c r="J581" s="3"/>
      <c r="K581" s="3"/>
      <c r="L581" s="4"/>
      <c r="M581" s="4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4"/>
    </row>
    <row r="582" spans="1:26" ht="14.25" customHeight="1">
      <c r="A582" s="1"/>
      <c r="B582" s="33"/>
      <c r="C582" s="33"/>
      <c r="D582" s="33"/>
      <c r="E582" s="33"/>
      <c r="F582" s="33"/>
      <c r="G582" s="33"/>
      <c r="H582" s="1"/>
      <c r="I582" s="3"/>
      <c r="J582" s="3"/>
      <c r="K582" s="3"/>
      <c r="L582" s="4"/>
      <c r="M582" s="4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4"/>
    </row>
    <row r="583" spans="1:26" ht="14.25" customHeight="1">
      <c r="A583" s="1"/>
      <c r="B583" s="33"/>
      <c r="C583" s="33"/>
      <c r="D583" s="33"/>
      <c r="E583" s="33"/>
      <c r="F583" s="33"/>
      <c r="G583" s="33"/>
      <c r="H583" s="1"/>
      <c r="I583" s="3"/>
      <c r="J583" s="3"/>
      <c r="K583" s="3"/>
      <c r="L583" s="4"/>
      <c r="M583" s="4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4"/>
    </row>
    <row r="584" spans="1:26" ht="14.25" customHeight="1">
      <c r="A584" s="1"/>
      <c r="B584" s="33"/>
      <c r="C584" s="33"/>
      <c r="D584" s="33"/>
      <c r="E584" s="33"/>
      <c r="F584" s="33"/>
      <c r="G584" s="33"/>
      <c r="H584" s="1"/>
      <c r="I584" s="3"/>
      <c r="J584" s="3"/>
      <c r="K584" s="3"/>
      <c r="L584" s="4"/>
      <c r="M584" s="4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4"/>
    </row>
    <row r="585" spans="1:26" ht="14.25" customHeight="1">
      <c r="A585" s="1"/>
      <c r="B585" s="33"/>
      <c r="C585" s="33"/>
      <c r="D585" s="33"/>
      <c r="E585" s="33"/>
      <c r="F585" s="33"/>
      <c r="G585" s="33"/>
      <c r="H585" s="1"/>
      <c r="I585" s="3"/>
      <c r="J585" s="3"/>
      <c r="K585" s="3"/>
      <c r="L585" s="4"/>
      <c r="M585" s="4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4"/>
    </row>
    <row r="586" spans="1:26" ht="14.25" customHeight="1">
      <c r="A586" s="1"/>
      <c r="B586" s="33"/>
      <c r="C586" s="33"/>
      <c r="D586" s="33"/>
      <c r="E586" s="33"/>
      <c r="F586" s="33"/>
      <c r="G586" s="33"/>
      <c r="H586" s="1"/>
      <c r="I586" s="3"/>
      <c r="J586" s="3"/>
      <c r="K586" s="3"/>
      <c r="L586" s="4"/>
      <c r="M586" s="4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4"/>
    </row>
    <row r="587" spans="1:26" ht="14.25" customHeight="1">
      <c r="A587" s="1"/>
      <c r="B587" s="33"/>
      <c r="C587" s="33"/>
      <c r="D587" s="33"/>
      <c r="E587" s="33"/>
      <c r="F587" s="33"/>
      <c r="G587" s="33"/>
      <c r="H587" s="1"/>
      <c r="I587" s="3"/>
      <c r="J587" s="3"/>
      <c r="K587" s="3"/>
      <c r="L587" s="4"/>
      <c r="M587" s="4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4"/>
    </row>
    <row r="588" spans="1:26" ht="14.25" customHeight="1">
      <c r="A588" s="1"/>
      <c r="B588" s="33"/>
      <c r="C588" s="33"/>
      <c r="D588" s="33"/>
      <c r="E588" s="33"/>
      <c r="F588" s="33"/>
      <c r="G588" s="33"/>
      <c r="H588" s="1"/>
      <c r="I588" s="3"/>
      <c r="J588" s="3"/>
      <c r="K588" s="3"/>
      <c r="L588" s="4"/>
      <c r="M588" s="4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4"/>
    </row>
    <row r="589" spans="1:26" ht="14.25" customHeight="1">
      <c r="A589" s="1"/>
      <c r="B589" s="33"/>
      <c r="C589" s="33"/>
      <c r="D589" s="33"/>
      <c r="E589" s="33"/>
      <c r="F589" s="33"/>
      <c r="G589" s="33"/>
      <c r="H589" s="1"/>
      <c r="I589" s="3"/>
      <c r="J589" s="3"/>
      <c r="K589" s="3"/>
      <c r="L589" s="4"/>
      <c r="M589" s="4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4"/>
    </row>
    <row r="590" spans="1:26" ht="14.25" customHeight="1">
      <c r="A590" s="1"/>
      <c r="B590" s="33"/>
      <c r="C590" s="33"/>
      <c r="D590" s="33"/>
      <c r="E590" s="33"/>
      <c r="F590" s="33"/>
      <c r="G590" s="33"/>
      <c r="H590" s="1"/>
      <c r="I590" s="3"/>
      <c r="J590" s="3"/>
      <c r="K590" s="3"/>
      <c r="L590" s="4"/>
      <c r="M590" s="4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4"/>
    </row>
    <row r="591" spans="1:26" ht="14.25" customHeight="1">
      <c r="A591" s="1"/>
      <c r="B591" s="33"/>
      <c r="C591" s="33"/>
      <c r="D591" s="33"/>
      <c r="E591" s="33"/>
      <c r="F591" s="33"/>
      <c r="G591" s="33"/>
      <c r="H591" s="1"/>
      <c r="I591" s="3"/>
      <c r="J591" s="3"/>
      <c r="K591" s="3"/>
      <c r="L591" s="4"/>
      <c r="M591" s="4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4"/>
    </row>
    <row r="592" spans="1:26" ht="14.25" customHeight="1">
      <c r="A592" s="1"/>
      <c r="B592" s="33"/>
      <c r="C592" s="33"/>
      <c r="D592" s="33"/>
      <c r="E592" s="33"/>
      <c r="F592" s="33"/>
      <c r="G592" s="33"/>
      <c r="H592" s="1"/>
      <c r="I592" s="3"/>
      <c r="J592" s="3"/>
      <c r="K592" s="3"/>
      <c r="L592" s="4"/>
      <c r="M592" s="4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4"/>
    </row>
    <row r="593" spans="1:26" ht="14.25" customHeight="1">
      <c r="A593" s="1"/>
      <c r="B593" s="33"/>
      <c r="C593" s="33"/>
      <c r="D593" s="33"/>
      <c r="E593" s="33"/>
      <c r="F593" s="33"/>
      <c r="G593" s="33"/>
      <c r="H593" s="1"/>
      <c r="I593" s="3"/>
      <c r="J593" s="3"/>
      <c r="K593" s="3"/>
      <c r="L593" s="4"/>
      <c r="M593" s="4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4"/>
    </row>
    <row r="594" spans="1:26" ht="14.25" customHeight="1">
      <c r="A594" s="1"/>
      <c r="B594" s="33"/>
      <c r="C594" s="33"/>
      <c r="D594" s="33"/>
      <c r="E594" s="33"/>
      <c r="F594" s="33"/>
      <c r="G594" s="33"/>
      <c r="H594" s="1"/>
      <c r="I594" s="3"/>
      <c r="J594" s="3"/>
      <c r="K594" s="3"/>
      <c r="L594" s="4"/>
      <c r="M594" s="4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4"/>
    </row>
    <row r="595" spans="1:26" ht="14.25" customHeight="1">
      <c r="A595" s="1"/>
      <c r="B595" s="33"/>
      <c r="C595" s="33"/>
      <c r="D595" s="33"/>
      <c r="E595" s="33"/>
      <c r="F595" s="33"/>
      <c r="G595" s="33"/>
      <c r="H595" s="1"/>
      <c r="I595" s="3"/>
      <c r="J595" s="3"/>
      <c r="K595" s="3"/>
      <c r="L595" s="4"/>
      <c r="M595" s="4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4"/>
    </row>
    <row r="596" spans="1:26" ht="14.25" customHeight="1">
      <c r="A596" s="1"/>
      <c r="B596" s="33"/>
      <c r="C596" s="33"/>
      <c r="D596" s="33"/>
      <c r="E596" s="33"/>
      <c r="F596" s="33"/>
      <c r="G596" s="33"/>
      <c r="H596" s="1"/>
      <c r="I596" s="3"/>
      <c r="J596" s="3"/>
      <c r="K596" s="3"/>
      <c r="L596" s="4"/>
      <c r="M596" s="4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4"/>
    </row>
    <row r="597" spans="1:26" ht="14.25" customHeight="1">
      <c r="A597" s="1"/>
      <c r="B597" s="33"/>
      <c r="C597" s="33"/>
      <c r="D597" s="33"/>
      <c r="E597" s="33"/>
      <c r="F597" s="33"/>
      <c r="G597" s="33"/>
      <c r="H597" s="1"/>
      <c r="I597" s="3"/>
      <c r="J597" s="3"/>
      <c r="K597" s="3"/>
      <c r="L597" s="4"/>
      <c r="M597" s="4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4"/>
    </row>
    <row r="598" spans="1:26" ht="14.25" customHeight="1">
      <c r="A598" s="1"/>
      <c r="B598" s="33"/>
      <c r="C598" s="33"/>
      <c r="D598" s="33"/>
      <c r="E598" s="33"/>
      <c r="F598" s="33"/>
      <c r="G598" s="33"/>
      <c r="H598" s="1"/>
      <c r="I598" s="3"/>
      <c r="J598" s="3"/>
      <c r="K598" s="3"/>
      <c r="L598" s="4"/>
      <c r="M598" s="4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4"/>
    </row>
    <row r="599" spans="1:26" ht="14.25" customHeight="1">
      <c r="A599" s="1"/>
      <c r="B599" s="33"/>
      <c r="C599" s="33"/>
      <c r="D599" s="33"/>
      <c r="E599" s="33"/>
      <c r="F599" s="33"/>
      <c r="G599" s="33"/>
      <c r="H599" s="1"/>
      <c r="I599" s="3"/>
      <c r="J599" s="3"/>
      <c r="K599" s="3"/>
      <c r="L599" s="4"/>
      <c r="M599" s="4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4"/>
    </row>
    <row r="600" spans="1:26" ht="14.25" customHeight="1">
      <c r="A600" s="1"/>
      <c r="B600" s="33"/>
      <c r="C600" s="33"/>
      <c r="D600" s="33"/>
      <c r="E600" s="33"/>
      <c r="F600" s="33"/>
      <c r="G600" s="33"/>
      <c r="H600" s="1"/>
      <c r="I600" s="3"/>
      <c r="J600" s="3"/>
      <c r="K600" s="3"/>
      <c r="L600" s="4"/>
      <c r="M600" s="4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4"/>
    </row>
    <row r="601" spans="1:26" ht="14.25" customHeight="1">
      <c r="A601" s="1"/>
      <c r="B601" s="33"/>
      <c r="C601" s="33"/>
      <c r="D601" s="33"/>
      <c r="E601" s="33"/>
      <c r="F601" s="33"/>
      <c r="G601" s="33"/>
      <c r="H601" s="1"/>
      <c r="I601" s="3"/>
      <c r="J601" s="3"/>
      <c r="K601" s="3"/>
      <c r="L601" s="4"/>
      <c r="M601" s="4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4"/>
    </row>
    <row r="602" spans="1:26" ht="14.25" customHeight="1">
      <c r="A602" s="1"/>
      <c r="B602" s="33"/>
      <c r="C602" s="33"/>
      <c r="D602" s="33"/>
      <c r="E602" s="33"/>
      <c r="F602" s="33"/>
      <c r="G602" s="33"/>
      <c r="H602" s="1"/>
      <c r="I602" s="3"/>
      <c r="J602" s="3"/>
      <c r="K602" s="3"/>
      <c r="L602" s="4"/>
      <c r="M602" s="4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4"/>
    </row>
    <row r="603" spans="1:26" ht="14.25" customHeight="1">
      <c r="A603" s="1"/>
      <c r="B603" s="33"/>
      <c r="C603" s="33"/>
      <c r="D603" s="33"/>
      <c r="E603" s="33"/>
      <c r="F603" s="33"/>
      <c r="G603" s="33"/>
      <c r="H603" s="1"/>
      <c r="I603" s="3"/>
      <c r="J603" s="3"/>
      <c r="K603" s="3"/>
      <c r="L603" s="4"/>
      <c r="M603" s="4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4"/>
    </row>
    <row r="604" spans="1:26" ht="14.25" customHeight="1">
      <c r="A604" s="1"/>
      <c r="B604" s="33"/>
      <c r="C604" s="33"/>
      <c r="D604" s="33"/>
      <c r="E604" s="33"/>
      <c r="F604" s="33"/>
      <c r="G604" s="33"/>
      <c r="H604" s="1"/>
      <c r="I604" s="3"/>
      <c r="J604" s="3"/>
      <c r="K604" s="3"/>
      <c r="L604" s="4"/>
      <c r="M604" s="4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4"/>
    </row>
    <row r="605" spans="1:26" ht="14.25" customHeight="1">
      <c r="A605" s="1"/>
      <c r="B605" s="33"/>
      <c r="C605" s="33"/>
      <c r="D605" s="33"/>
      <c r="E605" s="33"/>
      <c r="F605" s="33"/>
      <c r="G605" s="33"/>
      <c r="H605" s="1"/>
      <c r="I605" s="3"/>
      <c r="J605" s="3"/>
      <c r="K605" s="3"/>
      <c r="L605" s="4"/>
      <c r="M605" s="4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4"/>
    </row>
    <row r="606" spans="1:26" ht="14.25" customHeight="1">
      <c r="A606" s="1"/>
      <c r="B606" s="33"/>
      <c r="C606" s="33"/>
      <c r="D606" s="33"/>
      <c r="E606" s="33"/>
      <c r="F606" s="33"/>
      <c r="G606" s="33"/>
      <c r="H606" s="1"/>
      <c r="I606" s="3"/>
      <c r="J606" s="3"/>
      <c r="K606" s="3"/>
      <c r="L606" s="4"/>
      <c r="M606" s="4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4"/>
    </row>
    <row r="607" spans="1:26" ht="14.25" customHeight="1">
      <c r="A607" s="1"/>
      <c r="B607" s="33"/>
      <c r="C607" s="33"/>
      <c r="D607" s="33"/>
      <c r="E607" s="33"/>
      <c r="F607" s="33"/>
      <c r="G607" s="33"/>
      <c r="H607" s="1"/>
      <c r="I607" s="3"/>
      <c r="J607" s="3"/>
      <c r="K607" s="3"/>
      <c r="L607" s="4"/>
      <c r="M607" s="4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4"/>
    </row>
    <row r="608" spans="1:26" ht="14.25" customHeight="1">
      <c r="A608" s="1"/>
      <c r="B608" s="33"/>
      <c r="C608" s="33"/>
      <c r="D608" s="33"/>
      <c r="E608" s="33"/>
      <c r="F608" s="33"/>
      <c r="G608" s="33"/>
      <c r="H608" s="1"/>
      <c r="I608" s="3"/>
      <c r="J608" s="3"/>
      <c r="K608" s="3"/>
      <c r="L608" s="4"/>
      <c r="M608" s="4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4"/>
    </row>
    <row r="609" spans="1:26" ht="14.25" customHeight="1">
      <c r="A609" s="1"/>
      <c r="B609" s="33"/>
      <c r="C609" s="33"/>
      <c r="D609" s="33"/>
      <c r="E609" s="33"/>
      <c r="F609" s="33"/>
      <c r="G609" s="33"/>
      <c r="H609" s="1"/>
      <c r="I609" s="3"/>
      <c r="J609" s="3"/>
      <c r="K609" s="3"/>
      <c r="L609" s="4"/>
      <c r="M609" s="4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4"/>
    </row>
    <row r="610" spans="1:26" ht="14.25" customHeight="1">
      <c r="A610" s="1"/>
      <c r="B610" s="33"/>
      <c r="C610" s="33"/>
      <c r="D610" s="33"/>
      <c r="E610" s="33"/>
      <c r="F610" s="33"/>
      <c r="G610" s="33"/>
      <c r="H610" s="1"/>
      <c r="I610" s="3"/>
      <c r="J610" s="3"/>
      <c r="K610" s="3"/>
      <c r="L610" s="4"/>
      <c r="M610" s="4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4"/>
    </row>
    <row r="611" spans="1:26" ht="14.25" customHeight="1">
      <c r="A611" s="1"/>
      <c r="B611" s="33"/>
      <c r="C611" s="33"/>
      <c r="D611" s="33"/>
      <c r="E611" s="33"/>
      <c r="F611" s="33"/>
      <c r="G611" s="33"/>
      <c r="H611" s="1"/>
      <c r="I611" s="3"/>
      <c r="J611" s="3"/>
      <c r="K611" s="3"/>
      <c r="L611" s="4"/>
      <c r="M611" s="4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4"/>
    </row>
    <row r="612" spans="1:26" ht="14.25" customHeight="1">
      <c r="A612" s="1"/>
      <c r="B612" s="33"/>
      <c r="C612" s="33"/>
      <c r="D612" s="33"/>
      <c r="E612" s="33"/>
      <c r="F612" s="33"/>
      <c r="G612" s="33"/>
      <c r="H612" s="1"/>
      <c r="I612" s="3"/>
      <c r="J612" s="3"/>
      <c r="K612" s="3"/>
      <c r="L612" s="4"/>
      <c r="M612" s="4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4"/>
    </row>
    <row r="613" spans="1:26" ht="14.25" customHeight="1">
      <c r="A613" s="1"/>
      <c r="B613" s="33"/>
      <c r="C613" s="33"/>
      <c r="D613" s="33"/>
      <c r="E613" s="33"/>
      <c r="F613" s="33"/>
      <c r="G613" s="33"/>
      <c r="H613" s="1"/>
      <c r="I613" s="3"/>
      <c r="J613" s="3"/>
      <c r="K613" s="3"/>
      <c r="L613" s="4"/>
      <c r="M613" s="4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4"/>
    </row>
    <row r="614" spans="1:26" ht="14.25" customHeight="1">
      <c r="A614" s="1"/>
      <c r="B614" s="33"/>
      <c r="C614" s="33"/>
      <c r="D614" s="33"/>
      <c r="E614" s="33"/>
      <c r="F614" s="33"/>
      <c r="G614" s="33"/>
      <c r="H614" s="1"/>
      <c r="I614" s="3"/>
      <c r="J614" s="3"/>
      <c r="K614" s="3"/>
      <c r="L614" s="4"/>
      <c r="M614" s="4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4"/>
    </row>
    <row r="615" spans="1:26" ht="14.25" customHeight="1">
      <c r="A615" s="1"/>
      <c r="B615" s="33"/>
      <c r="C615" s="33"/>
      <c r="D615" s="33"/>
      <c r="E615" s="33"/>
      <c r="F615" s="33"/>
      <c r="G615" s="33"/>
      <c r="H615" s="1"/>
      <c r="I615" s="3"/>
      <c r="J615" s="3"/>
      <c r="K615" s="3"/>
      <c r="L615" s="4"/>
      <c r="M615" s="4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4"/>
    </row>
    <row r="616" spans="1:26" ht="14.25" customHeight="1">
      <c r="A616" s="1"/>
      <c r="B616" s="33"/>
      <c r="C616" s="33"/>
      <c r="D616" s="33"/>
      <c r="E616" s="33"/>
      <c r="F616" s="33"/>
      <c r="G616" s="33"/>
      <c r="H616" s="1"/>
      <c r="I616" s="3"/>
      <c r="J616" s="3"/>
      <c r="K616" s="3"/>
      <c r="L616" s="4"/>
      <c r="M616" s="4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4"/>
    </row>
    <row r="617" spans="1:26" ht="14.25" customHeight="1">
      <c r="A617" s="1"/>
      <c r="B617" s="33"/>
      <c r="C617" s="33"/>
      <c r="D617" s="33"/>
      <c r="E617" s="33"/>
      <c r="F617" s="33"/>
      <c r="G617" s="33"/>
      <c r="H617" s="1"/>
      <c r="I617" s="3"/>
      <c r="J617" s="3"/>
      <c r="K617" s="3"/>
      <c r="L617" s="4"/>
      <c r="M617" s="4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4"/>
    </row>
    <row r="618" spans="1:26" ht="14.25" customHeight="1">
      <c r="A618" s="1"/>
      <c r="B618" s="33"/>
      <c r="C618" s="33"/>
      <c r="D618" s="33"/>
      <c r="E618" s="33"/>
      <c r="F618" s="33"/>
      <c r="G618" s="33"/>
      <c r="H618" s="1"/>
      <c r="I618" s="3"/>
      <c r="J618" s="3"/>
      <c r="K618" s="3"/>
      <c r="L618" s="4"/>
      <c r="M618" s="4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4"/>
    </row>
    <row r="619" spans="1:26" ht="14.25" customHeight="1">
      <c r="A619" s="1"/>
      <c r="B619" s="33"/>
      <c r="C619" s="33"/>
      <c r="D619" s="33"/>
      <c r="E619" s="33"/>
      <c r="F619" s="33"/>
      <c r="G619" s="33"/>
      <c r="H619" s="1"/>
      <c r="I619" s="3"/>
      <c r="J619" s="3"/>
      <c r="K619" s="3"/>
      <c r="L619" s="4"/>
      <c r="M619" s="4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4"/>
    </row>
    <row r="620" spans="1:26" ht="14.25" customHeight="1">
      <c r="A620" s="1"/>
      <c r="B620" s="33"/>
      <c r="C620" s="33"/>
      <c r="D620" s="33"/>
      <c r="E620" s="33"/>
      <c r="F620" s="33"/>
      <c r="G620" s="33"/>
      <c r="H620" s="1"/>
      <c r="I620" s="3"/>
      <c r="J620" s="3"/>
      <c r="K620" s="3"/>
      <c r="L620" s="4"/>
      <c r="M620" s="4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4"/>
    </row>
    <row r="621" spans="1:26" ht="14.25" customHeight="1">
      <c r="A621" s="1"/>
      <c r="B621" s="33"/>
      <c r="C621" s="33"/>
      <c r="D621" s="33"/>
      <c r="E621" s="33"/>
      <c r="F621" s="33"/>
      <c r="G621" s="33"/>
      <c r="H621" s="1"/>
      <c r="I621" s="3"/>
      <c r="J621" s="3"/>
      <c r="K621" s="3"/>
      <c r="L621" s="4"/>
      <c r="M621" s="4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4"/>
    </row>
    <row r="622" spans="1:26" ht="14.25" customHeight="1">
      <c r="A622" s="1"/>
      <c r="B622" s="33"/>
      <c r="C622" s="33"/>
      <c r="D622" s="33"/>
      <c r="E622" s="33"/>
      <c r="F622" s="33"/>
      <c r="G622" s="33"/>
      <c r="H622" s="1"/>
      <c r="I622" s="3"/>
      <c r="J622" s="3"/>
      <c r="K622" s="3"/>
      <c r="L622" s="4"/>
      <c r="M622" s="4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4"/>
    </row>
    <row r="623" spans="1:26" ht="14.25" customHeight="1">
      <c r="A623" s="1"/>
      <c r="B623" s="33"/>
      <c r="C623" s="33"/>
      <c r="D623" s="33"/>
      <c r="E623" s="33"/>
      <c r="F623" s="33"/>
      <c r="G623" s="33"/>
      <c r="H623" s="1"/>
      <c r="I623" s="3"/>
      <c r="J623" s="3"/>
      <c r="K623" s="3"/>
      <c r="L623" s="4"/>
      <c r="M623" s="4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4"/>
    </row>
    <row r="624" spans="1:26" ht="14.25" customHeight="1">
      <c r="A624" s="1"/>
      <c r="B624" s="33"/>
      <c r="C624" s="33"/>
      <c r="D624" s="33"/>
      <c r="E624" s="33"/>
      <c r="F624" s="33"/>
      <c r="G624" s="33"/>
      <c r="H624" s="1"/>
      <c r="I624" s="3"/>
      <c r="J624" s="3"/>
      <c r="K624" s="3"/>
      <c r="L624" s="4"/>
      <c r="M624" s="4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4"/>
    </row>
    <row r="625" spans="1:26" ht="14.25" customHeight="1">
      <c r="A625" s="1"/>
      <c r="B625" s="33"/>
      <c r="C625" s="33"/>
      <c r="D625" s="33"/>
      <c r="E625" s="33"/>
      <c r="F625" s="33"/>
      <c r="G625" s="33"/>
      <c r="H625" s="1"/>
      <c r="I625" s="3"/>
      <c r="J625" s="3"/>
      <c r="K625" s="3"/>
      <c r="L625" s="4"/>
      <c r="M625" s="4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4"/>
    </row>
    <row r="626" spans="1:26" ht="14.25" customHeight="1">
      <c r="A626" s="1"/>
      <c r="B626" s="33"/>
      <c r="C626" s="33"/>
      <c r="D626" s="33"/>
      <c r="E626" s="33"/>
      <c r="F626" s="33"/>
      <c r="G626" s="33"/>
      <c r="H626" s="1"/>
      <c r="I626" s="3"/>
      <c r="J626" s="3"/>
      <c r="K626" s="3"/>
      <c r="L626" s="4"/>
      <c r="M626" s="4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4"/>
    </row>
    <row r="627" spans="1:26" ht="14.25" customHeight="1">
      <c r="A627" s="1"/>
      <c r="B627" s="33"/>
      <c r="C627" s="33"/>
      <c r="D627" s="33"/>
      <c r="E627" s="33"/>
      <c r="F627" s="33"/>
      <c r="G627" s="33"/>
      <c r="H627" s="1"/>
      <c r="I627" s="3"/>
      <c r="J627" s="3"/>
      <c r="K627" s="3"/>
      <c r="L627" s="4"/>
      <c r="M627" s="4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4"/>
    </row>
    <row r="628" spans="1:26" ht="14.25" customHeight="1">
      <c r="A628" s="1"/>
      <c r="B628" s="33"/>
      <c r="C628" s="33"/>
      <c r="D628" s="33"/>
      <c r="E628" s="33"/>
      <c r="F628" s="33"/>
      <c r="G628" s="33"/>
      <c r="H628" s="1"/>
      <c r="I628" s="3"/>
      <c r="J628" s="3"/>
      <c r="K628" s="3"/>
      <c r="L628" s="4"/>
      <c r="M628" s="4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4"/>
    </row>
    <row r="629" spans="1:26" ht="14.25" customHeight="1">
      <c r="A629" s="1"/>
      <c r="B629" s="33"/>
      <c r="C629" s="33"/>
      <c r="D629" s="33"/>
      <c r="E629" s="33"/>
      <c r="F629" s="33"/>
      <c r="G629" s="33"/>
      <c r="H629" s="1"/>
      <c r="I629" s="3"/>
      <c r="J629" s="3"/>
      <c r="K629" s="3"/>
      <c r="L629" s="4"/>
      <c r="M629" s="4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4"/>
    </row>
    <row r="630" spans="1:26" ht="14.25" customHeight="1">
      <c r="A630" s="1"/>
      <c r="B630" s="33"/>
      <c r="C630" s="33"/>
      <c r="D630" s="33"/>
      <c r="E630" s="33"/>
      <c r="F630" s="33"/>
      <c r="G630" s="33"/>
      <c r="H630" s="1"/>
      <c r="I630" s="3"/>
      <c r="J630" s="3"/>
      <c r="K630" s="3"/>
      <c r="L630" s="4"/>
      <c r="M630" s="4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4"/>
    </row>
    <row r="631" spans="1:26" ht="14.25" customHeight="1">
      <c r="A631" s="1"/>
      <c r="B631" s="33"/>
      <c r="C631" s="33"/>
      <c r="D631" s="33"/>
      <c r="E631" s="33"/>
      <c r="F631" s="33"/>
      <c r="G631" s="33"/>
      <c r="H631" s="1"/>
      <c r="I631" s="3"/>
      <c r="J631" s="3"/>
      <c r="K631" s="3"/>
      <c r="L631" s="4"/>
      <c r="M631" s="4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4"/>
    </row>
    <row r="632" spans="1:26" ht="14.25" customHeight="1">
      <c r="A632" s="1"/>
      <c r="B632" s="33"/>
      <c r="C632" s="33"/>
      <c r="D632" s="33"/>
      <c r="E632" s="33"/>
      <c r="F632" s="33"/>
      <c r="G632" s="33"/>
      <c r="H632" s="1"/>
      <c r="I632" s="3"/>
      <c r="J632" s="3"/>
      <c r="K632" s="3"/>
      <c r="L632" s="4"/>
      <c r="M632" s="4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4"/>
    </row>
    <row r="633" spans="1:26" ht="14.25" customHeight="1">
      <c r="A633" s="1"/>
      <c r="B633" s="33"/>
      <c r="C633" s="33"/>
      <c r="D633" s="33"/>
      <c r="E633" s="33"/>
      <c r="F633" s="33"/>
      <c r="G633" s="33"/>
      <c r="H633" s="1"/>
      <c r="I633" s="3"/>
      <c r="J633" s="3"/>
      <c r="K633" s="3"/>
      <c r="L633" s="4"/>
      <c r="M633" s="4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4"/>
    </row>
    <row r="634" spans="1:26" ht="14.25" customHeight="1">
      <c r="A634" s="1"/>
      <c r="B634" s="33"/>
      <c r="C634" s="33"/>
      <c r="D634" s="33"/>
      <c r="E634" s="33"/>
      <c r="F634" s="33"/>
      <c r="G634" s="33"/>
      <c r="H634" s="1"/>
      <c r="I634" s="3"/>
      <c r="J634" s="3"/>
      <c r="K634" s="3"/>
      <c r="L634" s="4"/>
      <c r="M634" s="4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4"/>
    </row>
    <row r="635" spans="1:26" ht="14.25" customHeight="1">
      <c r="A635" s="1"/>
      <c r="B635" s="33"/>
      <c r="C635" s="33"/>
      <c r="D635" s="33"/>
      <c r="E635" s="33"/>
      <c r="F635" s="33"/>
      <c r="G635" s="33"/>
      <c r="H635" s="1"/>
      <c r="I635" s="3"/>
      <c r="J635" s="3"/>
      <c r="K635" s="3"/>
      <c r="L635" s="4"/>
      <c r="M635" s="4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4"/>
    </row>
    <row r="636" spans="1:26" ht="14.25" customHeight="1">
      <c r="A636" s="1"/>
      <c r="B636" s="33"/>
      <c r="C636" s="33"/>
      <c r="D636" s="33"/>
      <c r="E636" s="33"/>
      <c r="F636" s="33"/>
      <c r="G636" s="33"/>
      <c r="H636" s="1"/>
      <c r="I636" s="3"/>
      <c r="J636" s="3"/>
      <c r="K636" s="3"/>
      <c r="L636" s="4"/>
      <c r="M636" s="4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4"/>
    </row>
    <row r="637" spans="1:26" ht="14.25" customHeight="1">
      <c r="A637" s="1"/>
      <c r="B637" s="33"/>
      <c r="C637" s="33"/>
      <c r="D637" s="33"/>
      <c r="E637" s="33"/>
      <c r="F637" s="33"/>
      <c r="G637" s="33"/>
      <c r="H637" s="1"/>
      <c r="I637" s="3"/>
      <c r="J637" s="3"/>
      <c r="K637" s="3"/>
      <c r="L637" s="4"/>
      <c r="M637" s="4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4"/>
    </row>
    <row r="638" spans="1:26" ht="14.25" customHeight="1">
      <c r="A638" s="1"/>
      <c r="B638" s="33"/>
      <c r="C638" s="33"/>
      <c r="D638" s="33"/>
      <c r="E638" s="33"/>
      <c r="F638" s="33"/>
      <c r="G638" s="33"/>
      <c r="H638" s="1"/>
      <c r="I638" s="3"/>
      <c r="J638" s="3"/>
      <c r="K638" s="3"/>
      <c r="L638" s="4"/>
      <c r="M638" s="4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4"/>
    </row>
    <row r="639" spans="1:26" ht="14.25" customHeight="1">
      <c r="A639" s="1"/>
      <c r="B639" s="33"/>
      <c r="C639" s="33"/>
      <c r="D639" s="33"/>
      <c r="E639" s="33"/>
      <c r="F639" s="33"/>
      <c r="G639" s="33"/>
      <c r="H639" s="1"/>
      <c r="I639" s="3"/>
      <c r="J639" s="3"/>
      <c r="K639" s="3"/>
      <c r="L639" s="4"/>
      <c r="M639" s="4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4"/>
    </row>
    <row r="640" spans="1:26" ht="14.25" customHeight="1">
      <c r="A640" s="1"/>
      <c r="B640" s="33"/>
      <c r="C640" s="33"/>
      <c r="D640" s="33"/>
      <c r="E640" s="33"/>
      <c r="F640" s="33"/>
      <c r="G640" s="33"/>
      <c r="H640" s="1"/>
      <c r="I640" s="3"/>
      <c r="J640" s="3"/>
      <c r="K640" s="3"/>
      <c r="L640" s="4"/>
      <c r="M640" s="4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4"/>
    </row>
    <row r="641" spans="1:26" ht="14.25" customHeight="1">
      <c r="A641" s="1"/>
      <c r="B641" s="33"/>
      <c r="C641" s="33"/>
      <c r="D641" s="33"/>
      <c r="E641" s="33"/>
      <c r="F641" s="33"/>
      <c r="G641" s="33"/>
      <c r="H641" s="1"/>
      <c r="I641" s="3"/>
      <c r="J641" s="3"/>
      <c r="K641" s="3"/>
      <c r="L641" s="4"/>
      <c r="M641" s="4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4"/>
    </row>
    <row r="642" spans="1:26" ht="14.25" customHeight="1">
      <c r="A642" s="1"/>
      <c r="B642" s="33"/>
      <c r="C642" s="33"/>
      <c r="D642" s="33"/>
      <c r="E642" s="33"/>
      <c r="F642" s="33"/>
      <c r="G642" s="33"/>
      <c r="H642" s="1"/>
      <c r="I642" s="3"/>
      <c r="J642" s="3"/>
      <c r="K642" s="3"/>
      <c r="L642" s="4"/>
      <c r="M642" s="4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4"/>
    </row>
    <row r="643" spans="1:26" ht="14.25" customHeight="1">
      <c r="A643" s="1"/>
      <c r="B643" s="33"/>
      <c r="C643" s="33"/>
      <c r="D643" s="33"/>
      <c r="E643" s="33"/>
      <c r="F643" s="33"/>
      <c r="G643" s="33"/>
      <c r="H643" s="1"/>
      <c r="I643" s="3"/>
      <c r="J643" s="3"/>
      <c r="K643" s="3"/>
      <c r="L643" s="4"/>
      <c r="M643" s="4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4"/>
    </row>
    <row r="644" spans="1:26" ht="14.25" customHeight="1">
      <c r="A644" s="1"/>
      <c r="B644" s="33"/>
      <c r="C644" s="33"/>
      <c r="D644" s="33"/>
      <c r="E644" s="33"/>
      <c r="F644" s="33"/>
      <c r="G644" s="33"/>
      <c r="H644" s="1"/>
      <c r="I644" s="3"/>
      <c r="J644" s="3"/>
      <c r="K644" s="3"/>
      <c r="L644" s="4"/>
      <c r="M644" s="4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4"/>
    </row>
    <row r="645" spans="1:26" ht="14.25" customHeight="1">
      <c r="A645" s="1"/>
      <c r="B645" s="33"/>
      <c r="C645" s="33"/>
      <c r="D645" s="33"/>
      <c r="E645" s="33"/>
      <c r="F645" s="33"/>
      <c r="G645" s="33"/>
      <c r="H645" s="1"/>
      <c r="I645" s="3"/>
      <c r="J645" s="3"/>
      <c r="K645" s="3"/>
      <c r="L645" s="4"/>
      <c r="M645" s="4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4"/>
    </row>
    <row r="646" spans="1:26" ht="14.25" customHeight="1">
      <c r="A646" s="1"/>
      <c r="B646" s="33"/>
      <c r="C646" s="33"/>
      <c r="D646" s="33"/>
      <c r="E646" s="33"/>
      <c r="F646" s="33"/>
      <c r="G646" s="33"/>
      <c r="H646" s="1"/>
      <c r="I646" s="3"/>
      <c r="J646" s="3"/>
      <c r="K646" s="3"/>
      <c r="L646" s="4"/>
      <c r="M646" s="4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4"/>
    </row>
    <row r="647" spans="1:26" ht="14.25" customHeight="1">
      <c r="A647" s="1"/>
      <c r="B647" s="33"/>
      <c r="C647" s="33"/>
      <c r="D647" s="33"/>
      <c r="E647" s="33"/>
      <c r="F647" s="33"/>
      <c r="G647" s="33"/>
      <c r="H647" s="1"/>
      <c r="I647" s="3"/>
      <c r="J647" s="3"/>
      <c r="K647" s="3"/>
      <c r="L647" s="4"/>
      <c r="M647" s="4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4"/>
    </row>
    <row r="648" spans="1:26" ht="14.25" customHeight="1">
      <c r="A648" s="1"/>
      <c r="B648" s="33"/>
      <c r="C648" s="33"/>
      <c r="D648" s="33"/>
      <c r="E648" s="33"/>
      <c r="F648" s="33"/>
      <c r="G648" s="33"/>
      <c r="H648" s="1"/>
      <c r="I648" s="3"/>
      <c r="J648" s="3"/>
      <c r="K648" s="3"/>
      <c r="L648" s="4"/>
      <c r="M648" s="4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4"/>
    </row>
    <row r="649" spans="1:26" ht="14.25" customHeight="1">
      <c r="A649" s="1"/>
      <c r="B649" s="33"/>
      <c r="C649" s="33"/>
      <c r="D649" s="33"/>
      <c r="E649" s="33"/>
      <c r="F649" s="33"/>
      <c r="G649" s="33"/>
      <c r="H649" s="1"/>
      <c r="I649" s="3"/>
      <c r="J649" s="3"/>
      <c r="K649" s="3"/>
      <c r="L649" s="4"/>
      <c r="M649" s="4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4"/>
    </row>
    <row r="650" spans="1:26" ht="14.25" customHeight="1">
      <c r="A650" s="1"/>
      <c r="B650" s="33"/>
      <c r="C650" s="33"/>
      <c r="D650" s="33"/>
      <c r="E650" s="33"/>
      <c r="F650" s="33"/>
      <c r="G650" s="33"/>
      <c r="H650" s="1"/>
      <c r="I650" s="3"/>
      <c r="J650" s="3"/>
      <c r="K650" s="3"/>
      <c r="L650" s="4"/>
      <c r="M650" s="4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4"/>
    </row>
    <row r="651" spans="1:26" ht="14.25" customHeight="1">
      <c r="A651" s="1"/>
      <c r="B651" s="33"/>
      <c r="C651" s="33"/>
      <c r="D651" s="33"/>
      <c r="E651" s="33"/>
      <c r="F651" s="33"/>
      <c r="G651" s="33"/>
      <c r="H651" s="1"/>
      <c r="I651" s="3"/>
      <c r="J651" s="3"/>
      <c r="K651" s="3"/>
      <c r="L651" s="4"/>
      <c r="M651" s="4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4"/>
    </row>
    <row r="652" spans="1:26" ht="14.25" customHeight="1">
      <c r="A652" s="1"/>
      <c r="B652" s="33"/>
      <c r="C652" s="33"/>
      <c r="D652" s="33"/>
      <c r="E652" s="33"/>
      <c r="F652" s="33"/>
      <c r="G652" s="33"/>
      <c r="H652" s="1"/>
      <c r="I652" s="3"/>
      <c r="J652" s="3"/>
      <c r="K652" s="3"/>
      <c r="L652" s="4"/>
      <c r="M652" s="4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4"/>
    </row>
    <row r="653" spans="1:26" ht="14.25" customHeight="1">
      <c r="A653" s="1"/>
      <c r="B653" s="33"/>
      <c r="C653" s="33"/>
      <c r="D653" s="33"/>
      <c r="E653" s="33"/>
      <c r="F653" s="33"/>
      <c r="G653" s="33"/>
      <c r="H653" s="1"/>
      <c r="I653" s="3"/>
      <c r="J653" s="3"/>
      <c r="K653" s="3"/>
      <c r="L653" s="4"/>
      <c r="M653" s="4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4"/>
    </row>
    <row r="654" spans="1:26" ht="14.25" customHeight="1">
      <c r="A654" s="1"/>
      <c r="B654" s="33"/>
      <c r="C654" s="33"/>
      <c r="D654" s="33"/>
      <c r="E654" s="33"/>
      <c r="F654" s="33"/>
      <c r="G654" s="33"/>
      <c r="H654" s="1"/>
      <c r="I654" s="3"/>
      <c r="J654" s="3"/>
      <c r="K654" s="3"/>
      <c r="L654" s="4"/>
      <c r="M654" s="4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4"/>
    </row>
    <row r="655" spans="1:26" ht="14.25" customHeight="1">
      <c r="A655" s="1"/>
      <c r="B655" s="33"/>
      <c r="C655" s="33"/>
      <c r="D655" s="33"/>
      <c r="E655" s="33"/>
      <c r="F655" s="33"/>
      <c r="G655" s="33"/>
      <c r="H655" s="1"/>
      <c r="I655" s="3"/>
      <c r="J655" s="3"/>
      <c r="K655" s="3"/>
      <c r="L655" s="4"/>
      <c r="M655" s="4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4"/>
    </row>
    <row r="656" spans="1:26" ht="14.25" customHeight="1">
      <c r="A656" s="1"/>
      <c r="B656" s="33"/>
      <c r="C656" s="33"/>
      <c r="D656" s="33"/>
      <c r="E656" s="33"/>
      <c r="F656" s="33"/>
      <c r="G656" s="33"/>
      <c r="H656" s="1"/>
      <c r="I656" s="3"/>
      <c r="J656" s="3"/>
      <c r="K656" s="3"/>
      <c r="L656" s="4"/>
      <c r="M656" s="4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4"/>
    </row>
    <row r="657" spans="1:26" ht="14.25" customHeight="1">
      <c r="A657" s="1"/>
      <c r="B657" s="33"/>
      <c r="C657" s="33"/>
      <c r="D657" s="33"/>
      <c r="E657" s="33"/>
      <c r="F657" s="33"/>
      <c r="G657" s="33"/>
      <c r="H657" s="1"/>
      <c r="I657" s="3"/>
      <c r="J657" s="3"/>
      <c r="K657" s="3"/>
      <c r="L657" s="4"/>
      <c r="M657" s="4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4"/>
    </row>
    <row r="658" spans="1:26" ht="14.25" customHeight="1">
      <c r="A658" s="1"/>
      <c r="B658" s="33"/>
      <c r="C658" s="33"/>
      <c r="D658" s="33"/>
      <c r="E658" s="33"/>
      <c r="F658" s="33"/>
      <c r="G658" s="33"/>
      <c r="H658" s="1"/>
      <c r="I658" s="3"/>
      <c r="J658" s="3"/>
      <c r="K658" s="3"/>
      <c r="L658" s="4"/>
      <c r="M658" s="4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4"/>
    </row>
    <row r="659" spans="1:26" ht="14.25" customHeight="1">
      <c r="A659" s="1"/>
      <c r="B659" s="33"/>
      <c r="C659" s="33"/>
      <c r="D659" s="33"/>
      <c r="E659" s="33"/>
      <c r="F659" s="33"/>
      <c r="G659" s="33"/>
      <c r="H659" s="1"/>
      <c r="I659" s="3"/>
      <c r="J659" s="3"/>
      <c r="K659" s="3"/>
      <c r="L659" s="4"/>
      <c r="M659" s="4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4"/>
    </row>
    <row r="660" spans="1:26" ht="14.25" customHeight="1">
      <c r="A660" s="1"/>
      <c r="B660" s="33"/>
      <c r="C660" s="33"/>
      <c r="D660" s="33"/>
      <c r="E660" s="33"/>
      <c r="F660" s="33"/>
      <c r="G660" s="33"/>
      <c r="H660" s="1"/>
      <c r="I660" s="3"/>
      <c r="J660" s="3"/>
      <c r="K660" s="3"/>
      <c r="L660" s="4"/>
      <c r="M660" s="4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4"/>
    </row>
    <row r="661" spans="1:26" ht="14.25" customHeight="1">
      <c r="A661" s="1"/>
      <c r="B661" s="33"/>
      <c r="C661" s="33"/>
      <c r="D661" s="33"/>
      <c r="E661" s="33"/>
      <c r="F661" s="33"/>
      <c r="G661" s="33"/>
      <c r="H661" s="1"/>
      <c r="I661" s="3"/>
      <c r="J661" s="3"/>
      <c r="K661" s="3"/>
      <c r="L661" s="4"/>
      <c r="M661" s="4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4"/>
    </row>
    <row r="662" spans="1:26" ht="14.25" customHeight="1">
      <c r="A662" s="1"/>
      <c r="B662" s="33"/>
      <c r="C662" s="33"/>
      <c r="D662" s="33"/>
      <c r="E662" s="33"/>
      <c r="F662" s="33"/>
      <c r="G662" s="33"/>
      <c r="H662" s="1"/>
      <c r="I662" s="3"/>
      <c r="J662" s="3"/>
      <c r="K662" s="3"/>
      <c r="L662" s="4"/>
      <c r="M662" s="4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4"/>
    </row>
    <row r="663" spans="1:26" ht="14.25" customHeight="1">
      <c r="A663" s="1"/>
      <c r="B663" s="33"/>
      <c r="C663" s="33"/>
      <c r="D663" s="33"/>
      <c r="E663" s="33"/>
      <c r="F663" s="33"/>
      <c r="G663" s="33"/>
      <c r="H663" s="1"/>
      <c r="I663" s="3"/>
      <c r="J663" s="3"/>
      <c r="K663" s="3"/>
      <c r="L663" s="4"/>
      <c r="M663" s="4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4"/>
    </row>
    <row r="664" spans="1:26" ht="14.25" customHeight="1">
      <c r="A664" s="1"/>
      <c r="B664" s="33"/>
      <c r="C664" s="33"/>
      <c r="D664" s="33"/>
      <c r="E664" s="33"/>
      <c r="F664" s="33"/>
      <c r="G664" s="33"/>
      <c r="H664" s="1"/>
      <c r="I664" s="3"/>
      <c r="J664" s="3"/>
      <c r="K664" s="3"/>
      <c r="L664" s="4"/>
      <c r="M664" s="4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4"/>
    </row>
    <row r="665" spans="1:26" ht="14.25" customHeight="1">
      <c r="A665" s="1"/>
      <c r="B665" s="33"/>
      <c r="C665" s="33"/>
      <c r="D665" s="33"/>
      <c r="E665" s="33"/>
      <c r="F665" s="33"/>
      <c r="G665" s="33"/>
      <c r="H665" s="1"/>
      <c r="I665" s="3"/>
      <c r="J665" s="3"/>
      <c r="K665" s="3"/>
      <c r="L665" s="4"/>
      <c r="M665" s="4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4"/>
    </row>
    <row r="666" spans="1:26" ht="14.25" customHeight="1">
      <c r="A666" s="1"/>
      <c r="B666" s="33"/>
      <c r="C666" s="33"/>
      <c r="D666" s="33"/>
      <c r="E666" s="33"/>
      <c r="F666" s="33"/>
      <c r="G666" s="33"/>
      <c r="H666" s="1"/>
      <c r="I666" s="3"/>
      <c r="J666" s="3"/>
      <c r="K666" s="3"/>
      <c r="L666" s="4"/>
      <c r="M666" s="4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4"/>
    </row>
    <row r="667" spans="1:26" ht="14.25" customHeight="1">
      <c r="A667" s="1"/>
      <c r="B667" s="33"/>
      <c r="C667" s="33"/>
      <c r="D667" s="33"/>
      <c r="E667" s="33"/>
      <c r="F667" s="33"/>
      <c r="G667" s="33"/>
      <c r="H667" s="1"/>
      <c r="I667" s="3"/>
      <c r="J667" s="3"/>
      <c r="K667" s="3"/>
      <c r="L667" s="4"/>
      <c r="M667" s="4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4"/>
    </row>
    <row r="668" spans="1:26" ht="14.25" customHeight="1">
      <c r="A668" s="1"/>
      <c r="B668" s="33"/>
      <c r="C668" s="33"/>
      <c r="D668" s="33"/>
      <c r="E668" s="33"/>
      <c r="F668" s="33"/>
      <c r="G668" s="33"/>
      <c r="H668" s="1"/>
      <c r="I668" s="3"/>
      <c r="J668" s="3"/>
      <c r="K668" s="3"/>
      <c r="L668" s="4"/>
      <c r="M668" s="4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4"/>
    </row>
    <row r="669" spans="1:26" ht="14.25" customHeight="1">
      <c r="A669" s="1"/>
      <c r="B669" s="33"/>
      <c r="C669" s="33"/>
      <c r="D669" s="33"/>
      <c r="E669" s="33"/>
      <c r="F669" s="33"/>
      <c r="G669" s="33"/>
      <c r="H669" s="1"/>
      <c r="I669" s="3"/>
      <c r="J669" s="3"/>
      <c r="K669" s="3"/>
      <c r="L669" s="4"/>
      <c r="M669" s="4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4"/>
    </row>
    <row r="670" spans="1:26" ht="14.25" customHeight="1">
      <c r="A670" s="1"/>
      <c r="B670" s="33"/>
      <c r="C670" s="33"/>
      <c r="D670" s="33"/>
      <c r="E670" s="33"/>
      <c r="F670" s="33"/>
      <c r="G670" s="33"/>
      <c r="H670" s="1"/>
      <c r="I670" s="3"/>
      <c r="J670" s="3"/>
      <c r="K670" s="3"/>
      <c r="L670" s="4"/>
      <c r="M670" s="4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4"/>
    </row>
    <row r="671" spans="1:26" ht="14.25" customHeight="1">
      <c r="A671" s="1"/>
      <c r="B671" s="33"/>
      <c r="C671" s="33"/>
      <c r="D671" s="33"/>
      <c r="E671" s="33"/>
      <c r="F671" s="33"/>
      <c r="G671" s="33"/>
      <c r="H671" s="1"/>
      <c r="I671" s="3"/>
      <c r="J671" s="3"/>
      <c r="K671" s="3"/>
      <c r="L671" s="4"/>
      <c r="M671" s="4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4"/>
    </row>
    <row r="672" spans="1:26" ht="14.25" customHeight="1">
      <c r="A672" s="1"/>
      <c r="B672" s="33"/>
      <c r="C672" s="33"/>
      <c r="D672" s="33"/>
      <c r="E672" s="33"/>
      <c r="F672" s="33"/>
      <c r="G672" s="33"/>
      <c r="H672" s="1"/>
      <c r="I672" s="3"/>
      <c r="J672" s="3"/>
      <c r="K672" s="3"/>
      <c r="L672" s="4"/>
      <c r="M672" s="4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4"/>
    </row>
    <row r="673" spans="1:26" ht="14.25" customHeight="1">
      <c r="A673" s="1"/>
      <c r="B673" s="33"/>
      <c r="C673" s="33"/>
      <c r="D673" s="33"/>
      <c r="E673" s="33"/>
      <c r="F673" s="33"/>
      <c r="G673" s="33"/>
      <c r="H673" s="1"/>
      <c r="I673" s="3"/>
      <c r="J673" s="3"/>
      <c r="K673" s="3"/>
      <c r="L673" s="4"/>
      <c r="M673" s="4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4"/>
    </row>
    <row r="674" spans="1:26" ht="14.25" customHeight="1">
      <c r="A674" s="1"/>
      <c r="B674" s="33"/>
      <c r="C674" s="33"/>
      <c r="D674" s="33"/>
      <c r="E674" s="33"/>
      <c r="F674" s="33"/>
      <c r="G674" s="33"/>
      <c r="H674" s="1"/>
      <c r="I674" s="3"/>
      <c r="J674" s="3"/>
      <c r="K674" s="3"/>
      <c r="L674" s="4"/>
      <c r="M674" s="4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4"/>
    </row>
    <row r="675" spans="1:26" ht="14.25" customHeight="1">
      <c r="A675" s="1"/>
      <c r="B675" s="33"/>
      <c r="C675" s="33"/>
      <c r="D675" s="33"/>
      <c r="E675" s="33"/>
      <c r="F675" s="33"/>
      <c r="G675" s="33"/>
      <c r="H675" s="1"/>
      <c r="I675" s="3"/>
      <c r="J675" s="3"/>
      <c r="K675" s="3"/>
      <c r="L675" s="4"/>
      <c r="M675" s="4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4"/>
    </row>
    <row r="676" spans="1:26" ht="14.25" customHeight="1">
      <c r="A676" s="1"/>
      <c r="B676" s="33"/>
      <c r="C676" s="33"/>
      <c r="D676" s="33"/>
      <c r="E676" s="33"/>
      <c r="F676" s="33"/>
      <c r="G676" s="33"/>
      <c r="H676" s="1"/>
      <c r="I676" s="3"/>
      <c r="J676" s="3"/>
      <c r="K676" s="3"/>
      <c r="L676" s="4"/>
      <c r="M676" s="4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4"/>
    </row>
    <row r="677" spans="1:26" ht="14.25" customHeight="1">
      <c r="A677" s="1"/>
      <c r="B677" s="33"/>
      <c r="C677" s="33"/>
      <c r="D677" s="33"/>
      <c r="E677" s="33"/>
      <c r="F677" s="33"/>
      <c r="G677" s="33"/>
      <c r="H677" s="1"/>
      <c r="I677" s="3"/>
      <c r="J677" s="3"/>
      <c r="K677" s="3"/>
      <c r="L677" s="4"/>
      <c r="M677" s="4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4"/>
    </row>
    <row r="678" spans="1:26" ht="14.25" customHeight="1">
      <c r="A678" s="1"/>
      <c r="B678" s="33"/>
      <c r="C678" s="33"/>
      <c r="D678" s="33"/>
      <c r="E678" s="33"/>
      <c r="F678" s="33"/>
      <c r="G678" s="33"/>
      <c r="H678" s="1"/>
      <c r="I678" s="3"/>
      <c r="J678" s="3"/>
      <c r="K678" s="3"/>
      <c r="L678" s="4"/>
      <c r="M678" s="4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4"/>
    </row>
    <row r="679" spans="1:26" ht="14.25" customHeight="1">
      <c r="A679" s="1"/>
      <c r="B679" s="33"/>
      <c r="C679" s="33"/>
      <c r="D679" s="33"/>
      <c r="E679" s="33"/>
      <c r="F679" s="33"/>
      <c r="G679" s="33"/>
      <c r="H679" s="1"/>
      <c r="I679" s="3"/>
      <c r="J679" s="3"/>
      <c r="K679" s="3"/>
      <c r="L679" s="4"/>
      <c r="M679" s="4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4"/>
    </row>
    <row r="680" spans="1:26" ht="14.25" customHeight="1">
      <c r="A680" s="1"/>
      <c r="B680" s="33"/>
      <c r="C680" s="33"/>
      <c r="D680" s="33"/>
      <c r="E680" s="33"/>
      <c r="F680" s="33"/>
      <c r="G680" s="33"/>
      <c r="H680" s="1"/>
      <c r="I680" s="3"/>
      <c r="J680" s="3"/>
      <c r="K680" s="3"/>
      <c r="L680" s="4"/>
      <c r="M680" s="4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4"/>
    </row>
    <row r="681" spans="1:26" ht="14.25" customHeight="1">
      <c r="A681" s="1"/>
      <c r="B681" s="33"/>
      <c r="C681" s="33"/>
      <c r="D681" s="33"/>
      <c r="E681" s="33"/>
      <c r="F681" s="33"/>
      <c r="G681" s="33"/>
      <c r="H681" s="1"/>
      <c r="I681" s="3"/>
      <c r="J681" s="3"/>
      <c r="K681" s="3"/>
      <c r="L681" s="4"/>
      <c r="M681" s="4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4"/>
    </row>
    <row r="682" spans="1:26" ht="14.25" customHeight="1">
      <c r="A682" s="1"/>
      <c r="B682" s="33"/>
      <c r="C682" s="33"/>
      <c r="D682" s="33"/>
      <c r="E682" s="33"/>
      <c r="F682" s="33"/>
      <c r="G682" s="33"/>
      <c r="H682" s="1"/>
      <c r="I682" s="3"/>
      <c r="J682" s="3"/>
      <c r="K682" s="3"/>
      <c r="L682" s="4"/>
      <c r="M682" s="4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4"/>
    </row>
    <row r="683" spans="1:26" ht="14.25" customHeight="1">
      <c r="A683" s="1"/>
      <c r="B683" s="33"/>
      <c r="C683" s="33"/>
      <c r="D683" s="33"/>
      <c r="E683" s="33"/>
      <c r="F683" s="33"/>
      <c r="G683" s="33"/>
      <c r="H683" s="1"/>
      <c r="I683" s="3"/>
      <c r="J683" s="3"/>
      <c r="K683" s="3"/>
      <c r="L683" s="4"/>
      <c r="M683" s="4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4"/>
    </row>
    <row r="684" spans="1:26" ht="14.25" customHeight="1">
      <c r="A684" s="1"/>
      <c r="B684" s="33"/>
      <c r="C684" s="33"/>
      <c r="D684" s="33"/>
      <c r="E684" s="33"/>
      <c r="F684" s="33"/>
      <c r="G684" s="33"/>
      <c r="H684" s="1"/>
      <c r="I684" s="3"/>
      <c r="J684" s="3"/>
      <c r="K684" s="3"/>
      <c r="L684" s="4"/>
      <c r="M684" s="4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4"/>
    </row>
    <row r="685" spans="1:26" ht="14.25" customHeight="1">
      <c r="A685" s="1"/>
      <c r="B685" s="33"/>
      <c r="C685" s="33"/>
      <c r="D685" s="33"/>
      <c r="E685" s="33"/>
      <c r="F685" s="33"/>
      <c r="G685" s="33"/>
      <c r="H685" s="1"/>
      <c r="I685" s="3"/>
      <c r="J685" s="3"/>
      <c r="K685" s="3"/>
      <c r="L685" s="4"/>
      <c r="M685" s="4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4"/>
    </row>
    <row r="686" spans="1:26" ht="14.25" customHeight="1">
      <c r="A686" s="1"/>
      <c r="B686" s="33"/>
      <c r="C686" s="33"/>
      <c r="D686" s="33"/>
      <c r="E686" s="33"/>
      <c r="F686" s="33"/>
      <c r="G686" s="33"/>
      <c r="H686" s="1"/>
      <c r="I686" s="3"/>
      <c r="J686" s="3"/>
      <c r="K686" s="3"/>
      <c r="L686" s="4"/>
      <c r="M686" s="4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4"/>
    </row>
    <row r="687" spans="1:26" ht="14.25" customHeight="1">
      <c r="A687" s="1"/>
      <c r="B687" s="33"/>
      <c r="C687" s="33"/>
      <c r="D687" s="33"/>
      <c r="E687" s="33"/>
      <c r="F687" s="33"/>
      <c r="G687" s="33"/>
      <c r="H687" s="1"/>
      <c r="I687" s="3"/>
      <c r="J687" s="3"/>
      <c r="K687" s="3"/>
      <c r="L687" s="4"/>
      <c r="M687" s="4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4"/>
    </row>
    <row r="688" spans="1:26" ht="14.25" customHeight="1">
      <c r="A688" s="1"/>
      <c r="B688" s="33"/>
      <c r="C688" s="33"/>
      <c r="D688" s="33"/>
      <c r="E688" s="33"/>
      <c r="F688" s="33"/>
      <c r="G688" s="33"/>
      <c r="H688" s="1"/>
      <c r="I688" s="3"/>
      <c r="J688" s="3"/>
      <c r="K688" s="3"/>
      <c r="L688" s="4"/>
      <c r="M688" s="4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4"/>
    </row>
    <row r="689" spans="1:26" ht="14.25" customHeight="1">
      <c r="A689" s="1"/>
      <c r="B689" s="33"/>
      <c r="C689" s="33"/>
      <c r="D689" s="33"/>
      <c r="E689" s="33"/>
      <c r="F689" s="33"/>
      <c r="G689" s="33"/>
      <c r="H689" s="1"/>
      <c r="I689" s="3"/>
      <c r="J689" s="3"/>
      <c r="K689" s="3"/>
      <c r="L689" s="4"/>
      <c r="M689" s="4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4"/>
    </row>
    <row r="690" spans="1:26" ht="14.25" customHeight="1">
      <c r="A690" s="1"/>
      <c r="B690" s="33"/>
      <c r="C690" s="33"/>
      <c r="D690" s="33"/>
      <c r="E690" s="33"/>
      <c r="F690" s="33"/>
      <c r="G690" s="33"/>
      <c r="H690" s="1"/>
      <c r="I690" s="3"/>
      <c r="J690" s="3"/>
      <c r="K690" s="3"/>
      <c r="L690" s="4"/>
      <c r="M690" s="4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4"/>
    </row>
    <row r="691" spans="1:26" ht="14.25" customHeight="1">
      <c r="A691" s="1"/>
      <c r="B691" s="33"/>
      <c r="C691" s="33"/>
      <c r="D691" s="33"/>
      <c r="E691" s="33"/>
      <c r="F691" s="33"/>
      <c r="G691" s="33"/>
      <c r="H691" s="1"/>
      <c r="I691" s="3"/>
      <c r="J691" s="3"/>
      <c r="K691" s="3"/>
      <c r="L691" s="4"/>
      <c r="M691" s="4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4"/>
    </row>
    <row r="692" spans="1:26" ht="14.25" customHeight="1">
      <c r="A692" s="1"/>
      <c r="B692" s="33"/>
      <c r="C692" s="33"/>
      <c r="D692" s="33"/>
      <c r="E692" s="33"/>
      <c r="F692" s="33"/>
      <c r="G692" s="33"/>
      <c r="H692" s="1"/>
      <c r="I692" s="3"/>
      <c r="J692" s="3"/>
      <c r="K692" s="3"/>
      <c r="L692" s="4"/>
      <c r="M692" s="4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4"/>
    </row>
    <row r="693" spans="1:26" ht="14.25" customHeight="1">
      <c r="A693" s="1"/>
      <c r="B693" s="33"/>
      <c r="C693" s="33"/>
      <c r="D693" s="33"/>
      <c r="E693" s="33"/>
      <c r="F693" s="33"/>
      <c r="G693" s="33"/>
      <c r="H693" s="1"/>
      <c r="I693" s="3"/>
      <c r="J693" s="3"/>
      <c r="K693" s="3"/>
      <c r="L693" s="4"/>
      <c r="M693" s="4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4"/>
    </row>
    <row r="694" spans="1:26" ht="14.25" customHeight="1">
      <c r="A694" s="1"/>
      <c r="B694" s="33"/>
      <c r="C694" s="33"/>
      <c r="D694" s="33"/>
      <c r="E694" s="33"/>
      <c r="F694" s="33"/>
      <c r="G694" s="33"/>
      <c r="H694" s="1"/>
      <c r="I694" s="3"/>
      <c r="J694" s="3"/>
      <c r="K694" s="3"/>
      <c r="L694" s="4"/>
      <c r="M694" s="4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4"/>
    </row>
    <row r="695" spans="1:26" ht="14.25" customHeight="1">
      <c r="A695" s="1"/>
      <c r="B695" s="33"/>
      <c r="C695" s="33"/>
      <c r="D695" s="33"/>
      <c r="E695" s="33"/>
      <c r="F695" s="33"/>
      <c r="G695" s="33"/>
      <c r="H695" s="1"/>
      <c r="I695" s="3"/>
      <c r="J695" s="3"/>
      <c r="K695" s="3"/>
      <c r="L695" s="4"/>
      <c r="M695" s="4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4"/>
    </row>
    <row r="696" spans="1:26" ht="14.25" customHeight="1">
      <c r="A696" s="1"/>
      <c r="B696" s="33"/>
      <c r="C696" s="33"/>
      <c r="D696" s="33"/>
      <c r="E696" s="33"/>
      <c r="F696" s="33"/>
      <c r="G696" s="33"/>
      <c r="H696" s="1"/>
      <c r="I696" s="3"/>
      <c r="J696" s="3"/>
      <c r="K696" s="3"/>
      <c r="L696" s="4"/>
      <c r="M696" s="4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4"/>
    </row>
    <row r="697" spans="1:26" ht="14.25" customHeight="1">
      <c r="A697" s="1"/>
      <c r="B697" s="33"/>
      <c r="C697" s="33"/>
      <c r="D697" s="33"/>
      <c r="E697" s="33"/>
      <c r="F697" s="33"/>
      <c r="G697" s="33"/>
      <c r="H697" s="1"/>
      <c r="I697" s="3"/>
      <c r="J697" s="3"/>
      <c r="K697" s="3"/>
      <c r="L697" s="4"/>
      <c r="M697" s="4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4"/>
    </row>
    <row r="698" spans="1:26" ht="14.25" customHeight="1">
      <c r="A698" s="1"/>
      <c r="B698" s="33"/>
      <c r="C698" s="33"/>
      <c r="D698" s="33"/>
      <c r="E698" s="33"/>
      <c r="F698" s="33"/>
      <c r="G698" s="33"/>
      <c r="H698" s="1"/>
      <c r="I698" s="3"/>
      <c r="J698" s="3"/>
      <c r="K698" s="3"/>
      <c r="L698" s="4"/>
      <c r="M698" s="4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4"/>
    </row>
    <row r="699" spans="1:26" ht="14.25" customHeight="1">
      <c r="A699" s="1"/>
      <c r="B699" s="33"/>
      <c r="C699" s="33"/>
      <c r="D699" s="33"/>
      <c r="E699" s="33"/>
      <c r="F699" s="33"/>
      <c r="G699" s="33"/>
      <c r="H699" s="1"/>
      <c r="I699" s="3"/>
      <c r="J699" s="3"/>
      <c r="K699" s="3"/>
      <c r="L699" s="4"/>
      <c r="M699" s="4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4"/>
    </row>
    <row r="700" spans="1:26" ht="14.25" customHeight="1">
      <c r="A700" s="1"/>
      <c r="B700" s="33"/>
      <c r="C700" s="33"/>
      <c r="D700" s="33"/>
      <c r="E700" s="33"/>
      <c r="F700" s="33"/>
      <c r="G700" s="33"/>
      <c r="H700" s="1"/>
      <c r="I700" s="3"/>
      <c r="J700" s="3"/>
      <c r="K700" s="3"/>
      <c r="L700" s="4"/>
      <c r="M700" s="4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4"/>
    </row>
    <row r="701" spans="1:26" ht="14.25" customHeight="1">
      <c r="A701" s="1"/>
      <c r="B701" s="33"/>
      <c r="C701" s="33"/>
      <c r="D701" s="33"/>
      <c r="E701" s="33"/>
      <c r="F701" s="33"/>
      <c r="G701" s="33"/>
      <c r="H701" s="1"/>
      <c r="I701" s="3"/>
      <c r="J701" s="3"/>
      <c r="K701" s="3"/>
      <c r="L701" s="4"/>
      <c r="M701" s="4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4"/>
    </row>
    <row r="702" spans="1:26" ht="14.25" customHeight="1">
      <c r="A702" s="1"/>
      <c r="B702" s="33"/>
      <c r="C702" s="33"/>
      <c r="D702" s="33"/>
      <c r="E702" s="33"/>
      <c r="F702" s="33"/>
      <c r="G702" s="33"/>
      <c r="H702" s="1"/>
      <c r="I702" s="3"/>
      <c r="J702" s="3"/>
      <c r="K702" s="3"/>
      <c r="L702" s="4"/>
      <c r="M702" s="4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4"/>
    </row>
    <row r="703" spans="1:26" ht="14.25" customHeight="1">
      <c r="A703" s="1"/>
      <c r="B703" s="33"/>
      <c r="C703" s="33"/>
      <c r="D703" s="33"/>
      <c r="E703" s="33"/>
      <c r="F703" s="33"/>
      <c r="G703" s="33"/>
      <c r="H703" s="1"/>
      <c r="I703" s="3"/>
      <c r="J703" s="3"/>
      <c r="K703" s="3"/>
      <c r="L703" s="4"/>
      <c r="M703" s="4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4"/>
    </row>
    <row r="704" spans="1:26" ht="14.25" customHeight="1">
      <c r="A704" s="1"/>
      <c r="B704" s="33"/>
      <c r="C704" s="33"/>
      <c r="D704" s="33"/>
      <c r="E704" s="33"/>
      <c r="F704" s="33"/>
      <c r="G704" s="33"/>
      <c r="H704" s="1"/>
      <c r="I704" s="3"/>
      <c r="J704" s="3"/>
      <c r="K704" s="3"/>
      <c r="L704" s="4"/>
      <c r="M704" s="4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4"/>
    </row>
    <row r="705" spans="1:26" ht="14.25" customHeight="1">
      <c r="A705" s="1"/>
      <c r="B705" s="33"/>
      <c r="C705" s="33"/>
      <c r="D705" s="33"/>
      <c r="E705" s="33"/>
      <c r="F705" s="33"/>
      <c r="G705" s="33"/>
      <c r="H705" s="1"/>
      <c r="I705" s="3"/>
      <c r="J705" s="3"/>
      <c r="K705" s="3"/>
      <c r="L705" s="4"/>
      <c r="M705" s="4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4"/>
    </row>
    <row r="706" spans="1:26" ht="14.25" customHeight="1">
      <c r="A706" s="1"/>
      <c r="B706" s="33"/>
      <c r="C706" s="33"/>
      <c r="D706" s="33"/>
      <c r="E706" s="33"/>
      <c r="F706" s="33"/>
      <c r="G706" s="33"/>
      <c r="H706" s="1"/>
      <c r="I706" s="3"/>
      <c r="J706" s="3"/>
      <c r="K706" s="3"/>
      <c r="L706" s="4"/>
      <c r="M706" s="4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4"/>
    </row>
    <row r="707" spans="1:26" ht="14.25" customHeight="1">
      <c r="A707" s="1"/>
      <c r="B707" s="33"/>
      <c r="C707" s="33"/>
      <c r="D707" s="33"/>
      <c r="E707" s="33"/>
      <c r="F707" s="33"/>
      <c r="G707" s="33"/>
      <c r="H707" s="1"/>
      <c r="I707" s="3"/>
      <c r="J707" s="3"/>
      <c r="K707" s="3"/>
      <c r="L707" s="4"/>
      <c r="M707" s="4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4"/>
    </row>
    <row r="708" spans="1:26" ht="14.25" customHeight="1">
      <c r="A708" s="1"/>
      <c r="B708" s="33"/>
      <c r="C708" s="33"/>
      <c r="D708" s="33"/>
      <c r="E708" s="33"/>
      <c r="F708" s="33"/>
      <c r="G708" s="33"/>
      <c r="H708" s="1"/>
      <c r="I708" s="3"/>
      <c r="J708" s="3"/>
      <c r="K708" s="3"/>
      <c r="L708" s="4"/>
      <c r="M708" s="4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4"/>
    </row>
    <row r="709" spans="1:26" ht="14.25" customHeight="1">
      <c r="A709" s="1"/>
      <c r="B709" s="33"/>
      <c r="C709" s="33"/>
      <c r="D709" s="33"/>
      <c r="E709" s="33"/>
      <c r="F709" s="33"/>
      <c r="G709" s="33"/>
      <c r="H709" s="1"/>
      <c r="I709" s="3"/>
      <c r="J709" s="3"/>
      <c r="K709" s="3"/>
      <c r="L709" s="4"/>
      <c r="M709" s="4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4"/>
    </row>
    <row r="710" spans="1:26" ht="14.25" customHeight="1">
      <c r="A710" s="1"/>
      <c r="B710" s="33"/>
      <c r="C710" s="33"/>
      <c r="D710" s="33"/>
      <c r="E710" s="33"/>
      <c r="F710" s="33"/>
      <c r="G710" s="33"/>
      <c r="H710" s="1"/>
      <c r="I710" s="3"/>
      <c r="J710" s="3"/>
      <c r="K710" s="3"/>
      <c r="L710" s="4"/>
      <c r="M710" s="4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4"/>
    </row>
    <row r="711" spans="1:26" ht="14.25" customHeight="1">
      <c r="A711" s="1"/>
      <c r="B711" s="33"/>
      <c r="C711" s="33"/>
      <c r="D711" s="33"/>
      <c r="E711" s="33"/>
      <c r="F711" s="33"/>
      <c r="G711" s="33"/>
      <c r="H711" s="1"/>
      <c r="I711" s="3"/>
      <c r="J711" s="3"/>
      <c r="K711" s="3"/>
      <c r="L711" s="4"/>
      <c r="M711" s="4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4"/>
    </row>
    <row r="712" spans="1:26" ht="14.25" customHeight="1">
      <c r="A712" s="1"/>
      <c r="B712" s="33"/>
      <c r="C712" s="33"/>
      <c r="D712" s="33"/>
      <c r="E712" s="33"/>
      <c r="F712" s="33"/>
      <c r="G712" s="33"/>
      <c r="H712" s="1"/>
      <c r="I712" s="3"/>
      <c r="J712" s="3"/>
      <c r="K712" s="3"/>
      <c r="L712" s="4"/>
      <c r="M712" s="4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4"/>
    </row>
    <row r="713" spans="1:26" ht="14.25" customHeight="1">
      <c r="A713" s="1"/>
      <c r="B713" s="33"/>
      <c r="C713" s="33"/>
      <c r="D713" s="33"/>
      <c r="E713" s="33"/>
      <c r="F713" s="33"/>
      <c r="G713" s="33"/>
      <c r="H713" s="1"/>
      <c r="I713" s="3"/>
      <c r="J713" s="3"/>
      <c r="K713" s="3"/>
      <c r="L713" s="4"/>
      <c r="M713" s="4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4"/>
    </row>
    <row r="714" spans="1:26" ht="14.25" customHeight="1">
      <c r="A714" s="1"/>
      <c r="B714" s="33"/>
      <c r="C714" s="33"/>
      <c r="D714" s="33"/>
      <c r="E714" s="33"/>
      <c r="F714" s="33"/>
      <c r="G714" s="33"/>
      <c r="H714" s="1"/>
      <c r="I714" s="3"/>
      <c r="J714" s="3"/>
      <c r="K714" s="3"/>
      <c r="L714" s="4"/>
      <c r="M714" s="4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4"/>
    </row>
    <row r="715" spans="1:26" ht="14.25" customHeight="1">
      <c r="A715" s="1"/>
      <c r="B715" s="33"/>
      <c r="C715" s="33"/>
      <c r="D715" s="33"/>
      <c r="E715" s="33"/>
      <c r="F715" s="33"/>
      <c r="G715" s="33"/>
      <c r="H715" s="1"/>
      <c r="I715" s="3"/>
      <c r="J715" s="3"/>
      <c r="K715" s="3"/>
      <c r="L715" s="4"/>
      <c r="M715" s="4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4"/>
    </row>
    <row r="716" spans="1:26" ht="14.25" customHeight="1">
      <c r="A716" s="1"/>
      <c r="B716" s="33"/>
      <c r="C716" s="33"/>
      <c r="D716" s="33"/>
      <c r="E716" s="33"/>
      <c r="F716" s="33"/>
      <c r="G716" s="33"/>
      <c r="H716" s="1"/>
      <c r="I716" s="3"/>
      <c r="J716" s="3"/>
      <c r="K716" s="3"/>
      <c r="L716" s="4"/>
      <c r="M716" s="4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4"/>
    </row>
    <row r="717" spans="1:26" ht="14.25" customHeight="1">
      <c r="A717" s="1"/>
      <c r="B717" s="33"/>
      <c r="C717" s="33"/>
      <c r="D717" s="33"/>
      <c r="E717" s="33"/>
      <c r="F717" s="33"/>
      <c r="G717" s="33"/>
      <c r="H717" s="1"/>
      <c r="I717" s="3"/>
      <c r="J717" s="3"/>
      <c r="K717" s="3"/>
      <c r="L717" s="4"/>
      <c r="M717" s="4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4"/>
    </row>
    <row r="718" spans="1:26" ht="14.25" customHeight="1">
      <c r="A718" s="1"/>
      <c r="B718" s="33"/>
      <c r="C718" s="33"/>
      <c r="D718" s="33"/>
      <c r="E718" s="33"/>
      <c r="F718" s="33"/>
      <c r="G718" s="33"/>
      <c r="H718" s="1"/>
      <c r="I718" s="3"/>
      <c r="J718" s="3"/>
      <c r="K718" s="3"/>
      <c r="L718" s="4"/>
      <c r="M718" s="4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4"/>
    </row>
    <row r="719" spans="1:26" ht="14.25" customHeight="1">
      <c r="A719" s="1"/>
      <c r="B719" s="33"/>
      <c r="C719" s="33"/>
      <c r="D719" s="33"/>
      <c r="E719" s="33"/>
      <c r="F719" s="33"/>
      <c r="G719" s="33"/>
      <c r="H719" s="1"/>
      <c r="I719" s="3"/>
      <c r="J719" s="3"/>
      <c r="K719" s="3"/>
      <c r="L719" s="4"/>
      <c r="M719" s="4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4"/>
    </row>
    <row r="720" spans="1:26" ht="14.25" customHeight="1">
      <c r="A720" s="1"/>
      <c r="B720" s="33"/>
      <c r="C720" s="33"/>
      <c r="D720" s="33"/>
      <c r="E720" s="33"/>
      <c r="F720" s="33"/>
      <c r="G720" s="33"/>
      <c r="H720" s="1"/>
      <c r="I720" s="3"/>
      <c r="J720" s="3"/>
      <c r="K720" s="3"/>
      <c r="L720" s="4"/>
      <c r="M720" s="4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4"/>
    </row>
    <row r="721" spans="1:26" ht="14.25" customHeight="1">
      <c r="A721" s="1"/>
      <c r="B721" s="33"/>
      <c r="C721" s="33"/>
      <c r="D721" s="33"/>
      <c r="E721" s="33"/>
      <c r="F721" s="33"/>
      <c r="G721" s="33"/>
      <c r="H721" s="1"/>
      <c r="I721" s="3"/>
      <c r="J721" s="3"/>
      <c r="K721" s="3"/>
      <c r="L721" s="4"/>
      <c r="M721" s="4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4"/>
    </row>
    <row r="722" spans="1:26" ht="14.25" customHeight="1">
      <c r="A722" s="1"/>
      <c r="B722" s="33"/>
      <c r="C722" s="33"/>
      <c r="D722" s="33"/>
      <c r="E722" s="33"/>
      <c r="F722" s="33"/>
      <c r="G722" s="33"/>
      <c r="H722" s="1"/>
      <c r="I722" s="3"/>
      <c r="J722" s="3"/>
      <c r="K722" s="3"/>
      <c r="L722" s="4"/>
      <c r="M722" s="4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4"/>
    </row>
    <row r="723" spans="1:26" ht="14.25" customHeight="1">
      <c r="A723" s="1"/>
      <c r="B723" s="33"/>
      <c r="C723" s="33"/>
      <c r="D723" s="33"/>
      <c r="E723" s="33"/>
      <c r="F723" s="33"/>
      <c r="G723" s="33"/>
      <c r="H723" s="1"/>
      <c r="I723" s="3"/>
      <c r="J723" s="3"/>
      <c r="K723" s="3"/>
      <c r="L723" s="4"/>
      <c r="M723" s="4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4"/>
    </row>
    <row r="724" spans="1:26" ht="14.25" customHeight="1">
      <c r="A724" s="1"/>
      <c r="B724" s="33"/>
      <c r="C724" s="33"/>
      <c r="D724" s="33"/>
      <c r="E724" s="33"/>
      <c r="F724" s="33"/>
      <c r="G724" s="33"/>
      <c r="H724" s="1"/>
      <c r="I724" s="3"/>
      <c r="J724" s="3"/>
      <c r="K724" s="3"/>
      <c r="L724" s="4"/>
      <c r="M724" s="4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4"/>
    </row>
    <row r="725" spans="1:26" ht="14.25" customHeight="1">
      <c r="A725" s="1"/>
      <c r="B725" s="33"/>
      <c r="C725" s="33"/>
      <c r="D725" s="33"/>
      <c r="E725" s="33"/>
      <c r="F725" s="33"/>
      <c r="G725" s="33"/>
      <c r="H725" s="1"/>
      <c r="I725" s="3"/>
      <c r="J725" s="3"/>
      <c r="K725" s="3"/>
      <c r="L725" s="4"/>
      <c r="M725" s="4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4"/>
    </row>
    <row r="726" spans="1:26" ht="14.25" customHeight="1">
      <c r="A726" s="1"/>
      <c r="B726" s="33"/>
      <c r="C726" s="33"/>
      <c r="D726" s="33"/>
      <c r="E726" s="33"/>
      <c r="F726" s="33"/>
      <c r="G726" s="33"/>
      <c r="H726" s="1"/>
      <c r="I726" s="3"/>
      <c r="J726" s="3"/>
      <c r="K726" s="3"/>
      <c r="L726" s="4"/>
      <c r="M726" s="4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4"/>
    </row>
    <row r="727" spans="1:26" ht="14.25" customHeight="1">
      <c r="A727" s="1"/>
      <c r="B727" s="33"/>
      <c r="C727" s="33"/>
      <c r="D727" s="33"/>
      <c r="E727" s="33"/>
      <c r="F727" s="33"/>
      <c r="G727" s="33"/>
      <c r="H727" s="1"/>
      <c r="I727" s="3"/>
      <c r="J727" s="3"/>
      <c r="K727" s="3"/>
      <c r="L727" s="4"/>
      <c r="M727" s="4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4"/>
    </row>
    <row r="728" spans="1:26" ht="14.25" customHeight="1">
      <c r="A728" s="1"/>
      <c r="B728" s="33"/>
      <c r="C728" s="33"/>
      <c r="D728" s="33"/>
      <c r="E728" s="33"/>
      <c r="F728" s="33"/>
      <c r="G728" s="33"/>
      <c r="H728" s="1"/>
      <c r="I728" s="3"/>
      <c r="J728" s="3"/>
      <c r="K728" s="3"/>
      <c r="L728" s="4"/>
      <c r="M728" s="4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4"/>
    </row>
    <row r="729" spans="1:26" ht="14.25" customHeight="1">
      <c r="A729" s="1"/>
      <c r="B729" s="33"/>
      <c r="C729" s="33"/>
      <c r="D729" s="33"/>
      <c r="E729" s="33"/>
      <c r="F729" s="33"/>
      <c r="G729" s="33"/>
      <c r="H729" s="1"/>
      <c r="I729" s="3"/>
      <c r="J729" s="3"/>
      <c r="K729" s="3"/>
      <c r="L729" s="4"/>
      <c r="M729" s="4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4"/>
    </row>
    <row r="730" spans="1:26" ht="14.25" customHeight="1">
      <c r="A730" s="1"/>
      <c r="B730" s="33"/>
      <c r="C730" s="33"/>
      <c r="D730" s="33"/>
      <c r="E730" s="33"/>
      <c r="F730" s="33"/>
      <c r="G730" s="33"/>
      <c r="H730" s="1"/>
      <c r="I730" s="3"/>
      <c r="J730" s="3"/>
      <c r="K730" s="3"/>
      <c r="L730" s="4"/>
      <c r="M730" s="4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4"/>
    </row>
    <row r="731" spans="1:26" ht="14.25" customHeight="1">
      <c r="A731" s="1"/>
      <c r="B731" s="33"/>
      <c r="C731" s="33"/>
      <c r="D731" s="33"/>
      <c r="E731" s="33"/>
      <c r="F731" s="33"/>
      <c r="G731" s="33"/>
      <c r="H731" s="1"/>
      <c r="I731" s="3"/>
      <c r="J731" s="3"/>
      <c r="K731" s="3"/>
      <c r="L731" s="4"/>
      <c r="M731" s="4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4"/>
    </row>
    <row r="732" spans="1:26" ht="14.25" customHeight="1">
      <c r="A732" s="1"/>
      <c r="B732" s="33"/>
      <c r="C732" s="33"/>
      <c r="D732" s="33"/>
      <c r="E732" s="33"/>
      <c r="F732" s="33"/>
      <c r="G732" s="33"/>
      <c r="H732" s="1"/>
      <c r="I732" s="3"/>
      <c r="J732" s="3"/>
      <c r="K732" s="3"/>
      <c r="L732" s="4"/>
      <c r="M732" s="4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4"/>
    </row>
    <row r="733" spans="1:26" ht="14.25" customHeight="1">
      <c r="A733" s="1"/>
      <c r="B733" s="33"/>
      <c r="C733" s="33"/>
      <c r="D733" s="33"/>
      <c r="E733" s="33"/>
      <c r="F733" s="33"/>
      <c r="G733" s="33"/>
      <c r="H733" s="1"/>
      <c r="I733" s="3"/>
      <c r="J733" s="3"/>
      <c r="K733" s="3"/>
      <c r="L733" s="4"/>
      <c r="M733" s="4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4"/>
    </row>
    <row r="734" spans="1:26" ht="14.25" customHeight="1">
      <c r="A734" s="1"/>
      <c r="B734" s="33"/>
      <c r="C734" s="33"/>
      <c r="D734" s="33"/>
      <c r="E734" s="33"/>
      <c r="F734" s="33"/>
      <c r="G734" s="33"/>
      <c r="H734" s="1"/>
      <c r="I734" s="3"/>
      <c r="J734" s="3"/>
      <c r="K734" s="3"/>
      <c r="L734" s="4"/>
      <c r="M734" s="4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4"/>
    </row>
    <row r="735" spans="1:26" ht="14.25" customHeight="1">
      <c r="A735" s="1"/>
      <c r="B735" s="33"/>
      <c r="C735" s="33"/>
      <c r="D735" s="33"/>
      <c r="E735" s="33"/>
      <c r="F735" s="33"/>
      <c r="G735" s="33"/>
      <c r="H735" s="1"/>
      <c r="I735" s="3"/>
      <c r="J735" s="3"/>
      <c r="K735" s="3"/>
      <c r="L735" s="4"/>
      <c r="M735" s="4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4"/>
    </row>
    <row r="736" spans="1:26" ht="14.25" customHeight="1">
      <c r="A736" s="1"/>
      <c r="B736" s="33"/>
      <c r="C736" s="33"/>
      <c r="D736" s="33"/>
      <c r="E736" s="33"/>
      <c r="F736" s="33"/>
      <c r="G736" s="33"/>
      <c r="H736" s="1"/>
      <c r="I736" s="3"/>
      <c r="J736" s="3"/>
      <c r="K736" s="3"/>
      <c r="L736" s="4"/>
      <c r="M736" s="4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4"/>
    </row>
    <row r="737" spans="1:26" ht="14.25" customHeight="1">
      <c r="A737" s="1"/>
      <c r="B737" s="33"/>
      <c r="C737" s="33"/>
      <c r="D737" s="33"/>
      <c r="E737" s="33"/>
      <c r="F737" s="33"/>
      <c r="G737" s="33"/>
      <c r="H737" s="1"/>
      <c r="I737" s="3"/>
      <c r="J737" s="3"/>
      <c r="K737" s="3"/>
      <c r="L737" s="4"/>
      <c r="M737" s="4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4"/>
    </row>
    <row r="738" spans="1:26" ht="14.25" customHeight="1">
      <c r="A738" s="1"/>
      <c r="B738" s="33"/>
      <c r="C738" s="33"/>
      <c r="D738" s="33"/>
      <c r="E738" s="33"/>
      <c r="F738" s="33"/>
      <c r="G738" s="33"/>
      <c r="H738" s="1"/>
      <c r="I738" s="3"/>
      <c r="J738" s="3"/>
      <c r="K738" s="3"/>
      <c r="L738" s="4"/>
      <c r="M738" s="4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4"/>
    </row>
    <row r="739" spans="1:26" ht="14.25" customHeight="1">
      <c r="A739" s="1"/>
      <c r="B739" s="33"/>
      <c r="C739" s="33"/>
      <c r="D739" s="33"/>
      <c r="E739" s="33"/>
      <c r="F739" s="33"/>
      <c r="G739" s="33"/>
      <c r="H739" s="1"/>
      <c r="I739" s="3"/>
      <c r="J739" s="3"/>
      <c r="K739" s="3"/>
      <c r="L739" s="4"/>
      <c r="M739" s="4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4"/>
    </row>
    <row r="740" spans="1:26" ht="14.25" customHeight="1">
      <c r="A740" s="1"/>
      <c r="B740" s="33"/>
      <c r="C740" s="33"/>
      <c r="D740" s="33"/>
      <c r="E740" s="33"/>
      <c r="F740" s="33"/>
      <c r="G740" s="33"/>
      <c r="H740" s="1"/>
      <c r="I740" s="3"/>
      <c r="J740" s="3"/>
      <c r="K740" s="3"/>
      <c r="L740" s="4"/>
      <c r="M740" s="4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4"/>
    </row>
    <row r="741" spans="1:26" ht="14.25" customHeight="1">
      <c r="A741" s="1"/>
      <c r="B741" s="33"/>
      <c r="C741" s="33"/>
      <c r="D741" s="33"/>
      <c r="E741" s="33"/>
      <c r="F741" s="33"/>
      <c r="G741" s="33"/>
      <c r="H741" s="1"/>
      <c r="I741" s="3"/>
      <c r="J741" s="3"/>
      <c r="K741" s="3"/>
      <c r="L741" s="4"/>
      <c r="M741" s="4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4"/>
    </row>
    <row r="742" spans="1:26" ht="14.25" customHeight="1">
      <c r="A742" s="1"/>
      <c r="B742" s="33"/>
      <c r="C742" s="33"/>
      <c r="D742" s="33"/>
      <c r="E742" s="33"/>
      <c r="F742" s="33"/>
      <c r="G742" s="33"/>
      <c r="H742" s="1"/>
      <c r="I742" s="3"/>
      <c r="J742" s="3"/>
      <c r="K742" s="3"/>
      <c r="L742" s="4"/>
      <c r="M742" s="4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4"/>
    </row>
    <row r="743" spans="1:26" ht="14.25" customHeight="1">
      <c r="A743" s="1"/>
      <c r="B743" s="33"/>
      <c r="C743" s="33"/>
      <c r="D743" s="33"/>
      <c r="E743" s="33"/>
      <c r="F743" s="33"/>
      <c r="G743" s="33"/>
      <c r="H743" s="1"/>
      <c r="I743" s="3"/>
      <c r="J743" s="3"/>
      <c r="K743" s="3"/>
      <c r="L743" s="4"/>
      <c r="M743" s="4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4"/>
    </row>
    <row r="744" spans="1:26" ht="14.25" customHeight="1">
      <c r="A744" s="1"/>
      <c r="B744" s="33"/>
      <c r="C744" s="33"/>
      <c r="D744" s="33"/>
      <c r="E744" s="33"/>
      <c r="F744" s="33"/>
      <c r="G744" s="33"/>
      <c r="H744" s="1"/>
      <c r="I744" s="3"/>
      <c r="J744" s="3"/>
      <c r="K744" s="3"/>
      <c r="L744" s="4"/>
      <c r="M744" s="4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4"/>
    </row>
    <row r="745" spans="1:26" ht="14.25" customHeight="1">
      <c r="A745" s="1"/>
      <c r="B745" s="33"/>
      <c r="C745" s="33"/>
      <c r="D745" s="33"/>
      <c r="E745" s="33"/>
      <c r="F745" s="33"/>
      <c r="G745" s="33"/>
      <c r="H745" s="1"/>
      <c r="I745" s="3"/>
      <c r="J745" s="3"/>
      <c r="K745" s="3"/>
      <c r="L745" s="4"/>
      <c r="M745" s="4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4"/>
    </row>
    <row r="746" spans="1:26" ht="14.25" customHeight="1">
      <c r="A746" s="1"/>
      <c r="B746" s="33"/>
      <c r="C746" s="33"/>
      <c r="D746" s="33"/>
      <c r="E746" s="33"/>
      <c r="F746" s="33"/>
      <c r="G746" s="33"/>
      <c r="H746" s="1"/>
      <c r="I746" s="3"/>
      <c r="J746" s="3"/>
      <c r="K746" s="3"/>
      <c r="L746" s="4"/>
      <c r="M746" s="4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4"/>
    </row>
    <row r="747" spans="1:26" ht="14.25" customHeight="1">
      <c r="A747" s="1"/>
      <c r="B747" s="33"/>
      <c r="C747" s="33"/>
      <c r="D747" s="33"/>
      <c r="E747" s="33"/>
      <c r="F747" s="33"/>
      <c r="G747" s="33"/>
      <c r="H747" s="1"/>
      <c r="I747" s="3"/>
      <c r="J747" s="3"/>
      <c r="K747" s="3"/>
      <c r="L747" s="4"/>
      <c r="M747" s="4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4"/>
    </row>
    <row r="748" spans="1:26" ht="14.25" customHeight="1">
      <c r="A748" s="1"/>
      <c r="B748" s="33"/>
      <c r="C748" s="33"/>
      <c r="D748" s="33"/>
      <c r="E748" s="33"/>
      <c r="F748" s="33"/>
      <c r="G748" s="33"/>
      <c r="H748" s="1"/>
      <c r="I748" s="3"/>
      <c r="J748" s="3"/>
      <c r="K748" s="3"/>
      <c r="L748" s="4"/>
      <c r="M748" s="4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4"/>
    </row>
    <row r="749" spans="1:26" ht="14.25" customHeight="1">
      <c r="A749" s="1"/>
      <c r="B749" s="33"/>
      <c r="C749" s="33"/>
      <c r="D749" s="33"/>
      <c r="E749" s="33"/>
      <c r="F749" s="33"/>
      <c r="G749" s="33"/>
      <c r="H749" s="1"/>
      <c r="I749" s="3"/>
      <c r="J749" s="3"/>
      <c r="K749" s="3"/>
      <c r="L749" s="4"/>
      <c r="M749" s="4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4"/>
    </row>
    <row r="750" spans="1:26" ht="14.25" customHeight="1">
      <c r="A750" s="1"/>
      <c r="B750" s="33"/>
      <c r="C750" s="33"/>
      <c r="D750" s="33"/>
      <c r="E750" s="33"/>
      <c r="F750" s="33"/>
      <c r="G750" s="33"/>
      <c r="H750" s="1"/>
      <c r="I750" s="3"/>
      <c r="J750" s="3"/>
      <c r="K750" s="3"/>
      <c r="L750" s="4"/>
      <c r="M750" s="4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4"/>
    </row>
    <row r="751" spans="1:26" ht="14.25" customHeight="1">
      <c r="A751" s="1"/>
      <c r="B751" s="33"/>
      <c r="C751" s="33"/>
      <c r="D751" s="33"/>
      <c r="E751" s="33"/>
      <c r="F751" s="33"/>
      <c r="G751" s="33"/>
      <c r="H751" s="1"/>
      <c r="I751" s="3"/>
      <c r="J751" s="3"/>
      <c r="K751" s="3"/>
      <c r="L751" s="4"/>
      <c r="M751" s="4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4"/>
    </row>
    <row r="752" spans="1:26" ht="14.25" customHeight="1">
      <c r="A752" s="1"/>
      <c r="B752" s="33"/>
      <c r="C752" s="33"/>
      <c r="D752" s="33"/>
      <c r="E752" s="33"/>
      <c r="F752" s="33"/>
      <c r="G752" s="33"/>
      <c r="H752" s="1"/>
      <c r="I752" s="3"/>
      <c r="J752" s="3"/>
      <c r="K752" s="3"/>
      <c r="L752" s="4"/>
      <c r="M752" s="4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4"/>
    </row>
    <row r="753" spans="1:26" ht="14.25" customHeight="1">
      <c r="A753" s="1"/>
      <c r="B753" s="33"/>
      <c r="C753" s="33"/>
      <c r="D753" s="33"/>
      <c r="E753" s="33"/>
      <c r="F753" s="33"/>
      <c r="G753" s="33"/>
      <c r="H753" s="1"/>
      <c r="I753" s="3"/>
      <c r="J753" s="3"/>
      <c r="K753" s="3"/>
      <c r="L753" s="4"/>
      <c r="M753" s="4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4"/>
    </row>
    <row r="754" spans="1:26" ht="14.25" customHeight="1">
      <c r="A754" s="1"/>
      <c r="B754" s="33"/>
      <c r="C754" s="33"/>
      <c r="D754" s="33"/>
      <c r="E754" s="33"/>
      <c r="F754" s="33"/>
      <c r="G754" s="33"/>
      <c r="H754" s="1"/>
      <c r="I754" s="3"/>
      <c r="J754" s="3"/>
      <c r="K754" s="3"/>
      <c r="L754" s="4"/>
      <c r="M754" s="4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4"/>
    </row>
    <row r="755" spans="1:26" ht="14.25" customHeight="1">
      <c r="A755" s="1"/>
      <c r="B755" s="33"/>
      <c r="C755" s="33"/>
      <c r="D755" s="33"/>
      <c r="E755" s="33"/>
      <c r="F755" s="33"/>
      <c r="G755" s="33"/>
      <c r="H755" s="1"/>
      <c r="I755" s="3"/>
      <c r="J755" s="3"/>
      <c r="K755" s="3"/>
      <c r="L755" s="4"/>
      <c r="M755" s="4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4"/>
    </row>
    <row r="756" spans="1:26" ht="14.25" customHeight="1">
      <c r="A756" s="1"/>
      <c r="B756" s="33"/>
      <c r="C756" s="33"/>
      <c r="D756" s="33"/>
      <c r="E756" s="33"/>
      <c r="F756" s="33"/>
      <c r="G756" s="33"/>
      <c r="H756" s="1"/>
      <c r="I756" s="3"/>
      <c r="J756" s="3"/>
      <c r="K756" s="3"/>
      <c r="L756" s="4"/>
      <c r="M756" s="4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4"/>
    </row>
    <row r="757" spans="1:26" ht="14.25" customHeight="1">
      <c r="A757" s="1"/>
      <c r="B757" s="33"/>
      <c r="C757" s="33"/>
      <c r="D757" s="33"/>
      <c r="E757" s="33"/>
      <c r="F757" s="33"/>
      <c r="G757" s="33"/>
      <c r="H757" s="1"/>
      <c r="I757" s="3"/>
      <c r="J757" s="3"/>
      <c r="K757" s="3"/>
      <c r="L757" s="4"/>
      <c r="M757" s="4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4"/>
    </row>
    <row r="758" spans="1:26" ht="14.25" customHeight="1">
      <c r="A758" s="1"/>
      <c r="B758" s="33"/>
      <c r="C758" s="33"/>
      <c r="D758" s="33"/>
      <c r="E758" s="33"/>
      <c r="F758" s="33"/>
      <c r="G758" s="33"/>
      <c r="H758" s="1"/>
      <c r="I758" s="3"/>
      <c r="J758" s="3"/>
      <c r="K758" s="3"/>
      <c r="L758" s="4"/>
      <c r="M758" s="4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4"/>
    </row>
    <row r="759" spans="1:26" ht="14.25" customHeight="1">
      <c r="A759" s="1"/>
      <c r="B759" s="33"/>
      <c r="C759" s="33"/>
      <c r="D759" s="33"/>
      <c r="E759" s="33"/>
      <c r="F759" s="33"/>
      <c r="G759" s="33"/>
      <c r="H759" s="1"/>
      <c r="I759" s="3"/>
      <c r="J759" s="3"/>
      <c r="K759" s="3"/>
      <c r="L759" s="4"/>
      <c r="M759" s="4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4"/>
    </row>
    <row r="760" spans="1:26" ht="14.25" customHeight="1">
      <c r="A760" s="1"/>
      <c r="B760" s="33"/>
      <c r="C760" s="33"/>
      <c r="D760" s="33"/>
      <c r="E760" s="33"/>
      <c r="F760" s="33"/>
      <c r="G760" s="33"/>
      <c r="H760" s="1"/>
      <c r="I760" s="3"/>
      <c r="J760" s="3"/>
      <c r="K760" s="3"/>
      <c r="L760" s="4"/>
      <c r="M760" s="4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4"/>
    </row>
    <row r="761" spans="1:26" ht="14.25" customHeight="1">
      <c r="A761" s="1"/>
      <c r="B761" s="33"/>
      <c r="C761" s="33"/>
      <c r="D761" s="33"/>
      <c r="E761" s="33"/>
      <c r="F761" s="33"/>
      <c r="G761" s="33"/>
      <c r="H761" s="1"/>
      <c r="I761" s="3"/>
      <c r="J761" s="3"/>
      <c r="K761" s="3"/>
      <c r="L761" s="4"/>
      <c r="M761" s="4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4"/>
    </row>
    <row r="762" spans="1:26" ht="14.25" customHeight="1">
      <c r="A762" s="1"/>
      <c r="B762" s="33"/>
      <c r="C762" s="33"/>
      <c r="D762" s="33"/>
      <c r="E762" s="33"/>
      <c r="F762" s="33"/>
      <c r="G762" s="33"/>
      <c r="H762" s="1"/>
      <c r="I762" s="3"/>
      <c r="J762" s="3"/>
      <c r="K762" s="3"/>
      <c r="L762" s="4"/>
      <c r="M762" s="4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4"/>
    </row>
    <row r="763" spans="1:26" ht="14.25" customHeight="1">
      <c r="A763" s="1"/>
      <c r="B763" s="33"/>
      <c r="C763" s="33"/>
      <c r="D763" s="33"/>
      <c r="E763" s="33"/>
      <c r="F763" s="33"/>
      <c r="G763" s="33"/>
      <c r="H763" s="1"/>
      <c r="I763" s="3"/>
      <c r="J763" s="3"/>
      <c r="K763" s="3"/>
      <c r="L763" s="4"/>
      <c r="M763" s="4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4"/>
    </row>
    <row r="764" spans="1:26" ht="14.25" customHeight="1">
      <c r="A764" s="1"/>
      <c r="B764" s="33"/>
      <c r="C764" s="33"/>
      <c r="D764" s="33"/>
      <c r="E764" s="33"/>
      <c r="F764" s="33"/>
      <c r="G764" s="33"/>
      <c r="H764" s="1"/>
      <c r="I764" s="3"/>
      <c r="J764" s="3"/>
      <c r="K764" s="3"/>
      <c r="L764" s="4"/>
      <c r="M764" s="4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4"/>
    </row>
    <row r="765" spans="1:26" ht="14.25" customHeight="1">
      <c r="A765" s="1"/>
      <c r="B765" s="33"/>
      <c r="C765" s="33"/>
      <c r="D765" s="33"/>
      <c r="E765" s="33"/>
      <c r="F765" s="33"/>
      <c r="G765" s="33"/>
      <c r="H765" s="1"/>
      <c r="I765" s="3"/>
      <c r="J765" s="3"/>
      <c r="K765" s="3"/>
      <c r="L765" s="4"/>
      <c r="M765" s="4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4"/>
    </row>
    <row r="766" spans="1:26" ht="14.25" customHeight="1">
      <c r="A766" s="1"/>
      <c r="B766" s="33"/>
      <c r="C766" s="33"/>
      <c r="D766" s="33"/>
      <c r="E766" s="33"/>
      <c r="F766" s="33"/>
      <c r="G766" s="33"/>
      <c r="H766" s="1"/>
      <c r="I766" s="3"/>
      <c r="J766" s="3"/>
      <c r="K766" s="3"/>
      <c r="L766" s="4"/>
      <c r="M766" s="4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4"/>
    </row>
    <row r="767" spans="1:26" ht="14.25" customHeight="1">
      <c r="A767" s="1"/>
      <c r="B767" s="33"/>
      <c r="C767" s="33"/>
      <c r="D767" s="33"/>
      <c r="E767" s="33"/>
      <c r="F767" s="33"/>
      <c r="G767" s="33"/>
      <c r="H767" s="1"/>
      <c r="I767" s="3"/>
      <c r="J767" s="3"/>
      <c r="K767" s="3"/>
      <c r="L767" s="4"/>
      <c r="M767" s="4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4"/>
    </row>
    <row r="768" spans="1:26" ht="14.25" customHeight="1">
      <c r="A768" s="1"/>
      <c r="B768" s="33"/>
      <c r="C768" s="33"/>
      <c r="D768" s="33"/>
      <c r="E768" s="33"/>
      <c r="F768" s="33"/>
      <c r="G768" s="33"/>
      <c r="H768" s="1"/>
      <c r="I768" s="3"/>
      <c r="J768" s="3"/>
      <c r="K768" s="3"/>
      <c r="L768" s="4"/>
      <c r="M768" s="4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4"/>
    </row>
    <row r="769" spans="1:26" ht="14.25" customHeight="1">
      <c r="A769" s="1"/>
      <c r="B769" s="33"/>
      <c r="C769" s="33"/>
      <c r="D769" s="33"/>
      <c r="E769" s="33"/>
      <c r="F769" s="33"/>
      <c r="G769" s="33"/>
      <c r="H769" s="1"/>
      <c r="I769" s="3"/>
      <c r="J769" s="3"/>
      <c r="K769" s="3"/>
      <c r="L769" s="4"/>
      <c r="M769" s="4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4"/>
    </row>
    <row r="770" spans="1:26" ht="14.25" customHeight="1">
      <c r="A770" s="1"/>
      <c r="B770" s="33"/>
      <c r="C770" s="33"/>
      <c r="D770" s="33"/>
      <c r="E770" s="33"/>
      <c r="F770" s="33"/>
      <c r="G770" s="33"/>
      <c r="H770" s="1"/>
      <c r="I770" s="3"/>
      <c r="J770" s="3"/>
      <c r="K770" s="3"/>
      <c r="L770" s="4"/>
      <c r="M770" s="4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4"/>
    </row>
    <row r="771" spans="1:26" ht="14.25" customHeight="1">
      <c r="A771" s="1"/>
      <c r="B771" s="33"/>
      <c r="C771" s="33"/>
      <c r="D771" s="33"/>
      <c r="E771" s="33"/>
      <c r="F771" s="33"/>
      <c r="G771" s="33"/>
      <c r="H771" s="1"/>
      <c r="I771" s="3"/>
      <c r="J771" s="3"/>
      <c r="K771" s="3"/>
      <c r="L771" s="4"/>
      <c r="M771" s="4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4"/>
    </row>
    <row r="772" spans="1:26" ht="14.25" customHeight="1">
      <c r="A772" s="1"/>
      <c r="B772" s="33"/>
      <c r="C772" s="33"/>
      <c r="D772" s="33"/>
      <c r="E772" s="33"/>
      <c r="F772" s="33"/>
      <c r="G772" s="33"/>
      <c r="H772" s="1"/>
      <c r="I772" s="3"/>
      <c r="J772" s="3"/>
      <c r="K772" s="3"/>
      <c r="L772" s="4"/>
      <c r="M772" s="4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4"/>
    </row>
    <row r="773" spans="1:26" ht="14.25" customHeight="1">
      <c r="A773" s="1"/>
      <c r="B773" s="33"/>
      <c r="C773" s="33"/>
      <c r="D773" s="33"/>
      <c r="E773" s="33"/>
      <c r="F773" s="33"/>
      <c r="G773" s="33"/>
      <c r="H773" s="1"/>
      <c r="I773" s="3"/>
      <c r="J773" s="3"/>
      <c r="K773" s="3"/>
      <c r="L773" s="4"/>
      <c r="M773" s="4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4"/>
    </row>
    <row r="774" spans="1:26" ht="14.25" customHeight="1">
      <c r="A774" s="1"/>
      <c r="B774" s="33"/>
      <c r="C774" s="33"/>
      <c r="D774" s="33"/>
      <c r="E774" s="33"/>
      <c r="F774" s="33"/>
      <c r="G774" s="33"/>
      <c r="H774" s="1"/>
      <c r="I774" s="3"/>
      <c r="J774" s="3"/>
      <c r="K774" s="3"/>
      <c r="L774" s="4"/>
      <c r="M774" s="4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4"/>
    </row>
    <row r="775" spans="1:26" ht="14.25" customHeight="1">
      <c r="A775" s="1"/>
      <c r="B775" s="33"/>
      <c r="C775" s="33"/>
      <c r="D775" s="33"/>
      <c r="E775" s="33"/>
      <c r="F775" s="33"/>
      <c r="G775" s="33"/>
      <c r="H775" s="1"/>
      <c r="I775" s="3"/>
      <c r="J775" s="3"/>
      <c r="K775" s="3"/>
      <c r="L775" s="4"/>
      <c r="M775" s="4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4"/>
    </row>
    <row r="776" spans="1:26" ht="14.25" customHeight="1">
      <c r="A776" s="1"/>
      <c r="B776" s="33"/>
      <c r="C776" s="33"/>
      <c r="D776" s="33"/>
      <c r="E776" s="33"/>
      <c r="F776" s="33"/>
      <c r="G776" s="33"/>
      <c r="H776" s="1"/>
      <c r="I776" s="3"/>
      <c r="J776" s="3"/>
      <c r="K776" s="3"/>
      <c r="L776" s="4"/>
      <c r="M776" s="4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4"/>
    </row>
    <row r="777" spans="1:26" ht="14.25" customHeight="1">
      <c r="A777" s="1"/>
      <c r="B777" s="33"/>
      <c r="C777" s="33"/>
      <c r="D777" s="33"/>
      <c r="E777" s="33"/>
      <c r="F777" s="33"/>
      <c r="G777" s="33"/>
      <c r="H777" s="1"/>
      <c r="I777" s="3"/>
      <c r="J777" s="3"/>
      <c r="K777" s="3"/>
      <c r="L777" s="4"/>
      <c r="M777" s="4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4"/>
    </row>
    <row r="778" spans="1:26" ht="14.25" customHeight="1">
      <c r="A778" s="1"/>
      <c r="B778" s="33"/>
      <c r="C778" s="33"/>
      <c r="D778" s="33"/>
      <c r="E778" s="33"/>
      <c r="F778" s="33"/>
      <c r="G778" s="33"/>
      <c r="H778" s="1"/>
      <c r="I778" s="3"/>
      <c r="J778" s="3"/>
      <c r="K778" s="3"/>
      <c r="L778" s="4"/>
      <c r="M778" s="4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4"/>
    </row>
    <row r="779" spans="1:26" ht="14.25" customHeight="1">
      <c r="A779" s="1"/>
      <c r="B779" s="33"/>
      <c r="C779" s="33"/>
      <c r="D779" s="33"/>
      <c r="E779" s="33"/>
      <c r="F779" s="33"/>
      <c r="G779" s="33"/>
      <c r="H779" s="1"/>
      <c r="I779" s="3"/>
      <c r="J779" s="3"/>
      <c r="K779" s="3"/>
      <c r="L779" s="4"/>
      <c r="M779" s="4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4"/>
    </row>
    <row r="780" spans="1:26" ht="14.25" customHeight="1">
      <c r="A780" s="1"/>
      <c r="B780" s="33"/>
      <c r="C780" s="33"/>
      <c r="D780" s="33"/>
      <c r="E780" s="33"/>
      <c r="F780" s="33"/>
      <c r="G780" s="33"/>
      <c r="H780" s="1"/>
      <c r="I780" s="3"/>
      <c r="J780" s="3"/>
      <c r="K780" s="3"/>
      <c r="L780" s="4"/>
      <c r="M780" s="4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4"/>
    </row>
    <row r="781" spans="1:26" ht="14.25" customHeight="1">
      <c r="A781" s="1"/>
      <c r="B781" s="33"/>
      <c r="C781" s="33"/>
      <c r="D781" s="33"/>
      <c r="E781" s="33"/>
      <c r="F781" s="33"/>
      <c r="G781" s="33"/>
      <c r="H781" s="1"/>
      <c r="I781" s="3"/>
      <c r="J781" s="3"/>
      <c r="K781" s="3"/>
      <c r="L781" s="4"/>
      <c r="M781" s="4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4"/>
    </row>
    <row r="782" spans="1:26" ht="14.25" customHeight="1">
      <c r="A782" s="1"/>
      <c r="B782" s="33"/>
      <c r="C782" s="33"/>
      <c r="D782" s="33"/>
      <c r="E782" s="33"/>
      <c r="F782" s="33"/>
      <c r="G782" s="33"/>
      <c r="H782" s="1"/>
      <c r="I782" s="3"/>
      <c r="J782" s="3"/>
      <c r="K782" s="3"/>
      <c r="L782" s="4"/>
      <c r="M782" s="4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4"/>
    </row>
    <row r="783" spans="1:26" ht="14.25" customHeight="1">
      <c r="A783" s="1"/>
      <c r="B783" s="33"/>
      <c r="C783" s="33"/>
      <c r="D783" s="33"/>
      <c r="E783" s="33"/>
      <c r="F783" s="33"/>
      <c r="G783" s="33"/>
      <c r="H783" s="1"/>
      <c r="I783" s="3"/>
      <c r="J783" s="3"/>
      <c r="K783" s="3"/>
      <c r="L783" s="4"/>
      <c r="M783" s="4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4"/>
    </row>
    <row r="784" spans="1:26" ht="14.25" customHeight="1">
      <c r="A784" s="1"/>
      <c r="B784" s="33"/>
      <c r="C784" s="33"/>
      <c r="D784" s="33"/>
      <c r="E784" s="33"/>
      <c r="F784" s="33"/>
      <c r="G784" s="33"/>
      <c r="H784" s="1"/>
      <c r="I784" s="3"/>
      <c r="J784" s="3"/>
      <c r="K784" s="3"/>
      <c r="L784" s="4"/>
      <c r="M784" s="4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4"/>
    </row>
    <row r="785" spans="1:26" ht="14.25" customHeight="1">
      <c r="A785" s="1"/>
      <c r="B785" s="33"/>
      <c r="C785" s="33"/>
      <c r="D785" s="33"/>
      <c r="E785" s="33"/>
      <c r="F785" s="33"/>
      <c r="G785" s="33"/>
      <c r="H785" s="1"/>
      <c r="I785" s="3"/>
      <c r="J785" s="3"/>
      <c r="K785" s="3"/>
      <c r="L785" s="4"/>
      <c r="M785" s="4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4"/>
    </row>
    <row r="786" spans="1:26" ht="14.25" customHeight="1">
      <c r="A786" s="1"/>
      <c r="B786" s="33"/>
      <c r="C786" s="33"/>
      <c r="D786" s="33"/>
      <c r="E786" s="33"/>
      <c r="F786" s="33"/>
      <c r="G786" s="33"/>
      <c r="H786" s="1"/>
      <c r="I786" s="3"/>
      <c r="J786" s="3"/>
      <c r="K786" s="3"/>
      <c r="L786" s="4"/>
      <c r="M786" s="4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4"/>
    </row>
    <row r="787" spans="1:26" ht="14.25" customHeight="1">
      <c r="A787" s="1"/>
      <c r="B787" s="33"/>
      <c r="C787" s="33"/>
      <c r="D787" s="33"/>
      <c r="E787" s="33"/>
      <c r="F787" s="33"/>
      <c r="G787" s="33"/>
      <c r="H787" s="1"/>
      <c r="I787" s="3"/>
      <c r="J787" s="3"/>
      <c r="K787" s="3"/>
      <c r="L787" s="4"/>
      <c r="M787" s="4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4"/>
    </row>
    <row r="788" spans="1:26" ht="14.25" customHeight="1">
      <c r="A788" s="1"/>
      <c r="B788" s="33"/>
      <c r="C788" s="33"/>
      <c r="D788" s="33"/>
      <c r="E788" s="33"/>
      <c r="F788" s="33"/>
      <c r="G788" s="33"/>
      <c r="H788" s="1"/>
      <c r="I788" s="3"/>
      <c r="J788" s="3"/>
      <c r="K788" s="3"/>
      <c r="L788" s="4"/>
      <c r="M788" s="4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4"/>
    </row>
    <row r="789" spans="1:26" ht="14.25" customHeight="1">
      <c r="A789" s="1"/>
      <c r="B789" s="33"/>
      <c r="C789" s="33"/>
      <c r="D789" s="33"/>
      <c r="E789" s="33"/>
      <c r="F789" s="33"/>
      <c r="G789" s="33"/>
      <c r="H789" s="1"/>
      <c r="I789" s="3"/>
      <c r="J789" s="3"/>
      <c r="K789" s="3"/>
      <c r="L789" s="4"/>
      <c r="M789" s="4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4"/>
    </row>
    <row r="790" spans="1:26" ht="14.25" customHeight="1">
      <c r="A790" s="1"/>
      <c r="B790" s="33"/>
      <c r="C790" s="33"/>
      <c r="D790" s="33"/>
      <c r="E790" s="33"/>
      <c r="F790" s="33"/>
      <c r="G790" s="33"/>
      <c r="H790" s="1"/>
      <c r="I790" s="3"/>
      <c r="J790" s="3"/>
      <c r="K790" s="3"/>
      <c r="L790" s="4"/>
      <c r="M790" s="4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4"/>
    </row>
    <row r="791" spans="1:26" ht="14.25" customHeight="1">
      <c r="A791" s="1"/>
      <c r="B791" s="33"/>
      <c r="C791" s="33"/>
      <c r="D791" s="33"/>
      <c r="E791" s="33"/>
      <c r="F791" s="33"/>
      <c r="G791" s="33"/>
      <c r="H791" s="1"/>
      <c r="I791" s="3"/>
      <c r="J791" s="3"/>
      <c r="K791" s="3"/>
      <c r="L791" s="4"/>
      <c r="M791" s="4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4"/>
    </row>
    <row r="792" spans="1:26" ht="14.25" customHeight="1">
      <c r="A792" s="1"/>
      <c r="B792" s="33"/>
      <c r="C792" s="33"/>
      <c r="D792" s="33"/>
      <c r="E792" s="33"/>
      <c r="F792" s="33"/>
      <c r="G792" s="33"/>
      <c r="H792" s="1"/>
      <c r="I792" s="3"/>
      <c r="J792" s="3"/>
      <c r="K792" s="3"/>
      <c r="L792" s="4"/>
      <c r="M792" s="4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4"/>
    </row>
    <row r="793" spans="1:26" ht="14.25" customHeight="1">
      <c r="A793" s="1"/>
      <c r="B793" s="33"/>
      <c r="C793" s="33"/>
      <c r="D793" s="33"/>
      <c r="E793" s="33"/>
      <c r="F793" s="33"/>
      <c r="G793" s="33"/>
      <c r="H793" s="1"/>
      <c r="I793" s="3"/>
      <c r="J793" s="3"/>
      <c r="K793" s="3"/>
      <c r="L793" s="4"/>
      <c r="M793" s="4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4"/>
    </row>
    <row r="794" spans="1:26" ht="14.25" customHeight="1">
      <c r="A794" s="1"/>
      <c r="B794" s="33"/>
      <c r="C794" s="33"/>
      <c r="D794" s="33"/>
      <c r="E794" s="33"/>
      <c r="F794" s="33"/>
      <c r="G794" s="33"/>
      <c r="H794" s="1"/>
      <c r="I794" s="3"/>
      <c r="J794" s="3"/>
      <c r="K794" s="3"/>
      <c r="L794" s="4"/>
      <c r="M794" s="4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4"/>
    </row>
    <row r="795" spans="1:26" ht="14.25" customHeight="1">
      <c r="A795" s="1"/>
      <c r="B795" s="33"/>
      <c r="C795" s="33"/>
      <c r="D795" s="33"/>
      <c r="E795" s="33"/>
      <c r="F795" s="33"/>
      <c r="G795" s="33"/>
      <c r="H795" s="1"/>
      <c r="I795" s="3"/>
      <c r="J795" s="3"/>
      <c r="K795" s="3"/>
      <c r="L795" s="4"/>
      <c r="M795" s="4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4"/>
    </row>
    <row r="796" spans="1:26" ht="14.25" customHeight="1">
      <c r="A796" s="1"/>
      <c r="B796" s="33"/>
      <c r="C796" s="33"/>
      <c r="D796" s="33"/>
      <c r="E796" s="33"/>
      <c r="F796" s="33"/>
      <c r="G796" s="33"/>
      <c r="H796" s="1"/>
      <c r="I796" s="3"/>
      <c r="J796" s="3"/>
      <c r="K796" s="3"/>
      <c r="L796" s="4"/>
      <c r="M796" s="4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4"/>
    </row>
    <row r="797" spans="1:26" ht="14.25" customHeight="1">
      <c r="A797" s="1"/>
      <c r="B797" s="33"/>
      <c r="C797" s="33"/>
      <c r="D797" s="33"/>
      <c r="E797" s="33"/>
      <c r="F797" s="33"/>
      <c r="G797" s="33"/>
      <c r="H797" s="1"/>
      <c r="I797" s="3"/>
      <c r="J797" s="3"/>
      <c r="K797" s="3"/>
      <c r="L797" s="4"/>
      <c r="M797" s="4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4"/>
    </row>
    <row r="798" spans="1:26" ht="14.25" customHeight="1">
      <c r="A798" s="1"/>
      <c r="B798" s="33"/>
      <c r="C798" s="33"/>
      <c r="D798" s="33"/>
      <c r="E798" s="33"/>
      <c r="F798" s="33"/>
      <c r="G798" s="33"/>
      <c r="H798" s="1"/>
      <c r="I798" s="3"/>
      <c r="J798" s="3"/>
      <c r="K798" s="3"/>
      <c r="L798" s="4"/>
      <c r="M798" s="4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4"/>
    </row>
    <row r="799" spans="1:26" ht="14.25" customHeight="1">
      <c r="A799" s="1"/>
      <c r="B799" s="33"/>
      <c r="C799" s="33"/>
      <c r="D799" s="33"/>
      <c r="E799" s="33"/>
      <c r="F799" s="33"/>
      <c r="G799" s="33"/>
      <c r="H799" s="1"/>
      <c r="I799" s="3"/>
      <c r="J799" s="3"/>
      <c r="K799" s="3"/>
      <c r="L799" s="4"/>
      <c r="M799" s="4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4"/>
    </row>
    <row r="800" spans="1:26" ht="14.25" customHeight="1">
      <c r="A800" s="1"/>
      <c r="B800" s="33"/>
      <c r="C800" s="33"/>
      <c r="D800" s="33"/>
      <c r="E800" s="33"/>
      <c r="F800" s="33"/>
      <c r="G800" s="33"/>
      <c r="H800" s="1"/>
      <c r="I800" s="3"/>
      <c r="J800" s="3"/>
      <c r="K800" s="3"/>
      <c r="L800" s="4"/>
      <c r="M800" s="4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4"/>
    </row>
    <row r="801" spans="1:26" ht="14.25" customHeight="1">
      <c r="A801" s="1"/>
      <c r="B801" s="33"/>
      <c r="C801" s="33"/>
      <c r="D801" s="33"/>
      <c r="E801" s="33"/>
      <c r="F801" s="33"/>
      <c r="G801" s="33"/>
      <c r="H801" s="1"/>
      <c r="I801" s="3"/>
      <c r="J801" s="3"/>
      <c r="K801" s="3"/>
      <c r="L801" s="4"/>
      <c r="M801" s="4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4"/>
    </row>
    <row r="802" spans="1:26" ht="14.25" customHeight="1">
      <c r="A802" s="1"/>
      <c r="B802" s="33"/>
      <c r="C802" s="33"/>
      <c r="D802" s="33"/>
      <c r="E802" s="33"/>
      <c r="F802" s="33"/>
      <c r="G802" s="33"/>
      <c r="H802" s="1"/>
      <c r="I802" s="3"/>
      <c r="J802" s="3"/>
      <c r="K802" s="3"/>
      <c r="L802" s="4"/>
      <c r="M802" s="4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4"/>
    </row>
    <row r="803" spans="1:26" ht="14.25" customHeight="1">
      <c r="A803" s="1"/>
      <c r="B803" s="33"/>
      <c r="C803" s="33"/>
      <c r="D803" s="33"/>
      <c r="E803" s="33"/>
      <c r="F803" s="33"/>
      <c r="G803" s="33"/>
      <c r="H803" s="1"/>
      <c r="I803" s="3"/>
      <c r="J803" s="3"/>
      <c r="K803" s="3"/>
      <c r="L803" s="4"/>
      <c r="M803" s="4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4"/>
    </row>
    <row r="804" spans="1:26" ht="14.25" customHeight="1">
      <c r="A804" s="1"/>
      <c r="B804" s="33"/>
      <c r="C804" s="33"/>
      <c r="D804" s="33"/>
      <c r="E804" s="33"/>
      <c r="F804" s="33"/>
      <c r="G804" s="33"/>
      <c r="H804" s="1"/>
      <c r="I804" s="3"/>
      <c r="J804" s="3"/>
      <c r="K804" s="3"/>
      <c r="L804" s="4"/>
      <c r="M804" s="4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4"/>
    </row>
    <row r="805" spans="1:26" ht="14.25" customHeight="1">
      <c r="A805" s="1"/>
      <c r="B805" s="33"/>
      <c r="C805" s="33"/>
      <c r="D805" s="33"/>
      <c r="E805" s="33"/>
      <c r="F805" s="33"/>
      <c r="G805" s="33"/>
      <c r="H805" s="1"/>
      <c r="I805" s="3"/>
      <c r="J805" s="3"/>
      <c r="K805" s="3"/>
      <c r="L805" s="4"/>
      <c r="M805" s="4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4"/>
    </row>
    <row r="806" spans="1:26" ht="14.25" customHeight="1">
      <c r="A806" s="1"/>
      <c r="B806" s="33"/>
      <c r="C806" s="33"/>
      <c r="D806" s="33"/>
      <c r="E806" s="33"/>
      <c r="F806" s="33"/>
      <c r="G806" s="33"/>
      <c r="H806" s="1"/>
      <c r="I806" s="3"/>
      <c r="J806" s="3"/>
      <c r="K806" s="3"/>
      <c r="L806" s="4"/>
      <c r="M806" s="4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4"/>
    </row>
    <row r="807" spans="1:26" ht="14.25" customHeight="1">
      <c r="A807" s="1"/>
      <c r="B807" s="33"/>
      <c r="C807" s="33"/>
      <c r="D807" s="33"/>
      <c r="E807" s="33"/>
      <c r="F807" s="33"/>
      <c r="G807" s="33"/>
      <c r="H807" s="1"/>
      <c r="I807" s="3"/>
      <c r="J807" s="3"/>
      <c r="K807" s="3"/>
      <c r="L807" s="4"/>
      <c r="M807" s="4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4"/>
    </row>
    <row r="808" spans="1:26" ht="14.25" customHeight="1">
      <c r="A808" s="1"/>
      <c r="B808" s="33"/>
      <c r="C808" s="33"/>
      <c r="D808" s="33"/>
      <c r="E808" s="33"/>
      <c r="F808" s="33"/>
      <c r="G808" s="33"/>
      <c r="H808" s="1"/>
      <c r="I808" s="3"/>
      <c r="J808" s="3"/>
      <c r="K808" s="3"/>
      <c r="L808" s="4"/>
      <c r="M808" s="4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4"/>
    </row>
    <row r="809" spans="1:26" ht="14.25" customHeight="1">
      <c r="A809" s="1"/>
      <c r="B809" s="33"/>
      <c r="C809" s="33"/>
      <c r="D809" s="33"/>
      <c r="E809" s="33"/>
      <c r="F809" s="33"/>
      <c r="G809" s="33"/>
      <c r="H809" s="1"/>
      <c r="I809" s="3"/>
      <c r="J809" s="3"/>
      <c r="K809" s="3"/>
      <c r="L809" s="4"/>
      <c r="M809" s="4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4"/>
    </row>
    <row r="810" spans="1:26" ht="14.25" customHeight="1">
      <c r="A810" s="1"/>
      <c r="B810" s="33"/>
      <c r="C810" s="33"/>
      <c r="D810" s="33"/>
      <c r="E810" s="33"/>
      <c r="F810" s="33"/>
      <c r="G810" s="33"/>
      <c r="H810" s="1"/>
      <c r="I810" s="3"/>
      <c r="J810" s="3"/>
      <c r="K810" s="3"/>
      <c r="L810" s="4"/>
      <c r="M810" s="4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4"/>
    </row>
    <row r="811" spans="1:26" ht="14.25" customHeight="1">
      <c r="A811" s="1"/>
      <c r="B811" s="33"/>
      <c r="C811" s="33"/>
      <c r="D811" s="33"/>
      <c r="E811" s="33"/>
      <c r="F811" s="33"/>
      <c r="G811" s="33"/>
      <c r="H811" s="1"/>
      <c r="I811" s="3"/>
      <c r="J811" s="3"/>
      <c r="K811" s="3"/>
      <c r="L811" s="4"/>
      <c r="M811" s="4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4"/>
    </row>
    <row r="812" spans="1:26" ht="14.25" customHeight="1">
      <c r="A812" s="1"/>
      <c r="B812" s="33"/>
      <c r="C812" s="33"/>
      <c r="D812" s="33"/>
      <c r="E812" s="33"/>
      <c r="F812" s="33"/>
      <c r="G812" s="33"/>
      <c r="H812" s="1"/>
      <c r="I812" s="3"/>
      <c r="J812" s="3"/>
      <c r="K812" s="3"/>
      <c r="L812" s="4"/>
      <c r="M812" s="4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4"/>
    </row>
    <row r="813" spans="1:26" ht="14.25" customHeight="1">
      <c r="A813" s="1"/>
      <c r="B813" s="33"/>
      <c r="C813" s="33"/>
      <c r="D813" s="33"/>
      <c r="E813" s="33"/>
      <c r="F813" s="33"/>
      <c r="G813" s="33"/>
      <c r="H813" s="1"/>
      <c r="I813" s="3"/>
      <c r="J813" s="3"/>
      <c r="K813" s="3"/>
      <c r="L813" s="4"/>
      <c r="M813" s="4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4"/>
    </row>
    <row r="814" spans="1:26" ht="14.25" customHeight="1">
      <c r="A814" s="1"/>
      <c r="B814" s="33"/>
      <c r="C814" s="33"/>
      <c r="D814" s="33"/>
      <c r="E814" s="33"/>
      <c r="F814" s="33"/>
      <c r="G814" s="33"/>
      <c r="H814" s="1"/>
      <c r="I814" s="3"/>
      <c r="J814" s="3"/>
      <c r="K814" s="3"/>
      <c r="L814" s="4"/>
      <c r="M814" s="4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4"/>
    </row>
    <row r="815" spans="1:26" ht="14.25" customHeight="1">
      <c r="A815" s="1"/>
      <c r="B815" s="33"/>
      <c r="C815" s="33"/>
      <c r="D815" s="33"/>
      <c r="E815" s="33"/>
      <c r="F815" s="33"/>
      <c r="G815" s="33"/>
      <c r="H815" s="1"/>
      <c r="I815" s="3"/>
      <c r="J815" s="3"/>
      <c r="K815" s="3"/>
      <c r="L815" s="4"/>
      <c r="M815" s="4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4"/>
    </row>
    <row r="816" spans="1:26" ht="14.25" customHeight="1">
      <c r="A816" s="1"/>
      <c r="B816" s="33"/>
      <c r="C816" s="33"/>
      <c r="D816" s="33"/>
      <c r="E816" s="33"/>
      <c r="F816" s="33"/>
      <c r="G816" s="33"/>
      <c r="H816" s="1"/>
      <c r="I816" s="3"/>
      <c r="J816" s="3"/>
      <c r="K816" s="3"/>
      <c r="L816" s="4"/>
      <c r="M816" s="4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4"/>
    </row>
    <row r="817" spans="1:26" ht="14.25" customHeight="1">
      <c r="A817" s="1"/>
      <c r="B817" s="33"/>
      <c r="C817" s="33"/>
      <c r="D817" s="33"/>
      <c r="E817" s="33"/>
      <c r="F817" s="33"/>
      <c r="G817" s="33"/>
      <c r="H817" s="1"/>
      <c r="I817" s="3"/>
      <c r="J817" s="3"/>
      <c r="K817" s="3"/>
      <c r="L817" s="4"/>
      <c r="M817" s="4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4"/>
    </row>
    <row r="818" spans="1:26" ht="14.25" customHeight="1">
      <c r="A818" s="1"/>
      <c r="B818" s="33"/>
      <c r="C818" s="33"/>
      <c r="D818" s="33"/>
      <c r="E818" s="33"/>
      <c r="F818" s="33"/>
      <c r="G818" s="33"/>
      <c r="H818" s="1"/>
      <c r="I818" s="3"/>
      <c r="J818" s="3"/>
      <c r="K818" s="3"/>
      <c r="L818" s="4"/>
      <c r="M818" s="4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4"/>
    </row>
    <row r="819" spans="1:26" ht="14.25" customHeight="1">
      <c r="A819" s="1"/>
      <c r="B819" s="33"/>
      <c r="C819" s="33"/>
      <c r="D819" s="33"/>
      <c r="E819" s="33"/>
      <c r="F819" s="33"/>
      <c r="G819" s="33"/>
      <c r="H819" s="1"/>
      <c r="I819" s="3"/>
      <c r="J819" s="3"/>
      <c r="K819" s="3"/>
      <c r="L819" s="4"/>
      <c r="M819" s="4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4"/>
    </row>
    <row r="820" spans="1:26" ht="14.25" customHeight="1">
      <c r="A820" s="1"/>
      <c r="B820" s="33"/>
      <c r="C820" s="33"/>
      <c r="D820" s="33"/>
      <c r="E820" s="33"/>
      <c r="F820" s="33"/>
      <c r="G820" s="33"/>
      <c r="H820" s="1"/>
      <c r="I820" s="3"/>
      <c r="J820" s="3"/>
      <c r="K820" s="3"/>
      <c r="L820" s="4"/>
      <c r="M820" s="4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4"/>
    </row>
    <row r="821" spans="1:26" ht="14.25" customHeight="1">
      <c r="A821" s="1"/>
      <c r="B821" s="33"/>
      <c r="C821" s="33"/>
      <c r="D821" s="33"/>
      <c r="E821" s="33"/>
      <c r="F821" s="33"/>
      <c r="G821" s="33"/>
      <c r="H821" s="1"/>
      <c r="I821" s="3"/>
      <c r="J821" s="3"/>
      <c r="K821" s="3"/>
      <c r="L821" s="4"/>
      <c r="M821" s="4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4"/>
    </row>
    <row r="822" spans="1:26" ht="14.25" customHeight="1">
      <c r="A822" s="1"/>
      <c r="B822" s="33"/>
      <c r="C822" s="33"/>
      <c r="D822" s="33"/>
      <c r="E822" s="33"/>
      <c r="F822" s="33"/>
      <c r="G822" s="33"/>
      <c r="H822" s="1"/>
      <c r="I822" s="3"/>
      <c r="J822" s="3"/>
      <c r="K822" s="3"/>
      <c r="L822" s="4"/>
      <c r="M822" s="4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4"/>
    </row>
    <row r="823" spans="1:26" ht="14.25" customHeight="1">
      <c r="A823" s="1"/>
      <c r="B823" s="33"/>
      <c r="C823" s="33"/>
      <c r="D823" s="33"/>
      <c r="E823" s="33"/>
      <c r="F823" s="33"/>
      <c r="G823" s="33"/>
      <c r="H823" s="1"/>
      <c r="I823" s="3"/>
      <c r="J823" s="3"/>
      <c r="K823" s="3"/>
      <c r="L823" s="4"/>
      <c r="M823" s="4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4"/>
    </row>
    <row r="824" spans="1:26" ht="14.25" customHeight="1">
      <c r="A824" s="1"/>
      <c r="B824" s="33"/>
      <c r="C824" s="33"/>
      <c r="D824" s="33"/>
      <c r="E824" s="33"/>
      <c r="F824" s="33"/>
      <c r="G824" s="33"/>
      <c r="H824" s="1"/>
      <c r="I824" s="3"/>
      <c r="J824" s="3"/>
      <c r="K824" s="3"/>
      <c r="L824" s="4"/>
      <c r="M824" s="4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4"/>
    </row>
    <row r="825" spans="1:26" ht="14.25" customHeight="1">
      <c r="A825" s="1"/>
      <c r="B825" s="33"/>
      <c r="C825" s="33"/>
      <c r="D825" s="33"/>
      <c r="E825" s="33"/>
      <c r="F825" s="33"/>
      <c r="G825" s="33"/>
      <c r="H825" s="1"/>
      <c r="I825" s="3"/>
      <c r="J825" s="3"/>
      <c r="K825" s="3"/>
      <c r="L825" s="4"/>
      <c r="M825" s="4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4"/>
    </row>
    <row r="826" spans="1:26" ht="14.25" customHeight="1">
      <c r="A826" s="1"/>
      <c r="B826" s="33"/>
      <c r="C826" s="33"/>
      <c r="D826" s="33"/>
      <c r="E826" s="33"/>
      <c r="F826" s="33"/>
      <c r="G826" s="33"/>
      <c r="H826" s="1"/>
      <c r="I826" s="3"/>
      <c r="J826" s="3"/>
      <c r="K826" s="3"/>
      <c r="L826" s="4"/>
      <c r="M826" s="4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4"/>
    </row>
    <row r="827" spans="1:26" ht="14.25" customHeight="1">
      <c r="A827" s="1"/>
      <c r="B827" s="33"/>
      <c r="C827" s="33"/>
      <c r="D827" s="33"/>
      <c r="E827" s="33"/>
      <c r="F827" s="33"/>
      <c r="G827" s="33"/>
      <c r="H827" s="1"/>
      <c r="I827" s="3"/>
      <c r="J827" s="3"/>
      <c r="K827" s="3"/>
      <c r="L827" s="4"/>
      <c r="M827" s="4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4"/>
    </row>
    <row r="828" spans="1:26" ht="14.25" customHeight="1">
      <c r="A828" s="1"/>
      <c r="B828" s="33"/>
      <c r="C828" s="33"/>
      <c r="D828" s="33"/>
      <c r="E828" s="33"/>
      <c r="F828" s="33"/>
      <c r="G828" s="33"/>
      <c r="H828" s="1"/>
      <c r="I828" s="3"/>
      <c r="J828" s="3"/>
      <c r="K828" s="3"/>
      <c r="L828" s="4"/>
      <c r="M828" s="4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4"/>
    </row>
    <row r="829" spans="1:26" ht="14.25" customHeight="1">
      <c r="A829" s="1"/>
      <c r="B829" s="33"/>
      <c r="C829" s="33"/>
      <c r="D829" s="33"/>
      <c r="E829" s="33"/>
      <c r="F829" s="33"/>
      <c r="G829" s="33"/>
      <c r="H829" s="1"/>
      <c r="I829" s="3"/>
      <c r="J829" s="3"/>
      <c r="K829" s="3"/>
      <c r="L829" s="4"/>
      <c r="M829" s="4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4"/>
    </row>
    <row r="830" spans="1:26" ht="14.25" customHeight="1">
      <c r="A830" s="1"/>
      <c r="B830" s="33"/>
      <c r="C830" s="33"/>
      <c r="D830" s="33"/>
      <c r="E830" s="33"/>
      <c r="F830" s="33"/>
      <c r="G830" s="33"/>
      <c r="H830" s="1"/>
      <c r="I830" s="3"/>
      <c r="J830" s="3"/>
      <c r="K830" s="3"/>
      <c r="L830" s="4"/>
      <c r="M830" s="4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4"/>
    </row>
    <row r="831" spans="1:26" ht="14.25" customHeight="1">
      <c r="A831" s="1"/>
      <c r="B831" s="33"/>
      <c r="C831" s="33"/>
      <c r="D831" s="33"/>
      <c r="E831" s="33"/>
      <c r="F831" s="33"/>
      <c r="G831" s="33"/>
      <c r="H831" s="1"/>
      <c r="I831" s="3"/>
      <c r="J831" s="3"/>
      <c r="K831" s="3"/>
      <c r="L831" s="4"/>
      <c r="M831" s="4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4"/>
    </row>
    <row r="832" spans="1:26" ht="14.25" customHeight="1">
      <c r="A832" s="1"/>
      <c r="B832" s="33"/>
      <c r="C832" s="33"/>
      <c r="D832" s="33"/>
      <c r="E832" s="33"/>
      <c r="F832" s="33"/>
      <c r="G832" s="33"/>
      <c r="H832" s="1"/>
      <c r="I832" s="3"/>
      <c r="J832" s="3"/>
      <c r="K832" s="3"/>
      <c r="L832" s="4"/>
      <c r="M832" s="4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4"/>
    </row>
    <row r="833" spans="1:26" ht="14.25" customHeight="1">
      <c r="A833" s="1"/>
      <c r="B833" s="33"/>
      <c r="C833" s="33"/>
      <c r="D833" s="33"/>
      <c r="E833" s="33"/>
      <c r="F833" s="33"/>
      <c r="G833" s="33"/>
      <c r="H833" s="1"/>
      <c r="I833" s="3"/>
      <c r="J833" s="3"/>
      <c r="K833" s="3"/>
      <c r="L833" s="4"/>
      <c r="M833" s="4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4"/>
    </row>
    <row r="834" spans="1:26" ht="14.25" customHeight="1">
      <c r="A834" s="1"/>
      <c r="B834" s="33"/>
      <c r="C834" s="33"/>
      <c r="D834" s="33"/>
      <c r="E834" s="33"/>
      <c r="F834" s="33"/>
      <c r="G834" s="33"/>
      <c r="H834" s="1"/>
      <c r="I834" s="3"/>
      <c r="J834" s="3"/>
      <c r="K834" s="3"/>
      <c r="L834" s="4"/>
      <c r="M834" s="4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4"/>
    </row>
    <row r="835" spans="1:26" ht="14.25" customHeight="1">
      <c r="A835" s="1"/>
      <c r="B835" s="33"/>
      <c r="C835" s="33"/>
      <c r="D835" s="33"/>
      <c r="E835" s="33"/>
      <c r="F835" s="33"/>
      <c r="G835" s="33"/>
      <c r="H835" s="1"/>
      <c r="I835" s="3"/>
      <c r="J835" s="3"/>
      <c r="K835" s="3"/>
      <c r="L835" s="4"/>
      <c r="M835" s="4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4"/>
    </row>
    <row r="836" spans="1:26" ht="14.25" customHeight="1">
      <c r="A836" s="1"/>
      <c r="B836" s="33"/>
      <c r="C836" s="33"/>
      <c r="D836" s="33"/>
      <c r="E836" s="33"/>
      <c r="F836" s="33"/>
      <c r="G836" s="33"/>
      <c r="H836" s="1"/>
      <c r="I836" s="3"/>
      <c r="J836" s="3"/>
      <c r="K836" s="3"/>
      <c r="L836" s="4"/>
      <c r="M836" s="4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4"/>
    </row>
    <row r="837" spans="1:26" ht="14.25" customHeight="1">
      <c r="A837" s="1"/>
      <c r="B837" s="33"/>
      <c r="C837" s="33"/>
      <c r="D837" s="33"/>
      <c r="E837" s="33"/>
      <c r="F837" s="33"/>
      <c r="G837" s="33"/>
      <c r="H837" s="1"/>
      <c r="I837" s="3"/>
      <c r="J837" s="3"/>
      <c r="K837" s="3"/>
      <c r="L837" s="4"/>
      <c r="M837" s="4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4"/>
    </row>
    <row r="838" spans="1:26" ht="14.25" customHeight="1">
      <c r="A838" s="1"/>
      <c r="B838" s="33"/>
      <c r="C838" s="33"/>
      <c r="D838" s="33"/>
      <c r="E838" s="33"/>
      <c r="F838" s="33"/>
      <c r="G838" s="33"/>
      <c r="H838" s="1"/>
      <c r="I838" s="3"/>
      <c r="J838" s="3"/>
      <c r="K838" s="3"/>
      <c r="L838" s="4"/>
      <c r="M838" s="4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4"/>
    </row>
    <row r="839" spans="1:26" ht="14.25" customHeight="1">
      <c r="A839" s="1"/>
      <c r="B839" s="33"/>
      <c r="C839" s="33"/>
      <c r="D839" s="33"/>
      <c r="E839" s="33"/>
      <c r="F839" s="33"/>
      <c r="G839" s="33"/>
      <c r="H839" s="1"/>
      <c r="I839" s="3"/>
      <c r="J839" s="3"/>
      <c r="K839" s="3"/>
      <c r="L839" s="4"/>
      <c r="M839" s="4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4"/>
    </row>
    <row r="840" spans="1:26" ht="14.25" customHeight="1">
      <c r="A840" s="1"/>
      <c r="B840" s="33"/>
      <c r="C840" s="33"/>
      <c r="D840" s="33"/>
      <c r="E840" s="33"/>
      <c r="F840" s="33"/>
      <c r="G840" s="33"/>
      <c r="H840" s="1"/>
      <c r="I840" s="3"/>
      <c r="J840" s="3"/>
      <c r="K840" s="3"/>
      <c r="L840" s="4"/>
      <c r="M840" s="4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4"/>
    </row>
    <row r="841" spans="1:26" ht="14.25" customHeight="1">
      <c r="A841" s="1"/>
      <c r="B841" s="33"/>
      <c r="C841" s="33"/>
      <c r="D841" s="33"/>
      <c r="E841" s="33"/>
      <c r="F841" s="33"/>
      <c r="G841" s="33"/>
      <c r="H841" s="1"/>
      <c r="I841" s="3"/>
      <c r="J841" s="3"/>
      <c r="K841" s="3"/>
      <c r="L841" s="4"/>
      <c r="M841" s="4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4"/>
    </row>
    <row r="842" spans="1:26" ht="14.25" customHeight="1">
      <c r="A842" s="1"/>
      <c r="B842" s="33"/>
      <c r="C842" s="33"/>
      <c r="D842" s="33"/>
      <c r="E842" s="33"/>
      <c r="F842" s="33"/>
      <c r="G842" s="33"/>
      <c r="H842" s="1"/>
      <c r="I842" s="3"/>
      <c r="J842" s="3"/>
      <c r="K842" s="3"/>
      <c r="L842" s="4"/>
      <c r="M842" s="4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4"/>
    </row>
    <row r="843" spans="1:26" ht="14.25" customHeight="1">
      <c r="A843" s="1"/>
      <c r="B843" s="33"/>
      <c r="C843" s="33"/>
      <c r="D843" s="33"/>
      <c r="E843" s="33"/>
      <c r="F843" s="33"/>
      <c r="G843" s="33"/>
      <c r="H843" s="1"/>
      <c r="I843" s="3"/>
      <c r="J843" s="3"/>
      <c r="K843" s="3"/>
      <c r="L843" s="4"/>
      <c r="M843" s="4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4"/>
    </row>
    <row r="844" spans="1:26" ht="14.25" customHeight="1">
      <c r="A844" s="1"/>
      <c r="B844" s="33"/>
      <c r="C844" s="33"/>
      <c r="D844" s="33"/>
      <c r="E844" s="33"/>
      <c r="F844" s="33"/>
      <c r="G844" s="33"/>
      <c r="H844" s="1"/>
      <c r="I844" s="3"/>
      <c r="J844" s="3"/>
      <c r="K844" s="3"/>
      <c r="L844" s="4"/>
      <c r="M844" s="4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4"/>
    </row>
    <row r="845" spans="1:26" ht="14.25" customHeight="1">
      <c r="A845" s="1"/>
      <c r="B845" s="33"/>
      <c r="C845" s="33"/>
      <c r="D845" s="33"/>
      <c r="E845" s="33"/>
      <c r="F845" s="33"/>
      <c r="G845" s="33"/>
      <c r="H845" s="1"/>
      <c r="I845" s="3"/>
      <c r="J845" s="3"/>
      <c r="K845" s="3"/>
      <c r="L845" s="4"/>
      <c r="M845" s="4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4"/>
    </row>
    <row r="846" spans="1:26" ht="14.25" customHeight="1">
      <c r="A846" s="1"/>
      <c r="B846" s="33"/>
      <c r="C846" s="33"/>
      <c r="D846" s="33"/>
      <c r="E846" s="33"/>
      <c r="F846" s="33"/>
      <c r="G846" s="33"/>
      <c r="H846" s="1"/>
      <c r="I846" s="3"/>
      <c r="J846" s="3"/>
      <c r="K846" s="3"/>
      <c r="L846" s="4"/>
      <c r="M846" s="4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4"/>
    </row>
    <row r="847" spans="1:26" ht="14.25" customHeight="1">
      <c r="A847" s="1"/>
      <c r="B847" s="33"/>
      <c r="C847" s="33"/>
      <c r="D847" s="33"/>
      <c r="E847" s="33"/>
      <c r="F847" s="33"/>
      <c r="G847" s="33"/>
      <c r="H847" s="1"/>
      <c r="I847" s="3"/>
      <c r="J847" s="3"/>
      <c r="K847" s="3"/>
      <c r="L847" s="4"/>
      <c r="M847" s="4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4"/>
    </row>
    <row r="848" spans="1:26" ht="14.25" customHeight="1">
      <c r="A848" s="1"/>
      <c r="B848" s="33"/>
      <c r="C848" s="33"/>
      <c r="D848" s="33"/>
      <c r="E848" s="33"/>
      <c r="F848" s="33"/>
      <c r="G848" s="33"/>
      <c r="H848" s="1"/>
      <c r="I848" s="3"/>
      <c r="J848" s="3"/>
      <c r="K848" s="3"/>
      <c r="L848" s="4"/>
      <c r="M848" s="4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4"/>
    </row>
    <row r="849" spans="1:26" ht="14.25" customHeight="1">
      <c r="A849" s="1"/>
      <c r="B849" s="33"/>
      <c r="C849" s="33"/>
      <c r="D849" s="33"/>
      <c r="E849" s="33"/>
      <c r="F849" s="33"/>
      <c r="G849" s="33"/>
      <c r="H849" s="1"/>
      <c r="I849" s="3"/>
      <c r="J849" s="3"/>
      <c r="K849" s="3"/>
      <c r="L849" s="4"/>
      <c r="M849" s="4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4"/>
    </row>
    <row r="850" spans="1:26" ht="14.25" customHeight="1">
      <c r="A850" s="1"/>
      <c r="B850" s="33"/>
      <c r="C850" s="33"/>
      <c r="D850" s="33"/>
      <c r="E850" s="33"/>
      <c r="F850" s="33"/>
      <c r="G850" s="33"/>
      <c r="H850" s="1"/>
      <c r="I850" s="3"/>
      <c r="J850" s="3"/>
      <c r="K850" s="3"/>
      <c r="L850" s="4"/>
      <c r="M850" s="4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4"/>
    </row>
    <row r="851" spans="1:26" ht="14.25" customHeight="1">
      <c r="A851" s="1"/>
      <c r="B851" s="33"/>
      <c r="C851" s="33"/>
      <c r="D851" s="33"/>
      <c r="E851" s="33"/>
      <c r="F851" s="33"/>
      <c r="G851" s="33"/>
      <c r="H851" s="1"/>
      <c r="I851" s="3"/>
      <c r="J851" s="3"/>
      <c r="K851" s="3"/>
      <c r="L851" s="4"/>
      <c r="M851" s="4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4"/>
    </row>
    <row r="852" spans="1:26" ht="14.25" customHeight="1">
      <c r="A852" s="1"/>
      <c r="B852" s="33"/>
      <c r="C852" s="33"/>
      <c r="D852" s="33"/>
      <c r="E852" s="33"/>
      <c r="F852" s="33"/>
      <c r="G852" s="33"/>
      <c r="H852" s="1"/>
      <c r="I852" s="3"/>
      <c r="J852" s="3"/>
      <c r="K852" s="3"/>
      <c r="L852" s="4"/>
      <c r="M852" s="4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4"/>
    </row>
    <row r="853" spans="1:26" ht="14.25" customHeight="1">
      <c r="A853" s="1"/>
      <c r="B853" s="33"/>
      <c r="C853" s="33"/>
      <c r="D853" s="33"/>
      <c r="E853" s="33"/>
      <c r="F853" s="33"/>
      <c r="G853" s="33"/>
      <c r="H853" s="1"/>
      <c r="I853" s="3"/>
      <c r="J853" s="3"/>
      <c r="K853" s="3"/>
      <c r="L853" s="4"/>
      <c r="M853" s="4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4"/>
    </row>
    <row r="854" spans="1:26" ht="14.25" customHeight="1">
      <c r="A854" s="1"/>
      <c r="B854" s="33"/>
      <c r="C854" s="33"/>
      <c r="D854" s="33"/>
      <c r="E854" s="33"/>
      <c r="F854" s="33"/>
      <c r="G854" s="33"/>
      <c r="H854" s="1"/>
      <c r="I854" s="3"/>
      <c r="J854" s="3"/>
      <c r="K854" s="3"/>
      <c r="L854" s="4"/>
      <c r="M854" s="4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4"/>
    </row>
    <row r="855" spans="1:26" ht="14.25" customHeight="1">
      <c r="A855" s="1"/>
      <c r="B855" s="33"/>
      <c r="C855" s="33"/>
      <c r="D855" s="33"/>
      <c r="E855" s="33"/>
      <c r="F855" s="33"/>
      <c r="G855" s="33"/>
      <c r="H855" s="1"/>
      <c r="I855" s="3"/>
      <c r="J855" s="3"/>
      <c r="K855" s="3"/>
      <c r="L855" s="4"/>
      <c r="M855" s="4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4"/>
    </row>
    <row r="856" spans="1:26" ht="14.25" customHeight="1">
      <c r="A856" s="1"/>
      <c r="B856" s="33"/>
      <c r="C856" s="33"/>
      <c r="D856" s="33"/>
      <c r="E856" s="33"/>
      <c r="F856" s="33"/>
      <c r="G856" s="33"/>
      <c r="H856" s="1"/>
      <c r="I856" s="3"/>
      <c r="J856" s="3"/>
      <c r="K856" s="3"/>
      <c r="L856" s="4"/>
      <c r="M856" s="4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4"/>
    </row>
    <row r="857" spans="1:26" ht="14.25" customHeight="1">
      <c r="A857" s="1"/>
      <c r="B857" s="33"/>
      <c r="C857" s="33"/>
      <c r="D857" s="33"/>
      <c r="E857" s="33"/>
      <c r="F857" s="33"/>
      <c r="G857" s="33"/>
      <c r="H857" s="1"/>
      <c r="I857" s="3"/>
      <c r="J857" s="3"/>
      <c r="K857" s="3"/>
      <c r="L857" s="4"/>
      <c r="M857" s="4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4"/>
    </row>
    <row r="858" spans="1:26" ht="14.25" customHeight="1">
      <c r="A858" s="1"/>
      <c r="B858" s="33"/>
      <c r="C858" s="33"/>
      <c r="D858" s="33"/>
      <c r="E858" s="33"/>
      <c r="F858" s="33"/>
      <c r="G858" s="33"/>
      <c r="H858" s="1"/>
      <c r="I858" s="3"/>
      <c r="J858" s="3"/>
      <c r="K858" s="3"/>
      <c r="L858" s="4"/>
      <c r="M858" s="4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4"/>
    </row>
    <row r="859" spans="1:26" ht="14.25" customHeight="1">
      <c r="A859" s="1"/>
      <c r="B859" s="33"/>
      <c r="C859" s="33"/>
      <c r="D859" s="33"/>
      <c r="E859" s="33"/>
      <c r="F859" s="33"/>
      <c r="G859" s="33"/>
      <c r="H859" s="1"/>
      <c r="I859" s="3"/>
      <c r="J859" s="3"/>
      <c r="K859" s="3"/>
      <c r="L859" s="4"/>
      <c r="M859" s="4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4"/>
    </row>
    <row r="860" spans="1:26" ht="14.25" customHeight="1">
      <c r="A860" s="1"/>
      <c r="B860" s="33"/>
      <c r="C860" s="33"/>
      <c r="D860" s="33"/>
      <c r="E860" s="33"/>
      <c r="F860" s="33"/>
      <c r="G860" s="33"/>
      <c r="H860" s="1"/>
      <c r="I860" s="3"/>
      <c r="J860" s="3"/>
      <c r="K860" s="3"/>
      <c r="L860" s="4"/>
      <c r="M860" s="4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4"/>
    </row>
    <row r="861" spans="1:26" ht="14.25" customHeight="1">
      <c r="A861" s="1"/>
      <c r="B861" s="33"/>
      <c r="C861" s="33"/>
      <c r="D861" s="33"/>
      <c r="E861" s="33"/>
      <c r="F861" s="33"/>
      <c r="G861" s="33"/>
      <c r="H861" s="1"/>
      <c r="I861" s="3"/>
      <c r="J861" s="3"/>
      <c r="K861" s="3"/>
      <c r="L861" s="4"/>
      <c r="M861" s="4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4"/>
    </row>
    <row r="862" spans="1:26" ht="14.25" customHeight="1">
      <c r="A862" s="1"/>
      <c r="B862" s="33"/>
      <c r="C862" s="33"/>
      <c r="D862" s="33"/>
      <c r="E862" s="33"/>
      <c r="F862" s="33"/>
      <c r="G862" s="33"/>
      <c r="H862" s="1"/>
      <c r="I862" s="3"/>
      <c r="J862" s="3"/>
      <c r="K862" s="3"/>
      <c r="L862" s="4"/>
      <c r="M862" s="4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4"/>
    </row>
    <row r="863" spans="1:26" ht="14.25" customHeight="1">
      <c r="A863" s="1"/>
      <c r="B863" s="33"/>
      <c r="C863" s="33"/>
      <c r="D863" s="33"/>
      <c r="E863" s="33"/>
      <c r="F863" s="33"/>
      <c r="G863" s="33"/>
      <c r="H863" s="1"/>
      <c r="I863" s="3"/>
      <c r="J863" s="3"/>
      <c r="K863" s="3"/>
      <c r="L863" s="4"/>
      <c r="M863" s="4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4"/>
    </row>
    <row r="864" spans="1:26" ht="14.25" customHeight="1">
      <c r="A864" s="1"/>
      <c r="B864" s="33"/>
      <c r="C864" s="33"/>
      <c r="D864" s="33"/>
      <c r="E864" s="33"/>
      <c r="F864" s="33"/>
      <c r="G864" s="33"/>
      <c r="H864" s="1"/>
      <c r="I864" s="3"/>
      <c r="J864" s="3"/>
      <c r="K864" s="3"/>
      <c r="L864" s="4"/>
      <c r="M864" s="4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4"/>
    </row>
    <row r="865" spans="1:26" ht="14.25" customHeight="1">
      <c r="A865" s="1"/>
      <c r="B865" s="33"/>
      <c r="C865" s="33"/>
      <c r="D865" s="33"/>
      <c r="E865" s="33"/>
      <c r="F865" s="33"/>
      <c r="G865" s="33"/>
      <c r="H865" s="1"/>
      <c r="I865" s="3"/>
      <c r="J865" s="3"/>
      <c r="K865" s="3"/>
      <c r="L865" s="4"/>
      <c r="M865" s="4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4"/>
    </row>
    <row r="866" spans="1:26" ht="14.25" customHeight="1">
      <c r="A866" s="1"/>
      <c r="B866" s="33"/>
      <c r="C866" s="33"/>
      <c r="D866" s="33"/>
      <c r="E866" s="33"/>
      <c r="F866" s="33"/>
      <c r="G866" s="33"/>
      <c r="H866" s="1"/>
      <c r="I866" s="3"/>
      <c r="J866" s="3"/>
      <c r="K866" s="3"/>
      <c r="L866" s="4"/>
      <c r="M866" s="4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4"/>
    </row>
    <row r="867" spans="1:26" ht="14.25" customHeight="1">
      <c r="A867" s="1"/>
      <c r="B867" s="33"/>
      <c r="C867" s="33"/>
      <c r="D867" s="33"/>
      <c r="E867" s="33"/>
      <c r="F867" s="33"/>
      <c r="G867" s="33"/>
      <c r="H867" s="1"/>
      <c r="I867" s="3"/>
      <c r="J867" s="3"/>
      <c r="K867" s="3"/>
      <c r="L867" s="4"/>
      <c r="M867" s="4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4"/>
    </row>
    <row r="868" spans="1:26" ht="14.25" customHeight="1">
      <c r="A868" s="1"/>
      <c r="B868" s="33"/>
      <c r="C868" s="33"/>
      <c r="D868" s="33"/>
      <c r="E868" s="33"/>
      <c r="F868" s="33"/>
      <c r="G868" s="33"/>
      <c r="H868" s="1"/>
      <c r="I868" s="3"/>
      <c r="J868" s="3"/>
      <c r="K868" s="3"/>
      <c r="L868" s="4"/>
      <c r="M868" s="4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4"/>
    </row>
    <row r="869" spans="1:26" ht="14.25" customHeight="1">
      <c r="A869" s="1"/>
      <c r="B869" s="33"/>
      <c r="C869" s="33"/>
      <c r="D869" s="33"/>
      <c r="E869" s="33"/>
      <c r="F869" s="33"/>
      <c r="G869" s="33"/>
      <c r="H869" s="1"/>
      <c r="I869" s="3"/>
      <c r="J869" s="3"/>
      <c r="K869" s="3"/>
      <c r="L869" s="4"/>
      <c r="M869" s="4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4"/>
    </row>
    <row r="870" spans="1:26" ht="14.25" customHeight="1">
      <c r="A870" s="1"/>
      <c r="B870" s="33"/>
      <c r="C870" s="33"/>
      <c r="D870" s="33"/>
      <c r="E870" s="33"/>
      <c r="F870" s="33"/>
      <c r="G870" s="33"/>
      <c r="H870" s="1"/>
      <c r="I870" s="3"/>
      <c r="J870" s="3"/>
      <c r="K870" s="3"/>
      <c r="L870" s="4"/>
      <c r="M870" s="4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4"/>
    </row>
    <row r="871" spans="1:26" ht="14.25" customHeight="1">
      <c r="A871" s="1"/>
      <c r="B871" s="33"/>
      <c r="C871" s="33"/>
      <c r="D871" s="33"/>
      <c r="E871" s="33"/>
      <c r="F871" s="33"/>
      <c r="G871" s="33"/>
      <c r="H871" s="1"/>
      <c r="I871" s="3"/>
      <c r="J871" s="3"/>
      <c r="K871" s="3"/>
      <c r="L871" s="4"/>
      <c r="M871" s="4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4"/>
    </row>
    <row r="872" spans="1:26" ht="14.25" customHeight="1">
      <c r="A872" s="1"/>
      <c r="B872" s="33"/>
      <c r="C872" s="33"/>
      <c r="D872" s="33"/>
      <c r="E872" s="33"/>
      <c r="F872" s="33"/>
      <c r="G872" s="33"/>
      <c r="H872" s="1"/>
      <c r="I872" s="3"/>
      <c r="J872" s="3"/>
      <c r="K872" s="3"/>
      <c r="L872" s="4"/>
      <c r="M872" s="4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4"/>
    </row>
    <row r="873" spans="1:26" ht="14.25" customHeight="1">
      <c r="A873" s="1"/>
      <c r="B873" s="33"/>
      <c r="C873" s="33"/>
      <c r="D873" s="33"/>
      <c r="E873" s="33"/>
      <c r="F873" s="33"/>
      <c r="G873" s="33"/>
      <c r="H873" s="1"/>
      <c r="I873" s="3"/>
      <c r="J873" s="3"/>
      <c r="K873" s="3"/>
      <c r="L873" s="4"/>
      <c r="M873" s="4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4"/>
    </row>
    <row r="874" spans="1:26" ht="14.25" customHeight="1">
      <c r="A874" s="1"/>
      <c r="B874" s="33"/>
      <c r="C874" s="33"/>
      <c r="D874" s="33"/>
      <c r="E874" s="33"/>
      <c r="F874" s="33"/>
      <c r="G874" s="33"/>
      <c r="H874" s="1"/>
      <c r="I874" s="3"/>
      <c r="J874" s="3"/>
      <c r="K874" s="3"/>
      <c r="L874" s="4"/>
      <c r="M874" s="4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4"/>
    </row>
    <row r="875" spans="1:26" ht="14.25" customHeight="1">
      <c r="A875" s="1"/>
      <c r="B875" s="33"/>
      <c r="C875" s="33"/>
      <c r="D875" s="33"/>
      <c r="E875" s="33"/>
      <c r="F875" s="33"/>
      <c r="G875" s="33"/>
      <c r="H875" s="1"/>
      <c r="I875" s="3"/>
      <c r="J875" s="3"/>
      <c r="K875" s="3"/>
      <c r="L875" s="4"/>
      <c r="M875" s="4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4"/>
    </row>
    <row r="876" spans="1:26" ht="14.25" customHeight="1">
      <c r="A876" s="1"/>
      <c r="B876" s="33"/>
      <c r="C876" s="33"/>
      <c r="D876" s="33"/>
      <c r="E876" s="33"/>
      <c r="F876" s="33"/>
      <c r="G876" s="33"/>
      <c r="H876" s="1"/>
      <c r="I876" s="3"/>
      <c r="J876" s="3"/>
      <c r="K876" s="3"/>
      <c r="L876" s="4"/>
      <c r="M876" s="4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4"/>
    </row>
    <row r="877" spans="1:26" ht="14.25" customHeight="1">
      <c r="A877" s="1"/>
      <c r="B877" s="33"/>
      <c r="C877" s="33"/>
      <c r="D877" s="33"/>
      <c r="E877" s="33"/>
      <c r="F877" s="33"/>
      <c r="G877" s="33"/>
      <c r="H877" s="1"/>
      <c r="I877" s="3"/>
      <c r="J877" s="3"/>
      <c r="K877" s="3"/>
      <c r="L877" s="4"/>
      <c r="M877" s="4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4"/>
    </row>
    <row r="878" spans="1:26" ht="14.25" customHeight="1">
      <c r="A878" s="1"/>
      <c r="B878" s="33"/>
      <c r="C878" s="33"/>
      <c r="D878" s="33"/>
      <c r="E878" s="33"/>
      <c r="F878" s="33"/>
      <c r="G878" s="33"/>
      <c r="H878" s="1"/>
      <c r="I878" s="3"/>
      <c r="J878" s="3"/>
      <c r="K878" s="3"/>
      <c r="L878" s="4"/>
      <c r="M878" s="4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4"/>
    </row>
    <row r="879" spans="1:26" ht="14.25" customHeight="1">
      <c r="A879" s="1"/>
      <c r="B879" s="33"/>
      <c r="C879" s="33"/>
      <c r="D879" s="33"/>
      <c r="E879" s="33"/>
      <c r="F879" s="33"/>
      <c r="G879" s="33"/>
      <c r="H879" s="1"/>
      <c r="I879" s="3"/>
      <c r="J879" s="3"/>
      <c r="K879" s="3"/>
      <c r="L879" s="4"/>
      <c r="M879" s="4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4"/>
    </row>
    <row r="880" spans="1:26" ht="14.25" customHeight="1">
      <c r="A880" s="1"/>
      <c r="B880" s="33"/>
      <c r="C880" s="33"/>
      <c r="D880" s="33"/>
      <c r="E880" s="33"/>
      <c r="F880" s="33"/>
      <c r="G880" s="33"/>
      <c r="H880" s="1"/>
      <c r="I880" s="3"/>
      <c r="J880" s="3"/>
      <c r="K880" s="3"/>
      <c r="L880" s="4"/>
      <c r="M880" s="4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4"/>
    </row>
    <row r="881" spans="1:26" ht="14.25" customHeight="1">
      <c r="A881" s="1"/>
      <c r="B881" s="33"/>
      <c r="C881" s="33"/>
      <c r="D881" s="33"/>
      <c r="E881" s="33"/>
      <c r="F881" s="33"/>
      <c r="G881" s="33"/>
      <c r="H881" s="1"/>
      <c r="I881" s="3"/>
      <c r="J881" s="3"/>
      <c r="K881" s="3"/>
      <c r="L881" s="4"/>
      <c r="M881" s="4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4"/>
    </row>
    <row r="882" spans="1:26" ht="14.25" customHeight="1">
      <c r="A882" s="1"/>
      <c r="B882" s="33"/>
      <c r="C882" s="33"/>
      <c r="D882" s="33"/>
      <c r="E882" s="33"/>
      <c r="F882" s="33"/>
      <c r="G882" s="33"/>
      <c r="H882" s="1"/>
      <c r="I882" s="3"/>
      <c r="J882" s="3"/>
      <c r="K882" s="3"/>
      <c r="L882" s="4"/>
      <c r="M882" s="4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4"/>
    </row>
    <row r="883" spans="1:26" ht="14.25" customHeight="1">
      <c r="A883" s="1"/>
      <c r="B883" s="33"/>
      <c r="C883" s="33"/>
      <c r="D883" s="33"/>
      <c r="E883" s="33"/>
      <c r="F883" s="33"/>
      <c r="G883" s="33"/>
      <c r="H883" s="1"/>
      <c r="I883" s="3"/>
      <c r="J883" s="3"/>
      <c r="K883" s="3"/>
      <c r="L883" s="4"/>
      <c r="M883" s="4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4"/>
    </row>
    <row r="884" spans="1:26" ht="14.25" customHeight="1">
      <c r="A884" s="1"/>
      <c r="B884" s="33"/>
      <c r="C884" s="33"/>
      <c r="D884" s="33"/>
      <c r="E884" s="33"/>
      <c r="F884" s="33"/>
      <c r="G884" s="33"/>
      <c r="H884" s="1"/>
      <c r="I884" s="3"/>
      <c r="J884" s="3"/>
      <c r="K884" s="3"/>
      <c r="L884" s="4"/>
      <c r="M884" s="4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4"/>
    </row>
    <row r="885" spans="1:26" ht="14.25" customHeight="1">
      <c r="A885" s="1"/>
      <c r="B885" s="33"/>
      <c r="C885" s="33"/>
      <c r="D885" s="33"/>
      <c r="E885" s="33"/>
      <c r="F885" s="33"/>
      <c r="G885" s="33"/>
      <c r="H885" s="1"/>
      <c r="I885" s="3"/>
      <c r="J885" s="3"/>
      <c r="K885" s="3"/>
      <c r="L885" s="4"/>
      <c r="M885" s="4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4"/>
    </row>
    <row r="886" spans="1:26" ht="14.25" customHeight="1">
      <c r="A886" s="1"/>
      <c r="B886" s="33"/>
      <c r="C886" s="33"/>
      <c r="D886" s="33"/>
      <c r="E886" s="33"/>
      <c r="F886" s="33"/>
      <c r="G886" s="33"/>
      <c r="H886" s="1"/>
      <c r="I886" s="3"/>
      <c r="J886" s="3"/>
      <c r="K886" s="3"/>
      <c r="L886" s="4"/>
      <c r="M886" s="4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4"/>
    </row>
    <row r="887" spans="1:26" ht="14.25" customHeight="1">
      <c r="A887" s="1"/>
      <c r="B887" s="33"/>
      <c r="C887" s="33"/>
      <c r="D887" s="33"/>
      <c r="E887" s="33"/>
      <c r="F887" s="33"/>
      <c r="G887" s="33"/>
      <c r="H887" s="1"/>
      <c r="I887" s="3"/>
      <c r="J887" s="3"/>
      <c r="K887" s="3"/>
      <c r="L887" s="4"/>
      <c r="M887" s="4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4"/>
    </row>
    <row r="888" spans="1:26" ht="14.25" customHeight="1">
      <c r="A888" s="1"/>
      <c r="B888" s="33"/>
      <c r="C888" s="33"/>
      <c r="D888" s="33"/>
      <c r="E888" s="33"/>
      <c r="F888" s="33"/>
      <c r="G888" s="33"/>
      <c r="H888" s="1"/>
      <c r="I888" s="3"/>
      <c r="J888" s="3"/>
      <c r="K888" s="3"/>
      <c r="L888" s="4"/>
      <c r="M888" s="4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4"/>
    </row>
    <row r="889" spans="1:26" ht="14.25" customHeight="1">
      <c r="A889" s="1"/>
      <c r="B889" s="33"/>
      <c r="C889" s="33"/>
      <c r="D889" s="33"/>
      <c r="E889" s="33"/>
      <c r="F889" s="33"/>
      <c r="G889" s="33"/>
      <c r="H889" s="1"/>
      <c r="I889" s="3"/>
      <c r="J889" s="3"/>
      <c r="K889" s="3"/>
      <c r="L889" s="4"/>
      <c r="M889" s="4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4"/>
    </row>
    <row r="890" spans="1:26" ht="14.25" customHeight="1">
      <c r="A890" s="1"/>
      <c r="B890" s="33"/>
      <c r="C890" s="33"/>
      <c r="D890" s="33"/>
      <c r="E890" s="33"/>
      <c r="F890" s="33"/>
      <c r="G890" s="33"/>
      <c r="H890" s="1"/>
      <c r="I890" s="3"/>
      <c r="J890" s="3"/>
      <c r="K890" s="3"/>
      <c r="L890" s="4"/>
      <c r="M890" s="4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4"/>
    </row>
    <row r="891" spans="1:26" ht="14.25" customHeight="1">
      <c r="A891" s="1"/>
      <c r="B891" s="33"/>
      <c r="C891" s="33"/>
      <c r="D891" s="33"/>
      <c r="E891" s="33"/>
      <c r="F891" s="33"/>
      <c r="G891" s="33"/>
      <c r="H891" s="1"/>
      <c r="I891" s="3"/>
      <c r="J891" s="3"/>
      <c r="K891" s="3"/>
      <c r="L891" s="4"/>
      <c r="M891" s="4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4"/>
    </row>
    <row r="892" spans="1:26" ht="14.25" customHeight="1">
      <c r="A892" s="1"/>
      <c r="B892" s="33"/>
      <c r="C892" s="33"/>
      <c r="D892" s="33"/>
      <c r="E892" s="33"/>
      <c r="F892" s="33"/>
      <c r="G892" s="33"/>
      <c r="H892" s="1"/>
      <c r="I892" s="3"/>
      <c r="J892" s="3"/>
      <c r="K892" s="3"/>
      <c r="L892" s="4"/>
      <c r="M892" s="4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4"/>
    </row>
    <row r="893" spans="1:26" ht="14.25" customHeight="1">
      <c r="A893" s="1"/>
      <c r="B893" s="33"/>
      <c r="C893" s="33"/>
      <c r="D893" s="33"/>
      <c r="E893" s="33"/>
      <c r="F893" s="33"/>
      <c r="G893" s="33"/>
      <c r="H893" s="1"/>
      <c r="I893" s="3"/>
      <c r="J893" s="3"/>
      <c r="K893" s="3"/>
      <c r="L893" s="4"/>
      <c r="M893" s="4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4"/>
    </row>
    <row r="894" spans="1:26" ht="14.25" customHeight="1">
      <c r="A894" s="1"/>
      <c r="B894" s="33"/>
      <c r="C894" s="33"/>
      <c r="D894" s="33"/>
      <c r="E894" s="33"/>
      <c r="F894" s="33"/>
      <c r="G894" s="33"/>
      <c r="H894" s="1"/>
      <c r="I894" s="3"/>
      <c r="J894" s="3"/>
      <c r="K894" s="3"/>
      <c r="L894" s="4"/>
      <c r="M894" s="4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4"/>
    </row>
    <row r="895" spans="1:26" ht="14.25" customHeight="1">
      <c r="A895" s="1"/>
      <c r="B895" s="33"/>
      <c r="C895" s="33"/>
      <c r="D895" s="33"/>
      <c r="E895" s="33"/>
      <c r="F895" s="33"/>
      <c r="G895" s="33"/>
      <c r="H895" s="1"/>
      <c r="I895" s="3"/>
      <c r="J895" s="3"/>
      <c r="K895" s="3"/>
      <c r="L895" s="4"/>
      <c r="M895" s="4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4"/>
    </row>
    <row r="896" spans="1:26" ht="14.25" customHeight="1">
      <c r="A896" s="1"/>
      <c r="B896" s="33"/>
      <c r="C896" s="33"/>
      <c r="D896" s="33"/>
      <c r="E896" s="33"/>
      <c r="F896" s="33"/>
      <c r="G896" s="33"/>
      <c r="H896" s="1"/>
      <c r="I896" s="3"/>
      <c r="J896" s="3"/>
      <c r="K896" s="3"/>
      <c r="L896" s="4"/>
      <c r="M896" s="4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4"/>
    </row>
    <row r="897" spans="1:26" ht="14.25" customHeight="1">
      <c r="A897" s="1"/>
      <c r="B897" s="33"/>
      <c r="C897" s="33"/>
      <c r="D897" s="33"/>
      <c r="E897" s="33"/>
      <c r="F897" s="33"/>
      <c r="G897" s="33"/>
      <c r="H897" s="1"/>
      <c r="I897" s="3"/>
      <c r="J897" s="3"/>
      <c r="K897" s="3"/>
      <c r="L897" s="4"/>
      <c r="M897" s="4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4"/>
    </row>
    <row r="898" spans="1:26" ht="14.25" customHeight="1">
      <c r="A898" s="1"/>
      <c r="B898" s="33"/>
      <c r="C898" s="33"/>
      <c r="D898" s="33"/>
      <c r="E898" s="33"/>
      <c r="F898" s="33"/>
      <c r="G898" s="33"/>
      <c r="H898" s="1"/>
      <c r="I898" s="3"/>
      <c r="J898" s="3"/>
      <c r="K898" s="3"/>
      <c r="L898" s="4"/>
      <c r="M898" s="4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4"/>
    </row>
    <row r="899" spans="1:26" ht="14.25" customHeight="1">
      <c r="A899" s="1"/>
      <c r="B899" s="33"/>
      <c r="C899" s="33"/>
      <c r="D899" s="33"/>
      <c r="E899" s="33"/>
      <c r="F899" s="33"/>
      <c r="G899" s="33"/>
      <c r="H899" s="1"/>
      <c r="I899" s="3"/>
      <c r="J899" s="3"/>
      <c r="K899" s="3"/>
      <c r="L899" s="4"/>
      <c r="M899" s="4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4"/>
    </row>
    <row r="900" spans="1:26" ht="14.25" customHeight="1">
      <c r="A900" s="1"/>
      <c r="B900" s="33"/>
      <c r="C900" s="33"/>
      <c r="D900" s="33"/>
      <c r="E900" s="33"/>
      <c r="F900" s="33"/>
      <c r="G900" s="33"/>
      <c r="H900" s="1"/>
      <c r="I900" s="3"/>
      <c r="J900" s="3"/>
      <c r="K900" s="3"/>
      <c r="L900" s="4"/>
      <c r="M900" s="4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4"/>
    </row>
    <row r="901" spans="1:26" ht="14.25" customHeight="1">
      <c r="A901" s="1"/>
      <c r="B901" s="33"/>
      <c r="C901" s="33"/>
      <c r="D901" s="33"/>
      <c r="E901" s="33"/>
      <c r="F901" s="33"/>
      <c r="G901" s="33"/>
      <c r="H901" s="1"/>
      <c r="I901" s="3"/>
      <c r="J901" s="3"/>
      <c r="K901" s="3"/>
      <c r="L901" s="4"/>
      <c r="M901" s="4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4"/>
    </row>
    <row r="902" spans="1:26" ht="14.25" customHeight="1">
      <c r="A902" s="1"/>
      <c r="B902" s="33"/>
      <c r="C902" s="33"/>
      <c r="D902" s="33"/>
      <c r="E902" s="33"/>
      <c r="F902" s="33"/>
      <c r="G902" s="33"/>
      <c r="H902" s="1"/>
      <c r="I902" s="3"/>
      <c r="J902" s="3"/>
      <c r="K902" s="3"/>
      <c r="L902" s="4"/>
      <c r="M902" s="4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4"/>
    </row>
    <row r="903" spans="1:26" ht="14.25" customHeight="1">
      <c r="A903" s="1"/>
      <c r="B903" s="33"/>
      <c r="C903" s="33"/>
      <c r="D903" s="33"/>
      <c r="E903" s="33"/>
      <c r="F903" s="33"/>
      <c r="G903" s="33"/>
      <c r="H903" s="1"/>
      <c r="I903" s="3"/>
      <c r="J903" s="3"/>
      <c r="K903" s="3"/>
      <c r="L903" s="4"/>
      <c r="M903" s="4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4"/>
    </row>
    <row r="904" spans="1:26" ht="14.25" customHeight="1">
      <c r="A904" s="1"/>
      <c r="B904" s="33"/>
      <c r="C904" s="33"/>
      <c r="D904" s="33"/>
      <c r="E904" s="33"/>
      <c r="F904" s="33"/>
      <c r="G904" s="33"/>
      <c r="H904" s="1"/>
      <c r="I904" s="3"/>
      <c r="J904" s="3"/>
      <c r="K904" s="3"/>
      <c r="L904" s="4"/>
      <c r="M904" s="4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4"/>
    </row>
    <row r="905" spans="1:26" ht="14.25" customHeight="1">
      <c r="A905" s="1"/>
      <c r="B905" s="33"/>
      <c r="C905" s="33"/>
      <c r="D905" s="33"/>
      <c r="E905" s="33"/>
      <c r="F905" s="33"/>
      <c r="G905" s="33"/>
      <c r="H905" s="1"/>
      <c r="I905" s="3"/>
      <c r="J905" s="3"/>
      <c r="K905" s="3"/>
      <c r="L905" s="4"/>
      <c r="M905" s="4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4"/>
    </row>
    <row r="906" spans="1:26" ht="14.25" customHeight="1">
      <c r="A906" s="1"/>
      <c r="B906" s="33"/>
      <c r="C906" s="33"/>
      <c r="D906" s="33"/>
      <c r="E906" s="33"/>
      <c r="F906" s="33"/>
      <c r="G906" s="33"/>
      <c r="H906" s="1"/>
      <c r="I906" s="3"/>
      <c r="J906" s="3"/>
      <c r="K906" s="3"/>
      <c r="L906" s="4"/>
      <c r="M906" s="4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4"/>
    </row>
    <row r="907" spans="1:26" ht="14.25" customHeight="1">
      <c r="A907" s="1"/>
      <c r="B907" s="33"/>
      <c r="C907" s="33"/>
      <c r="D907" s="33"/>
      <c r="E907" s="33"/>
      <c r="F907" s="33"/>
      <c r="G907" s="33"/>
      <c r="H907" s="1"/>
      <c r="I907" s="3"/>
      <c r="J907" s="3"/>
      <c r="K907" s="3"/>
      <c r="L907" s="4"/>
      <c r="M907" s="4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4"/>
    </row>
    <row r="908" spans="1:26" ht="14.25" customHeight="1">
      <c r="A908" s="1"/>
      <c r="B908" s="33"/>
      <c r="C908" s="33"/>
      <c r="D908" s="33"/>
      <c r="E908" s="33"/>
      <c r="F908" s="33"/>
      <c r="G908" s="33"/>
      <c r="H908" s="1"/>
      <c r="I908" s="3"/>
      <c r="J908" s="3"/>
      <c r="K908" s="3"/>
      <c r="L908" s="4"/>
      <c r="M908" s="4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4"/>
    </row>
    <row r="909" spans="1:26" ht="14.25" customHeight="1">
      <c r="A909" s="1"/>
      <c r="B909" s="33"/>
      <c r="C909" s="33"/>
      <c r="D909" s="33"/>
      <c r="E909" s="33"/>
      <c r="F909" s="33"/>
      <c r="G909" s="33"/>
      <c r="H909" s="1"/>
      <c r="I909" s="3"/>
      <c r="J909" s="3"/>
      <c r="K909" s="3"/>
      <c r="L909" s="4"/>
      <c r="M909" s="4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4"/>
    </row>
    <row r="910" spans="1:26" ht="14.25" customHeight="1">
      <c r="A910" s="1"/>
      <c r="B910" s="33"/>
      <c r="C910" s="33"/>
      <c r="D910" s="33"/>
      <c r="E910" s="33"/>
      <c r="F910" s="33"/>
      <c r="G910" s="33"/>
      <c r="H910" s="1"/>
      <c r="I910" s="3"/>
      <c r="J910" s="3"/>
      <c r="K910" s="3"/>
      <c r="L910" s="4"/>
      <c r="M910" s="4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4"/>
    </row>
    <row r="911" spans="1:26" ht="14.25" customHeight="1">
      <c r="A911" s="1"/>
      <c r="B911" s="33"/>
      <c r="C911" s="33"/>
      <c r="D911" s="33"/>
      <c r="E911" s="33"/>
      <c r="F911" s="33"/>
      <c r="G911" s="33"/>
      <c r="H911" s="1"/>
      <c r="I911" s="3"/>
      <c r="J911" s="3"/>
      <c r="K911" s="3"/>
      <c r="L911" s="4"/>
      <c r="M911" s="4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4"/>
    </row>
    <row r="912" spans="1:26" ht="14.25" customHeight="1">
      <c r="A912" s="1"/>
      <c r="B912" s="33"/>
      <c r="C912" s="33"/>
      <c r="D912" s="33"/>
      <c r="E912" s="33"/>
      <c r="F912" s="33"/>
      <c r="G912" s="33"/>
      <c r="H912" s="1"/>
      <c r="I912" s="3"/>
      <c r="J912" s="3"/>
      <c r="K912" s="3"/>
      <c r="L912" s="4"/>
      <c r="M912" s="4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4"/>
    </row>
    <row r="913" spans="1:26" ht="14.25" customHeight="1">
      <c r="A913" s="1"/>
      <c r="B913" s="33"/>
      <c r="C913" s="33"/>
      <c r="D913" s="33"/>
      <c r="E913" s="33"/>
      <c r="F913" s="33"/>
      <c r="G913" s="33"/>
      <c r="H913" s="1"/>
      <c r="I913" s="3"/>
      <c r="J913" s="3"/>
      <c r="K913" s="3"/>
      <c r="L913" s="4"/>
      <c r="M913" s="4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4"/>
    </row>
    <row r="914" spans="1:26" ht="14.25" customHeight="1">
      <c r="A914" s="1"/>
      <c r="B914" s="33"/>
      <c r="C914" s="33"/>
      <c r="D914" s="33"/>
      <c r="E914" s="33"/>
      <c r="F914" s="33"/>
      <c r="G914" s="33"/>
      <c r="H914" s="1"/>
      <c r="I914" s="3"/>
      <c r="J914" s="3"/>
      <c r="K914" s="3"/>
      <c r="L914" s="4"/>
      <c r="M914" s="4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4"/>
    </row>
    <row r="915" spans="1:26" ht="14.25" customHeight="1">
      <c r="A915" s="1"/>
      <c r="B915" s="33"/>
      <c r="C915" s="33"/>
      <c r="D915" s="33"/>
      <c r="E915" s="33"/>
      <c r="F915" s="33"/>
      <c r="G915" s="33"/>
      <c r="H915" s="1"/>
      <c r="I915" s="3"/>
      <c r="J915" s="3"/>
      <c r="K915" s="3"/>
      <c r="L915" s="4"/>
      <c r="M915" s="4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4"/>
    </row>
    <row r="916" spans="1:26" ht="14.25" customHeight="1">
      <c r="A916" s="1"/>
      <c r="B916" s="33"/>
      <c r="C916" s="33"/>
      <c r="D916" s="33"/>
      <c r="E916" s="33"/>
      <c r="F916" s="33"/>
      <c r="G916" s="33"/>
      <c r="H916" s="1"/>
      <c r="I916" s="3"/>
      <c r="J916" s="3"/>
      <c r="K916" s="3"/>
      <c r="L916" s="4"/>
      <c r="M916" s="4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4"/>
    </row>
    <row r="917" spans="1:26" ht="14.25" customHeight="1">
      <c r="A917" s="1"/>
      <c r="B917" s="33"/>
      <c r="C917" s="33"/>
      <c r="D917" s="33"/>
      <c r="E917" s="33"/>
      <c r="F917" s="33"/>
      <c r="G917" s="33"/>
      <c r="H917" s="1"/>
      <c r="I917" s="3"/>
      <c r="J917" s="3"/>
      <c r="K917" s="3"/>
      <c r="L917" s="4"/>
      <c r="M917" s="4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4"/>
    </row>
    <row r="918" spans="1:26" ht="14.25" customHeight="1">
      <c r="A918" s="1"/>
      <c r="B918" s="33"/>
      <c r="C918" s="33"/>
      <c r="D918" s="33"/>
      <c r="E918" s="33"/>
      <c r="F918" s="33"/>
      <c r="G918" s="33"/>
      <c r="H918" s="1"/>
      <c r="I918" s="3"/>
      <c r="J918" s="3"/>
      <c r="K918" s="3"/>
      <c r="L918" s="4"/>
      <c r="M918" s="4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4"/>
    </row>
    <row r="919" spans="1:26" ht="14.25" customHeight="1">
      <c r="A919" s="1"/>
      <c r="B919" s="33"/>
      <c r="C919" s="33"/>
      <c r="D919" s="33"/>
      <c r="E919" s="33"/>
      <c r="F919" s="33"/>
      <c r="G919" s="33"/>
      <c r="H919" s="1"/>
      <c r="I919" s="3"/>
      <c r="J919" s="3"/>
      <c r="K919" s="3"/>
      <c r="L919" s="4"/>
      <c r="M919" s="4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4"/>
    </row>
    <row r="920" spans="1:26" ht="14.25" customHeight="1">
      <c r="A920" s="1"/>
      <c r="B920" s="33"/>
      <c r="C920" s="33"/>
      <c r="D920" s="33"/>
      <c r="E920" s="33"/>
      <c r="F920" s="33"/>
      <c r="G920" s="33"/>
      <c r="H920" s="1"/>
      <c r="I920" s="3"/>
      <c r="J920" s="3"/>
      <c r="K920" s="3"/>
      <c r="L920" s="4"/>
      <c r="M920" s="4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4"/>
    </row>
    <row r="921" spans="1:26" ht="14.25" customHeight="1">
      <c r="A921" s="1"/>
      <c r="B921" s="33"/>
      <c r="C921" s="33"/>
      <c r="D921" s="33"/>
      <c r="E921" s="33"/>
      <c r="F921" s="33"/>
      <c r="G921" s="33"/>
      <c r="H921" s="1"/>
      <c r="I921" s="3"/>
      <c r="J921" s="3"/>
      <c r="K921" s="3"/>
      <c r="L921" s="4"/>
      <c r="M921" s="4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4"/>
    </row>
    <row r="922" spans="1:26" ht="14.25" customHeight="1">
      <c r="A922" s="1"/>
      <c r="B922" s="33"/>
      <c r="C922" s="33"/>
      <c r="D922" s="33"/>
      <c r="E922" s="33"/>
      <c r="F922" s="33"/>
      <c r="G922" s="33"/>
      <c r="H922" s="1"/>
      <c r="I922" s="3"/>
      <c r="J922" s="3"/>
      <c r="K922" s="3"/>
      <c r="L922" s="4"/>
      <c r="M922" s="4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4"/>
    </row>
    <row r="923" spans="1:26" ht="14.25" customHeight="1">
      <c r="A923" s="1"/>
      <c r="B923" s="33"/>
      <c r="C923" s="33"/>
      <c r="D923" s="33"/>
      <c r="E923" s="33"/>
      <c r="F923" s="33"/>
      <c r="G923" s="33"/>
      <c r="H923" s="1"/>
      <c r="I923" s="3"/>
      <c r="J923" s="3"/>
      <c r="K923" s="3"/>
      <c r="L923" s="4"/>
      <c r="M923" s="4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4"/>
    </row>
    <row r="924" spans="1:26" ht="14.25" customHeight="1">
      <c r="A924" s="1"/>
      <c r="B924" s="33"/>
      <c r="C924" s="33"/>
      <c r="D924" s="33"/>
      <c r="E924" s="33"/>
      <c r="F924" s="33"/>
      <c r="G924" s="33"/>
      <c r="H924" s="1"/>
      <c r="I924" s="3"/>
      <c r="J924" s="3"/>
      <c r="K924" s="3"/>
      <c r="L924" s="4"/>
      <c r="M924" s="4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4"/>
    </row>
    <row r="925" spans="1:26" ht="14.25" customHeight="1">
      <c r="A925" s="1"/>
      <c r="B925" s="33"/>
      <c r="C925" s="33"/>
      <c r="D925" s="33"/>
      <c r="E925" s="33"/>
      <c r="F925" s="33"/>
      <c r="G925" s="33"/>
      <c r="H925" s="1"/>
      <c r="I925" s="3"/>
      <c r="J925" s="3"/>
      <c r="K925" s="3"/>
      <c r="L925" s="4"/>
      <c r="M925" s="4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4"/>
    </row>
    <row r="926" spans="1:26" ht="14.25" customHeight="1">
      <c r="A926" s="1"/>
      <c r="B926" s="33"/>
      <c r="C926" s="33"/>
      <c r="D926" s="33"/>
      <c r="E926" s="33"/>
      <c r="F926" s="33"/>
      <c r="G926" s="33"/>
      <c r="H926" s="1"/>
      <c r="I926" s="3"/>
      <c r="J926" s="3"/>
      <c r="K926" s="3"/>
      <c r="L926" s="4"/>
      <c r="M926" s="4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4"/>
    </row>
    <row r="927" spans="1:26" ht="14.25" customHeight="1">
      <c r="A927" s="1"/>
      <c r="B927" s="33"/>
      <c r="C927" s="33"/>
      <c r="D927" s="33"/>
      <c r="E927" s="33"/>
      <c r="F927" s="33"/>
      <c r="G927" s="33"/>
      <c r="H927" s="1"/>
      <c r="I927" s="3"/>
      <c r="J927" s="3"/>
      <c r="K927" s="3"/>
      <c r="L927" s="4"/>
      <c r="M927" s="4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4"/>
    </row>
    <row r="928" spans="1:26" ht="14.25" customHeight="1">
      <c r="A928" s="1"/>
      <c r="B928" s="33"/>
      <c r="C928" s="33"/>
      <c r="D928" s="33"/>
      <c r="E928" s="33"/>
      <c r="F928" s="33"/>
      <c r="G928" s="33"/>
      <c r="H928" s="1"/>
      <c r="I928" s="3"/>
      <c r="J928" s="3"/>
      <c r="K928" s="3"/>
      <c r="L928" s="4"/>
      <c r="M928" s="4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4"/>
    </row>
    <row r="929" spans="1:26" ht="14.25" customHeight="1">
      <c r="A929" s="1"/>
      <c r="B929" s="33"/>
      <c r="C929" s="33"/>
      <c r="D929" s="33"/>
      <c r="E929" s="33"/>
      <c r="F929" s="33"/>
      <c r="G929" s="33"/>
      <c r="H929" s="1"/>
      <c r="I929" s="3"/>
      <c r="J929" s="3"/>
      <c r="K929" s="3"/>
      <c r="L929" s="4"/>
      <c r="M929" s="4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4"/>
    </row>
    <row r="930" spans="1:26" ht="14.25" customHeight="1">
      <c r="A930" s="1"/>
      <c r="B930" s="33"/>
      <c r="C930" s="33"/>
      <c r="D930" s="33"/>
      <c r="E930" s="33"/>
      <c r="F930" s="33"/>
      <c r="G930" s="33"/>
      <c r="H930" s="1"/>
      <c r="I930" s="3"/>
      <c r="J930" s="3"/>
      <c r="K930" s="3"/>
      <c r="L930" s="4"/>
      <c r="M930" s="4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4"/>
    </row>
    <row r="931" spans="1:26" ht="14.25" customHeight="1">
      <c r="A931" s="1"/>
      <c r="B931" s="33"/>
      <c r="C931" s="33"/>
      <c r="D931" s="33"/>
      <c r="E931" s="33"/>
      <c r="F931" s="33"/>
      <c r="G931" s="33"/>
      <c r="H931" s="1"/>
      <c r="I931" s="3"/>
      <c r="J931" s="3"/>
      <c r="K931" s="3"/>
      <c r="L931" s="4"/>
      <c r="M931" s="4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4"/>
    </row>
    <row r="932" spans="1:26" ht="14.25" customHeight="1">
      <c r="A932" s="1"/>
      <c r="B932" s="33"/>
      <c r="C932" s="33"/>
      <c r="D932" s="33"/>
      <c r="E932" s="33"/>
      <c r="F932" s="33"/>
      <c r="G932" s="33"/>
      <c r="H932" s="1"/>
      <c r="I932" s="3"/>
      <c r="J932" s="3"/>
      <c r="K932" s="3"/>
      <c r="L932" s="4"/>
      <c r="M932" s="4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4"/>
    </row>
    <row r="933" spans="1:26" ht="14.25" customHeight="1">
      <c r="A933" s="1"/>
      <c r="B933" s="33"/>
      <c r="C933" s="33"/>
      <c r="D933" s="33"/>
      <c r="E933" s="33"/>
      <c r="F933" s="33"/>
      <c r="G933" s="33"/>
      <c r="H933" s="1"/>
      <c r="I933" s="3"/>
      <c r="J933" s="3"/>
      <c r="K933" s="3"/>
      <c r="L933" s="4"/>
      <c r="M933" s="4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4"/>
    </row>
    <row r="934" spans="1:26" ht="14.25" customHeight="1">
      <c r="A934" s="1"/>
      <c r="B934" s="33"/>
      <c r="C934" s="33"/>
      <c r="D934" s="33"/>
      <c r="E934" s="33"/>
      <c r="F934" s="33"/>
      <c r="G934" s="33"/>
      <c r="H934" s="1"/>
      <c r="I934" s="3"/>
      <c r="J934" s="3"/>
      <c r="K934" s="3"/>
      <c r="L934" s="4"/>
      <c r="M934" s="4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4"/>
    </row>
    <row r="935" spans="1:26" ht="14.25" customHeight="1">
      <c r="A935" s="1"/>
      <c r="B935" s="33"/>
      <c r="C935" s="33"/>
      <c r="D935" s="33"/>
      <c r="E935" s="33"/>
      <c r="F935" s="33"/>
      <c r="G935" s="33"/>
      <c r="H935" s="1"/>
      <c r="I935" s="3"/>
      <c r="J935" s="3"/>
      <c r="K935" s="3"/>
      <c r="L935" s="4"/>
      <c r="M935" s="4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4"/>
    </row>
    <row r="936" spans="1:26" ht="14.25" customHeight="1">
      <c r="A936" s="1"/>
      <c r="B936" s="33"/>
      <c r="C936" s="33"/>
      <c r="D936" s="33"/>
      <c r="E936" s="33"/>
      <c r="F936" s="33"/>
      <c r="G936" s="33"/>
      <c r="H936" s="1"/>
      <c r="I936" s="3"/>
      <c r="J936" s="3"/>
      <c r="K936" s="3"/>
      <c r="L936" s="4"/>
      <c r="M936" s="4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4"/>
    </row>
    <row r="937" spans="1:26" ht="14.25" customHeight="1">
      <c r="A937" s="1"/>
      <c r="B937" s="33"/>
      <c r="C937" s="33"/>
      <c r="D937" s="33"/>
      <c r="E937" s="33"/>
      <c r="F937" s="33"/>
      <c r="G937" s="33"/>
      <c r="H937" s="1"/>
      <c r="I937" s="3"/>
      <c r="J937" s="3"/>
      <c r="K937" s="3"/>
      <c r="L937" s="4"/>
      <c r="M937" s="4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4"/>
    </row>
    <row r="938" spans="1:26" ht="14.25" customHeight="1">
      <c r="A938" s="1"/>
      <c r="B938" s="33"/>
      <c r="C938" s="33"/>
      <c r="D938" s="33"/>
      <c r="E938" s="33"/>
      <c r="F938" s="33"/>
      <c r="G938" s="33"/>
      <c r="H938" s="1"/>
      <c r="I938" s="3"/>
      <c r="J938" s="3"/>
      <c r="K938" s="3"/>
      <c r="L938" s="4"/>
      <c r="M938" s="4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4"/>
    </row>
    <row r="939" spans="1:26" ht="14.25" customHeight="1">
      <c r="A939" s="1"/>
      <c r="B939" s="33"/>
      <c r="C939" s="33"/>
      <c r="D939" s="33"/>
      <c r="E939" s="33"/>
      <c r="F939" s="33"/>
      <c r="G939" s="33"/>
      <c r="H939" s="1"/>
      <c r="I939" s="3"/>
      <c r="J939" s="3"/>
      <c r="K939" s="3"/>
      <c r="L939" s="4"/>
      <c r="M939" s="4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4"/>
    </row>
    <row r="940" spans="1:26" ht="14.25" customHeight="1">
      <c r="A940" s="1"/>
      <c r="B940" s="33"/>
      <c r="C940" s="33"/>
      <c r="D940" s="33"/>
      <c r="E940" s="33"/>
      <c r="F940" s="33"/>
      <c r="G940" s="33"/>
      <c r="H940" s="1"/>
      <c r="I940" s="3"/>
      <c r="J940" s="3"/>
      <c r="K940" s="3"/>
      <c r="L940" s="4"/>
      <c r="M940" s="4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4"/>
    </row>
    <row r="941" spans="1:26" ht="14.25" customHeight="1">
      <c r="A941" s="1"/>
      <c r="B941" s="33"/>
      <c r="C941" s="33"/>
      <c r="D941" s="33"/>
      <c r="E941" s="33"/>
      <c r="F941" s="33"/>
      <c r="G941" s="33"/>
      <c r="H941" s="1"/>
      <c r="I941" s="3"/>
      <c r="J941" s="3"/>
      <c r="K941" s="3"/>
      <c r="L941" s="4"/>
      <c r="M941" s="4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4"/>
    </row>
    <row r="942" spans="1:26" ht="14.25" customHeight="1">
      <c r="A942" s="1"/>
      <c r="B942" s="33"/>
      <c r="C942" s="33"/>
      <c r="D942" s="33"/>
      <c r="E942" s="33"/>
      <c r="F942" s="33"/>
      <c r="G942" s="33"/>
      <c r="H942" s="1"/>
      <c r="I942" s="3"/>
      <c r="J942" s="3"/>
      <c r="K942" s="3"/>
      <c r="L942" s="4"/>
      <c r="M942" s="4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4"/>
    </row>
    <row r="943" spans="1:26" ht="14.25" customHeight="1">
      <c r="A943" s="1"/>
      <c r="B943" s="33"/>
      <c r="C943" s="33"/>
      <c r="D943" s="33"/>
      <c r="E943" s="33"/>
      <c r="F943" s="33"/>
      <c r="G943" s="33"/>
      <c r="H943" s="1"/>
      <c r="I943" s="3"/>
      <c r="J943" s="3"/>
      <c r="K943" s="3"/>
      <c r="L943" s="4"/>
      <c r="M943" s="4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4"/>
    </row>
    <row r="944" spans="1:26" ht="14.25" customHeight="1">
      <c r="A944" s="1"/>
      <c r="B944" s="33"/>
      <c r="C944" s="33"/>
      <c r="D944" s="33"/>
      <c r="E944" s="33"/>
      <c r="F944" s="33"/>
      <c r="G944" s="33"/>
      <c r="H944" s="1"/>
      <c r="I944" s="3"/>
      <c r="J944" s="3"/>
      <c r="K944" s="3"/>
      <c r="L944" s="4"/>
      <c r="M944" s="4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4"/>
    </row>
    <row r="945" spans="1:26" ht="14.25" customHeight="1">
      <c r="A945" s="1"/>
      <c r="B945" s="33"/>
      <c r="C945" s="33"/>
      <c r="D945" s="33"/>
      <c r="E945" s="33"/>
      <c r="F945" s="33"/>
      <c r="G945" s="33"/>
      <c r="H945" s="1"/>
      <c r="I945" s="3"/>
      <c r="J945" s="3"/>
      <c r="K945" s="3"/>
      <c r="L945" s="4"/>
      <c r="M945" s="4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4"/>
    </row>
    <row r="946" spans="1:26" ht="14.25" customHeight="1">
      <c r="A946" s="1"/>
      <c r="B946" s="33"/>
      <c r="C946" s="33"/>
      <c r="D946" s="33"/>
      <c r="E946" s="33"/>
      <c r="F946" s="33"/>
      <c r="G946" s="33"/>
      <c r="H946" s="1"/>
      <c r="I946" s="3"/>
      <c r="J946" s="3"/>
      <c r="K946" s="3"/>
      <c r="L946" s="4"/>
      <c r="M946" s="4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4"/>
    </row>
    <row r="947" spans="1:26" ht="14.25" customHeight="1">
      <c r="A947" s="1"/>
      <c r="B947" s="33"/>
      <c r="C947" s="33"/>
      <c r="D947" s="33"/>
      <c r="E947" s="33"/>
      <c r="F947" s="33"/>
      <c r="G947" s="33"/>
      <c r="H947" s="1"/>
      <c r="I947" s="3"/>
      <c r="J947" s="3"/>
      <c r="K947" s="3"/>
      <c r="L947" s="4"/>
      <c r="M947" s="4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4"/>
    </row>
    <row r="948" spans="1:26" ht="14.25" customHeight="1">
      <c r="A948" s="1"/>
      <c r="B948" s="33"/>
      <c r="C948" s="33"/>
      <c r="D948" s="33"/>
      <c r="E948" s="33"/>
      <c r="F948" s="33"/>
      <c r="G948" s="33"/>
      <c r="H948" s="1"/>
      <c r="I948" s="3"/>
      <c r="J948" s="3"/>
      <c r="K948" s="3"/>
      <c r="L948" s="4"/>
      <c r="M948" s="4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4"/>
    </row>
    <row r="949" spans="1:26" ht="14.25" customHeight="1">
      <c r="A949" s="1"/>
      <c r="B949" s="33"/>
      <c r="C949" s="33"/>
      <c r="D949" s="33"/>
      <c r="E949" s="33"/>
      <c r="F949" s="33"/>
      <c r="G949" s="33"/>
      <c r="H949" s="1"/>
      <c r="I949" s="3"/>
      <c r="J949" s="3"/>
      <c r="K949" s="3"/>
      <c r="L949" s="4"/>
      <c r="M949" s="4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4"/>
    </row>
    <row r="950" spans="1:26" ht="14.25" customHeight="1">
      <c r="A950" s="1"/>
      <c r="B950" s="33"/>
      <c r="C950" s="33"/>
      <c r="D950" s="33"/>
      <c r="E950" s="33"/>
      <c r="F950" s="33"/>
      <c r="G950" s="33"/>
      <c r="H950" s="1"/>
      <c r="I950" s="3"/>
      <c r="J950" s="3"/>
      <c r="K950" s="3"/>
      <c r="L950" s="4"/>
      <c r="M950" s="4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4"/>
    </row>
    <row r="951" spans="1:26" ht="14.25" customHeight="1">
      <c r="A951" s="1"/>
      <c r="B951" s="33"/>
      <c r="C951" s="33"/>
      <c r="D951" s="33"/>
      <c r="E951" s="33"/>
      <c r="F951" s="33"/>
      <c r="G951" s="33"/>
      <c r="H951" s="1"/>
      <c r="I951" s="3"/>
      <c r="J951" s="3"/>
      <c r="K951" s="3"/>
      <c r="L951" s="4"/>
      <c r="M951" s="4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4"/>
    </row>
    <row r="952" spans="1:26" ht="14.25" customHeight="1">
      <c r="A952" s="1"/>
      <c r="B952" s="33"/>
      <c r="C952" s="33"/>
      <c r="D952" s="33"/>
      <c r="E952" s="33"/>
      <c r="F952" s="33"/>
      <c r="G952" s="33"/>
      <c r="H952" s="1"/>
      <c r="I952" s="3"/>
      <c r="J952" s="3"/>
      <c r="K952" s="3"/>
      <c r="L952" s="4"/>
      <c r="M952" s="4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4"/>
    </row>
    <row r="953" spans="1:26" ht="14.25" customHeight="1">
      <c r="A953" s="1"/>
      <c r="B953" s="33"/>
      <c r="C953" s="33"/>
      <c r="D953" s="33"/>
      <c r="E953" s="33"/>
      <c r="F953" s="33"/>
      <c r="G953" s="33"/>
      <c r="H953" s="1"/>
      <c r="I953" s="3"/>
      <c r="J953" s="3"/>
      <c r="K953" s="3"/>
      <c r="L953" s="4"/>
      <c r="M953" s="4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4"/>
    </row>
    <row r="954" spans="1:26" ht="14.25" customHeight="1">
      <c r="A954" s="1"/>
      <c r="B954" s="33"/>
      <c r="C954" s="33"/>
      <c r="D954" s="33"/>
      <c r="E954" s="33"/>
      <c r="F954" s="33"/>
      <c r="G954" s="33"/>
      <c r="H954" s="1"/>
      <c r="I954" s="3"/>
      <c r="J954" s="3"/>
      <c r="K954" s="3"/>
      <c r="L954" s="4"/>
      <c r="M954" s="4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4"/>
    </row>
    <row r="955" spans="1:26" ht="14.25" customHeight="1">
      <c r="A955" s="1"/>
      <c r="B955" s="33"/>
      <c r="C955" s="33"/>
      <c r="D955" s="33"/>
      <c r="E955" s="33"/>
      <c r="F955" s="33"/>
      <c r="G955" s="33"/>
      <c r="H955" s="1"/>
      <c r="I955" s="3"/>
      <c r="J955" s="3"/>
      <c r="K955" s="3"/>
      <c r="L955" s="4"/>
      <c r="M955" s="4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4"/>
    </row>
    <row r="956" spans="1:26" ht="14.25" customHeight="1">
      <c r="A956" s="1"/>
      <c r="B956" s="33"/>
      <c r="C956" s="33"/>
      <c r="D956" s="33"/>
      <c r="E956" s="33"/>
      <c r="F956" s="33"/>
      <c r="G956" s="33"/>
      <c r="H956" s="1"/>
      <c r="I956" s="3"/>
      <c r="J956" s="3"/>
      <c r="K956" s="3"/>
      <c r="L956" s="4"/>
      <c r="M956" s="4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4"/>
    </row>
    <row r="957" spans="1:26" ht="14.25" customHeight="1">
      <c r="A957" s="1"/>
      <c r="B957" s="33"/>
      <c r="C957" s="33"/>
      <c r="D957" s="33"/>
      <c r="E957" s="33"/>
      <c r="F957" s="33"/>
      <c r="G957" s="33"/>
      <c r="H957" s="1"/>
      <c r="I957" s="3"/>
      <c r="J957" s="3"/>
      <c r="K957" s="3"/>
      <c r="L957" s="4"/>
      <c r="M957" s="4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4"/>
    </row>
    <row r="958" spans="1:26" ht="14.25" customHeight="1">
      <c r="A958" s="1"/>
      <c r="B958" s="33"/>
      <c r="C958" s="33"/>
      <c r="D958" s="33"/>
      <c r="E958" s="33"/>
      <c r="F958" s="33"/>
      <c r="G958" s="33"/>
      <c r="H958" s="1"/>
      <c r="I958" s="3"/>
      <c r="J958" s="3"/>
      <c r="K958" s="3"/>
      <c r="L958" s="4"/>
      <c r="M958" s="4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4"/>
    </row>
    <row r="959" spans="1:26" ht="14.25" customHeight="1">
      <c r="A959" s="1"/>
      <c r="B959" s="33"/>
      <c r="C959" s="33"/>
      <c r="D959" s="33"/>
      <c r="E959" s="33"/>
      <c r="F959" s="33"/>
      <c r="G959" s="33"/>
      <c r="H959" s="1"/>
      <c r="I959" s="3"/>
      <c r="J959" s="3"/>
      <c r="K959" s="3"/>
      <c r="L959" s="4"/>
      <c r="M959" s="4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4"/>
    </row>
    <row r="960" spans="1:26" ht="14.25" customHeight="1">
      <c r="A960" s="1"/>
      <c r="B960" s="33"/>
      <c r="C960" s="33"/>
      <c r="D960" s="33"/>
      <c r="E960" s="33"/>
      <c r="F960" s="33"/>
      <c r="G960" s="33"/>
      <c r="H960" s="1"/>
      <c r="I960" s="3"/>
      <c r="J960" s="3"/>
      <c r="K960" s="3"/>
      <c r="L960" s="4"/>
      <c r="M960" s="4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4"/>
    </row>
    <row r="961" spans="1:26" ht="14.25" customHeight="1">
      <c r="A961" s="1"/>
      <c r="B961" s="33"/>
      <c r="C961" s="33"/>
      <c r="D961" s="33"/>
      <c r="E961" s="33"/>
      <c r="F961" s="33"/>
      <c r="G961" s="33"/>
      <c r="H961" s="1"/>
      <c r="I961" s="3"/>
      <c r="J961" s="3"/>
      <c r="K961" s="3"/>
      <c r="L961" s="4"/>
      <c r="M961" s="4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4"/>
    </row>
    <row r="962" spans="1:26" ht="14.25" customHeight="1">
      <c r="A962" s="1"/>
      <c r="B962" s="33"/>
      <c r="C962" s="33"/>
      <c r="D962" s="33"/>
      <c r="E962" s="33"/>
      <c r="F962" s="33"/>
      <c r="G962" s="33"/>
      <c r="H962" s="1"/>
      <c r="I962" s="3"/>
      <c r="J962" s="3"/>
      <c r="K962" s="3"/>
      <c r="L962" s="4"/>
      <c r="M962" s="4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4"/>
    </row>
    <row r="963" spans="1:26" ht="14.25" customHeight="1">
      <c r="A963" s="1"/>
      <c r="B963" s="33"/>
      <c r="C963" s="33"/>
      <c r="D963" s="33"/>
      <c r="E963" s="33"/>
      <c r="F963" s="33"/>
      <c r="G963" s="33"/>
      <c r="H963" s="1"/>
      <c r="I963" s="3"/>
      <c r="J963" s="3"/>
      <c r="K963" s="3"/>
      <c r="L963" s="4"/>
      <c r="M963" s="4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4"/>
    </row>
    <row r="964" spans="1:26" ht="14.25" customHeight="1">
      <c r="A964" s="1"/>
      <c r="B964" s="33"/>
      <c r="C964" s="33"/>
      <c r="D964" s="33"/>
      <c r="E964" s="33"/>
      <c r="F964" s="33"/>
      <c r="G964" s="33"/>
      <c r="H964" s="1"/>
      <c r="I964" s="3"/>
      <c r="J964" s="3"/>
      <c r="K964" s="3"/>
      <c r="L964" s="4"/>
      <c r="M964" s="4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4"/>
    </row>
    <row r="965" spans="1:26" ht="14.25" customHeight="1">
      <c r="A965" s="1"/>
      <c r="B965" s="33"/>
      <c r="C965" s="33"/>
      <c r="D965" s="33"/>
      <c r="E965" s="33"/>
      <c r="F965" s="33"/>
      <c r="G965" s="33"/>
      <c r="H965" s="1"/>
      <c r="I965" s="3"/>
      <c r="J965" s="3"/>
      <c r="K965" s="3"/>
      <c r="L965" s="4"/>
      <c r="M965" s="4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4"/>
    </row>
    <row r="966" spans="1:26" ht="14.25" customHeight="1">
      <c r="A966" s="1"/>
      <c r="B966" s="33"/>
      <c r="C966" s="33"/>
      <c r="D966" s="33"/>
      <c r="E966" s="33"/>
      <c r="F966" s="33"/>
      <c r="G966" s="33"/>
      <c r="H966" s="1"/>
      <c r="I966" s="3"/>
      <c r="J966" s="3"/>
      <c r="K966" s="3"/>
      <c r="L966" s="4"/>
      <c r="M966" s="4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4"/>
    </row>
    <row r="967" spans="1:26" ht="14.25" customHeight="1">
      <c r="A967" s="1"/>
      <c r="B967" s="33"/>
      <c r="C967" s="33"/>
      <c r="D967" s="33"/>
      <c r="E967" s="33"/>
      <c r="F967" s="33"/>
      <c r="G967" s="33"/>
      <c r="H967" s="1"/>
      <c r="I967" s="3"/>
      <c r="J967" s="3"/>
      <c r="K967" s="3"/>
      <c r="L967" s="4"/>
      <c r="M967" s="4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4"/>
    </row>
    <row r="968" spans="1:26" ht="14.25" customHeight="1">
      <c r="A968" s="1"/>
      <c r="B968" s="33"/>
      <c r="C968" s="33"/>
      <c r="D968" s="33"/>
      <c r="E968" s="33"/>
      <c r="F968" s="33"/>
      <c r="G968" s="33"/>
      <c r="H968" s="1"/>
      <c r="I968" s="3"/>
      <c r="J968" s="3"/>
      <c r="K968" s="3"/>
      <c r="L968" s="4"/>
      <c r="M968" s="4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4"/>
    </row>
    <row r="969" spans="1:26" ht="14.25" customHeight="1">
      <c r="A969" s="1"/>
      <c r="B969" s="33"/>
      <c r="C969" s="33"/>
      <c r="D969" s="33"/>
      <c r="E969" s="33"/>
      <c r="F969" s="33"/>
      <c r="G969" s="33"/>
      <c r="H969" s="1"/>
      <c r="I969" s="3"/>
      <c r="J969" s="3"/>
      <c r="K969" s="3"/>
      <c r="L969" s="4"/>
      <c r="M969" s="4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4"/>
    </row>
    <row r="970" spans="1:26" ht="14.25" customHeight="1">
      <c r="A970" s="1"/>
      <c r="B970" s="33"/>
      <c r="C970" s="33"/>
      <c r="D970" s="33"/>
      <c r="E970" s="33"/>
      <c r="F970" s="33"/>
      <c r="G970" s="33"/>
      <c r="H970" s="1"/>
      <c r="I970" s="3"/>
      <c r="J970" s="3"/>
      <c r="K970" s="3"/>
      <c r="L970" s="4"/>
      <c r="M970" s="4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4"/>
    </row>
    <row r="971" spans="1:26" ht="14.25" customHeight="1">
      <c r="A971" s="1"/>
      <c r="B971" s="33"/>
      <c r="C971" s="33"/>
      <c r="D971" s="33"/>
      <c r="E971" s="33"/>
      <c r="F971" s="33"/>
      <c r="G971" s="33"/>
      <c r="H971" s="1"/>
      <c r="I971" s="3"/>
      <c r="J971" s="3"/>
      <c r="K971" s="3"/>
      <c r="L971" s="4"/>
      <c r="M971" s="4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4"/>
    </row>
    <row r="972" spans="1:26" ht="14.25" customHeight="1">
      <c r="A972" s="1"/>
      <c r="B972" s="33"/>
      <c r="C972" s="33"/>
      <c r="D972" s="33"/>
      <c r="E972" s="33"/>
      <c r="F972" s="33"/>
      <c r="G972" s="33"/>
      <c r="H972" s="1"/>
      <c r="I972" s="3"/>
      <c r="J972" s="3"/>
      <c r="K972" s="3"/>
      <c r="L972" s="4"/>
      <c r="M972" s="4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4"/>
    </row>
    <row r="973" spans="1:26" ht="14.25" customHeight="1">
      <c r="A973" s="1"/>
      <c r="B973" s="33"/>
      <c r="C973" s="33"/>
      <c r="D973" s="33"/>
      <c r="E973" s="33"/>
      <c r="F973" s="33"/>
      <c r="G973" s="33"/>
      <c r="H973" s="1"/>
      <c r="I973" s="3"/>
      <c r="J973" s="3"/>
      <c r="K973" s="3"/>
      <c r="L973" s="4"/>
      <c r="M973" s="4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4"/>
    </row>
    <row r="974" spans="1:26" ht="14.25" customHeight="1">
      <c r="A974" s="1"/>
      <c r="B974" s="33"/>
      <c r="C974" s="33"/>
      <c r="D974" s="33"/>
      <c r="E974" s="33"/>
      <c r="F974" s="33"/>
      <c r="G974" s="33"/>
      <c r="H974" s="1"/>
      <c r="I974" s="3"/>
      <c r="J974" s="3"/>
      <c r="K974" s="3"/>
      <c r="L974" s="4"/>
      <c r="M974" s="4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4"/>
    </row>
    <row r="975" spans="1:26" ht="14.25" customHeight="1">
      <c r="A975" s="1"/>
      <c r="B975" s="33"/>
      <c r="C975" s="33"/>
      <c r="D975" s="33"/>
      <c r="E975" s="33"/>
      <c r="F975" s="33"/>
      <c r="G975" s="33"/>
      <c r="H975" s="1"/>
      <c r="I975" s="3"/>
      <c r="J975" s="3"/>
      <c r="K975" s="3"/>
      <c r="L975" s="4"/>
      <c r="M975" s="4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4"/>
    </row>
    <row r="976" spans="1:26" ht="14.25" customHeight="1">
      <c r="A976" s="1"/>
      <c r="B976" s="33"/>
      <c r="C976" s="33"/>
      <c r="D976" s="33"/>
      <c r="E976" s="33"/>
      <c r="F976" s="33"/>
      <c r="G976" s="33"/>
      <c r="H976" s="1"/>
      <c r="I976" s="3"/>
      <c r="J976" s="3"/>
      <c r="K976" s="3"/>
      <c r="L976" s="4"/>
      <c r="M976" s="4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4"/>
    </row>
    <row r="977" spans="1:26" ht="14.25" customHeight="1">
      <c r="A977" s="1"/>
      <c r="B977" s="33"/>
      <c r="C977" s="33"/>
      <c r="D977" s="33"/>
      <c r="E977" s="33"/>
      <c r="F977" s="33"/>
      <c r="G977" s="33"/>
      <c r="H977" s="1"/>
      <c r="I977" s="3"/>
      <c r="J977" s="3"/>
      <c r="K977" s="3"/>
      <c r="L977" s="4"/>
      <c r="M977" s="4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4"/>
    </row>
    <row r="978" spans="1:26" ht="14.25" customHeight="1">
      <c r="A978" s="1"/>
      <c r="B978" s="33"/>
      <c r="C978" s="33"/>
      <c r="D978" s="33"/>
      <c r="E978" s="33"/>
      <c r="F978" s="33"/>
      <c r="G978" s="33"/>
      <c r="H978" s="1"/>
      <c r="I978" s="3"/>
      <c r="J978" s="3"/>
      <c r="K978" s="3"/>
      <c r="L978" s="4"/>
      <c r="M978" s="4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4"/>
    </row>
    <row r="979" spans="1:26" ht="14.25" customHeight="1">
      <c r="A979" s="1"/>
      <c r="B979" s="33"/>
      <c r="C979" s="33"/>
      <c r="D979" s="33"/>
      <c r="E979" s="33"/>
      <c r="F979" s="33"/>
      <c r="G979" s="33"/>
      <c r="H979" s="1"/>
      <c r="I979" s="3"/>
      <c r="J979" s="3"/>
      <c r="K979" s="3"/>
      <c r="L979" s="4"/>
      <c r="M979" s="4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4"/>
    </row>
    <row r="980" spans="1:26" ht="14.25" customHeight="1">
      <c r="A980" s="1"/>
      <c r="B980" s="33"/>
      <c r="C980" s="33"/>
      <c r="D980" s="33"/>
      <c r="E980" s="33"/>
      <c r="F980" s="33"/>
      <c r="G980" s="33"/>
      <c r="H980" s="1"/>
      <c r="I980" s="3"/>
      <c r="J980" s="3"/>
      <c r="K980" s="3"/>
      <c r="L980" s="4"/>
      <c r="M980" s="4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4"/>
    </row>
    <row r="981" spans="1:26" ht="14.25" customHeight="1">
      <c r="A981" s="1"/>
      <c r="B981" s="33"/>
      <c r="C981" s="33"/>
      <c r="D981" s="33"/>
      <c r="E981" s="33"/>
      <c r="F981" s="33"/>
      <c r="G981" s="33"/>
      <c r="H981" s="1"/>
      <c r="I981" s="3"/>
      <c r="J981" s="3"/>
      <c r="K981" s="3"/>
      <c r="L981" s="4"/>
      <c r="M981" s="4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4"/>
    </row>
    <row r="982" spans="1:26" ht="14.25" customHeight="1">
      <c r="A982" s="1"/>
      <c r="B982" s="33"/>
      <c r="C982" s="33"/>
      <c r="D982" s="33"/>
      <c r="E982" s="33"/>
      <c r="F982" s="33"/>
      <c r="G982" s="33"/>
      <c r="H982" s="1"/>
      <c r="I982" s="3"/>
      <c r="J982" s="3"/>
      <c r="K982" s="3"/>
      <c r="L982" s="4"/>
      <c r="M982" s="4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4"/>
    </row>
    <row r="983" spans="1:26" ht="14.25" customHeight="1">
      <c r="A983" s="1"/>
      <c r="B983" s="33"/>
      <c r="C983" s="33"/>
      <c r="D983" s="33"/>
      <c r="E983" s="33"/>
      <c r="F983" s="33"/>
      <c r="G983" s="33"/>
      <c r="H983" s="1"/>
      <c r="I983" s="3"/>
      <c r="J983" s="3"/>
      <c r="K983" s="3"/>
      <c r="L983" s="4"/>
      <c r="M983" s="4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4"/>
    </row>
    <row r="984" spans="1:26" ht="14.25" customHeight="1">
      <c r="A984" s="1"/>
      <c r="B984" s="33"/>
      <c r="C984" s="33"/>
      <c r="D984" s="33"/>
      <c r="E984" s="33"/>
      <c r="F984" s="33"/>
      <c r="G984" s="33"/>
      <c r="H984" s="1"/>
      <c r="I984" s="3"/>
      <c r="J984" s="3"/>
      <c r="K984" s="3"/>
      <c r="L984" s="4"/>
      <c r="M984" s="4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4"/>
    </row>
    <row r="985" spans="1:26" ht="14.25" customHeight="1">
      <c r="A985" s="1"/>
      <c r="B985" s="33"/>
      <c r="C985" s="33"/>
      <c r="D985" s="33"/>
      <c r="E985" s="33"/>
      <c r="F985" s="33"/>
      <c r="G985" s="33"/>
      <c r="H985" s="1"/>
      <c r="I985" s="3"/>
      <c r="J985" s="3"/>
      <c r="K985" s="3"/>
      <c r="L985" s="4"/>
      <c r="M985" s="4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4"/>
    </row>
    <row r="986" spans="1:26" ht="14.25" customHeight="1">
      <c r="A986" s="1"/>
      <c r="B986" s="33"/>
      <c r="C986" s="33"/>
      <c r="D986" s="33"/>
      <c r="E986" s="33"/>
      <c r="F986" s="33"/>
      <c r="G986" s="33"/>
      <c r="H986" s="1"/>
      <c r="I986" s="3"/>
      <c r="J986" s="3"/>
      <c r="K986" s="3"/>
      <c r="L986" s="4"/>
      <c r="M986" s="4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4"/>
    </row>
    <row r="987" spans="1:26" ht="14.25" customHeight="1">
      <c r="A987" s="1"/>
      <c r="B987" s="33"/>
      <c r="C987" s="33"/>
      <c r="D987" s="33"/>
      <c r="E987" s="33"/>
      <c r="F987" s="33"/>
      <c r="G987" s="33"/>
      <c r="H987" s="1"/>
      <c r="I987" s="3"/>
      <c r="J987" s="3"/>
      <c r="K987" s="3"/>
      <c r="L987" s="4"/>
      <c r="M987" s="4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4"/>
    </row>
    <row r="988" spans="1:26" ht="14.25" customHeight="1">
      <c r="A988" s="1"/>
      <c r="B988" s="33"/>
      <c r="C988" s="33"/>
      <c r="D988" s="33"/>
      <c r="E988" s="33"/>
      <c r="F988" s="33"/>
      <c r="G988" s="33"/>
      <c r="H988" s="1"/>
      <c r="I988" s="3"/>
      <c r="J988" s="3"/>
      <c r="K988" s="3"/>
      <c r="L988" s="4"/>
      <c r="M988" s="4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4"/>
    </row>
    <row r="989" spans="1:26" ht="14.25" customHeight="1">
      <c r="A989" s="1"/>
      <c r="B989" s="33"/>
      <c r="C989" s="33"/>
      <c r="D989" s="33"/>
      <c r="E989" s="33"/>
      <c r="F989" s="33"/>
      <c r="G989" s="33"/>
      <c r="H989" s="1"/>
      <c r="I989" s="3"/>
      <c r="J989" s="3"/>
      <c r="K989" s="3"/>
      <c r="L989" s="4"/>
      <c r="M989" s="4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4"/>
    </row>
    <row r="990" spans="1:26" ht="14.25" customHeight="1">
      <c r="A990" s="1"/>
      <c r="B990" s="33"/>
      <c r="C990" s="33"/>
      <c r="D990" s="33"/>
      <c r="E990" s="33"/>
      <c r="F990" s="33"/>
      <c r="G990" s="33"/>
      <c r="H990" s="1"/>
      <c r="I990" s="3"/>
      <c r="J990" s="3"/>
      <c r="K990" s="3"/>
      <c r="L990" s="4"/>
      <c r="M990" s="4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4"/>
    </row>
    <row r="991" spans="1:26" ht="14.25" customHeight="1">
      <c r="A991" s="1"/>
      <c r="B991" s="33"/>
      <c r="C991" s="33"/>
      <c r="D991" s="33"/>
      <c r="E991" s="33"/>
      <c r="F991" s="33"/>
      <c r="G991" s="33"/>
      <c r="H991" s="1"/>
      <c r="I991" s="3"/>
      <c r="J991" s="3"/>
      <c r="K991" s="3"/>
      <c r="L991" s="4"/>
      <c r="M991" s="4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4"/>
    </row>
    <row r="992" spans="1:26" ht="14.25" customHeight="1">
      <c r="A992" s="1"/>
      <c r="B992" s="33"/>
      <c r="C992" s="33"/>
      <c r="D992" s="33"/>
      <c r="E992" s="33"/>
      <c r="F992" s="33"/>
      <c r="G992" s="33"/>
      <c r="H992" s="1"/>
      <c r="I992" s="3"/>
      <c r="J992" s="3"/>
      <c r="K992" s="3"/>
      <c r="L992" s="4"/>
      <c r="M992" s="4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4"/>
    </row>
  </sheetData>
  <mergeCells count="1">
    <mergeCell ref="B2:D2"/>
  </mergeCells>
  <conditionalFormatting sqref="G3:G4">
    <cfRule type="containsText" dxfId="73" priority="1" operator="containsText" text="No, not really">
      <formula>NOT(ISERROR(SEARCH(("No, not really"),(G3))))</formula>
    </cfRule>
  </conditionalFormatting>
  <conditionalFormatting sqref="G5">
    <cfRule type="containsText" dxfId="72" priority="2" operator="containsText" text="No">
      <formula>NOT(ISERROR(SEARCH(("No"),(G5))))</formula>
    </cfRule>
  </conditionalFormatting>
  <conditionalFormatting sqref="G7:G8">
    <cfRule type="containsText" dxfId="71" priority="3" operator="containsText" text="No, not really">
      <formula>NOT(ISERROR(SEARCH(("No, not really"),(G7))))</formula>
    </cfRule>
  </conditionalFormatting>
  <conditionalFormatting sqref="G9">
    <cfRule type="containsText" dxfId="70" priority="4" operator="containsText" text="No">
      <formula>NOT(ISERROR(SEARCH(("No"),(G9))))</formula>
    </cfRule>
  </conditionalFormatting>
  <conditionalFormatting sqref="G11">
    <cfRule type="containsText" dxfId="69" priority="5" operator="containsText" text="No">
      <formula>NOT(ISERROR(SEARCH(("No"),(G11))))</formula>
    </cfRule>
  </conditionalFormatting>
  <conditionalFormatting sqref="G12">
    <cfRule type="containsText" dxfId="68" priority="7" operator="containsText" text="Yes">
      <formula>NOT(ISERROR(SEARCH(("Yes"),(G12))))</formula>
    </cfRule>
  </conditionalFormatting>
  <conditionalFormatting sqref="G13">
    <cfRule type="containsText" dxfId="67" priority="8" operator="containsText" text="No Change">
      <formula>NOT(ISERROR(SEARCH(("No Change"),(G13))))</formula>
    </cfRule>
  </conditionalFormatting>
  <conditionalFormatting sqref="G14">
    <cfRule type="containsText" dxfId="66" priority="6" operator="containsText" text="No">
      <formula>NOT(ISERROR(SEARCH(("No"),(G14))))</formula>
    </cfRule>
  </conditionalFormatting>
  <conditionalFormatting sqref="G16">
    <cfRule type="containsText" dxfId="65" priority="9" operator="containsText" text="No">
      <formula>NOT(ISERROR(SEARCH(("No"),(G16))))</formula>
    </cfRule>
  </conditionalFormatting>
  <conditionalFormatting sqref="G17">
    <cfRule type="containsText" dxfId="64" priority="10" operator="containsText" text="Yes">
      <formula>NOT(ISERROR(SEARCH(("Yes"),(G17))))</formula>
    </cfRule>
  </conditionalFormatting>
  <conditionalFormatting sqref="G18">
    <cfRule type="containsText" dxfId="63" priority="11" operator="containsText" text="Yes, but less than 4 days">
      <formula>NOT(ISERROR(SEARCH(("Yes, but less than 4 days"),(G18))))</formula>
    </cfRule>
  </conditionalFormatting>
  <conditionalFormatting sqref="G19">
    <cfRule type="containsText" dxfId="62" priority="12" operator="containsText" text="Less than half">
      <formula>NOT(ISERROR(SEARCH(("Less than half"),(G19))))</formula>
    </cfRule>
  </conditionalFormatting>
  <conditionalFormatting sqref="G20">
    <cfRule type="containsText" dxfId="61" priority="13" operator="containsText" text="Not Applicable">
      <formula>NOT(ISERROR(SEARCH(("Not Applicable"),(G20))))</formula>
    </cfRule>
  </conditionalFormatting>
  <conditionalFormatting sqref="G22:G23">
    <cfRule type="containsText" dxfId="60" priority="14" operator="containsText" text="No">
      <formula>NOT(ISERROR(SEARCH(("No"),(G22))))</formula>
    </cfRule>
  </conditionalFormatting>
  <conditionalFormatting sqref="G24">
    <cfRule type="containsText" dxfId="59" priority="15" operator="containsText" text="Yes, but less than 4 days">
      <formula>NOT(ISERROR(SEARCH(("Yes, but less than 4 days"),(G24))))</formula>
    </cfRule>
  </conditionalFormatting>
  <conditionalFormatting sqref="G25">
    <cfRule type="containsText" dxfId="58" priority="16" operator="containsText" text="Less than half">
      <formula>NOT(ISERROR(SEARCH(("Less than half"),(G25))))</formula>
    </cfRule>
  </conditionalFormatting>
  <conditionalFormatting sqref="G26">
    <cfRule type="containsText" dxfId="57" priority="17" operator="containsText" text="Not Applicable">
      <formula>NOT(ISERROR(SEARCH(("Not Applicable"),(G26))))</formula>
    </cfRule>
  </conditionalFormatting>
  <conditionalFormatting sqref="G28:G29">
    <cfRule type="containsText" dxfId="56" priority="19" operator="containsText" text="No, not really">
      <formula>NOT(ISERROR(SEARCH(("No, not really"),(G28))))</formula>
    </cfRule>
  </conditionalFormatting>
  <conditionalFormatting sqref="G30">
    <cfRule type="containsText" dxfId="55" priority="18" operator="containsText" text="No">
      <formula>NOT(ISERROR(SEARCH(("No"),(G30))))</formula>
    </cfRule>
  </conditionalFormatting>
  <conditionalFormatting sqref="G32">
    <cfRule type="containsText" dxfId="54" priority="24" operator="containsText" text="Only one">
      <formula>NOT(ISERROR(SEARCH(("Only one"),(G32))))</formula>
    </cfRule>
  </conditionalFormatting>
  <conditionalFormatting sqref="G33">
    <cfRule type="containsText" dxfId="53" priority="25" operator="containsText" text="Decrease">
      <formula>NOT(ISERROR(SEARCH(("Decrease"),(G33))))</formula>
    </cfRule>
  </conditionalFormatting>
  <conditionalFormatting sqref="G34">
    <cfRule type="containsText" dxfId="52" priority="21" operator="containsText" text="No">
      <formula>NOT(ISERROR(SEARCH(("No"),(G34))))</formula>
    </cfRule>
  </conditionalFormatting>
  <conditionalFormatting sqref="G36:G38">
    <cfRule type="containsText" dxfId="51" priority="22" operator="containsText" text="No">
      <formula>NOT(ISERROR(SEARCH(("No"),(G36))))</formula>
    </cfRule>
  </conditionalFormatting>
  <conditionalFormatting sqref="G40:G44">
    <cfRule type="containsText" dxfId="50" priority="20" operator="containsText" text="Not Applicable">
      <formula>NOT(ISERROR(SEARCH(("Not Applicable"),(G40))))</formula>
    </cfRule>
  </conditionalFormatting>
  <conditionalFormatting sqref="G45:G47">
    <cfRule type="containsText" dxfId="49" priority="23" operator="containsText" text="No">
      <formula>NOT(ISERROR(SEARCH(("No"),(G45))))</formula>
    </cfRule>
  </conditionalFormatting>
  <dataValidations count="10">
    <dataValidation type="list" allowBlank="1" showErrorMessage="1" sqref="G18 G24" xr:uid="{00000000-0002-0000-0200-000000000000}">
      <formula1>$J$45:$J$47</formula1>
    </dataValidation>
    <dataValidation type="list" allowBlank="1" showErrorMessage="1" sqref="G20 G40:G44 G26" xr:uid="{00000000-0002-0000-0200-000001000000}">
      <formula1>$J$13:$J$15</formula1>
    </dataValidation>
    <dataValidation type="list" allowBlank="1" showErrorMessage="1" sqref="G13" xr:uid="{00000000-0002-0000-0200-000002000000}">
      <formula1>$J$18:$J$20</formula1>
    </dataValidation>
    <dataValidation type="list" allowBlank="1" showErrorMessage="1" sqref="G33" xr:uid="{00000000-0002-0000-0200-000003000000}">
      <formula1>$J$34:$J$36</formula1>
    </dataValidation>
    <dataValidation type="list" allowBlank="1" showErrorMessage="1" sqref="G36 G45:G47" xr:uid="{00000000-0002-0000-0200-000004000000}">
      <formula1>$J$39:$J$41</formula1>
    </dataValidation>
    <dataValidation type="list" allowBlank="1" showErrorMessage="1" sqref="G19 G25" xr:uid="{00000000-0002-0000-0200-000005000000}">
      <formula1>$J$50:$J$52</formula1>
    </dataValidation>
    <dataValidation type="list" allowBlank="1" showErrorMessage="1" sqref="G12 G37:G38 G23 G17" xr:uid="{00000000-0002-0000-0200-000006000000}">
      <formula1>$J$23:$J$25</formula1>
    </dataValidation>
    <dataValidation type="list" allowBlank="1" showErrorMessage="1" sqref="G32" xr:uid="{00000000-0002-0000-0200-000007000000}">
      <formula1>$J$28:$J$30</formula1>
    </dataValidation>
    <dataValidation type="list" allowBlank="1" showErrorMessage="1" sqref="G3:G4 G28:G29 G7:G8" xr:uid="{00000000-0002-0000-0200-000008000000}">
      <formula1>$J$3:$J$5</formula1>
    </dataValidation>
    <dataValidation type="list" allowBlank="1" showErrorMessage="1" sqref="G5 G34 G30 G22 G16 G14 G11 G9" xr:uid="{00000000-0002-0000-0200-000009000000}">
      <formula1>$J$8:$J$10</formula1>
    </dataValidation>
  </dataValidations>
  <pageMargins left="0.7" right="0.7" top="0.75" bottom="0.75" header="0" footer="0"/>
  <pageSetup paperSize="9" orientation="portrait"/>
  <headerFooter>
    <oddFooter>&amp;R#000000C2 - Safaricom Internal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Z993"/>
  <sheetViews>
    <sheetView topLeftCell="A40" workbookViewId="0">
      <selection sqref="A1:XFD7"/>
    </sheetView>
  </sheetViews>
  <sheetFormatPr defaultColWidth="14.42578125" defaultRowHeight="15" customHeight="1"/>
  <cols>
    <col min="1" max="1" width="6.5703125" customWidth="1"/>
    <col min="2" max="2" width="2" customWidth="1"/>
    <col min="3" max="3" width="29.140625" customWidth="1"/>
    <col min="4" max="4" width="33.140625" customWidth="1"/>
    <col min="5" max="5" width="104" customWidth="1"/>
    <col min="6" max="6" width="75" customWidth="1"/>
    <col min="7" max="7" width="14" customWidth="1"/>
    <col min="8" max="8" width="24.5703125" customWidth="1"/>
    <col min="9" max="9" width="11.42578125" hidden="1" customWidth="1"/>
    <col min="10" max="10" width="29.140625" hidden="1" customWidth="1"/>
    <col min="11" max="11" width="17.140625" hidden="1" customWidth="1"/>
    <col min="12" max="26" width="8.7109375" customWidth="1"/>
  </cols>
  <sheetData>
    <row r="1" spans="1:26" ht="36" customHeight="1">
      <c r="A1" s="1"/>
      <c r="B1" s="70" t="s">
        <v>141</v>
      </c>
      <c r="C1" s="68"/>
      <c r="D1" s="68"/>
      <c r="E1" s="69"/>
      <c r="F1" s="6"/>
      <c r="G1" s="6"/>
      <c r="H1" s="34"/>
      <c r="I1" s="1"/>
      <c r="J1" s="36" t="s">
        <v>142</v>
      </c>
      <c r="K1" s="1"/>
      <c r="L1" s="1"/>
      <c r="M1" s="1"/>
      <c r="N1" s="1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5.75" customHeight="1">
      <c r="A2" s="1"/>
      <c r="B2" s="2"/>
      <c r="C2" s="2"/>
      <c r="D2" s="2"/>
      <c r="E2" s="2"/>
      <c r="F2" s="2"/>
      <c r="G2" s="2"/>
      <c r="H2" s="34"/>
      <c r="I2" s="1"/>
      <c r="J2" s="1" t="str">
        <f>""</f>
        <v/>
      </c>
      <c r="K2" s="1"/>
      <c r="L2" s="1"/>
      <c r="M2" s="1"/>
      <c r="N2" s="1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23.25" customHeight="1">
      <c r="A3" s="1"/>
      <c r="B3" s="71" t="s">
        <v>143</v>
      </c>
      <c r="C3" s="72"/>
      <c r="D3" s="73"/>
      <c r="E3" s="37" t="s">
        <v>2</v>
      </c>
      <c r="F3" s="7" t="s">
        <v>3</v>
      </c>
      <c r="G3" s="8" t="s">
        <v>4</v>
      </c>
      <c r="H3" s="9" t="s">
        <v>5</v>
      </c>
      <c r="I3" s="28" t="s">
        <v>6</v>
      </c>
      <c r="J3" s="38" t="s">
        <v>7</v>
      </c>
      <c r="K3" s="30" t="s">
        <v>27</v>
      </c>
      <c r="L3" s="1"/>
      <c r="M3" s="1"/>
      <c r="N3" s="1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4.25" customHeight="1">
      <c r="A4" s="13">
        <v>1</v>
      </c>
      <c r="B4" s="39">
        <v>1</v>
      </c>
      <c r="C4" s="40" t="s">
        <v>144</v>
      </c>
      <c r="D4" s="41" t="s">
        <v>145</v>
      </c>
      <c r="E4" s="42" t="s">
        <v>146</v>
      </c>
      <c r="F4" s="43" t="s">
        <v>147</v>
      </c>
      <c r="G4" s="44" t="s">
        <v>148</v>
      </c>
      <c r="H4" s="45" t="str">
        <f t="shared" ref="H4:H9" si="0">IF(OR(G4=$J$4,G4=$J$5,G4=$J$6),$J$2,$J$1)</f>
        <v/>
      </c>
      <c r="I4" s="28">
        <f t="shared" ref="I4:I9" si="1">IF(G4=$J$4,$K$4,IF(G4=$J$5,$K$5,$K$6))</f>
        <v>1</v>
      </c>
      <c r="J4" s="1" t="s">
        <v>149</v>
      </c>
      <c r="K4" s="1">
        <v>3</v>
      </c>
      <c r="L4" s="1"/>
      <c r="M4" s="1"/>
      <c r="N4" s="1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4.25" customHeight="1">
      <c r="A5" s="13" t="e">
        <f>#REF!+1</f>
        <v>#REF!</v>
      </c>
      <c r="B5" s="46"/>
      <c r="C5" s="47"/>
      <c r="D5" s="41" t="s">
        <v>150</v>
      </c>
      <c r="E5" s="17" t="s">
        <v>151</v>
      </c>
      <c r="F5" s="43" t="s">
        <v>152</v>
      </c>
      <c r="G5" s="44" t="s">
        <v>148</v>
      </c>
      <c r="H5" s="45" t="str">
        <f t="shared" si="0"/>
        <v/>
      </c>
      <c r="I5" s="28">
        <f t="shared" si="1"/>
        <v>1</v>
      </c>
      <c r="J5" s="1" t="s">
        <v>153</v>
      </c>
      <c r="K5" s="1">
        <v>2</v>
      </c>
      <c r="L5" s="1"/>
      <c r="M5" s="1"/>
      <c r="N5" s="1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4.25" customHeight="1">
      <c r="A6" s="13" t="e">
        <f>#REF!+1</f>
        <v>#REF!</v>
      </c>
      <c r="B6" s="46"/>
      <c r="C6" s="47"/>
      <c r="D6" s="41" t="s">
        <v>154</v>
      </c>
      <c r="E6" s="17" t="s">
        <v>155</v>
      </c>
      <c r="F6" s="43" t="s">
        <v>156</v>
      </c>
      <c r="G6" s="44" t="s">
        <v>148</v>
      </c>
      <c r="H6" s="45" t="str">
        <f t="shared" si="0"/>
        <v/>
      </c>
      <c r="I6" s="28">
        <f t="shared" si="1"/>
        <v>1</v>
      </c>
      <c r="J6" s="1" t="s">
        <v>148</v>
      </c>
      <c r="K6" s="1">
        <v>1</v>
      </c>
      <c r="L6" s="1"/>
      <c r="M6" s="1"/>
      <c r="N6" s="1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4.25" customHeight="1">
      <c r="A7" s="13" t="e">
        <f>#REF!+1</f>
        <v>#REF!</v>
      </c>
      <c r="B7" s="46"/>
      <c r="C7" s="47"/>
      <c r="D7" s="41" t="s">
        <v>157</v>
      </c>
      <c r="E7" s="17" t="s">
        <v>158</v>
      </c>
      <c r="F7" s="43" t="s">
        <v>159</v>
      </c>
      <c r="G7" s="44" t="s">
        <v>148</v>
      </c>
      <c r="H7" s="45" t="str">
        <f t="shared" si="0"/>
        <v/>
      </c>
      <c r="I7" s="28">
        <f t="shared" si="1"/>
        <v>1</v>
      </c>
      <c r="J7" s="1"/>
      <c r="K7" s="1"/>
      <c r="L7" s="1"/>
      <c r="M7" s="1"/>
      <c r="N7" s="1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4.25" customHeight="1">
      <c r="A8" s="13" t="e">
        <f>#REF!+1</f>
        <v>#REF!</v>
      </c>
      <c r="B8" s="46"/>
      <c r="C8" s="47"/>
      <c r="D8" s="41" t="s">
        <v>160</v>
      </c>
      <c r="E8" s="17" t="s">
        <v>161</v>
      </c>
      <c r="F8" s="43" t="s">
        <v>162</v>
      </c>
      <c r="G8" s="44" t="s">
        <v>148</v>
      </c>
      <c r="H8" s="45" t="str">
        <f t="shared" si="0"/>
        <v/>
      </c>
      <c r="I8" s="28">
        <f t="shared" si="1"/>
        <v>1</v>
      </c>
      <c r="J8" s="1"/>
      <c r="K8" s="1"/>
      <c r="L8" s="1"/>
      <c r="M8" s="1"/>
      <c r="N8" s="1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4.25" customHeight="1">
      <c r="A9" s="13" t="e">
        <f>#REF!+1</f>
        <v>#REF!</v>
      </c>
      <c r="B9" s="46"/>
      <c r="C9" s="47"/>
      <c r="D9" s="41" t="s">
        <v>163</v>
      </c>
      <c r="E9" s="17" t="s">
        <v>164</v>
      </c>
      <c r="F9" s="43" t="s">
        <v>165</v>
      </c>
      <c r="G9" s="44" t="s">
        <v>148</v>
      </c>
      <c r="H9" s="45" t="str">
        <f t="shared" si="0"/>
        <v/>
      </c>
      <c r="I9" s="28">
        <f t="shared" si="1"/>
        <v>1</v>
      </c>
      <c r="J9" s="1" t="s">
        <v>26</v>
      </c>
      <c r="K9" s="1" t="s">
        <v>27</v>
      </c>
      <c r="L9" s="1"/>
      <c r="M9" s="1"/>
      <c r="N9" s="1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4.25" customHeight="1">
      <c r="A10" s="13" t="e">
        <f>#REF!+1</f>
        <v>#REF!</v>
      </c>
      <c r="B10" s="46"/>
      <c r="C10" s="47"/>
      <c r="D10" s="41" t="s">
        <v>166</v>
      </c>
      <c r="E10" s="17" t="s">
        <v>167</v>
      </c>
      <c r="F10" s="43" t="s">
        <v>168</v>
      </c>
      <c r="G10" s="44" t="s">
        <v>169</v>
      </c>
      <c r="H10" s="45" t="str">
        <f>IF(OR(G10=$J$10,G10=$J$11,G10=$J$12),$J$2,$J$1)</f>
        <v/>
      </c>
      <c r="I10" s="28">
        <f>IF(G10=$J$10,$K$10,IF(G10=$J$11,$K$11,$K$12))</f>
        <v>1</v>
      </c>
      <c r="J10" s="1" t="s">
        <v>169</v>
      </c>
      <c r="K10" s="1">
        <v>1</v>
      </c>
      <c r="L10" s="1"/>
      <c r="M10" s="1"/>
      <c r="N10" s="1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4.25" customHeight="1">
      <c r="A11" s="13">
        <f t="shared" ref="A11:A14" si="2">A1+1</f>
        <v>1</v>
      </c>
      <c r="B11" s="46"/>
      <c r="C11" s="47"/>
      <c r="D11" s="41" t="s">
        <v>170</v>
      </c>
      <c r="E11" s="17" t="s">
        <v>171</v>
      </c>
      <c r="F11" s="43" t="s">
        <v>172</v>
      </c>
      <c r="G11" s="44" t="s">
        <v>148</v>
      </c>
      <c r="H11" s="45" t="str">
        <f>IF(OR(G11=$J$4,G11=$J$5,G11=$J$6),$J$2,$J$1)</f>
        <v/>
      </c>
      <c r="I11" s="28">
        <f>IF(G11=$J$4,$K$4,IF(G11=$J$5,$K$5,$K$6))</f>
        <v>1</v>
      </c>
      <c r="J11" s="1" t="s">
        <v>173</v>
      </c>
      <c r="K11" s="1">
        <v>2</v>
      </c>
      <c r="L11" s="1"/>
      <c r="M11" s="1"/>
      <c r="N11" s="1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4.25" customHeight="1">
      <c r="A12" s="13">
        <f t="shared" si="2"/>
        <v>1</v>
      </c>
      <c r="B12" s="46"/>
      <c r="C12" s="47"/>
      <c r="D12" s="41" t="s">
        <v>174</v>
      </c>
      <c r="E12" s="17" t="s">
        <v>175</v>
      </c>
      <c r="F12" s="43" t="s">
        <v>176</v>
      </c>
      <c r="G12" s="44" t="s">
        <v>177</v>
      </c>
      <c r="H12" s="45" t="str">
        <f>IF(OR(G12=$J$15,G12=$J$16,G12=$J$17),$J$2,$J$1)</f>
        <v/>
      </c>
      <c r="I12" s="28">
        <f>IF(G12=$J$15,$K$15,IF(G12=$J$16,$K$16,$K$17))</f>
        <v>1</v>
      </c>
      <c r="J12" s="1" t="s">
        <v>178</v>
      </c>
      <c r="K12" s="1">
        <v>3</v>
      </c>
      <c r="L12" s="1"/>
      <c r="M12" s="1"/>
      <c r="N12" s="1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4.25" customHeight="1">
      <c r="A13" s="13">
        <f t="shared" si="2"/>
        <v>1</v>
      </c>
      <c r="B13" s="46"/>
      <c r="C13" s="47"/>
      <c r="D13" s="41" t="s">
        <v>179</v>
      </c>
      <c r="E13" s="17" t="s">
        <v>180</v>
      </c>
      <c r="F13" s="43" t="s">
        <v>181</v>
      </c>
      <c r="G13" s="44" t="s">
        <v>148</v>
      </c>
      <c r="H13" s="45" t="str">
        <f>IF(OR(G13=$J$4,G13=$J$5,G13=$J$6),$J$2,$J$1)</f>
        <v/>
      </c>
      <c r="I13" s="28">
        <f>IF(G13=$J$4,$K$4,IF(G13=$J$5,$K$5,$K$6))</f>
        <v>1</v>
      </c>
      <c r="J13" s="1"/>
      <c r="K13" s="1"/>
      <c r="L13" s="1"/>
      <c r="M13" s="1"/>
      <c r="N13" s="1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4.25" customHeight="1">
      <c r="A14" s="13">
        <f t="shared" si="2"/>
        <v>2</v>
      </c>
      <c r="B14" s="46"/>
      <c r="C14" s="47"/>
      <c r="D14" s="41" t="s">
        <v>182</v>
      </c>
      <c r="E14" s="17" t="s">
        <v>183</v>
      </c>
      <c r="F14" s="43" t="s">
        <v>184</v>
      </c>
      <c r="G14" s="44" t="s">
        <v>185</v>
      </c>
      <c r="H14" s="45" t="str">
        <f>IF(OR(G14=$J$20,G14=$J$21,G14=$J$22),$J$2,$J$1)</f>
        <v/>
      </c>
      <c r="I14" s="28">
        <f>IF(G14=$J$20,$K$20,IF(G14=$J$21,$K$21,$K$22))</f>
        <v>1</v>
      </c>
      <c r="J14" s="1" t="s">
        <v>40</v>
      </c>
      <c r="K14" s="1" t="s">
        <v>186</v>
      </c>
      <c r="L14" s="1"/>
      <c r="M14" s="1"/>
      <c r="N14" s="1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4.25" customHeight="1">
      <c r="A15" s="13">
        <f>A14+1</f>
        <v>3</v>
      </c>
      <c r="B15" s="48"/>
      <c r="C15" s="49"/>
      <c r="D15" s="41" t="s">
        <v>187</v>
      </c>
      <c r="E15" s="17" t="s">
        <v>188</v>
      </c>
      <c r="F15" s="50" t="s">
        <v>189</v>
      </c>
      <c r="G15" s="44" t="s">
        <v>148</v>
      </c>
      <c r="H15" s="45" t="str">
        <f>IF(OR(G15=$J$4,G15=$J$5,G15=$J$6),$J$2,$J$1)</f>
        <v/>
      </c>
      <c r="I15" s="28">
        <f>IF(G15=$J$4,$K$4,IF(G15=$J$5,$K$5,$K$6))</f>
        <v>1</v>
      </c>
      <c r="J15" s="1" t="s">
        <v>190</v>
      </c>
      <c r="K15" s="1">
        <v>3</v>
      </c>
      <c r="L15" s="1"/>
      <c r="M15" s="1"/>
      <c r="N15" s="1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4.25" customHeight="1">
      <c r="A16" s="1"/>
      <c r="B16" s="25"/>
      <c r="C16" s="25"/>
      <c r="D16" s="25"/>
      <c r="E16" s="25"/>
      <c r="F16" s="25"/>
      <c r="G16" s="51" t="s">
        <v>191</v>
      </c>
      <c r="H16" s="52"/>
      <c r="I16" s="1" t="str">
        <f>""</f>
        <v/>
      </c>
      <c r="J16" s="1" t="s">
        <v>192</v>
      </c>
      <c r="K16" s="1">
        <v>2</v>
      </c>
      <c r="L16" s="1"/>
      <c r="M16" s="1"/>
      <c r="N16" s="1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4.25" customHeight="1">
      <c r="A17" s="13">
        <f>A15+1</f>
        <v>4</v>
      </c>
      <c r="B17" s="39">
        <v>2</v>
      </c>
      <c r="C17" s="40" t="s">
        <v>193</v>
      </c>
      <c r="D17" s="41" t="s">
        <v>194</v>
      </c>
      <c r="E17" s="17" t="s">
        <v>195</v>
      </c>
      <c r="F17" s="43" t="s">
        <v>196</v>
      </c>
      <c r="G17" s="44" t="s">
        <v>148</v>
      </c>
      <c r="H17" s="45" t="str">
        <f t="shared" ref="H17:H18" si="3">IF(OR(G17=$J$4,G17=$J$5,G17=$J$6),$J$2,$J$1)</f>
        <v/>
      </c>
      <c r="I17" s="28">
        <f t="shared" ref="I17:I18" si="4">IF(G17=$J$4,$K$4,IF(G17=$J$5,$K$5,$K$6))</f>
        <v>1</v>
      </c>
      <c r="J17" s="1" t="s">
        <v>177</v>
      </c>
      <c r="K17" s="30">
        <v>1</v>
      </c>
      <c r="L17" s="1"/>
      <c r="M17" s="1"/>
      <c r="N17" s="1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5" customHeight="1">
      <c r="A18" s="13">
        <f t="shared" ref="A18:A21" si="5">A14+1</f>
        <v>3</v>
      </c>
      <c r="B18" s="46"/>
      <c r="C18" s="46"/>
      <c r="D18" s="41" t="s">
        <v>197</v>
      </c>
      <c r="E18" s="17" t="s">
        <v>198</v>
      </c>
      <c r="F18" s="43" t="s">
        <v>199</v>
      </c>
      <c r="G18" s="44" t="s">
        <v>148</v>
      </c>
      <c r="H18" s="45" t="str">
        <f t="shared" si="3"/>
        <v/>
      </c>
      <c r="I18" s="28">
        <f t="shared" si="4"/>
        <v>1</v>
      </c>
      <c r="J18" s="1"/>
      <c r="K18" s="1"/>
      <c r="L18" s="1"/>
      <c r="M18" s="1"/>
      <c r="N18" s="1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4.25" customHeight="1">
      <c r="A19" s="13">
        <f t="shared" si="5"/>
        <v>4</v>
      </c>
      <c r="B19" s="46"/>
      <c r="C19" s="46"/>
      <c r="D19" s="41" t="s">
        <v>200</v>
      </c>
      <c r="E19" s="17" t="s">
        <v>201</v>
      </c>
      <c r="F19" s="43" t="s">
        <v>202</v>
      </c>
      <c r="G19" s="44" t="s">
        <v>203</v>
      </c>
      <c r="H19" s="45" t="str">
        <f t="shared" ref="H19:H20" si="6">IF(OR(G19=$J$26,G19=$J$27,G19=$J$28),$J$2,$J$1)</f>
        <v/>
      </c>
      <c r="I19" s="28">
        <f t="shared" ref="I19:I20" si="7">IF(G19=$J$26,$K$26,IF(G19=$J$27,$K$27,$K$28))</f>
        <v>1</v>
      </c>
      <c r="J19" s="1" t="s">
        <v>53</v>
      </c>
      <c r="K19" s="1" t="s">
        <v>204</v>
      </c>
      <c r="L19" s="1"/>
      <c r="M19" s="1"/>
      <c r="N19" s="1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4.25" customHeight="1">
      <c r="A20" s="13">
        <f t="shared" si="5"/>
        <v>1</v>
      </c>
      <c r="B20" s="46"/>
      <c r="C20" s="46"/>
      <c r="D20" s="41" t="s">
        <v>205</v>
      </c>
      <c r="E20" s="17" t="s">
        <v>206</v>
      </c>
      <c r="F20" s="43" t="s">
        <v>207</v>
      </c>
      <c r="G20" s="44" t="s">
        <v>203</v>
      </c>
      <c r="H20" s="45" t="str">
        <f t="shared" si="6"/>
        <v/>
      </c>
      <c r="I20" s="28">
        <f t="shared" si="7"/>
        <v>1</v>
      </c>
      <c r="J20" s="1" t="s">
        <v>208</v>
      </c>
      <c r="K20" s="1">
        <v>3</v>
      </c>
      <c r="L20" s="1"/>
      <c r="M20" s="1"/>
      <c r="N20" s="1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4.25" customHeight="1">
      <c r="A21" s="13">
        <f t="shared" si="5"/>
        <v>5</v>
      </c>
      <c r="B21" s="46"/>
      <c r="C21" s="46"/>
      <c r="D21" s="41" t="s">
        <v>209</v>
      </c>
      <c r="E21" s="17" t="s">
        <v>210</v>
      </c>
      <c r="F21" s="43" t="s">
        <v>211</v>
      </c>
      <c r="G21" s="44" t="s">
        <v>30</v>
      </c>
      <c r="H21" s="45" t="str">
        <f t="shared" ref="H21:H22" si="8">IF(OR(G21=$J$31,G21=$J$32,G21=$J$33),$J$2,$J$1)</f>
        <v/>
      </c>
      <c r="I21" s="28">
        <f t="shared" ref="I21:I22" si="9">IF(G21=$J$31,$K$31,IF(G21=$J$32,$K$32,$K$33))</f>
        <v>1</v>
      </c>
      <c r="J21" s="1" t="s">
        <v>212</v>
      </c>
      <c r="K21" s="1">
        <v>2</v>
      </c>
      <c r="L21" s="1"/>
      <c r="M21" s="1"/>
      <c r="N21" s="1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4.25" customHeight="1">
      <c r="A22" s="13">
        <f>A21+1</f>
        <v>6</v>
      </c>
      <c r="B22" s="48"/>
      <c r="C22" s="48"/>
      <c r="D22" s="41" t="s">
        <v>213</v>
      </c>
      <c r="E22" s="17" t="s">
        <v>214</v>
      </c>
      <c r="F22" s="43" t="s">
        <v>215</v>
      </c>
      <c r="G22" s="44" t="s">
        <v>30</v>
      </c>
      <c r="H22" s="45" t="str">
        <f t="shared" si="8"/>
        <v/>
      </c>
      <c r="I22" s="28">
        <f t="shared" si="9"/>
        <v>1</v>
      </c>
      <c r="J22" s="1" t="s">
        <v>185</v>
      </c>
      <c r="K22" s="30">
        <v>1</v>
      </c>
      <c r="L22" s="1"/>
      <c r="M22" s="1"/>
      <c r="N22" s="1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4.25" customHeight="1">
      <c r="A23" s="1"/>
      <c r="B23" s="25"/>
      <c r="C23" s="25"/>
      <c r="D23" s="25"/>
      <c r="E23" s="25"/>
      <c r="F23" s="25"/>
      <c r="G23" s="51" t="s">
        <v>191</v>
      </c>
      <c r="H23" s="52"/>
      <c r="I23" s="1" t="str">
        <f>""</f>
        <v/>
      </c>
      <c r="J23" s="1"/>
      <c r="K23" s="1"/>
      <c r="L23" s="1"/>
      <c r="M23" s="1"/>
      <c r="N23" s="1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4.25" customHeight="1">
      <c r="A24" s="13">
        <f>A22+1</f>
        <v>7</v>
      </c>
      <c r="B24" s="39">
        <v>3</v>
      </c>
      <c r="C24" s="39" t="s">
        <v>216</v>
      </c>
      <c r="D24" s="41" t="s">
        <v>217</v>
      </c>
      <c r="E24" s="17" t="s">
        <v>218</v>
      </c>
      <c r="F24" s="43" t="s">
        <v>219</v>
      </c>
      <c r="G24" s="44" t="s">
        <v>148</v>
      </c>
      <c r="H24" s="45" t="str">
        <f t="shared" ref="H24:H25" si="10">IF(OR(G24=$J$4,G24=$J$5,G24=$J$6),$J$2,$J$1)</f>
        <v/>
      </c>
      <c r="I24" s="28">
        <f t="shared" ref="I24:I25" si="11">IF(G24=$J$4,$K$4,IF(G24=$J$5,$K$5,$K$6))</f>
        <v>1</v>
      </c>
      <c r="J24" s="1"/>
      <c r="K24" s="1"/>
      <c r="L24" s="1"/>
      <c r="M24" s="1"/>
      <c r="N24" s="1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4.25" customHeight="1">
      <c r="A25" s="13">
        <f>A15+1</f>
        <v>4</v>
      </c>
      <c r="B25" s="46"/>
      <c r="C25" s="46"/>
      <c r="D25" s="41" t="s">
        <v>220</v>
      </c>
      <c r="E25" s="17" t="s">
        <v>221</v>
      </c>
      <c r="F25" s="43" t="s">
        <v>222</v>
      </c>
      <c r="G25" s="44" t="s">
        <v>148</v>
      </c>
      <c r="H25" s="45" t="str">
        <f t="shared" si="10"/>
        <v/>
      </c>
      <c r="I25" s="28">
        <f t="shared" si="11"/>
        <v>1</v>
      </c>
      <c r="J25" s="1" t="s">
        <v>67</v>
      </c>
      <c r="K25" s="1" t="s">
        <v>204</v>
      </c>
      <c r="L25" s="1"/>
      <c r="M25" s="1"/>
      <c r="N25" s="1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4.25" customHeight="1">
      <c r="A26" s="13">
        <f t="shared" ref="A26:A27" si="12">A25+1</f>
        <v>5</v>
      </c>
      <c r="B26" s="46"/>
      <c r="C26" s="46"/>
      <c r="D26" s="41" t="s">
        <v>223</v>
      </c>
      <c r="E26" s="17" t="s">
        <v>224</v>
      </c>
      <c r="F26" s="43" t="s">
        <v>225</v>
      </c>
      <c r="G26" s="44" t="s">
        <v>203</v>
      </c>
      <c r="H26" s="45" t="str">
        <f t="shared" ref="H26:H31" si="13">IF(OR(G26=$J$26,G26=$J$27,G26=$J$28),$J$2,$J$1)</f>
        <v/>
      </c>
      <c r="I26" s="28">
        <f t="shared" ref="I26:I31" si="14">IF(G26=$J$26,$K$26,IF(G26=$J$27,$K$27,$K$28))</f>
        <v>1</v>
      </c>
      <c r="J26" s="1" t="s">
        <v>226</v>
      </c>
      <c r="K26" s="1">
        <v>3</v>
      </c>
      <c r="L26" s="1"/>
      <c r="M26" s="1"/>
      <c r="N26" s="1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4.25" customHeight="1">
      <c r="A27" s="13">
        <f t="shared" si="12"/>
        <v>6</v>
      </c>
      <c r="B27" s="46"/>
      <c r="C27" s="46"/>
      <c r="D27" s="41" t="s">
        <v>227</v>
      </c>
      <c r="E27" s="17" t="s">
        <v>228</v>
      </c>
      <c r="F27" s="43" t="s">
        <v>229</v>
      </c>
      <c r="G27" s="44" t="s">
        <v>203</v>
      </c>
      <c r="H27" s="45" t="str">
        <f t="shared" si="13"/>
        <v/>
      </c>
      <c r="I27" s="28">
        <f t="shared" si="14"/>
        <v>1</v>
      </c>
      <c r="J27" s="1" t="s">
        <v>230</v>
      </c>
      <c r="K27" s="1">
        <v>2</v>
      </c>
      <c r="L27" s="1"/>
      <c r="M27" s="1"/>
      <c r="N27" s="1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4.25" customHeight="1">
      <c r="A28" s="13">
        <f>A18+1</f>
        <v>4</v>
      </c>
      <c r="B28" s="46"/>
      <c r="C28" s="46"/>
      <c r="D28" s="41" t="s">
        <v>231</v>
      </c>
      <c r="E28" s="17" t="s">
        <v>232</v>
      </c>
      <c r="F28" s="43" t="s">
        <v>233</v>
      </c>
      <c r="G28" s="44" t="s">
        <v>203</v>
      </c>
      <c r="H28" s="45" t="str">
        <f t="shared" si="13"/>
        <v/>
      </c>
      <c r="I28" s="28">
        <f t="shared" si="14"/>
        <v>1</v>
      </c>
      <c r="J28" s="1" t="s">
        <v>203</v>
      </c>
      <c r="K28" s="30">
        <v>1</v>
      </c>
      <c r="L28" s="1"/>
      <c r="M28" s="1"/>
      <c r="N28" s="1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4.25" customHeight="1">
      <c r="A29" s="13">
        <f>A21+1</f>
        <v>6</v>
      </c>
      <c r="B29" s="46"/>
      <c r="C29" s="46"/>
      <c r="D29" s="41" t="s">
        <v>234</v>
      </c>
      <c r="E29" s="17" t="s">
        <v>235</v>
      </c>
      <c r="F29" s="43" t="s">
        <v>236</v>
      </c>
      <c r="G29" s="44" t="s">
        <v>203</v>
      </c>
      <c r="H29" s="45" t="str">
        <f t="shared" si="13"/>
        <v/>
      </c>
      <c r="I29" s="28">
        <f t="shared" si="14"/>
        <v>1</v>
      </c>
      <c r="J29" s="38"/>
      <c r="K29" s="30"/>
      <c r="L29" s="1"/>
      <c r="M29" s="1"/>
      <c r="N29" s="1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4.25" customHeight="1">
      <c r="A30" s="13">
        <f t="shared" ref="A30:A35" si="15">A29+1</f>
        <v>7</v>
      </c>
      <c r="B30" s="46"/>
      <c r="C30" s="46"/>
      <c r="D30" s="41" t="s">
        <v>237</v>
      </c>
      <c r="E30" s="17" t="s">
        <v>238</v>
      </c>
      <c r="F30" s="43" t="s">
        <v>239</v>
      </c>
      <c r="G30" s="44" t="s">
        <v>203</v>
      </c>
      <c r="H30" s="45" t="str">
        <f t="shared" si="13"/>
        <v/>
      </c>
      <c r="I30" s="28">
        <f t="shared" si="14"/>
        <v>1</v>
      </c>
      <c r="J30" s="1" t="s">
        <v>76</v>
      </c>
      <c r="K30" s="1" t="s">
        <v>68</v>
      </c>
      <c r="L30" s="1"/>
      <c r="M30" s="1"/>
      <c r="N30" s="1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4.25" customHeight="1">
      <c r="A31" s="13">
        <f t="shared" si="15"/>
        <v>8</v>
      </c>
      <c r="B31" s="46"/>
      <c r="C31" s="46"/>
      <c r="D31" s="41" t="s">
        <v>240</v>
      </c>
      <c r="E31" s="17" t="s">
        <v>241</v>
      </c>
      <c r="F31" s="43" t="s">
        <v>242</v>
      </c>
      <c r="G31" s="44" t="s">
        <v>203</v>
      </c>
      <c r="H31" s="45" t="str">
        <f t="shared" si="13"/>
        <v/>
      </c>
      <c r="I31" s="28">
        <f t="shared" si="14"/>
        <v>1</v>
      </c>
      <c r="J31" s="1" t="s">
        <v>30</v>
      </c>
      <c r="K31" s="1">
        <v>1</v>
      </c>
      <c r="L31" s="1"/>
      <c r="M31" s="1"/>
      <c r="N31" s="1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4.25" customHeight="1">
      <c r="A32" s="13">
        <f t="shared" si="15"/>
        <v>9</v>
      </c>
      <c r="B32" s="46"/>
      <c r="C32" s="46"/>
      <c r="D32" s="41" t="s">
        <v>243</v>
      </c>
      <c r="E32" s="17" t="s">
        <v>244</v>
      </c>
      <c r="F32" s="43" t="s">
        <v>245</v>
      </c>
      <c r="G32" s="44" t="s">
        <v>148</v>
      </c>
      <c r="H32" s="45" t="str">
        <f t="shared" ref="H32:H34" si="16">IF(OR(G32=$J$4,G32=$J$5,G32=$J$6),$J$2,$J$1)</f>
        <v/>
      </c>
      <c r="I32" s="28">
        <f t="shared" ref="I32:I34" si="17">IF(G32=$J$4,$K$4,IF(G32=$J$5,$K$5,$K$6))</f>
        <v>1</v>
      </c>
      <c r="J32" s="1" t="s">
        <v>112</v>
      </c>
      <c r="K32" s="30">
        <v>2</v>
      </c>
      <c r="L32" s="1"/>
      <c r="M32" s="1"/>
      <c r="N32" s="1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4.25" customHeight="1">
      <c r="A33" s="13">
        <f t="shared" si="15"/>
        <v>10</v>
      </c>
      <c r="B33" s="46"/>
      <c r="C33" s="46"/>
      <c r="D33" s="41" t="s">
        <v>246</v>
      </c>
      <c r="E33" s="17" t="s">
        <v>247</v>
      </c>
      <c r="F33" s="43" t="s">
        <v>248</v>
      </c>
      <c r="G33" s="44" t="s">
        <v>148</v>
      </c>
      <c r="H33" s="45" t="str">
        <f t="shared" si="16"/>
        <v/>
      </c>
      <c r="I33" s="28">
        <f t="shared" si="17"/>
        <v>1</v>
      </c>
      <c r="J33" s="1" t="s">
        <v>22</v>
      </c>
      <c r="K33" s="1">
        <v>3</v>
      </c>
      <c r="L33" s="1"/>
      <c r="M33" s="1"/>
      <c r="N33" s="1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4.25" customHeight="1">
      <c r="A34" s="13">
        <f t="shared" si="15"/>
        <v>11</v>
      </c>
      <c r="B34" s="46"/>
      <c r="C34" s="46"/>
      <c r="D34" s="41" t="s">
        <v>249</v>
      </c>
      <c r="E34" s="17" t="s">
        <v>250</v>
      </c>
      <c r="F34" s="43" t="s">
        <v>251</v>
      </c>
      <c r="G34" s="44" t="s">
        <v>148</v>
      </c>
      <c r="H34" s="45" t="str">
        <f t="shared" si="16"/>
        <v/>
      </c>
      <c r="I34" s="28">
        <f t="shared" si="17"/>
        <v>1</v>
      </c>
      <c r="J34" s="1"/>
      <c r="K34" s="1"/>
      <c r="L34" s="1"/>
      <c r="M34" s="1"/>
      <c r="N34" s="1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4.25" customHeight="1">
      <c r="A35" s="13">
        <f t="shared" si="15"/>
        <v>12</v>
      </c>
      <c r="B35" s="48"/>
      <c r="C35" s="48"/>
      <c r="D35" s="41" t="s">
        <v>252</v>
      </c>
      <c r="E35" s="17" t="s">
        <v>253</v>
      </c>
      <c r="F35" s="43" t="s">
        <v>254</v>
      </c>
      <c r="G35" s="44" t="s">
        <v>30</v>
      </c>
      <c r="H35" s="45" t="str">
        <f>IF(OR(G35=$J$31,G35=$J$32,G35=$J$33),$J$2,$J$1)</f>
        <v/>
      </c>
      <c r="I35" s="28">
        <f>IF(G35=$J$31,$K$31,IF(G35=$J$32,$K$32,$K$33))</f>
        <v>1</v>
      </c>
      <c r="J35" s="1" t="s">
        <v>94</v>
      </c>
      <c r="K35" s="1" t="s">
        <v>255</v>
      </c>
      <c r="L35" s="1"/>
      <c r="M35" s="1"/>
      <c r="N35" s="1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4.25" customHeight="1">
      <c r="A36" s="13"/>
      <c r="B36" s="25"/>
      <c r="C36" s="25"/>
      <c r="D36" s="25"/>
      <c r="E36" s="25"/>
      <c r="F36" s="25"/>
      <c r="G36" s="51" t="s">
        <v>191</v>
      </c>
      <c r="H36" s="52"/>
      <c r="I36" s="1" t="str">
        <f>""</f>
        <v/>
      </c>
      <c r="J36" s="1" t="s">
        <v>256</v>
      </c>
      <c r="K36" s="1">
        <v>3</v>
      </c>
      <c r="L36" s="1"/>
      <c r="M36" s="1"/>
      <c r="N36" s="1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4.25" customHeight="1">
      <c r="A37" s="13">
        <f t="shared" ref="A37:A39" si="18">A36+1</f>
        <v>1</v>
      </c>
      <c r="B37" s="39">
        <v>4</v>
      </c>
      <c r="C37" s="39" t="s">
        <v>257</v>
      </c>
      <c r="D37" s="41" t="s">
        <v>258</v>
      </c>
      <c r="E37" s="17" t="s">
        <v>259</v>
      </c>
      <c r="F37" s="43" t="s">
        <v>260</v>
      </c>
      <c r="G37" s="44" t="s">
        <v>203</v>
      </c>
      <c r="H37" s="45" t="str">
        <f>IF(OR(G37=$J$26,G37=$J$27,G37=$J$28),$J$2,$J$1)</f>
        <v/>
      </c>
      <c r="I37" s="28">
        <f>IF(G37=$J$26,$K$26,IF(G37=$J$27,$K$27,$K$28))</f>
        <v>1</v>
      </c>
      <c r="J37" s="38" t="s">
        <v>261</v>
      </c>
      <c r="K37" s="30">
        <v>2</v>
      </c>
      <c r="L37" s="1"/>
      <c r="M37" s="1"/>
      <c r="N37" s="1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4.25" customHeight="1">
      <c r="A38" s="13">
        <f t="shared" si="18"/>
        <v>2</v>
      </c>
      <c r="B38" s="46"/>
      <c r="C38" s="46"/>
      <c r="D38" s="41" t="s">
        <v>262</v>
      </c>
      <c r="E38" s="17" t="s">
        <v>263</v>
      </c>
      <c r="F38" s="43" t="s">
        <v>260</v>
      </c>
      <c r="G38" s="44" t="s">
        <v>148</v>
      </c>
      <c r="H38" s="45" t="str">
        <f>IF(OR(G38=$J$4,G38=$J$5,G38=$J$6),$J$2,$J$1)</f>
        <v/>
      </c>
      <c r="I38" s="28">
        <f>IF(G38=$J$4,$K$4,IF(G38=$J$5,$K$5,$K$6))</f>
        <v>1</v>
      </c>
      <c r="J38" s="1" t="s">
        <v>264</v>
      </c>
      <c r="K38" s="1">
        <v>1</v>
      </c>
      <c r="L38" s="1"/>
      <c r="M38" s="1"/>
      <c r="N38" s="1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4.25" customHeight="1">
      <c r="A39" s="13">
        <f t="shared" si="18"/>
        <v>3</v>
      </c>
      <c r="B39" s="48"/>
      <c r="C39" s="48"/>
      <c r="D39" s="41" t="s">
        <v>265</v>
      </c>
      <c r="E39" s="17" t="s">
        <v>266</v>
      </c>
      <c r="F39" s="43" t="s">
        <v>260</v>
      </c>
      <c r="G39" s="44" t="s">
        <v>30</v>
      </c>
      <c r="H39" s="45" t="str">
        <f>IF(OR(G39=$J$31,G39=$J$32,G39=$J$33),$J$2,$J$1)</f>
        <v/>
      </c>
      <c r="I39" s="28">
        <f>IF(G39=$J$31,$K$31,IF(G39=$J$32,$K$32,$K$33))</f>
        <v>1</v>
      </c>
      <c r="J39" s="1"/>
      <c r="K39" s="1"/>
      <c r="L39" s="1"/>
      <c r="M39" s="1"/>
      <c r="N39" s="1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4.25" customHeight="1">
      <c r="A40" s="1"/>
      <c r="B40" s="25"/>
      <c r="C40" s="25"/>
      <c r="D40" s="25"/>
      <c r="E40" s="25"/>
      <c r="F40" s="25"/>
      <c r="G40" s="51" t="s">
        <v>191</v>
      </c>
      <c r="H40" s="52"/>
      <c r="I40" s="1" t="str">
        <f>""</f>
        <v/>
      </c>
      <c r="J40" s="1" t="s">
        <v>107</v>
      </c>
      <c r="K40" s="1" t="s">
        <v>267</v>
      </c>
      <c r="L40" s="1"/>
      <c r="M40" s="1"/>
      <c r="N40" s="1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4.25" customHeight="1">
      <c r="A41" s="13">
        <f t="shared" ref="A41:A50" si="19">A40+1</f>
        <v>1</v>
      </c>
      <c r="B41" s="39">
        <v>5</v>
      </c>
      <c r="C41" s="39" t="s">
        <v>268</v>
      </c>
      <c r="D41" s="41" t="s">
        <v>269</v>
      </c>
      <c r="E41" s="17" t="s">
        <v>270</v>
      </c>
      <c r="F41" s="43" t="s">
        <v>271</v>
      </c>
      <c r="G41" s="44" t="s">
        <v>264</v>
      </c>
      <c r="H41" s="45" t="str">
        <f>IF(OR(G41=$J$36,G41=$J$37,G41=$J$38),$J$2,$J$1)</f>
        <v/>
      </c>
      <c r="I41" s="28">
        <f>IF(G41=$J$36,$K$36,IF(G41=$J$37,$K$37,$K$38))</f>
        <v>1</v>
      </c>
      <c r="J41" s="1" t="s">
        <v>30</v>
      </c>
      <c r="K41" s="1">
        <v>3</v>
      </c>
      <c r="L41" s="1"/>
      <c r="M41" s="1"/>
      <c r="N41" s="1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4.25" customHeight="1">
      <c r="A42" s="13">
        <f t="shared" si="19"/>
        <v>2</v>
      </c>
      <c r="B42" s="46"/>
      <c r="C42" s="46"/>
      <c r="D42" s="41" t="s">
        <v>272</v>
      </c>
      <c r="E42" s="17" t="s">
        <v>273</v>
      </c>
      <c r="F42" s="43" t="s">
        <v>274</v>
      </c>
      <c r="G42" s="44" t="s">
        <v>30</v>
      </c>
      <c r="H42" s="45" t="str">
        <f t="shared" ref="H42:H46" si="20">IF(OR(G42=$J$31,G42=$J$32,G42=$J$33),$J$2,$J$1)</f>
        <v/>
      </c>
      <c r="I42" s="28">
        <f t="shared" ref="I42:I46" si="21">IF(G42=$J$31,$K$31,IF(G42=$J$32,$K$32,$K$33))</f>
        <v>1</v>
      </c>
      <c r="J42" s="38" t="s">
        <v>22</v>
      </c>
      <c r="K42" s="30">
        <v>2</v>
      </c>
      <c r="L42" s="1"/>
      <c r="M42" s="1"/>
      <c r="N42" s="1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4.25" customHeight="1">
      <c r="A43" s="13">
        <f t="shared" si="19"/>
        <v>3</v>
      </c>
      <c r="B43" s="46"/>
      <c r="C43" s="46"/>
      <c r="D43" s="41" t="s">
        <v>275</v>
      </c>
      <c r="E43" s="17" t="s">
        <v>276</v>
      </c>
      <c r="F43" s="43" t="s">
        <v>277</v>
      </c>
      <c r="G43" s="44" t="s">
        <v>30</v>
      </c>
      <c r="H43" s="45" t="str">
        <f t="shared" si="20"/>
        <v/>
      </c>
      <c r="I43" s="28">
        <f t="shared" si="21"/>
        <v>1</v>
      </c>
      <c r="J43" s="1" t="s">
        <v>148</v>
      </c>
      <c r="K43" s="1">
        <v>1</v>
      </c>
      <c r="L43" s="1"/>
      <c r="M43" s="1"/>
      <c r="N43" s="1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4.25" customHeight="1">
      <c r="A44" s="13">
        <f t="shared" si="19"/>
        <v>4</v>
      </c>
      <c r="B44" s="46"/>
      <c r="C44" s="46"/>
      <c r="D44" s="41" t="s">
        <v>278</v>
      </c>
      <c r="E44" s="17" t="s">
        <v>279</v>
      </c>
      <c r="F44" s="43" t="s">
        <v>280</v>
      </c>
      <c r="G44" s="44" t="s">
        <v>30</v>
      </c>
      <c r="H44" s="45" t="str">
        <f t="shared" si="20"/>
        <v/>
      </c>
      <c r="I44" s="28">
        <f t="shared" si="21"/>
        <v>1</v>
      </c>
      <c r="J44" s="1"/>
      <c r="K44" s="1"/>
      <c r="L44" s="1"/>
      <c r="M44" s="1"/>
      <c r="N44" s="1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4.25" customHeight="1">
      <c r="A45" s="13">
        <f t="shared" si="19"/>
        <v>5</v>
      </c>
      <c r="B45" s="46"/>
      <c r="C45" s="46"/>
      <c r="D45" s="41" t="s">
        <v>281</v>
      </c>
      <c r="E45" s="17" t="s">
        <v>282</v>
      </c>
      <c r="F45" s="43" t="s">
        <v>283</v>
      </c>
      <c r="G45" s="44" t="s">
        <v>30</v>
      </c>
      <c r="H45" s="45" t="str">
        <f t="shared" si="20"/>
        <v/>
      </c>
      <c r="I45" s="28">
        <f t="shared" si="21"/>
        <v>1</v>
      </c>
      <c r="J45" s="38" t="s">
        <v>125</v>
      </c>
      <c r="K45" s="30" t="s">
        <v>284</v>
      </c>
      <c r="L45" s="1"/>
      <c r="M45" s="1"/>
      <c r="N45" s="1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4.25" customHeight="1">
      <c r="A46" s="13">
        <f t="shared" si="19"/>
        <v>6</v>
      </c>
      <c r="B46" s="46"/>
      <c r="C46" s="46"/>
      <c r="D46" s="41" t="s">
        <v>285</v>
      </c>
      <c r="E46" s="17" t="s">
        <v>286</v>
      </c>
      <c r="F46" s="43" t="s">
        <v>287</v>
      </c>
      <c r="G46" s="44" t="s">
        <v>30</v>
      </c>
      <c r="H46" s="45" t="str">
        <f t="shared" si="20"/>
        <v/>
      </c>
      <c r="I46" s="28">
        <f t="shared" si="21"/>
        <v>1</v>
      </c>
      <c r="J46" s="1" t="s">
        <v>288</v>
      </c>
      <c r="K46" s="1">
        <v>3</v>
      </c>
      <c r="L46" s="1"/>
      <c r="M46" s="1"/>
      <c r="N46" s="1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4.25" customHeight="1">
      <c r="A47" s="13">
        <f t="shared" si="19"/>
        <v>7</v>
      </c>
      <c r="B47" s="46"/>
      <c r="C47" s="46"/>
      <c r="D47" s="41" t="s">
        <v>289</v>
      </c>
      <c r="E47" s="17" t="s">
        <v>290</v>
      </c>
      <c r="F47" s="43" t="s">
        <v>291</v>
      </c>
      <c r="G47" s="44" t="s">
        <v>292</v>
      </c>
      <c r="H47" s="45" t="str">
        <f>IF(OR(G47=$J$56,G47=$J$57,G47=$J$58),$J$2,$J$1)</f>
        <v/>
      </c>
      <c r="I47" s="28">
        <f>IF(G47=$J$56,$K$56,IF(G47=$J$57,$K$57,$K$58))</f>
        <v>1</v>
      </c>
      <c r="J47" s="1" t="s">
        <v>230</v>
      </c>
      <c r="K47" s="1">
        <v>2</v>
      </c>
      <c r="L47" s="1"/>
      <c r="M47" s="1"/>
      <c r="N47" s="1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4.25" customHeight="1">
      <c r="A48" s="13">
        <f t="shared" si="19"/>
        <v>8</v>
      </c>
      <c r="B48" s="46"/>
      <c r="C48" s="46"/>
      <c r="D48" s="41" t="s">
        <v>293</v>
      </c>
      <c r="E48" s="17" t="s">
        <v>294</v>
      </c>
      <c r="F48" s="43" t="s">
        <v>295</v>
      </c>
      <c r="G48" s="44" t="s">
        <v>22</v>
      </c>
      <c r="H48" s="45" t="str">
        <f t="shared" ref="H48:H50" si="22">IF(OR(G48=$J$61,G48=$J$62,G48=$J$63),$J$2,$J$1)</f>
        <v/>
      </c>
      <c r="I48" s="28">
        <f t="shared" ref="I48:I50" si="23">IF(G48=$J$66,$K$66,IF(G48=$J$67,$K$67,$K$68))</f>
        <v>1</v>
      </c>
      <c r="J48" s="1" t="s">
        <v>148</v>
      </c>
      <c r="K48" s="1">
        <v>1</v>
      </c>
      <c r="L48" s="1"/>
      <c r="M48" s="1"/>
      <c r="N48" s="1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4.25" customHeight="1">
      <c r="A49" s="13">
        <f t="shared" si="19"/>
        <v>9</v>
      </c>
      <c r="B49" s="46"/>
      <c r="C49" s="46"/>
      <c r="D49" s="41" t="s">
        <v>296</v>
      </c>
      <c r="E49" s="17" t="s">
        <v>297</v>
      </c>
      <c r="F49" s="43" t="s">
        <v>298</v>
      </c>
      <c r="G49" s="44" t="s">
        <v>22</v>
      </c>
      <c r="H49" s="45" t="str">
        <f t="shared" si="22"/>
        <v/>
      </c>
      <c r="I49" s="28">
        <f t="shared" si="23"/>
        <v>1</v>
      </c>
      <c r="J49" s="38"/>
      <c r="K49" s="30"/>
      <c r="L49" s="1"/>
      <c r="M49" s="1"/>
      <c r="N49" s="1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4.25" customHeight="1">
      <c r="A50" s="13">
        <f t="shared" si="19"/>
        <v>10</v>
      </c>
      <c r="B50" s="48"/>
      <c r="C50" s="48"/>
      <c r="D50" s="41" t="s">
        <v>299</v>
      </c>
      <c r="E50" s="17" t="s">
        <v>300</v>
      </c>
      <c r="F50" s="43" t="s">
        <v>298</v>
      </c>
      <c r="G50" s="44" t="s">
        <v>22</v>
      </c>
      <c r="H50" s="45" t="str">
        <f t="shared" si="22"/>
        <v/>
      </c>
      <c r="I50" s="28">
        <f t="shared" si="23"/>
        <v>1</v>
      </c>
      <c r="J50" s="38" t="s">
        <v>137</v>
      </c>
      <c r="K50" s="30" t="s">
        <v>301</v>
      </c>
      <c r="L50" s="1"/>
      <c r="M50" s="1"/>
      <c r="N50" s="1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4.25" customHeight="1">
      <c r="A51" s="1"/>
      <c r="B51" s="25"/>
      <c r="C51" s="25"/>
      <c r="D51" s="25"/>
      <c r="E51" s="25"/>
      <c r="F51" s="25"/>
      <c r="G51" s="51" t="s">
        <v>191</v>
      </c>
      <c r="H51" s="52"/>
      <c r="I51" s="1" t="str">
        <f>""</f>
        <v/>
      </c>
      <c r="J51" s="1" t="s">
        <v>302</v>
      </c>
      <c r="K51" s="1">
        <v>3</v>
      </c>
      <c r="L51" s="1"/>
      <c r="M51" s="1"/>
      <c r="N51" s="1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4.25" customHeight="1">
      <c r="A52" s="13">
        <f t="shared" ref="A52:A60" si="24">A51+1</f>
        <v>1</v>
      </c>
      <c r="B52" s="39">
        <v>6</v>
      </c>
      <c r="C52" s="39" t="s">
        <v>303</v>
      </c>
      <c r="D52" s="41" t="s">
        <v>304</v>
      </c>
      <c r="E52" s="17" t="s">
        <v>305</v>
      </c>
      <c r="F52" s="43" t="s">
        <v>306</v>
      </c>
      <c r="G52" s="44" t="s">
        <v>22</v>
      </c>
      <c r="H52" s="45" t="str">
        <f>IF(OR(G52=$J$31,G52=$J$32,G52=$J$33),$J$2,$J$1)</f>
        <v/>
      </c>
      <c r="I52" s="28">
        <f t="shared" ref="I52:I60" si="25">IF(G52=$J$66,$K$66,IF(G52=$J$67,$K$67,$K$68))</f>
        <v>1</v>
      </c>
      <c r="J52" s="1" t="s">
        <v>33</v>
      </c>
      <c r="K52" s="1">
        <v>2</v>
      </c>
      <c r="L52" s="1"/>
      <c r="M52" s="1"/>
      <c r="N52" s="1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4.25" customHeight="1">
      <c r="A53" s="13">
        <f t="shared" si="24"/>
        <v>2</v>
      </c>
      <c r="B53" s="46"/>
      <c r="C53" s="46"/>
      <c r="D53" s="41" t="s">
        <v>307</v>
      </c>
      <c r="E53" s="17" t="s">
        <v>308</v>
      </c>
      <c r="F53" s="43" t="s">
        <v>309</v>
      </c>
      <c r="G53" s="44" t="s">
        <v>22</v>
      </c>
      <c r="H53" s="45" t="str">
        <f>IF(OR(G53=$J$61,G53=$J$62,G53=$J$63),$J$2,$J$1)</f>
        <v/>
      </c>
      <c r="I53" s="28">
        <f t="shared" si="25"/>
        <v>1</v>
      </c>
      <c r="J53" s="1" t="s">
        <v>310</v>
      </c>
      <c r="K53" s="1">
        <v>1</v>
      </c>
      <c r="L53" s="1"/>
      <c r="M53" s="1"/>
      <c r="N53" s="1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4.25" customHeight="1">
      <c r="A54" s="13">
        <f t="shared" si="24"/>
        <v>3</v>
      </c>
      <c r="B54" s="46"/>
      <c r="C54" s="46"/>
      <c r="D54" s="41" t="s">
        <v>311</v>
      </c>
      <c r="E54" s="17" t="s">
        <v>312</v>
      </c>
      <c r="F54" s="43" t="s">
        <v>313</v>
      </c>
      <c r="G54" s="44" t="s">
        <v>22</v>
      </c>
      <c r="H54" s="45" t="str">
        <f t="shared" ref="H54:H60" si="26">IF(OR(G54=$J$31,G54=$J$32,G54=$J$33),$J$2,$J$1)</f>
        <v/>
      </c>
      <c r="I54" s="28">
        <f t="shared" si="25"/>
        <v>1</v>
      </c>
      <c r="J54" s="1"/>
      <c r="K54" s="1"/>
      <c r="L54" s="1"/>
      <c r="M54" s="1"/>
      <c r="N54" s="1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4.25" customHeight="1">
      <c r="A55" s="13">
        <f t="shared" si="24"/>
        <v>4</v>
      </c>
      <c r="B55" s="46"/>
      <c r="C55" s="46"/>
      <c r="D55" s="41" t="s">
        <v>314</v>
      </c>
      <c r="E55" s="17" t="s">
        <v>315</v>
      </c>
      <c r="F55" s="43" t="s">
        <v>316</v>
      </c>
      <c r="G55" s="44" t="s">
        <v>22</v>
      </c>
      <c r="H55" s="45" t="str">
        <f t="shared" si="26"/>
        <v/>
      </c>
      <c r="I55" s="28">
        <f t="shared" si="25"/>
        <v>1</v>
      </c>
      <c r="J55" s="38" t="s">
        <v>317</v>
      </c>
      <c r="K55" s="30" t="s">
        <v>267</v>
      </c>
      <c r="L55" s="1"/>
      <c r="M55" s="1"/>
      <c r="N55" s="1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4.25" customHeight="1">
      <c r="A56" s="13">
        <f t="shared" si="24"/>
        <v>5</v>
      </c>
      <c r="B56" s="46"/>
      <c r="C56" s="46"/>
      <c r="D56" s="41" t="s">
        <v>318</v>
      </c>
      <c r="E56" s="17" t="s">
        <v>319</v>
      </c>
      <c r="F56" s="43" t="s">
        <v>320</v>
      </c>
      <c r="G56" s="44" t="s">
        <v>22</v>
      </c>
      <c r="H56" s="45" t="str">
        <f t="shared" si="26"/>
        <v/>
      </c>
      <c r="I56" s="28">
        <f t="shared" si="25"/>
        <v>1</v>
      </c>
      <c r="J56" s="1" t="s">
        <v>30</v>
      </c>
      <c r="K56" s="1">
        <v>3</v>
      </c>
      <c r="L56" s="1"/>
      <c r="M56" s="1"/>
      <c r="N56" s="1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4.25" customHeight="1">
      <c r="A57" s="13">
        <f t="shared" si="24"/>
        <v>6</v>
      </c>
      <c r="B57" s="46"/>
      <c r="C57" s="46"/>
      <c r="D57" s="41" t="s">
        <v>321</v>
      </c>
      <c r="E57" s="17" t="s">
        <v>322</v>
      </c>
      <c r="F57" s="43" t="s">
        <v>323</v>
      </c>
      <c r="G57" s="44" t="s">
        <v>22</v>
      </c>
      <c r="H57" s="45" t="str">
        <f t="shared" si="26"/>
        <v/>
      </c>
      <c r="I57" s="28">
        <f t="shared" si="25"/>
        <v>1</v>
      </c>
      <c r="J57" s="1" t="s">
        <v>22</v>
      </c>
      <c r="K57" s="1">
        <v>2</v>
      </c>
      <c r="L57" s="1"/>
      <c r="M57" s="1"/>
      <c r="N57" s="1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4.25" customHeight="1">
      <c r="A58" s="13">
        <f t="shared" si="24"/>
        <v>7</v>
      </c>
      <c r="B58" s="46"/>
      <c r="C58" s="46"/>
      <c r="D58" s="41" t="s">
        <v>324</v>
      </c>
      <c r="E58" s="17" t="s">
        <v>325</v>
      </c>
      <c r="F58" s="43" t="s">
        <v>326</v>
      </c>
      <c r="G58" s="44" t="s">
        <v>22</v>
      </c>
      <c r="H58" s="45" t="str">
        <f t="shared" si="26"/>
        <v/>
      </c>
      <c r="I58" s="28">
        <f t="shared" si="25"/>
        <v>1</v>
      </c>
      <c r="J58" s="1" t="s">
        <v>292</v>
      </c>
      <c r="K58" s="1">
        <v>1</v>
      </c>
      <c r="L58" s="1"/>
      <c r="M58" s="1"/>
      <c r="N58" s="1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4.25" customHeight="1">
      <c r="A59" s="13">
        <f t="shared" si="24"/>
        <v>8</v>
      </c>
      <c r="B59" s="46"/>
      <c r="C59" s="46"/>
      <c r="D59" s="41" t="s">
        <v>327</v>
      </c>
      <c r="E59" s="17" t="s">
        <v>328</v>
      </c>
      <c r="F59" s="43" t="s">
        <v>329</v>
      </c>
      <c r="G59" s="44" t="s">
        <v>22</v>
      </c>
      <c r="H59" s="45" t="str">
        <f t="shared" si="26"/>
        <v/>
      </c>
      <c r="I59" s="28">
        <f t="shared" si="25"/>
        <v>1</v>
      </c>
      <c r="J59" s="1"/>
      <c r="K59" s="1"/>
      <c r="L59" s="1"/>
      <c r="M59" s="1"/>
      <c r="N59" s="1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4.25" customHeight="1">
      <c r="A60" s="13">
        <f t="shared" si="24"/>
        <v>9</v>
      </c>
      <c r="B60" s="46"/>
      <c r="C60" s="46"/>
      <c r="D60" s="41" t="s">
        <v>330</v>
      </c>
      <c r="E60" s="17" t="s">
        <v>331</v>
      </c>
      <c r="F60" s="43" t="s">
        <v>332</v>
      </c>
      <c r="G60" s="44" t="s">
        <v>22</v>
      </c>
      <c r="H60" s="45" t="str">
        <f t="shared" si="26"/>
        <v/>
      </c>
      <c r="I60" s="28">
        <f t="shared" si="25"/>
        <v>1</v>
      </c>
      <c r="J60" s="38" t="s">
        <v>333</v>
      </c>
      <c r="K60" s="30" t="s">
        <v>68</v>
      </c>
      <c r="L60" s="1"/>
      <c r="M60" s="1"/>
      <c r="N60" s="1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5.75" customHeight="1">
      <c r="A61" s="28"/>
      <c r="B61" s="2"/>
      <c r="C61" s="2"/>
      <c r="D61" s="2"/>
      <c r="E61" s="2"/>
      <c r="F61" s="29"/>
      <c r="G61" s="2" t="s">
        <v>191</v>
      </c>
      <c r="H61" s="34"/>
      <c r="I61" s="1"/>
      <c r="J61" s="1" t="s">
        <v>30</v>
      </c>
      <c r="K61" s="1">
        <v>1</v>
      </c>
      <c r="L61" s="1"/>
      <c r="M61" s="1"/>
      <c r="N61" s="1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5.75" customHeight="1">
      <c r="A62" s="28"/>
      <c r="B62" s="2"/>
      <c r="C62" s="29"/>
      <c r="D62" s="29"/>
      <c r="E62" s="2"/>
      <c r="F62" s="29"/>
      <c r="G62" s="2" t="s">
        <v>191</v>
      </c>
      <c r="H62" s="34"/>
      <c r="I62" s="1"/>
      <c r="J62" s="1" t="s">
        <v>112</v>
      </c>
      <c r="K62" s="1">
        <v>2</v>
      </c>
      <c r="L62" s="1"/>
      <c r="M62" s="1"/>
      <c r="N62" s="1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5.75" customHeight="1">
      <c r="A63" s="28"/>
      <c r="B63" s="2"/>
      <c r="C63" s="2"/>
      <c r="D63" s="2"/>
      <c r="E63" s="2"/>
      <c r="F63" s="2"/>
      <c r="G63" s="2"/>
      <c r="H63" s="34"/>
      <c r="I63" s="1"/>
      <c r="J63" s="1" t="s">
        <v>22</v>
      </c>
      <c r="K63" s="1">
        <v>3</v>
      </c>
      <c r="L63" s="1"/>
      <c r="M63" s="1"/>
      <c r="N63" s="1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5.75" hidden="1" customHeight="1">
      <c r="A64" s="28"/>
      <c r="B64" s="5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4.25" hidden="1" customHeight="1">
      <c r="A65" s="28"/>
      <c r="B65" s="53"/>
      <c r="C65" s="1"/>
      <c r="D65" s="1"/>
      <c r="E65" s="1"/>
      <c r="F65" s="1"/>
      <c r="G65" s="1"/>
      <c r="H65" s="1"/>
      <c r="I65" s="1"/>
      <c r="J65" s="38" t="s">
        <v>333</v>
      </c>
      <c r="K65" s="30" t="s">
        <v>68</v>
      </c>
      <c r="L65" s="1"/>
      <c r="M65" s="1"/>
      <c r="N65" s="1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4.25" hidden="1" customHeight="1">
      <c r="A66" s="28"/>
      <c r="B66" s="1"/>
      <c r="C66" s="1"/>
      <c r="D66" s="1"/>
      <c r="E66" s="1"/>
      <c r="F66" s="1"/>
      <c r="G66" s="1"/>
      <c r="H66" s="1"/>
      <c r="I66" s="1"/>
      <c r="J66" s="1" t="s">
        <v>30</v>
      </c>
      <c r="K66" s="1">
        <v>3</v>
      </c>
      <c r="L66" s="1"/>
      <c r="M66" s="1"/>
      <c r="N66" s="1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4.25" hidden="1" customHeight="1">
      <c r="A67" s="28"/>
      <c r="B67" s="1"/>
      <c r="C67" s="1"/>
      <c r="D67" s="1"/>
      <c r="E67" s="1"/>
      <c r="F67" s="1"/>
      <c r="G67" s="1"/>
      <c r="H67" s="1"/>
      <c r="I67" s="1"/>
      <c r="J67" s="1" t="s">
        <v>112</v>
      </c>
      <c r="K67" s="1">
        <v>2</v>
      </c>
      <c r="L67" s="1"/>
      <c r="M67" s="1"/>
      <c r="N67" s="1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4.25" hidden="1" customHeight="1">
      <c r="A68" s="1"/>
      <c r="B68" s="1"/>
      <c r="C68" s="1"/>
      <c r="D68" s="1"/>
      <c r="E68" s="1" t="s">
        <v>334</v>
      </c>
      <c r="F68" s="1"/>
      <c r="G68" s="1"/>
      <c r="H68" s="1"/>
      <c r="I68" s="1"/>
      <c r="J68" s="1" t="s">
        <v>22</v>
      </c>
      <c r="K68" s="1">
        <v>1</v>
      </c>
      <c r="L68" s="1"/>
      <c r="M68" s="1"/>
      <c r="N68" s="1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</sheetData>
  <mergeCells count="2">
    <mergeCell ref="B1:E1"/>
    <mergeCell ref="B3:D3"/>
  </mergeCells>
  <conditionalFormatting sqref="G4:G9">
    <cfRule type="containsText" dxfId="48" priority="1" operator="containsText" text="Not noticed">
      <formula>NOT(ISERROR(SEARCH(("Not noticed"),(G4))))</formula>
    </cfRule>
  </conditionalFormatting>
  <conditionalFormatting sqref="G10">
    <cfRule type="containsText" dxfId="47" priority="23" operator="containsText" text="Equally affected">
      <formula>NOT(ISERROR(SEARCH(("Equally affected"),(G10))))</formula>
    </cfRule>
  </conditionalFormatting>
  <conditionalFormatting sqref="G11">
    <cfRule type="containsText" dxfId="46" priority="2" operator="containsText" text="Not noticed">
      <formula>NOT(ISERROR(SEARCH(("Not noticed"),(G11))))</formula>
    </cfRule>
  </conditionalFormatting>
  <conditionalFormatting sqref="G12">
    <cfRule type="containsText" dxfId="45" priority="22" operator="containsText" text="No change noticed">
      <formula>NOT(ISERROR(SEARCH(("No change noticed"),(G12))))</formula>
    </cfRule>
  </conditionalFormatting>
  <conditionalFormatting sqref="G13:G15">
    <cfRule type="containsText" dxfId="44" priority="3" operator="containsText" text="Not noticed">
      <formula>NOT(ISERROR(SEARCH(("Not noticed"),(G13))))</formula>
    </cfRule>
  </conditionalFormatting>
  <conditionalFormatting sqref="G17:G18">
    <cfRule type="containsText" dxfId="43" priority="4" operator="containsText" text="Not noticed">
      <formula>NOT(ISERROR(SEARCH(("Not noticed"),(G17))))</formula>
    </cfRule>
  </conditionalFormatting>
  <conditionalFormatting sqref="G19:G20">
    <cfRule type="containsText" dxfId="42" priority="17" operator="containsText" text="Negligible">
      <formula>NOT(ISERROR(SEARCH(("Negligible"),(G19))))</formula>
    </cfRule>
    <cfRule type="containsText" dxfId="41" priority="18" operator="containsText" text="Negligeable">
      <formula>NOT(ISERROR(SEARCH(("Negligeable"),(G19))))</formula>
    </cfRule>
  </conditionalFormatting>
  <conditionalFormatting sqref="G21:G22">
    <cfRule type="containsText" dxfId="40" priority="19" operator="containsText" text="Yes">
      <formula>NOT(ISERROR(SEARCH(("Yes"),(G21))))</formula>
    </cfRule>
  </conditionalFormatting>
  <conditionalFormatting sqref="G24:G25">
    <cfRule type="containsText" dxfId="39" priority="5" operator="containsText" text="Not noticed">
      <formula>NOT(ISERROR(SEARCH(("Not noticed"),(G24))))</formula>
    </cfRule>
  </conditionalFormatting>
  <conditionalFormatting sqref="G26:G31">
    <cfRule type="containsText" dxfId="38" priority="10" operator="containsText" text="Negligible">
      <formula>NOT(ISERROR(SEARCH(("Negligible"),(G26))))</formula>
    </cfRule>
    <cfRule type="containsText" dxfId="37" priority="11" operator="containsText" text="Negligeable">
      <formula>NOT(ISERROR(SEARCH(("Negligeable"),(G26))))</formula>
    </cfRule>
  </conditionalFormatting>
  <conditionalFormatting sqref="G32:G34">
    <cfRule type="containsText" dxfId="36" priority="6" operator="containsText" text="Not noticed">
      <formula>NOT(ISERROR(SEARCH(("Not noticed"),(G32))))</formula>
    </cfRule>
  </conditionalFormatting>
  <conditionalFormatting sqref="G35">
    <cfRule type="containsText" dxfId="35" priority="12" operator="containsText" text="Yes">
      <formula>NOT(ISERROR(SEARCH(("Yes"),(G35))))</formula>
    </cfRule>
  </conditionalFormatting>
  <conditionalFormatting sqref="G37">
    <cfRule type="containsText" dxfId="34" priority="8" operator="containsText" text="Negligible">
      <formula>NOT(ISERROR(SEARCH(("Negligible"),(G37))))</formula>
    </cfRule>
    <cfRule type="containsText" dxfId="33" priority="9" operator="containsText" text="Negligeable">
      <formula>NOT(ISERROR(SEARCH(("Negligeable"),(G37))))</formula>
    </cfRule>
  </conditionalFormatting>
  <conditionalFormatting sqref="G38">
    <cfRule type="containsText" dxfId="32" priority="7" operator="containsText" text="Not noticed">
      <formula>NOT(ISERROR(SEARCH(("Not noticed"),(G38))))</formula>
    </cfRule>
  </conditionalFormatting>
  <conditionalFormatting sqref="G39">
    <cfRule type="containsText" dxfId="31" priority="13" operator="containsText" text="Yes">
      <formula>NOT(ISERROR(SEARCH(("Yes"),(G39))))</formula>
    </cfRule>
  </conditionalFormatting>
  <conditionalFormatting sqref="G41">
    <cfRule type="containsText" dxfId="30" priority="15" operator="containsText" text="Loam">
      <formula>NOT(ISERROR(SEARCH(("Loam"),(G41))))</formula>
    </cfRule>
  </conditionalFormatting>
  <conditionalFormatting sqref="G42:G46">
    <cfRule type="containsText" dxfId="29" priority="14" operator="containsText" text="Yes">
      <formula>NOT(ISERROR(SEARCH(("Yes"),(G42))))</formula>
    </cfRule>
  </conditionalFormatting>
  <conditionalFormatting sqref="G47">
    <cfRule type="containsText" dxfId="28" priority="16" operator="containsText" text="Unknown">
      <formula>NOT(ISERROR(SEARCH(("Unknown"),(G47))))</formula>
    </cfRule>
  </conditionalFormatting>
  <conditionalFormatting sqref="G48:G50">
    <cfRule type="containsText" dxfId="27" priority="21" operator="containsText" text="No">
      <formula>NOT(ISERROR(SEARCH(("No"),(G48))))</formula>
    </cfRule>
  </conditionalFormatting>
  <conditionalFormatting sqref="G52:G60">
    <cfRule type="containsText" dxfId="26" priority="20" operator="containsText" text="No">
      <formula>NOT(ISERROR(SEARCH(("No"),(G52))))</formula>
    </cfRule>
  </conditionalFormatting>
  <dataValidations count="9">
    <dataValidation type="list" allowBlank="1" showErrorMessage="1" sqref="G48:G50 G53" xr:uid="{00000000-0002-0000-0300-000000000000}">
      <formula1>$J$61:$J$63</formula1>
    </dataValidation>
    <dataValidation type="list" allowBlank="1" showErrorMessage="1" sqref="G10" xr:uid="{00000000-0002-0000-0300-000001000000}">
      <formula1>$J$10:$J$12</formula1>
    </dataValidation>
    <dataValidation type="list" allowBlank="1" showErrorMessage="1" sqref="G19:G20 G37 G26:G31" xr:uid="{00000000-0002-0000-0300-000002000000}">
      <formula1>$J$26:$J$28</formula1>
    </dataValidation>
    <dataValidation type="list" allowBlank="1" showErrorMessage="1" sqref="G21:G22 G54:G60 G52 G42:G46 G39 G35" xr:uid="{00000000-0002-0000-0300-000003000000}">
      <formula1>$J$31:$J$33</formula1>
    </dataValidation>
    <dataValidation type="list" allowBlank="1" showErrorMessage="1" sqref="G47" xr:uid="{00000000-0002-0000-0300-000004000000}">
      <formula1>$J$56:$J$58</formula1>
    </dataValidation>
    <dataValidation type="list" allowBlank="1" showErrorMessage="1" sqref="G12" xr:uid="{00000000-0002-0000-0300-000005000000}">
      <formula1>$J$15:$J$17</formula1>
    </dataValidation>
    <dataValidation type="list" allowBlank="1" showErrorMessage="1" sqref="G14" xr:uid="{00000000-0002-0000-0300-000006000000}">
      <formula1>$J$20:$J$22</formula1>
    </dataValidation>
    <dataValidation type="list" allowBlank="1" showErrorMessage="1" sqref="G41" xr:uid="{00000000-0002-0000-0300-000007000000}">
      <formula1>$J$36:$J$38</formula1>
    </dataValidation>
    <dataValidation type="list" allowBlank="1" showErrorMessage="1" sqref="G4:G9 G38 G32:G34 G24:G25 G17:G18 G15 G13 G11" xr:uid="{00000000-0002-0000-0300-000008000000}">
      <formula1>$J$4:$J$6</formula1>
    </dataValidation>
  </dataValidations>
  <pageMargins left="0.7" right="0.7" top="0.75" bottom="0.75" header="0" footer="0"/>
  <pageSetup paperSize="9" orientation="portrait"/>
  <headerFooter>
    <oddFooter>&amp;R#000000C2 - Safaricom Internal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AE991"/>
  <sheetViews>
    <sheetView showGridLines="0" tabSelected="1" topLeftCell="A40" zoomScale="90" zoomScaleNormal="90" workbookViewId="0">
      <selection activeCell="D46" sqref="D46"/>
    </sheetView>
  </sheetViews>
  <sheetFormatPr defaultColWidth="14.42578125" defaultRowHeight="15" customHeight="1"/>
  <cols>
    <col min="1" max="1" width="5.5703125" customWidth="1"/>
    <col min="2" max="2" width="2.140625" customWidth="1"/>
    <col min="3" max="3" width="21.5703125" customWidth="1"/>
    <col min="4" max="4" width="22.42578125" customWidth="1"/>
    <col min="5" max="5" width="98.140625" customWidth="1"/>
    <col min="6" max="6" width="73.140625" customWidth="1"/>
    <col min="7" max="7" width="35.85546875" customWidth="1"/>
    <col min="8" max="8" width="26.5703125" customWidth="1"/>
    <col min="9" max="9" width="11.42578125" hidden="1" customWidth="1"/>
    <col min="10" max="10" width="27.5703125" hidden="1" customWidth="1"/>
    <col min="11" max="11" width="20.42578125" hidden="1" customWidth="1"/>
    <col min="12" max="12" width="12.42578125" hidden="1" customWidth="1"/>
    <col min="13" max="13" width="8.42578125" hidden="1" customWidth="1"/>
    <col min="14" max="14" width="9.140625" hidden="1" customWidth="1"/>
    <col min="15" max="15" width="10.42578125" hidden="1" customWidth="1"/>
    <col min="16" max="31" width="9.140625" hidden="1" customWidth="1"/>
  </cols>
  <sheetData>
    <row r="1" spans="1:31" ht="23.25" customHeight="1">
      <c r="A1" s="1"/>
      <c r="B1" s="71" t="s">
        <v>335</v>
      </c>
      <c r="C1" s="72"/>
      <c r="D1" s="73"/>
      <c r="E1" s="37" t="s">
        <v>2</v>
      </c>
      <c r="F1" s="7" t="s">
        <v>3</v>
      </c>
      <c r="G1" s="8" t="s">
        <v>4</v>
      </c>
      <c r="H1" s="9" t="s">
        <v>5</v>
      </c>
      <c r="I1" s="56" t="s">
        <v>6</v>
      </c>
      <c r="J1" s="57" t="s">
        <v>7</v>
      </c>
      <c r="K1" s="58" t="s">
        <v>27</v>
      </c>
      <c r="L1" s="33"/>
      <c r="M1" s="33"/>
      <c r="N1" s="33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33"/>
      <c r="AB1" s="33"/>
      <c r="AC1" s="33"/>
      <c r="AD1" s="33"/>
      <c r="AE1" s="33"/>
    </row>
    <row r="2" spans="1:31" ht="21" customHeight="1">
      <c r="A2" s="13">
        <v>1</v>
      </c>
      <c r="B2" s="39">
        <v>1</v>
      </c>
      <c r="C2" s="40" t="s">
        <v>144</v>
      </c>
      <c r="D2" s="41" t="s">
        <v>145</v>
      </c>
      <c r="E2" s="42" t="s">
        <v>336</v>
      </c>
      <c r="F2" s="43" t="s">
        <v>147</v>
      </c>
      <c r="G2" s="19" t="s">
        <v>148</v>
      </c>
      <c r="H2" s="45" t="e">
        <f>IF(OR(G2=$J$2,G2=$J$3,G2=$J$4),#REF!,#REF!)</f>
        <v>#REF!</v>
      </c>
      <c r="I2" s="56">
        <f>IF(G2=$J$2,$K$2,IF(G2=$J$3,$K$3,$K$4))</f>
        <v>1</v>
      </c>
      <c r="J2" s="33" t="s">
        <v>149</v>
      </c>
      <c r="K2" s="33">
        <v>3</v>
      </c>
      <c r="L2" s="33"/>
      <c r="M2" s="33"/>
      <c r="N2" s="33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33"/>
      <c r="AB2" s="33"/>
      <c r="AC2" s="33"/>
      <c r="AD2" s="33"/>
      <c r="AE2" s="33"/>
    </row>
    <row r="3" spans="1:31" ht="21" customHeight="1">
      <c r="A3" s="13" t="e">
        <f>#REF!+1</f>
        <v>#REF!</v>
      </c>
      <c r="B3" s="46"/>
      <c r="C3" s="47"/>
      <c r="D3" s="41" t="s">
        <v>150</v>
      </c>
      <c r="E3" s="17" t="s">
        <v>337</v>
      </c>
      <c r="F3" s="43" t="s">
        <v>338</v>
      </c>
      <c r="G3" s="19" t="s">
        <v>22</v>
      </c>
      <c r="H3" s="45" t="e">
        <f>IF(OR(G3=$J$54,G3=$J$55,G3=$J$56),#REF!,#REF!)</f>
        <v>#REF!</v>
      </c>
      <c r="I3" s="56">
        <f>IF(G3=$J$54,$K$54,IF(G3=$J$55,$K$55,$K$56))</f>
        <v>1</v>
      </c>
      <c r="J3" s="33" t="s">
        <v>153</v>
      </c>
      <c r="K3" s="33">
        <v>2</v>
      </c>
      <c r="L3" s="33"/>
      <c r="M3" s="33"/>
      <c r="N3" s="33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33"/>
      <c r="AB3" s="33"/>
      <c r="AC3" s="33"/>
      <c r="AD3" s="33"/>
      <c r="AE3" s="33"/>
    </row>
    <row r="4" spans="1:31" ht="21" customHeight="1">
      <c r="A4" s="13" t="e">
        <f>#REF!+1</f>
        <v>#REF!</v>
      </c>
      <c r="B4" s="46"/>
      <c r="C4" s="47"/>
      <c r="D4" s="41" t="s">
        <v>154</v>
      </c>
      <c r="E4" s="17" t="s">
        <v>339</v>
      </c>
      <c r="F4" s="43" t="s">
        <v>340</v>
      </c>
      <c r="G4" s="19" t="s">
        <v>341</v>
      </c>
      <c r="H4" s="45" t="e">
        <f>IF(OR(G4=$J$8,G4=$J$9,G4=$J$10),#REF!,#REF!)</f>
        <v>#REF!</v>
      </c>
      <c r="I4" s="56">
        <f t="shared" ref="I4:I8" si="0">IF(G4=$J$8,$K$8,IF(G4=$J$9,$K$9,$K$10))</f>
        <v>1</v>
      </c>
      <c r="J4" s="33" t="s">
        <v>148</v>
      </c>
      <c r="K4" s="33">
        <v>1</v>
      </c>
      <c r="L4" s="33"/>
      <c r="M4" s="33"/>
      <c r="N4" s="33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33"/>
      <c r="AB4" s="33"/>
      <c r="AC4" s="33"/>
      <c r="AD4" s="33"/>
      <c r="AE4" s="33"/>
    </row>
    <row r="5" spans="1:31" ht="21" customHeight="1">
      <c r="A5" s="13" t="e">
        <f>#REF!+1</f>
        <v>#REF!</v>
      </c>
      <c r="B5" s="46"/>
      <c r="C5" s="47"/>
      <c r="D5" s="41" t="s">
        <v>157</v>
      </c>
      <c r="E5" s="17" t="s">
        <v>342</v>
      </c>
      <c r="F5" s="43" t="s">
        <v>343</v>
      </c>
      <c r="G5" s="19" t="s">
        <v>341</v>
      </c>
      <c r="H5" s="45" t="e">
        <f>IF(OR(G5=$J$8,G5=$J$9,G5=$J$10),#REF!,#REF!)</f>
        <v>#REF!</v>
      </c>
      <c r="I5" s="56">
        <f t="shared" si="0"/>
        <v>1</v>
      </c>
      <c r="J5" s="33"/>
      <c r="K5" s="33"/>
      <c r="L5" s="33"/>
      <c r="M5" s="33"/>
      <c r="N5" s="33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33"/>
      <c r="AB5" s="33"/>
      <c r="AC5" s="33"/>
      <c r="AD5" s="33"/>
      <c r="AE5" s="33"/>
    </row>
    <row r="6" spans="1:31" ht="21" customHeight="1">
      <c r="A6" s="13" t="e">
        <f>#REF!+1</f>
        <v>#REF!</v>
      </c>
      <c r="B6" s="46"/>
      <c r="C6" s="47"/>
      <c r="D6" s="41" t="s">
        <v>160</v>
      </c>
      <c r="E6" s="17" t="s">
        <v>344</v>
      </c>
      <c r="F6" s="43" t="s">
        <v>345</v>
      </c>
      <c r="G6" s="19" t="s">
        <v>341</v>
      </c>
      <c r="H6" s="45" t="e">
        <f>IF(OR(G6=$J$8,G6=$J$9,G6=$J$10),#REF!,#REF!)</f>
        <v>#REF!</v>
      </c>
      <c r="I6" s="56">
        <f t="shared" si="0"/>
        <v>1</v>
      </c>
      <c r="J6" s="33"/>
      <c r="K6" s="33"/>
      <c r="L6" s="33"/>
      <c r="M6" s="33"/>
      <c r="N6" s="33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33"/>
      <c r="AB6" s="33"/>
      <c r="AC6" s="33"/>
      <c r="AD6" s="33"/>
      <c r="AE6" s="33"/>
    </row>
    <row r="7" spans="1:31" ht="21" customHeight="1">
      <c r="A7" s="13" t="e">
        <f>#REF!+1</f>
        <v>#REF!</v>
      </c>
      <c r="B7" s="46"/>
      <c r="C7" s="47"/>
      <c r="D7" s="41" t="s">
        <v>163</v>
      </c>
      <c r="E7" s="17" t="s">
        <v>346</v>
      </c>
      <c r="F7" s="43" t="s">
        <v>347</v>
      </c>
      <c r="G7" s="19" t="s">
        <v>341</v>
      </c>
      <c r="H7" s="45" t="e">
        <f>IF(OR(G7=$J$8,G7=$J$9,G7=$J$10),#REF!,#REF!)</f>
        <v>#REF!</v>
      </c>
      <c r="I7" s="56">
        <f t="shared" si="0"/>
        <v>1</v>
      </c>
      <c r="J7" s="33" t="s">
        <v>26</v>
      </c>
      <c r="K7" s="33" t="s">
        <v>27</v>
      </c>
      <c r="L7" s="33"/>
      <c r="M7" s="33"/>
      <c r="N7" s="33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33"/>
      <c r="AB7" s="33"/>
      <c r="AC7" s="33"/>
      <c r="AD7" s="33"/>
      <c r="AE7" s="33"/>
    </row>
    <row r="8" spans="1:31" ht="21" customHeight="1">
      <c r="A8" s="13" t="e">
        <f>#REF!+1</f>
        <v>#REF!</v>
      </c>
      <c r="B8" s="46"/>
      <c r="C8" s="47"/>
      <c r="D8" s="41" t="s">
        <v>166</v>
      </c>
      <c r="E8" s="17" t="s">
        <v>348</v>
      </c>
      <c r="F8" s="43" t="s">
        <v>349</v>
      </c>
      <c r="G8" s="19" t="s">
        <v>341</v>
      </c>
      <c r="H8" s="45" t="e">
        <f>IF(OR(G8=$J$8,G8=$J$9,G8=$J$10),#REF!,#REF!)</f>
        <v>#REF!</v>
      </c>
      <c r="I8" s="56">
        <f t="shared" si="0"/>
        <v>1</v>
      </c>
      <c r="J8" s="33" t="s">
        <v>350</v>
      </c>
      <c r="K8" s="33">
        <v>3</v>
      </c>
      <c r="L8" s="33"/>
      <c r="M8" s="33"/>
      <c r="N8" s="33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33"/>
      <c r="AB8" s="33"/>
      <c r="AC8" s="33"/>
      <c r="AD8" s="33"/>
      <c r="AE8" s="33"/>
    </row>
    <row r="9" spans="1:31" ht="21" customHeight="1">
      <c r="A9" s="13" t="e">
        <f>#REF!+1</f>
        <v>#REF!</v>
      </c>
      <c r="B9" s="46"/>
      <c r="C9" s="47"/>
      <c r="D9" s="41" t="s">
        <v>170</v>
      </c>
      <c r="E9" s="17" t="s">
        <v>351</v>
      </c>
      <c r="F9" s="43" t="s">
        <v>352</v>
      </c>
      <c r="G9" s="19" t="s">
        <v>148</v>
      </c>
      <c r="H9" s="45" t="e">
        <f>IF(OR(G9=$J$13,G9=$J$14,G9=$J$15),#REF!,#REF!)</f>
        <v>#REF!</v>
      </c>
      <c r="I9" s="56">
        <f>IF(G9=$J$13,$K$13,IF(G9=$J$14,$K$14,$K$15))</f>
        <v>1</v>
      </c>
      <c r="J9" s="33" t="s">
        <v>353</v>
      </c>
      <c r="K9" s="33">
        <v>2</v>
      </c>
      <c r="L9" s="33"/>
      <c r="M9" s="33"/>
      <c r="N9" s="33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33"/>
      <c r="AB9" s="33"/>
      <c r="AC9" s="33"/>
      <c r="AD9" s="33"/>
      <c r="AE9" s="33"/>
    </row>
    <row r="10" spans="1:31" ht="21" customHeight="1">
      <c r="A10" s="13" t="e">
        <f>#REF!+1</f>
        <v>#REF!</v>
      </c>
      <c r="B10" s="46"/>
      <c r="C10" s="47"/>
      <c r="D10" s="41" t="s">
        <v>174</v>
      </c>
      <c r="E10" s="17" t="s">
        <v>354</v>
      </c>
      <c r="F10" s="43" t="s">
        <v>355</v>
      </c>
      <c r="G10" s="19" t="s">
        <v>341</v>
      </c>
      <c r="H10" s="45" t="e">
        <f>IF(OR(G10=$J$8,G10=$J$9,G10=$J$10),#REF!,#REF!)</f>
        <v>#REF!</v>
      </c>
      <c r="I10" s="56">
        <f>IF(G10=$J$8,$K$8,IF(G10=$J$9,$K$9,$K$10))</f>
        <v>1</v>
      </c>
      <c r="J10" s="33" t="s">
        <v>341</v>
      </c>
      <c r="K10" s="33">
        <v>1</v>
      </c>
      <c r="L10" s="33"/>
      <c r="M10" s="33"/>
      <c r="N10" s="33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33"/>
      <c r="AB10" s="33"/>
      <c r="AC10" s="33"/>
      <c r="AD10" s="33"/>
      <c r="AE10" s="33"/>
    </row>
    <row r="11" spans="1:31" ht="21" customHeight="1">
      <c r="A11" s="13">
        <f t="shared" ref="A11:A12" si="1">A1+1</f>
        <v>1</v>
      </c>
      <c r="B11" s="46"/>
      <c r="C11" s="47"/>
      <c r="D11" s="41" t="s">
        <v>179</v>
      </c>
      <c r="E11" s="17" t="s">
        <v>356</v>
      </c>
      <c r="F11" s="43" t="s">
        <v>357</v>
      </c>
      <c r="G11" s="19" t="s">
        <v>148</v>
      </c>
      <c r="H11" s="45" t="e">
        <f>IF(OR(G11=$J$13,G11=$J$14,G11=$J$15),#REF!,#REF!)</f>
        <v>#REF!</v>
      </c>
      <c r="I11" s="56">
        <f>IF(G11=$J$13,$K$13,IF(G11=$J$14,$K$14,$K$15))</f>
        <v>1</v>
      </c>
      <c r="J11" s="33"/>
      <c r="K11" s="33"/>
      <c r="L11" s="33"/>
      <c r="M11" s="33"/>
      <c r="N11" s="33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33"/>
      <c r="AB11" s="33"/>
      <c r="AC11" s="33"/>
      <c r="AD11" s="33"/>
      <c r="AE11" s="33"/>
    </row>
    <row r="12" spans="1:31" ht="21" customHeight="1">
      <c r="A12" s="13">
        <f t="shared" si="1"/>
        <v>2</v>
      </c>
      <c r="B12" s="46"/>
      <c r="C12" s="47"/>
      <c r="D12" s="41" t="s">
        <v>182</v>
      </c>
      <c r="E12" s="17" t="s">
        <v>358</v>
      </c>
      <c r="F12" s="43" t="s">
        <v>359</v>
      </c>
      <c r="G12" s="19" t="s">
        <v>360</v>
      </c>
      <c r="H12" s="45" t="e">
        <f>IF(OR(G12=$J$18,G12=$J$19,G12=$J$20),#REF!,#REF!)</f>
        <v>#REF!</v>
      </c>
      <c r="I12" s="56">
        <f>IF(G12=$J$18,$K$18,IF(G12=$J$19,$K$19,$K$20))</f>
        <v>1</v>
      </c>
      <c r="J12" s="33" t="s">
        <v>40</v>
      </c>
      <c r="K12" s="33" t="s">
        <v>361</v>
      </c>
      <c r="L12" s="33"/>
      <c r="M12" s="33"/>
      <c r="N12" s="33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33"/>
      <c r="AB12" s="33"/>
      <c r="AC12" s="33"/>
      <c r="AD12" s="33"/>
      <c r="AE12" s="33"/>
    </row>
    <row r="13" spans="1:31" ht="21" customHeight="1">
      <c r="A13" s="59"/>
      <c r="B13" s="60"/>
      <c r="C13" s="61"/>
      <c r="D13" s="41" t="s">
        <v>187</v>
      </c>
      <c r="E13" s="17" t="s">
        <v>362</v>
      </c>
      <c r="F13" s="43" t="s">
        <v>189</v>
      </c>
      <c r="G13" s="19" t="s">
        <v>148</v>
      </c>
      <c r="H13" s="45" t="e">
        <f>IF(OR(G13=$J$44,G13=$J$45,G13=$J$46),#REF!,#REF!)</f>
        <v>#REF!</v>
      </c>
      <c r="I13" s="56">
        <f>IF(G13=$J$44,$K$44,IF(G13=$J$45,$K$45,$K$46))</f>
        <v>1</v>
      </c>
      <c r="J13" s="55" t="s">
        <v>363</v>
      </c>
      <c r="K13" s="55">
        <v>3</v>
      </c>
      <c r="L13" s="55"/>
      <c r="M13" s="55"/>
      <c r="N13" s="55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55"/>
      <c r="AB13" s="55"/>
      <c r="AC13" s="55"/>
      <c r="AD13" s="55"/>
      <c r="AE13" s="55"/>
    </row>
    <row r="14" spans="1:31" ht="21" customHeight="1">
      <c r="A14" s="1"/>
      <c r="B14" s="25"/>
      <c r="C14" s="25"/>
      <c r="D14" s="25"/>
      <c r="E14" s="25"/>
      <c r="F14" s="25"/>
      <c r="G14" s="25"/>
      <c r="H14" s="45"/>
      <c r="I14" s="56"/>
      <c r="J14" s="33" t="s">
        <v>364</v>
      </c>
      <c r="K14" s="33">
        <v>2</v>
      </c>
      <c r="L14" s="33"/>
      <c r="M14" s="33"/>
      <c r="N14" s="33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33"/>
      <c r="AB14" s="33"/>
      <c r="AC14" s="33"/>
      <c r="AD14" s="33"/>
      <c r="AE14" s="33"/>
    </row>
    <row r="15" spans="1:31" ht="21" customHeight="1">
      <c r="A15" s="13">
        <f>A13+1</f>
        <v>1</v>
      </c>
      <c r="B15" s="39">
        <v>2</v>
      </c>
      <c r="C15" s="40" t="s">
        <v>193</v>
      </c>
      <c r="D15" s="41" t="s">
        <v>194</v>
      </c>
      <c r="E15" s="17" t="s">
        <v>365</v>
      </c>
      <c r="F15" s="43" t="s">
        <v>366</v>
      </c>
      <c r="G15" s="19" t="s">
        <v>367</v>
      </c>
      <c r="H15" s="45" t="e">
        <f>IF(OR(G15=$J$24,G15=$J$25,G15=$J$26),#REF!,#REF!)</f>
        <v>#REF!</v>
      </c>
      <c r="I15" s="56">
        <f t="shared" ref="I15:I16" si="2">IF(G15=$J$24,$K$24,IF(G15=$J$25,$K$25,$K$26))</f>
        <v>1</v>
      </c>
      <c r="J15" s="33" t="s">
        <v>148</v>
      </c>
      <c r="K15" s="58">
        <v>1</v>
      </c>
      <c r="L15" s="33"/>
      <c r="M15" s="33"/>
      <c r="N15" s="33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33"/>
      <c r="AB15" s="33"/>
      <c r="AC15" s="33"/>
      <c r="AD15" s="33"/>
      <c r="AE15" s="33"/>
    </row>
    <row r="16" spans="1:31" ht="21" customHeight="1">
      <c r="A16" s="13">
        <f t="shared" ref="A16:A19" si="3">A12+1</f>
        <v>3</v>
      </c>
      <c r="B16" s="46"/>
      <c r="C16" s="46"/>
      <c r="D16" s="41" t="s">
        <v>197</v>
      </c>
      <c r="E16" s="17" t="s">
        <v>368</v>
      </c>
      <c r="F16" s="43" t="s">
        <v>366</v>
      </c>
      <c r="G16" s="19" t="s">
        <v>367</v>
      </c>
      <c r="H16" s="45" t="e">
        <f>IF(OR(G16=$J$24,G16=$J$25,G16=$J$26),#REF!,#REF!)</f>
        <v>#REF!</v>
      </c>
      <c r="I16" s="56">
        <f t="shared" si="2"/>
        <v>1</v>
      </c>
      <c r="J16" s="33"/>
      <c r="K16" s="33"/>
      <c r="L16" s="33"/>
      <c r="M16" s="33"/>
      <c r="N16" s="33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33"/>
      <c r="AB16" s="33"/>
      <c r="AC16" s="33"/>
      <c r="AD16" s="33"/>
      <c r="AE16" s="33"/>
    </row>
    <row r="17" spans="1:31" ht="21" customHeight="1">
      <c r="A17" s="13">
        <f t="shared" si="3"/>
        <v>1</v>
      </c>
      <c r="B17" s="46"/>
      <c r="C17" s="46"/>
      <c r="D17" s="41" t="s">
        <v>200</v>
      </c>
      <c r="E17" s="17" t="s">
        <v>369</v>
      </c>
      <c r="F17" s="43" t="s">
        <v>370</v>
      </c>
      <c r="G17" s="19" t="s">
        <v>30</v>
      </c>
      <c r="H17" s="45" t="e">
        <f>IF(OR(G17=$J$34,G17=$J$35,G17=$J$36),#REF!,#REF!)</f>
        <v>#REF!</v>
      </c>
      <c r="I17" s="56">
        <f>IF(G17=$J$34,$K$34,IF(G17=$J$35,$K$35,$K$36))</f>
        <v>1</v>
      </c>
      <c r="J17" s="33" t="s">
        <v>53</v>
      </c>
      <c r="K17" s="33" t="s">
        <v>204</v>
      </c>
      <c r="L17" s="33"/>
      <c r="M17" s="33"/>
      <c r="N17" s="33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33"/>
      <c r="AB17" s="33"/>
      <c r="AC17" s="33"/>
      <c r="AD17" s="33"/>
      <c r="AE17" s="33"/>
    </row>
    <row r="18" spans="1:31" ht="21" customHeight="1">
      <c r="A18" s="13">
        <f t="shared" si="3"/>
        <v>1</v>
      </c>
      <c r="B18" s="46"/>
      <c r="C18" s="46"/>
      <c r="D18" s="41" t="s">
        <v>205</v>
      </c>
      <c r="E18" s="17" t="s">
        <v>371</v>
      </c>
      <c r="F18" s="43" t="s">
        <v>372</v>
      </c>
      <c r="G18" s="19" t="s">
        <v>148</v>
      </c>
      <c r="H18" s="45" t="e">
        <f>IF(OR(G18=$J$13,G18=$J$14,G18=$J$15),#REF!,#REF!)</f>
        <v>#REF!</v>
      </c>
      <c r="I18" s="56">
        <f t="shared" ref="I18:I20" si="4">IF(G18=$J$13,$K$13,IF(G18=$J$14,$K$14,$K$15))</f>
        <v>1</v>
      </c>
      <c r="J18" s="33" t="s">
        <v>373</v>
      </c>
      <c r="K18" s="33">
        <v>3</v>
      </c>
      <c r="L18" s="33"/>
      <c r="M18" s="33"/>
      <c r="N18" s="33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33"/>
      <c r="AB18" s="33"/>
      <c r="AC18" s="33"/>
      <c r="AD18" s="33"/>
      <c r="AE18" s="33"/>
    </row>
    <row r="19" spans="1:31" ht="21" customHeight="1">
      <c r="A19" s="13">
        <f t="shared" si="3"/>
        <v>2</v>
      </c>
      <c r="B19" s="46"/>
      <c r="C19" s="46"/>
      <c r="D19" s="41" t="s">
        <v>209</v>
      </c>
      <c r="E19" s="17" t="s">
        <v>374</v>
      </c>
      <c r="F19" s="43" t="s">
        <v>375</v>
      </c>
      <c r="G19" s="19" t="s">
        <v>148</v>
      </c>
      <c r="H19" s="45" t="e">
        <f>IF(OR(G19=$J$13,G19=$J$14,G19=$J$15),#REF!,#REF!)</f>
        <v>#REF!</v>
      </c>
      <c r="I19" s="56">
        <f t="shared" si="4"/>
        <v>1</v>
      </c>
      <c r="J19" s="33" t="s">
        <v>376</v>
      </c>
      <c r="K19" s="33">
        <v>2</v>
      </c>
      <c r="L19" s="33"/>
      <c r="M19" s="33"/>
      <c r="N19" s="33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33"/>
      <c r="AB19" s="33"/>
      <c r="AC19" s="33"/>
      <c r="AD19" s="33"/>
      <c r="AE19" s="33"/>
    </row>
    <row r="20" spans="1:31" ht="21" customHeight="1">
      <c r="A20" s="13">
        <f>A19+1</f>
        <v>3</v>
      </c>
      <c r="B20" s="48"/>
      <c r="C20" s="48"/>
      <c r="D20" s="41" t="s">
        <v>213</v>
      </c>
      <c r="E20" s="17" t="s">
        <v>377</v>
      </c>
      <c r="F20" s="43" t="s">
        <v>378</v>
      </c>
      <c r="G20" s="19" t="s">
        <v>148</v>
      </c>
      <c r="H20" s="45" t="e">
        <f>IF(OR(G20=$J$13,G20=$J$14,G20=$J$15),#REF!,#REF!)</f>
        <v>#REF!</v>
      </c>
      <c r="I20" s="56">
        <f t="shared" si="4"/>
        <v>1</v>
      </c>
      <c r="J20" s="33" t="s">
        <v>360</v>
      </c>
      <c r="K20" s="58">
        <v>1</v>
      </c>
      <c r="L20" s="33"/>
      <c r="M20" s="33"/>
      <c r="N20" s="33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33"/>
      <c r="AB20" s="33"/>
      <c r="AC20" s="33"/>
      <c r="AD20" s="33"/>
      <c r="AE20" s="33"/>
    </row>
    <row r="21" spans="1:31" ht="21" customHeight="1">
      <c r="A21" s="1"/>
      <c r="B21" s="25"/>
      <c r="C21" s="25"/>
      <c r="D21" s="25"/>
      <c r="E21" s="25"/>
      <c r="F21" s="25"/>
      <c r="G21" s="25"/>
      <c r="H21" s="45"/>
      <c r="I21" s="56"/>
      <c r="J21" s="33"/>
      <c r="K21" s="33"/>
      <c r="L21" s="33"/>
      <c r="M21" s="33"/>
      <c r="N21" s="33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33"/>
      <c r="AB21" s="33"/>
      <c r="AC21" s="33"/>
      <c r="AD21" s="33"/>
      <c r="AE21" s="33"/>
    </row>
    <row r="22" spans="1:31" ht="21" customHeight="1">
      <c r="A22" s="13">
        <f>A20+1</f>
        <v>4</v>
      </c>
      <c r="B22" s="39">
        <v>3</v>
      </c>
      <c r="C22" s="39" t="s">
        <v>216</v>
      </c>
      <c r="D22" s="41" t="s">
        <v>217</v>
      </c>
      <c r="E22" s="17" t="s">
        <v>379</v>
      </c>
      <c r="F22" s="43" t="s">
        <v>380</v>
      </c>
      <c r="G22" s="19" t="s">
        <v>148</v>
      </c>
      <c r="H22" s="45" t="e">
        <f>IF(OR(G22=$J$13,G22=$J$14,G22=$J$15),#REF!,#REF!)</f>
        <v>#REF!</v>
      </c>
      <c r="I22" s="56">
        <f t="shared" ref="I22:I30" si="5">IF(G22=$J$13,$K$13,IF(G22=$J$14,$K$14,$K$15))</f>
        <v>1</v>
      </c>
      <c r="J22" s="33"/>
      <c r="K22" s="33"/>
      <c r="L22" s="33"/>
      <c r="M22" s="33"/>
      <c r="N22" s="33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33"/>
      <c r="AB22" s="33"/>
      <c r="AC22" s="33"/>
      <c r="AD22" s="33"/>
      <c r="AE22" s="33"/>
    </row>
    <row r="23" spans="1:31" ht="21" customHeight="1">
      <c r="A23" s="13">
        <f>A13+1</f>
        <v>1</v>
      </c>
      <c r="B23" s="46"/>
      <c r="C23" s="46"/>
      <c r="D23" s="41" t="s">
        <v>220</v>
      </c>
      <c r="E23" s="17" t="s">
        <v>381</v>
      </c>
      <c r="F23" s="43" t="s">
        <v>382</v>
      </c>
      <c r="G23" s="19" t="s">
        <v>148</v>
      </c>
      <c r="H23" s="45" t="e">
        <f>IF(OR(G23=$J$13,G23=$J$14,G23=$J$15),#REF!,#REF!)</f>
        <v>#REF!</v>
      </c>
      <c r="I23" s="56">
        <f t="shared" si="5"/>
        <v>1</v>
      </c>
      <c r="J23" s="33" t="s">
        <v>67</v>
      </c>
      <c r="K23" s="33" t="s">
        <v>204</v>
      </c>
      <c r="L23" s="33"/>
      <c r="M23" s="33"/>
      <c r="N23" s="33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33"/>
      <c r="AB23" s="33"/>
      <c r="AC23" s="33"/>
      <c r="AD23" s="33"/>
      <c r="AE23" s="33"/>
    </row>
    <row r="24" spans="1:31" ht="21" customHeight="1">
      <c r="A24" s="13">
        <f t="shared" ref="A24:A25" si="6">A23+1</f>
        <v>2</v>
      </c>
      <c r="B24" s="46"/>
      <c r="C24" s="46"/>
      <c r="D24" s="41" t="s">
        <v>223</v>
      </c>
      <c r="E24" s="17" t="s">
        <v>383</v>
      </c>
      <c r="F24" s="43" t="s">
        <v>384</v>
      </c>
      <c r="G24" s="19" t="s">
        <v>148</v>
      </c>
      <c r="H24" s="45" t="e">
        <f>IF(OR(G24=$J$13,G24=$J$14,G24=$J$15),#REF!,#REF!)</f>
        <v>#REF!</v>
      </c>
      <c r="I24" s="56">
        <f t="shared" si="5"/>
        <v>1</v>
      </c>
      <c r="J24" s="33" t="s">
        <v>350</v>
      </c>
      <c r="K24" s="33">
        <v>3</v>
      </c>
      <c r="L24" s="33"/>
      <c r="M24" s="33"/>
      <c r="N24" s="33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33"/>
      <c r="AB24" s="33"/>
      <c r="AC24" s="33"/>
      <c r="AD24" s="33"/>
      <c r="AE24" s="33"/>
    </row>
    <row r="25" spans="1:31" ht="21" customHeight="1">
      <c r="A25" s="13">
        <f t="shared" si="6"/>
        <v>3</v>
      </c>
      <c r="B25" s="46"/>
      <c r="C25" s="46"/>
      <c r="D25" s="41" t="s">
        <v>227</v>
      </c>
      <c r="E25" s="17" t="s">
        <v>385</v>
      </c>
      <c r="F25" s="43" t="s">
        <v>229</v>
      </c>
      <c r="G25" s="19" t="s">
        <v>148</v>
      </c>
      <c r="H25" s="45" t="e">
        <f>IF(OR(G25=$J$13,G25=$J$14,G25=$J$15),#REF!,#REF!)</f>
        <v>#REF!</v>
      </c>
      <c r="I25" s="56">
        <f t="shared" si="5"/>
        <v>1</v>
      </c>
      <c r="J25" s="33" t="s">
        <v>353</v>
      </c>
      <c r="K25" s="33">
        <v>2</v>
      </c>
      <c r="L25" s="33"/>
      <c r="M25" s="33"/>
      <c r="N25" s="33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33"/>
      <c r="AB25" s="33"/>
      <c r="AC25" s="33"/>
      <c r="AD25" s="33"/>
      <c r="AE25" s="33"/>
    </row>
    <row r="26" spans="1:31" ht="21" customHeight="1">
      <c r="A26" s="13">
        <f>A16+1</f>
        <v>4</v>
      </c>
      <c r="B26" s="46"/>
      <c r="C26" s="46"/>
      <c r="D26" s="41" t="s">
        <v>231</v>
      </c>
      <c r="E26" s="17" t="s">
        <v>386</v>
      </c>
      <c r="F26" s="43" t="s">
        <v>387</v>
      </c>
      <c r="G26" s="19" t="s">
        <v>148</v>
      </c>
      <c r="H26" s="45" t="e">
        <f>IF(OR(G26=$J$13,G26=$J$14,G26=$J$15),#REF!,#REF!)</f>
        <v>#REF!</v>
      </c>
      <c r="I26" s="56">
        <f t="shared" si="5"/>
        <v>1</v>
      </c>
      <c r="J26" s="33" t="s">
        <v>367</v>
      </c>
      <c r="K26" s="58">
        <v>1</v>
      </c>
      <c r="L26" s="33"/>
      <c r="M26" s="33"/>
      <c r="N26" s="33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33"/>
      <c r="AB26" s="33"/>
      <c r="AC26" s="33"/>
      <c r="AD26" s="33"/>
      <c r="AE26" s="33"/>
    </row>
    <row r="27" spans="1:31" ht="21" customHeight="1">
      <c r="A27" s="13">
        <f>A19+1</f>
        <v>3</v>
      </c>
      <c r="B27" s="46"/>
      <c r="C27" s="46"/>
      <c r="D27" s="41" t="s">
        <v>234</v>
      </c>
      <c r="E27" s="17" t="s">
        <v>388</v>
      </c>
      <c r="F27" s="43" t="s">
        <v>389</v>
      </c>
      <c r="G27" s="19" t="s">
        <v>148</v>
      </c>
      <c r="H27" s="45" t="e">
        <f>IF(OR(G27=$J$13,G27=$J$14,G27=$J$15),#REF!,#REF!)</f>
        <v>#REF!</v>
      </c>
      <c r="I27" s="56">
        <f t="shared" si="5"/>
        <v>1</v>
      </c>
      <c r="J27" s="57"/>
      <c r="K27" s="58"/>
      <c r="L27" s="33"/>
      <c r="M27" s="33"/>
      <c r="N27" s="33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33"/>
      <c r="AB27" s="33"/>
      <c r="AC27" s="33"/>
      <c r="AD27" s="33"/>
      <c r="AE27" s="33"/>
    </row>
    <row r="28" spans="1:31" ht="21" customHeight="1">
      <c r="A28" s="13">
        <f t="shared" ref="A28:A33" si="7">A27+1</f>
        <v>4</v>
      </c>
      <c r="B28" s="46"/>
      <c r="C28" s="46"/>
      <c r="D28" s="41" t="s">
        <v>237</v>
      </c>
      <c r="E28" s="17" t="s">
        <v>390</v>
      </c>
      <c r="F28" s="43" t="s">
        <v>391</v>
      </c>
      <c r="G28" s="19" t="s">
        <v>148</v>
      </c>
      <c r="H28" s="45" t="e">
        <f>IF(OR(G28=$J$13,G28=$J$14,G28=$J$15),#REF!,#REF!)</f>
        <v>#REF!</v>
      </c>
      <c r="I28" s="56">
        <f t="shared" si="5"/>
        <v>1</v>
      </c>
      <c r="J28" s="33" t="s">
        <v>76</v>
      </c>
      <c r="K28" s="33" t="s">
        <v>68</v>
      </c>
      <c r="L28" s="33"/>
      <c r="M28" s="33"/>
      <c r="N28" s="33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33"/>
      <c r="AB28" s="33"/>
      <c r="AC28" s="33"/>
      <c r="AD28" s="33"/>
      <c r="AE28" s="33"/>
    </row>
    <row r="29" spans="1:31" ht="21" customHeight="1">
      <c r="A29" s="13">
        <f t="shared" si="7"/>
        <v>5</v>
      </c>
      <c r="B29" s="46"/>
      <c r="C29" s="46"/>
      <c r="D29" s="41" t="s">
        <v>240</v>
      </c>
      <c r="E29" s="17" t="s">
        <v>392</v>
      </c>
      <c r="F29" s="43" t="s">
        <v>393</v>
      </c>
      <c r="G29" s="19" t="s">
        <v>148</v>
      </c>
      <c r="H29" s="45" t="e">
        <f>IF(OR(G29=$J$13,G29=$J$14,G29=$J$15),#REF!,#REF!)</f>
        <v>#REF!</v>
      </c>
      <c r="I29" s="56">
        <f t="shared" si="5"/>
        <v>1</v>
      </c>
      <c r="J29" s="33" t="s">
        <v>288</v>
      </c>
      <c r="K29" s="33">
        <v>3</v>
      </c>
      <c r="L29" s="33"/>
      <c r="M29" s="33"/>
      <c r="N29" s="33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33"/>
      <c r="AB29" s="33"/>
      <c r="AC29" s="33"/>
      <c r="AD29" s="33"/>
      <c r="AE29" s="33"/>
    </row>
    <row r="30" spans="1:31" ht="21" customHeight="1">
      <c r="A30" s="13">
        <f t="shared" si="7"/>
        <v>6</v>
      </c>
      <c r="B30" s="46"/>
      <c r="C30" s="46"/>
      <c r="D30" s="41" t="s">
        <v>243</v>
      </c>
      <c r="E30" s="17" t="s">
        <v>394</v>
      </c>
      <c r="F30" s="43" t="s">
        <v>395</v>
      </c>
      <c r="G30" s="19" t="s">
        <v>148</v>
      </c>
      <c r="H30" s="45" t="e">
        <f>IF(OR(G30=$J$13,G30=$J$14,G30=$J$15),#REF!,#REF!)</f>
        <v>#REF!</v>
      </c>
      <c r="I30" s="56">
        <f t="shared" si="5"/>
        <v>1</v>
      </c>
      <c r="J30" s="33" t="s">
        <v>396</v>
      </c>
      <c r="K30" s="58">
        <v>2</v>
      </c>
      <c r="L30" s="33"/>
      <c r="M30" s="33"/>
      <c r="N30" s="33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33"/>
      <c r="AB30" s="33"/>
      <c r="AC30" s="33"/>
      <c r="AD30" s="33"/>
      <c r="AE30" s="33"/>
    </row>
    <row r="31" spans="1:31" ht="21" customHeight="1">
      <c r="A31" s="13">
        <f t="shared" si="7"/>
        <v>7</v>
      </c>
      <c r="B31" s="46"/>
      <c r="C31" s="46"/>
      <c r="D31" s="41" t="s">
        <v>246</v>
      </c>
      <c r="E31" s="17" t="s">
        <v>397</v>
      </c>
      <c r="F31" s="43" t="s">
        <v>398</v>
      </c>
      <c r="G31" s="19" t="s">
        <v>148</v>
      </c>
      <c r="H31" s="45" t="e">
        <f>IF(OR(G31=$J$44,G31=$J$45,G31=$J$46),#REF!,#REF!)</f>
        <v>#REF!</v>
      </c>
      <c r="I31" s="56">
        <f t="shared" ref="I31:I32" si="8">IF(G31=$J$44,$K$44,IF(G31=$J$45,$K$45,$K$46))</f>
        <v>1</v>
      </c>
      <c r="J31" s="33" t="s">
        <v>230</v>
      </c>
      <c r="K31" s="33">
        <v>1</v>
      </c>
      <c r="L31" s="33"/>
      <c r="M31" s="33"/>
      <c r="N31" s="33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33"/>
      <c r="AB31" s="33"/>
      <c r="AC31" s="33"/>
      <c r="AD31" s="33"/>
      <c r="AE31" s="33"/>
    </row>
    <row r="32" spans="1:31" ht="21" customHeight="1">
      <c r="A32" s="13">
        <f t="shared" si="7"/>
        <v>8</v>
      </c>
      <c r="B32" s="46"/>
      <c r="C32" s="46"/>
      <c r="D32" s="41" t="s">
        <v>249</v>
      </c>
      <c r="E32" s="17" t="s">
        <v>399</v>
      </c>
      <c r="F32" s="43" t="s">
        <v>400</v>
      </c>
      <c r="G32" s="19" t="s">
        <v>148</v>
      </c>
      <c r="H32" s="45" t="e">
        <f>IF(OR(G32=$J$44,G32=$J$45,G32=$J$46),#REF!,#REF!)</f>
        <v>#REF!</v>
      </c>
      <c r="I32" s="56">
        <f t="shared" si="8"/>
        <v>1</v>
      </c>
      <c r="J32" s="33"/>
      <c r="K32" s="33"/>
      <c r="L32" s="33"/>
      <c r="M32" s="33"/>
      <c r="N32" s="33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33"/>
      <c r="AB32" s="33"/>
      <c r="AC32" s="33"/>
      <c r="AD32" s="33"/>
      <c r="AE32" s="33"/>
    </row>
    <row r="33" spans="1:31" ht="21" customHeight="1">
      <c r="A33" s="13">
        <f t="shared" si="7"/>
        <v>9</v>
      </c>
      <c r="B33" s="48"/>
      <c r="C33" s="48"/>
      <c r="D33" s="41" t="s">
        <v>252</v>
      </c>
      <c r="E33" s="17" t="s">
        <v>401</v>
      </c>
      <c r="F33" s="43" t="s">
        <v>402</v>
      </c>
      <c r="G33" s="19" t="s">
        <v>148</v>
      </c>
      <c r="H33" s="45" t="e">
        <f>IF(OR(G33=$J$13,G33=$J$14,G33=$J$15),#REF!,#REF!)</f>
        <v>#REF!</v>
      </c>
      <c r="I33" s="56">
        <f>IF(G33=$J$13,$K$13,IF(G33=$J$14,$K$14,$K$15))</f>
        <v>1</v>
      </c>
      <c r="J33" s="33" t="s">
        <v>94</v>
      </c>
      <c r="K33" s="33" t="s">
        <v>255</v>
      </c>
      <c r="L33" s="33"/>
      <c r="M33" s="33"/>
      <c r="N33" s="33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33"/>
      <c r="AB33" s="33"/>
      <c r="AC33" s="33"/>
      <c r="AD33" s="33"/>
      <c r="AE33" s="33"/>
    </row>
    <row r="34" spans="1:31" ht="21" customHeight="1">
      <c r="A34" s="13"/>
      <c r="B34" s="25"/>
      <c r="C34" s="25"/>
      <c r="D34" s="25"/>
      <c r="E34" s="25"/>
      <c r="F34" s="25"/>
      <c r="G34" s="25"/>
      <c r="H34" s="45"/>
      <c r="I34" s="56"/>
      <c r="J34" s="33" t="s">
        <v>30</v>
      </c>
      <c r="K34" s="33">
        <v>1</v>
      </c>
      <c r="L34" s="33"/>
      <c r="M34" s="33"/>
      <c r="N34" s="33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33"/>
      <c r="AB34" s="33"/>
      <c r="AC34" s="33"/>
      <c r="AD34" s="33"/>
      <c r="AE34" s="33"/>
    </row>
    <row r="35" spans="1:31" ht="21" customHeight="1">
      <c r="A35" s="13">
        <f t="shared" ref="A35:A37" si="9">A34+1</f>
        <v>1</v>
      </c>
      <c r="B35" s="39">
        <v>4</v>
      </c>
      <c r="C35" s="39" t="s">
        <v>257</v>
      </c>
      <c r="D35" s="41" t="s">
        <v>258</v>
      </c>
      <c r="E35" s="17" t="s">
        <v>403</v>
      </c>
      <c r="F35" s="43" t="s">
        <v>404</v>
      </c>
      <c r="G35" s="19" t="s">
        <v>148</v>
      </c>
      <c r="H35" s="45" t="e">
        <f>IF(OR(G35=$J$44,G35=$J$45,G35=$J$46),#REF!,#REF!)</f>
        <v>#REF!</v>
      </c>
      <c r="I35" s="56">
        <f t="shared" ref="I35:I37" si="10">IF(G35=$J$44,$K$44,IF(G35=$J$45,$K$45,$K$46))</f>
        <v>1</v>
      </c>
      <c r="J35" s="57" t="s">
        <v>22</v>
      </c>
      <c r="K35" s="63">
        <v>3</v>
      </c>
      <c r="L35" s="33"/>
      <c r="M35" s="33"/>
      <c r="N35" s="33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33"/>
      <c r="AB35" s="33"/>
      <c r="AC35" s="33"/>
      <c r="AD35" s="33"/>
      <c r="AE35" s="33"/>
    </row>
    <row r="36" spans="1:31" ht="21" customHeight="1">
      <c r="A36" s="13">
        <f t="shared" si="9"/>
        <v>2</v>
      </c>
      <c r="B36" s="46"/>
      <c r="C36" s="46"/>
      <c r="D36" s="41" t="s">
        <v>262</v>
      </c>
      <c r="E36" s="17" t="s">
        <v>405</v>
      </c>
      <c r="F36" s="43" t="s">
        <v>404</v>
      </c>
      <c r="G36" s="19" t="s">
        <v>148</v>
      </c>
      <c r="H36" s="45" t="e">
        <f>IF(OR(G36=$J$44,G36=$J$45,G36=$J$46),#REF!,#REF!)</f>
        <v>#REF!</v>
      </c>
      <c r="I36" s="56">
        <f t="shared" si="10"/>
        <v>1</v>
      </c>
      <c r="J36" s="33" t="s">
        <v>406</v>
      </c>
      <c r="K36" s="33">
        <v>2</v>
      </c>
      <c r="L36" s="33"/>
      <c r="M36" s="33"/>
      <c r="N36" s="33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33"/>
      <c r="AB36" s="33"/>
      <c r="AC36" s="33"/>
      <c r="AD36" s="33"/>
      <c r="AE36" s="33"/>
    </row>
    <row r="37" spans="1:31" ht="21" customHeight="1">
      <c r="A37" s="13">
        <f t="shared" si="9"/>
        <v>3</v>
      </c>
      <c r="B37" s="48"/>
      <c r="C37" s="48"/>
      <c r="D37" s="41" t="s">
        <v>265</v>
      </c>
      <c r="E37" s="17" t="s">
        <v>407</v>
      </c>
      <c r="F37" s="43" t="s">
        <v>404</v>
      </c>
      <c r="G37" s="19" t="s">
        <v>148</v>
      </c>
      <c r="H37" s="45" t="e">
        <f>IF(OR(G37=$J$44,G37=$J$45,G37=$J$46),#REF!,#REF!)</f>
        <v>#REF!</v>
      </c>
      <c r="I37" s="56">
        <f t="shared" si="10"/>
        <v>1</v>
      </c>
      <c r="J37" s="33"/>
      <c r="K37" s="33"/>
      <c r="L37" s="33"/>
      <c r="M37" s="33"/>
      <c r="N37" s="33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33"/>
      <c r="AB37" s="33"/>
      <c r="AC37" s="33"/>
      <c r="AD37" s="33"/>
      <c r="AE37" s="33"/>
    </row>
    <row r="38" spans="1:31" ht="21" customHeight="1">
      <c r="A38" s="1"/>
      <c r="B38" s="25"/>
      <c r="C38" s="25"/>
      <c r="D38" s="25"/>
      <c r="E38" s="25"/>
      <c r="F38" s="25"/>
      <c r="G38" s="25"/>
      <c r="H38" s="45"/>
      <c r="I38" s="56"/>
      <c r="J38" s="33" t="s">
        <v>107</v>
      </c>
      <c r="K38" s="33" t="s">
        <v>267</v>
      </c>
      <c r="L38" s="33"/>
      <c r="M38" s="33"/>
      <c r="N38" s="33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33"/>
      <c r="AB38" s="33"/>
      <c r="AC38" s="33"/>
      <c r="AD38" s="33"/>
      <c r="AE38" s="33"/>
    </row>
    <row r="39" spans="1:31" ht="21" customHeight="1">
      <c r="A39" s="13">
        <f t="shared" ref="A39:A48" si="11">A38+1</f>
        <v>1</v>
      </c>
      <c r="B39" s="39">
        <v>5</v>
      </c>
      <c r="C39" s="39" t="s">
        <v>268</v>
      </c>
      <c r="D39" s="41" t="s">
        <v>269</v>
      </c>
      <c r="E39" s="17" t="s">
        <v>408</v>
      </c>
      <c r="F39" s="43" t="s">
        <v>409</v>
      </c>
      <c r="G39" s="19" t="s">
        <v>148</v>
      </c>
      <c r="H39" s="45" t="e">
        <f>IF(OR(G39=$J$13,G39=$J$14,G39=$J$15),#REF!,#REF!)</f>
        <v>#REF!</v>
      </c>
      <c r="I39" s="56">
        <f>IF(G39=$J$13,$K$13,IF(G39=$J$14,$K$14,$K$15))</f>
        <v>1</v>
      </c>
      <c r="J39" s="33" t="s">
        <v>30</v>
      </c>
      <c r="K39" s="33">
        <v>1</v>
      </c>
      <c r="L39" s="33"/>
      <c r="M39" s="33"/>
      <c r="N39" s="33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33"/>
      <c r="AB39" s="33"/>
      <c r="AC39" s="33"/>
      <c r="AD39" s="33"/>
      <c r="AE39" s="33"/>
    </row>
    <row r="40" spans="1:31" ht="21" customHeight="1">
      <c r="A40" s="13">
        <f t="shared" si="11"/>
        <v>2</v>
      </c>
      <c r="B40" s="46"/>
      <c r="C40" s="46"/>
      <c r="D40" s="41" t="s">
        <v>272</v>
      </c>
      <c r="E40" s="17" t="s">
        <v>410</v>
      </c>
      <c r="F40" s="43" t="s">
        <v>411</v>
      </c>
      <c r="G40" s="19" t="s">
        <v>148</v>
      </c>
      <c r="H40" s="45" t="e">
        <f>IF(OR(G40=$J$44,G40=$J$45,G40=$J$46),#REF!,#REF!)</f>
        <v>#REF!</v>
      </c>
      <c r="I40" s="56">
        <f t="shared" ref="I40:I41" si="12">IF(G40=$J$44,$K$44,IF(G40=$J$45,$K$45,$K$46))</f>
        <v>1</v>
      </c>
      <c r="J40" s="57" t="s">
        <v>292</v>
      </c>
      <c r="K40" s="63">
        <v>2</v>
      </c>
      <c r="L40" s="33"/>
      <c r="M40" s="33"/>
      <c r="N40" s="33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33"/>
      <c r="AB40" s="33"/>
      <c r="AC40" s="33"/>
      <c r="AD40" s="33"/>
      <c r="AE40" s="33"/>
    </row>
    <row r="41" spans="1:31" ht="21" customHeight="1">
      <c r="A41" s="13">
        <f t="shared" si="11"/>
        <v>3</v>
      </c>
      <c r="B41" s="46"/>
      <c r="C41" s="46"/>
      <c r="D41" s="41" t="s">
        <v>275</v>
      </c>
      <c r="E41" s="17" t="s">
        <v>412</v>
      </c>
      <c r="F41" s="43" t="s">
        <v>413</v>
      </c>
      <c r="G41" s="19" t="s">
        <v>148</v>
      </c>
      <c r="H41" s="45" t="e">
        <f>IF(OR(G41=$J$44,G41=$J$45,G41=$J$46),#REF!,#REF!)</f>
        <v>#REF!</v>
      </c>
      <c r="I41" s="56">
        <f t="shared" si="12"/>
        <v>1</v>
      </c>
      <c r="J41" s="33" t="s">
        <v>22</v>
      </c>
      <c r="K41" s="33">
        <v>3</v>
      </c>
      <c r="L41" s="33"/>
      <c r="M41" s="33"/>
      <c r="N41" s="33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33"/>
      <c r="AB41" s="33"/>
      <c r="AC41" s="33"/>
      <c r="AD41" s="33"/>
      <c r="AE41" s="33"/>
    </row>
    <row r="42" spans="1:31" ht="21" customHeight="1">
      <c r="A42" s="13">
        <f t="shared" si="11"/>
        <v>4</v>
      </c>
      <c r="B42" s="46"/>
      <c r="C42" s="46"/>
      <c r="D42" s="41" t="s">
        <v>278</v>
      </c>
      <c r="E42" s="17" t="s">
        <v>414</v>
      </c>
      <c r="F42" s="43" t="s">
        <v>415</v>
      </c>
      <c r="G42" s="19" t="s">
        <v>148</v>
      </c>
      <c r="H42" s="45" t="e">
        <f>IF(OR(G42=$J$13,G42=$J$14,G42=$J$15),#REF!,#REF!)</f>
        <v>#REF!</v>
      </c>
      <c r="I42" s="56">
        <f>IF(G42=$J$13,$K$13,IF(G42=$J$14,$K$14,$K$15))</f>
        <v>1</v>
      </c>
      <c r="J42" s="33"/>
      <c r="K42" s="33"/>
      <c r="L42" s="33"/>
      <c r="M42" s="33"/>
      <c r="N42" s="33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33"/>
      <c r="AB42" s="33"/>
      <c r="AC42" s="33"/>
      <c r="AD42" s="33"/>
      <c r="AE42" s="33"/>
    </row>
    <row r="43" spans="1:31" ht="21" customHeight="1">
      <c r="A43" s="13">
        <f t="shared" si="11"/>
        <v>5</v>
      </c>
      <c r="B43" s="46"/>
      <c r="C43" s="46"/>
      <c r="D43" s="41" t="s">
        <v>281</v>
      </c>
      <c r="E43" s="17" t="s">
        <v>416</v>
      </c>
      <c r="F43" s="43" t="s">
        <v>417</v>
      </c>
      <c r="G43" s="19" t="s">
        <v>22</v>
      </c>
      <c r="H43" s="45" t="e">
        <f>IF(OR(G43=$J$54,G43=$J$55,G43=$J$56),#REF!,#REF!)</f>
        <v>#REF!</v>
      </c>
      <c r="I43" s="56">
        <f>IF(G43=$J$54,$K$54,IF(G43=$J$55,$K$55,$K$56))</f>
        <v>1</v>
      </c>
      <c r="J43" s="57" t="s">
        <v>125</v>
      </c>
      <c r="K43" s="63" t="s">
        <v>284</v>
      </c>
      <c r="L43" s="33"/>
      <c r="M43" s="33"/>
      <c r="N43" s="33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33"/>
      <c r="AB43" s="33"/>
      <c r="AC43" s="33"/>
      <c r="AD43" s="33"/>
      <c r="AE43" s="33"/>
    </row>
    <row r="44" spans="1:31" ht="21" customHeight="1">
      <c r="A44" s="13">
        <f t="shared" si="11"/>
        <v>6</v>
      </c>
      <c r="B44" s="46"/>
      <c r="C44" s="46"/>
      <c r="D44" s="41" t="s">
        <v>285</v>
      </c>
      <c r="E44" s="17" t="s">
        <v>418</v>
      </c>
      <c r="F44" s="43" t="s">
        <v>419</v>
      </c>
      <c r="G44" s="19" t="s">
        <v>148</v>
      </c>
      <c r="H44" s="45" t="e">
        <f>IF(OR(G44=$J$13,G44=$J$14,G44=$J$15),#REF!,#REF!)</f>
        <v>#REF!</v>
      </c>
      <c r="I44" s="56">
        <f>IF(G44=$J$13,$K$13,IF(G44=$J$14,$K$14,$K$15))</f>
        <v>1</v>
      </c>
      <c r="J44" s="33" t="s">
        <v>288</v>
      </c>
      <c r="K44" s="33">
        <v>3</v>
      </c>
      <c r="L44" s="33"/>
      <c r="M44" s="33"/>
      <c r="N44" s="33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33"/>
      <c r="AB44" s="33"/>
      <c r="AC44" s="33"/>
      <c r="AD44" s="33"/>
      <c r="AE44" s="33"/>
    </row>
    <row r="45" spans="1:31" ht="21" customHeight="1">
      <c r="A45" s="13">
        <f t="shared" si="11"/>
        <v>7</v>
      </c>
      <c r="B45" s="46"/>
      <c r="C45" s="46"/>
      <c r="D45" s="41" t="s">
        <v>289</v>
      </c>
      <c r="E45" s="17" t="s">
        <v>420</v>
      </c>
      <c r="F45" s="43" t="s">
        <v>421</v>
      </c>
      <c r="G45" s="19" t="s">
        <v>148</v>
      </c>
      <c r="H45" s="45" t="e">
        <f>IF(OR(G45=$J$44,G45=$J$45,G45=$J$46),#REF!,#REF!)</f>
        <v>#REF!</v>
      </c>
      <c r="I45" s="56">
        <f>IF(G45=$J$44,$K$44,IF(G45=$J$45,$K$45,$K$46))</f>
        <v>1</v>
      </c>
      <c r="J45" s="33" t="s">
        <v>230</v>
      </c>
      <c r="K45" s="33">
        <v>2</v>
      </c>
      <c r="L45" s="33"/>
      <c r="M45" s="33"/>
      <c r="N45" s="33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33"/>
      <c r="AB45" s="33"/>
      <c r="AC45" s="33"/>
      <c r="AD45" s="33"/>
      <c r="AE45" s="33"/>
    </row>
    <row r="46" spans="1:31" ht="21" customHeight="1">
      <c r="A46" s="13">
        <f t="shared" si="11"/>
        <v>8</v>
      </c>
      <c r="B46" s="46"/>
      <c r="C46" s="46"/>
      <c r="D46" s="41" t="s">
        <v>293</v>
      </c>
      <c r="E46" s="17" t="s">
        <v>422</v>
      </c>
      <c r="F46" s="43" t="s">
        <v>423</v>
      </c>
      <c r="G46" s="19" t="s">
        <v>148</v>
      </c>
      <c r="H46" s="45" t="e">
        <f>IF(OR(G46=$J$13,G46=$J$14,G46=$J$15),#REF!,#REF!)</f>
        <v>#REF!</v>
      </c>
      <c r="I46" s="56">
        <f t="shared" ref="I46:I48" si="13">IF(G46=$J$13,$K$13,IF(G46=$J$14,$K$14,$K$15))</f>
        <v>1</v>
      </c>
      <c r="J46" s="33" t="s">
        <v>148</v>
      </c>
      <c r="K46" s="33">
        <v>1</v>
      </c>
      <c r="L46" s="33"/>
      <c r="M46" s="33"/>
      <c r="N46" s="33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33"/>
      <c r="AB46" s="33"/>
      <c r="AC46" s="33"/>
      <c r="AD46" s="33"/>
      <c r="AE46" s="33"/>
    </row>
    <row r="47" spans="1:31" ht="21" customHeight="1">
      <c r="A47" s="13">
        <f t="shared" si="11"/>
        <v>9</v>
      </c>
      <c r="B47" s="46"/>
      <c r="C47" s="46"/>
      <c r="D47" s="41" t="s">
        <v>296</v>
      </c>
      <c r="E47" s="17" t="s">
        <v>424</v>
      </c>
      <c r="F47" s="43" t="s">
        <v>425</v>
      </c>
      <c r="G47" s="19" t="s">
        <v>148</v>
      </c>
      <c r="H47" s="45" t="e">
        <f>IF(OR(G47=$J$13,G47=$J$14,G47=$J$15),#REF!,#REF!)</f>
        <v>#REF!</v>
      </c>
      <c r="I47" s="56">
        <f t="shared" si="13"/>
        <v>1</v>
      </c>
      <c r="J47" s="57"/>
      <c r="K47" s="63"/>
      <c r="L47" s="33"/>
      <c r="M47" s="33"/>
      <c r="N47" s="33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33"/>
      <c r="AB47" s="33"/>
      <c r="AC47" s="33"/>
      <c r="AD47" s="33"/>
      <c r="AE47" s="33"/>
    </row>
    <row r="48" spans="1:31" ht="21" customHeight="1">
      <c r="A48" s="13">
        <f t="shared" si="11"/>
        <v>10</v>
      </c>
      <c r="B48" s="48"/>
      <c r="C48" s="48"/>
      <c r="D48" s="41" t="s">
        <v>299</v>
      </c>
      <c r="E48" s="17" t="s">
        <v>426</v>
      </c>
      <c r="F48" s="43" t="s">
        <v>427</v>
      </c>
      <c r="G48" s="19" t="s">
        <v>148</v>
      </c>
      <c r="H48" s="45" t="e">
        <f>IF(OR(G48=$J$13,G48=$J$14,G48=$J$15),#REF!,#REF!)</f>
        <v>#REF!</v>
      </c>
      <c r="I48" s="56">
        <f t="shared" si="13"/>
        <v>1</v>
      </c>
      <c r="J48" s="57" t="s">
        <v>125</v>
      </c>
      <c r="K48" s="63" t="s">
        <v>301</v>
      </c>
      <c r="L48" s="33"/>
      <c r="M48" s="33"/>
      <c r="N48" s="33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33"/>
      <c r="AB48" s="33"/>
      <c r="AC48" s="33"/>
      <c r="AD48" s="33"/>
      <c r="AE48" s="33"/>
    </row>
    <row r="49" spans="1:31" ht="21" customHeight="1">
      <c r="A49" s="1"/>
      <c r="B49" s="25"/>
      <c r="C49" s="25"/>
      <c r="D49" s="25"/>
      <c r="E49" s="25"/>
      <c r="F49" s="25"/>
      <c r="G49" s="25"/>
      <c r="H49" s="45"/>
      <c r="I49" s="56"/>
      <c r="J49" s="33" t="s">
        <v>302</v>
      </c>
      <c r="K49" s="33">
        <v>3</v>
      </c>
      <c r="L49" s="33"/>
      <c r="M49" s="33"/>
      <c r="N49" s="33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33"/>
      <c r="AB49" s="33"/>
      <c r="AC49" s="33"/>
      <c r="AD49" s="33"/>
      <c r="AE49" s="33"/>
    </row>
    <row r="50" spans="1:31" ht="21" customHeight="1">
      <c r="A50" s="13">
        <f t="shared" ref="A50:A58" si="14">A49+1</f>
        <v>1</v>
      </c>
      <c r="B50" s="39">
        <v>6</v>
      </c>
      <c r="C50" s="39" t="s">
        <v>303</v>
      </c>
      <c r="D50" s="41" t="s">
        <v>304</v>
      </c>
      <c r="E50" s="17" t="s">
        <v>428</v>
      </c>
      <c r="F50" s="43" t="s">
        <v>429</v>
      </c>
      <c r="G50" s="19" t="s">
        <v>148</v>
      </c>
      <c r="H50" s="45" t="e">
        <f>IF(OR(G50=$J$44,G50=$J$45,G50=$J$46),#REF!,#REF!)</f>
        <v>#REF!</v>
      </c>
      <c r="I50" s="56">
        <f>IF(G50=$J$44,$K$44,IF(G50=$J$45,$K$45,$K$46))</f>
        <v>1</v>
      </c>
      <c r="J50" s="33" t="s">
        <v>33</v>
      </c>
      <c r="K50" s="33">
        <v>2</v>
      </c>
      <c r="L50" s="33"/>
      <c r="M50" s="33"/>
      <c r="N50" s="33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33"/>
      <c r="AB50" s="33"/>
      <c r="AC50" s="33"/>
      <c r="AD50" s="33"/>
      <c r="AE50" s="33"/>
    </row>
    <row r="51" spans="1:31" ht="21" customHeight="1">
      <c r="A51" s="13">
        <f t="shared" si="14"/>
        <v>2</v>
      </c>
      <c r="B51" s="46"/>
      <c r="C51" s="46"/>
      <c r="D51" s="41" t="s">
        <v>307</v>
      </c>
      <c r="E51" s="17" t="s">
        <v>430</v>
      </c>
      <c r="F51" s="43" t="s">
        <v>431</v>
      </c>
      <c r="G51" s="19" t="s">
        <v>30</v>
      </c>
      <c r="H51" s="45" t="e">
        <f>IF(OR(G51=$J$54,G51=$J$55,G51=$J$56),#REF!,#REF!)</f>
        <v>#REF!</v>
      </c>
      <c r="I51" s="56">
        <f>IF(G51=$J$39,$K$39,IF(G51=$J$40,$K$40,$K$41))</f>
        <v>1</v>
      </c>
      <c r="J51" s="33" t="s">
        <v>310</v>
      </c>
      <c r="K51" s="33">
        <v>1</v>
      </c>
      <c r="L51" s="33"/>
      <c r="M51" s="33"/>
      <c r="N51" s="33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33"/>
      <c r="AB51" s="33"/>
      <c r="AC51" s="33"/>
      <c r="AD51" s="33"/>
      <c r="AE51" s="33"/>
    </row>
    <row r="52" spans="1:31" ht="21" customHeight="1">
      <c r="A52" s="13">
        <f t="shared" si="14"/>
        <v>3</v>
      </c>
      <c r="B52" s="46"/>
      <c r="C52" s="46"/>
      <c r="D52" s="41" t="s">
        <v>311</v>
      </c>
      <c r="E52" s="17" t="s">
        <v>432</v>
      </c>
      <c r="F52" s="43" t="s">
        <v>433</v>
      </c>
      <c r="G52" s="19" t="s">
        <v>148</v>
      </c>
      <c r="H52" s="45" t="e">
        <f>IF(OR(G52=$J$44,G52=$J$45,G52=$J$46),#REF!,#REF!)</f>
        <v>#REF!</v>
      </c>
      <c r="I52" s="56">
        <f>IF(G52=$J$44,$K$44,IF(G52=$J$45,$K$45,$K$46))</f>
        <v>1</v>
      </c>
      <c r="J52" s="33"/>
      <c r="K52" s="33"/>
      <c r="L52" s="33"/>
      <c r="M52" s="33"/>
      <c r="N52" s="33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33"/>
      <c r="AB52" s="33"/>
      <c r="AC52" s="33"/>
      <c r="AD52" s="33"/>
      <c r="AE52" s="33"/>
    </row>
    <row r="53" spans="1:31" ht="21" customHeight="1">
      <c r="A53" s="13">
        <f t="shared" si="14"/>
        <v>4</v>
      </c>
      <c r="B53" s="46"/>
      <c r="C53" s="46"/>
      <c r="D53" s="41" t="s">
        <v>314</v>
      </c>
      <c r="E53" s="17" t="s">
        <v>434</v>
      </c>
      <c r="F53" s="43" t="s">
        <v>435</v>
      </c>
      <c r="G53" s="19" t="s">
        <v>30</v>
      </c>
      <c r="H53" s="45" t="e">
        <f>IF(OR(G53=$J$54,G53=$J$55,G53=$J$56),#REF!,#REF!)</f>
        <v>#REF!</v>
      </c>
      <c r="I53" s="56">
        <f t="shared" ref="I53:I58" si="15">IF(G53=$J$39,$K$39,IF(G53=$J$40,$K$40,$K$41))</f>
        <v>1</v>
      </c>
      <c r="J53" s="57" t="s">
        <v>137</v>
      </c>
      <c r="K53" s="63" t="s">
        <v>267</v>
      </c>
      <c r="L53" s="33"/>
      <c r="M53" s="33"/>
      <c r="N53" s="33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33"/>
      <c r="AB53" s="33"/>
      <c r="AC53" s="33"/>
      <c r="AD53" s="33"/>
      <c r="AE53" s="33"/>
    </row>
    <row r="54" spans="1:31" ht="21" customHeight="1">
      <c r="A54" s="13">
        <f t="shared" si="14"/>
        <v>5</v>
      </c>
      <c r="B54" s="46"/>
      <c r="C54" s="46"/>
      <c r="D54" s="41" t="s">
        <v>318</v>
      </c>
      <c r="E54" s="17" t="s">
        <v>436</v>
      </c>
      <c r="F54" s="43" t="s">
        <v>437</v>
      </c>
      <c r="G54" s="19" t="s">
        <v>30</v>
      </c>
      <c r="H54" s="45" t="e">
        <f>IF(OR(G54=$J$54,G54=$J$55,G54=$J$56),#REF!,#REF!)</f>
        <v>#REF!</v>
      </c>
      <c r="I54" s="56">
        <f t="shared" si="15"/>
        <v>1</v>
      </c>
      <c r="J54" s="33" t="s">
        <v>30</v>
      </c>
      <c r="K54" s="33">
        <v>3</v>
      </c>
      <c r="L54" s="33"/>
      <c r="M54" s="33"/>
      <c r="N54" s="33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33"/>
      <c r="AB54" s="33"/>
      <c r="AC54" s="33"/>
      <c r="AD54" s="33"/>
      <c r="AE54" s="33"/>
    </row>
    <row r="55" spans="1:31" ht="21" customHeight="1">
      <c r="A55" s="13">
        <f t="shared" si="14"/>
        <v>6</v>
      </c>
      <c r="B55" s="46"/>
      <c r="C55" s="46"/>
      <c r="D55" s="41" t="s">
        <v>321</v>
      </c>
      <c r="E55" s="17" t="s">
        <v>438</v>
      </c>
      <c r="F55" s="50"/>
      <c r="G55" s="19" t="s">
        <v>30</v>
      </c>
      <c r="H55" s="45" t="e">
        <f>IF(OR(G55=$J$54,G55=$J$55,G55=$J$56),#REF!,#REF!)</f>
        <v>#REF!</v>
      </c>
      <c r="I55" s="56">
        <f t="shared" si="15"/>
        <v>1</v>
      </c>
      <c r="J55" s="33" t="s">
        <v>22</v>
      </c>
      <c r="K55" s="33">
        <v>1</v>
      </c>
      <c r="L55" s="33"/>
      <c r="M55" s="33"/>
      <c r="N55" s="33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33"/>
      <c r="AB55" s="33"/>
      <c r="AC55" s="33"/>
      <c r="AD55" s="33"/>
      <c r="AE55" s="33"/>
    </row>
    <row r="56" spans="1:31" ht="21" customHeight="1">
      <c r="A56" s="13">
        <f t="shared" si="14"/>
        <v>7</v>
      </c>
      <c r="B56" s="46"/>
      <c r="C56" s="46"/>
      <c r="D56" s="41" t="s">
        <v>324</v>
      </c>
      <c r="E56" s="17" t="s">
        <v>439</v>
      </c>
      <c r="F56" s="50"/>
      <c r="G56" s="19" t="s">
        <v>30</v>
      </c>
      <c r="H56" s="45" t="e">
        <f>IF(OR(G56=$J$54,G56=$J$55,G56=$J$56),#REF!,#REF!)</f>
        <v>#REF!</v>
      </c>
      <c r="I56" s="56">
        <f t="shared" si="15"/>
        <v>1</v>
      </c>
      <c r="J56" s="33" t="s">
        <v>292</v>
      </c>
      <c r="K56" s="33">
        <v>2</v>
      </c>
      <c r="L56" s="33"/>
      <c r="M56" s="33"/>
      <c r="N56" s="33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33"/>
      <c r="AB56" s="33"/>
      <c r="AC56" s="33"/>
      <c r="AD56" s="33"/>
      <c r="AE56" s="33"/>
    </row>
    <row r="57" spans="1:31" ht="21" customHeight="1">
      <c r="A57" s="13">
        <f t="shared" si="14"/>
        <v>8</v>
      </c>
      <c r="B57" s="46"/>
      <c r="C57" s="46"/>
      <c r="D57" s="41" t="s">
        <v>327</v>
      </c>
      <c r="E57" s="17" t="s">
        <v>440</v>
      </c>
      <c r="F57" s="50"/>
      <c r="G57" s="19" t="s">
        <v>30</v>
      </c>
      <c r="H57" s="45" t="e">
        <f>IF(OR(G57=$J$54,G57=$J$55,G57=$J$56),#REF!,#REF!)</f>
        <v>#REF!</v>
      </c>
      <c r="I57" s="56">
        <f t="shared" si="15"/>
        <v>1</v>
      </c>
      <c r="J57" s="33"/>
      <c r="K57" s="33"/>
      <c r="L57" s="33"/>
      <c r="M57" s="33"/>
      <c r="N57" s="33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33"/>
      <c r="AB57" s="33"/>
      <c r="AC57" s="33"/>
      <c r="AD57" s="33"/>
      <c r="AE57" s="33"/>
    </row>
    <row r="58" spans="1:31" ht="21" customHeight="1">
      <c r="A58" s="13">
        <f t="shared" si="14"/>
        <v>9</v>
      </c>
      <c r="B58" s="46"/>
      <c r="C58" s="46"/>
      <c r="D58" s="41" t="s">
        <v>330</v>
      </c>
      <c r="E58" s="17" t="s">
        <v>441</v>
      </c>
      <c r="F58" s="50" t="s">
        <v>442</v>
      </c>
      <c r="G58" s="19" t="s">
        <v>30</v>
      </c>
      <c r="H58" s="45" t="e">
        <f>IF(OR(G58=$J$54,G58=$J$55,G58=$J$56),#REF!,#REF!)</f>
        <v>#REF!</v>
      </c>
      <c r="I58" s="56">
        <f t="shared" si="15"/>
        <v>1</v>
      </c>
      <c r="J58" s="57"/>
      <c r="K58" s="63"/>
      <c r="L58" s="33"/>
      <c r="M58" s="33"/>
      <c r="N58" s="33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33"/>
      <c r="AB58" s="33"/>
      <c r="AC58" s="33"/>
      <c r="AD58" s="33"/>
      <c r="AE58" s="33"/>
    </row>
    <row r="59" spans="1:31" ht="47.25" customHeight="1">
      <c r="A59" s="4"/>
      <c r="B59" s="33"/>
      <c r="C59" s="33"/>
      <c r="D59" s="33"/>
      <c r="E59" s="33"/>
      <c r="F59" s="33"/>
      <c r="G59" s="33"/>
      <c r="H59" s="34"/>
      <c r="I59" s="55"/>
      <c r="J59" s="55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</row>
    <row r="60" spans="1:31" ht="15" hidden="1" customHeight="1">
      <c r="A60" s="4"/>
      <c r="B60" s="33"/>
      <c r="C60" s="33"/>
      <c r="D60" s="33"/>
      <c r="E60" s="33"/>
      <c r="F60" s="33"/>
      <c r="G60" s="33"/>
      <c r="H60" s="34"/>
      <c r="I60" s="55"/>
      <c r="J60" s="55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</row>
    <row r="61" spans="1:31" ht="14.25" hidden="1" customHeight="1">
      <c r="A61" s="4"/>
      <c r="B61" s="33"/>
      <c r="C61" s="33"/>
      <c r="D61" s="33"/>
      <c r="E61" s="33"/>
      <c r="F61" s="33"/>
      <c r="G61" s="33"/>
      <c r="H61" s="34"/>
      <c r="I61" s="55"/>
      <c r="J61" s="55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</row>
    <row r="62" spans="1:31" ht="14.25" hidden="1" customHeight="1">
      <c r="A62" s="4"/>
      <c r="B62" s="33"/>
      <c r="C62" s="33"/>
      <c r="D62" s="33"/>
      <c r="E62" s="33"/>
      <c r="F62" s="33"/>
      <c r="G62" s="33"/>
      <c r="H62" s="34"/>
      <c r="I62" s="55"/>
      <c r="J62" s="55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</row>
    <row r="63" spans="1:31" ht="14.25" hidden="1" customHeight="1">
      <c r="A63" s="4"/>
      <c r="B63" s="33"/>
      <c r="C63" s="33"/>
      <c r="D63" s="33"/>
      <c r="E63" s="33"/>
      <c r="F63" s="33"/>
      <c r="G63" s="33"/>
      <c r="H63" s="34"/>
      <c r="I63" s="55"/>
      <c r="J63" s="55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</row>
    <row r="64" spans="1:31" ht="14.25" hidden="1" customHeight="1">
      <c r="A64" s="4"/>
      <c r="B64" s="33"/>
      <c r="C64" s="33"/>
      <c r="D64" s="33"/>
      <c r="E64" s="33"/>
      <c r="F64" s="33"/>
      <c r="G64" s="33"/>
      <c r="H64" s="34"/>
      <c r="I64" s="55"/>
      <c r="J64" s="55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</row>
    <row r="65" spans="1:31" ht="14.25" hidden="1" customHeight="1">
      <c r="A65" s="4"/>
      <c r="B65" s="33"/>
      <c r="C65" s="33"/>
      <c r="D65" s="33"/>
      <c r="E65" s="33"/>
      <c r="F65" s="33"/>
      <c r="G65" s="33"/>
      <c r="H65" s="34"/>
      <c r="I65" s="55"/>
      <c r="J65" s="55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</row>
    <row r="66" spans="1:31" ht="14.25" hidden="1" customHeight="1">
      <c r="A66" s="4"/>
      <c r="B66" s="33"/>
      <c r="C66" s="33"/>
      <c r="D66" s="33"/>
      <c r="E66" s="33"/>
      <c r="F66" s="33"/>
      <c r="G66" s="33"/>
      <c r="H66" s="34"/>
      <c r="I66" s="55"/>
      <c r="J66" s="55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</row>
    <row r="67" spans="1:31" ht="14.25" hidden="1" customHeight="1">
      <c r="A67" s="4"/>
      <c r="B67" s="33"/>
      <c r="C67" s="33"/>
      <c r="D67" s="33"/>
      <c r="E67" s="33"/>
      <c r="F67" s="33"/>
      <c r="G67" s="33"/>
      <c r="H67" s="34"/>
      <c r="I67" s="55"/>
      <c r="J67" s="55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</row>
    <row r="68" spans="1:31" ht="14.25" hidden="1" customHeight="1">
      <c r="A68" s="4"/>
      <c r="B68" s="33"/>
      <c r="C68" s="33"/>
      <c r="D68" s="33"/>
      <c r="E68" s="33"/>
      <c r="F68" s="33"/>
      <c r="G68" s="33"/>
      <c r="H68" s="34"/>
      <c r="I68" s="55"/>
      <c r="J68" s="55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</row>
    <row r="69" spans="1:31" ht="14.25" hidden="1" customHeight="1">
      <c r="A69" s="4"/>
      <c r="B69" s="33"/>
      <c r="C69" s="33"/>
      <c r="D69" s="33"/>
      <c r="E69" s="33"/>
      <c r="F69" s="33"/>
      <c r="G69" s="33"/>
      <c r="H69" s="34"/>
      <c r="I69" s="55"/>
      <c r="J69" s="55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</row>
    <row r="70" spans="1:31" ht="14.25" hidden="1" customHeight="1">
      <c r="A70" s="4"/>
      <c r="B70" s="33"/>
      <c r="C70" s="33"/>
      <c r="D70" s="33"/>
      <c r="E70" s="33"/>
      <c r="F70" s="33"/>
      <c r="G70" s="33"/>
      <c r="H70" s="34"/>
      <c r="I70" s="55"/>
      <c r="J70" s="55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</row>
    <row r="71" spans="1:31" ht="14.25" hidden="1" customHeight="1">
      <c r="A71" s="4"/>
      <c r="B71" s="33"/>
      <c r="C71" s="33"/>
      <c r="D71" s="33"/>
      <c r="E71" s="33"/>
      <c r="F71" s="33"/>
      <c r="G71" s="33"/>
      <c r="H71" s="34"/>
      <c r="I71" s="55"/>
      <c r="J71" s="55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</row>
    <row r="72" spans="1:31" ht="14.25" hidden="1" customHeight="1">
      <c r="A72" s="4"/>
      <c r="B72" s="33"/>
      <c r="C72" s="33"/>
      <c r="D72" s="33"/>
      <c r="E72" s="33"/>
      <c r="F72" s="33"/>
      <c r="G72" s="33"/>
      <c r="H72" s="34"/>
      <c r="I72" s="55"/>
      <c r="J72" s="55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</row>
    <row r="73" spans="1:31" ht="14.25" hidden="1" customHeight="1">
      <c r="A73" s="4"/>
      <c r="B73" s="33"/>
      <c r="C73" s="33"/>
      <c r="D73" s="33"/>
      <c r="E73" s="33"/>
      <c r="F73" s="33"/>
      <c r="G73" s="33"/>
      <c r="H73" s="34"/>
      <c r="I73" s="55"/>
      <c r="J73" s="55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</row>
    <row r="74" spans="1:31" ht="14.25" hidden="1" customHeight="1">
      <c r="A74" s="4"/>
      <c r="B74" s="33"/>
      <c r="C74" s="33"/>
      <c r="D74" s="33"/>
      <c r="E74" s="33"/>
      <c r="F74" s="33"/>
      <c r="G74" s="33"/>
      <c r="H74" s="34"/>
      <c r="I74" s="55"/>
      <c r="J74" s="55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</row>
    <row r="75" spans="1:31" ht="14.25" hidden="1" customHeight="1">
      <c r="A75" s="4"/>
      <c r="B75" s="33"/>
      <c r="C75" s="33"/>
      <c r="D75" s="33"/>
      <c r="E75" s="33"/>
      <c r="F75" s="33"/>
      <c r="G75" s="33"/>
      <c r="H75" s="34"/>
      <c r="I75" s="55"/>
      <c r="J75" s="55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</row>
    <row r="76" spans="1:31" ht="14.25" hidden="1" customHeight="1">
      <c r="A76" s="4"/>
      <c r="B76" s="33"/>
      <c r="C76" s="33"/>
      <c r="D76" s="33"/>
      <c r="E76" s="33"/>
      <c r="F76" s="33"/>
      <c r="G76" s="33"/>
      <c r="H76" s="34"/>
      <c r="I76" s="55"/>
      <c r="J76" s="55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</row>
    <row r="77" spans="1:31" ht="14.25" hidden="1" customHeight="1">
      <c r="A77" s="4"/>
      <c r="B77" s="33"/>
      <c r="C77" s="33"/>
      <c r="D77" s="33"/>
      <c r="E77" s="33"/>
      <c r="F77" s="33"/>
      <c r="G77" s="33"/>
      <c r="H77" s="34"/>
      <c r="I77" s="55"/>
      <c r="J77" s="55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</row>
    <row r="78" spans="1:31" ht="14.25" hidden="1" customHeight="1">
      <c r="A78" s="4"/>
      <c r="B78" s="33"/>
      <c r="C78" s="33"/>
      <c r="D78" s="33"/>
      <c r="E78" s="33"/>
      <c r="F78" s="33"/>
      <c r="G78" s="33"/>
      <c r="H78" s="34"/>
      <c r="I78" s="55"/>
      <c r="J78" s="55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</row>
    <row r="79" spans="1:31" ht="14.25" hidden="1" customHeight="1">
      <c r="A79" s="4"/>
      <c r="B79" s="33"/>
      <c r="C79" s="33"/>
      <c r="D79" s="33"/>
      <c r="E79" s="33"/>
      <c r="F79" s="33"/>
      <c r="G79" s="33"/>
      <c r="H79" s="34"/>
      <c r="I79" s="55"/>
      <c r="J79" s="55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</row>
    <row r="80" spans="1:31" ht="14.25" hidden="1" customHeight="1">
      <c r="A80" s="4"/>
      <c r="B80" s="33"/>
      <c r="C80" s="33"/>
      <c r="D80" s="33"/>
      <c r="E80" s="33"/>
      <c r="F80" s="33"/>
      <c r="G80" s="33"/>
      <c r="H80" s="34"/>
      <c r="I80" s="55"/>
      <c r="J80" s="55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</row>
    <row r="81" spans="1:31" ht="14.25" hidden="1" customHeight="1">
      <c r="A81" s="4"/>
      <c r="B81" s="33"/>
      <c r="C81" s="33"/>
      <c r="D81" s="33"/>
      <c r="E81" s="33"/>
      <c r="F81" s="33"/>
      <c r="G81" s="33"/>
      <c r="H81" s="34"/>
      <c r="I81" s="55"/>
      <c r="J81" s="55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</row>
    <row r="82" spans="1:31" ht="14.25" hidden="1" customHeight="1">
      <c r="A82" s="4"/>
      <c r="B82" s="33"/>
      <c r="C82" s="33"/>
      <c r="D82" s="33"/>
      <c r="E82" s="33"/>
      <c r="F82" s="33"/>
      <c r="G82" s="33"/>
      <c r="H82" s="34"/>
      <c r="I82" s="55"/>
      <c r="J82" s="55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</row>
    <row r="83" spans="1:31" ht="14.25" hidden="1" customHeight="1">
      <c r="A83" s="4"/>
      <c r="B83" s="33"/>
      <c r="C83" s="33"/>
      <c r="D83" s="33"/>
      <c r="E83" s="33"/>
      <c r="F83" s="33"/>
      <c r="G83" s="33"/>
      <c r="H83" s="34"/>
      <c r="I83" s="55"/>
      <c r="J83" s="55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</row>
    <row r="84" spans="1:31" ht="14.25" hidden="1" customHeight="1">
      <c r="A84" s="4"/>
      <c r="B84" s="33"/>
      <c r="C84" s="33"/>
      <c r="D84" s="33"/>
      <c r="E84" s="33"/>
      <c r="F84" s="33"/>
      <c r="G84" s="33"/>
      <c r="H84" s="34"/>
      <c r="I84" s="55"/>
      <c r="J84" s="55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</row>
    <row r="85" spans="1:31" ht="14.25" hidden="1" customHeight="1">
      <c r="A85" s="4"/>
      <c r="B85" s="33"/>
      <c r="C85" s="33"/>
      <c r="D85" s="33"/>
      <c r="E85" s="33"/>
      <c r="F85" s="33"/>
      <c r="G85" s="33"/>
      <c r="H85" s="34"/>
      <c r="I85" s="55"/>
      <c r="J85" s="55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</row>
    <row r="86" spans="1:31" ht="14.25" hidden="1" customHeight="1">
      <c r="A86" s="4"/>
      <c r="B86" s="33"/>
      <c r="C86" s="33"/>
      <c r="D86" s="33"/>
      <c r="E86" s="33"/>
      <c r="F86" s="33"/>
      <c r="G86" s="33"/>
      <c r="H86" s="34"/>
      <c r="I86" s="55"/>
      <c r="J86" s="55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</row>
    <row r="87" spans="1:31" ht="14.25" hidden="1" customHeight="1">
      <c r="A87" s="4"/>
      <c r="B87" s="33"/>
      <c r="C87" s="33"/>
      <c r="D87" s="33"/>
      <c r="E87" s="33"/>
      <c r="F87" s="33"/>
      <c r="G87" s="33"/>
      <c r="H87" s="34"/>
      <c r="I87" s="55"/>
      <c r="J87" s="55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</row>
    <row r="88" spans="1:31" ht="14.25" hidden="1" customHeight="1">
      <c r="A88" s="4"/>
      <c r="B88" s="33"/>
      <c r="C88" s="33"/>
      <c r="D88" s="33"/>
      <c r="E88" s="33"/>
      <c r="F88" s="33"/>
      <c r="G88" s="33"/>
      <c r="H88" s="34"/>
      <c r="I88" s="55"/>
      <c r="J88" s="55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</row>
    <row r="89" spans="1:31" ht="14.25" hidden="1" customHeight="1">
      <c r="A89" s="4"/>
      <c r="B89" s="33"/>
      <c r="C89" s="33"/>
      <c r="D89" s="33"/>
      <c r="E89" s="33"/>
      <c r="F89" s="33"/>
      <c r="G89" s="33"/>
      <c r="H89" s="34"/>
      <c r="I89" s="55"/>
      <c r="J89" s="55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</row>
    <row r="90" spans="1:31" ht="14.25" hidden="1" customHeight="1">
      <c r="A90" s="4"/>
      <c r="B90" s="33"/>
      <c r="C90" s="33"/>
      <c r="D90" s="33"/>
      <c r="E90" s="33"/>
      <c r="F90" s="33"/>
      <c r="G90" s="33"/>
      <c r="H90" s="34"/>
      <c r="I90" s="55"/>
      <c r="J90" s="55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</row>
    <row r="91" spans="1:31" ht="14.25" hidden="1" customHeight="1">
      <c r="A91" s="4"/>
      <c r="B91" s="33"/>
      <c r="C91" s="33"/>
      <c r="D91" s="33"/>
      <c r="E91" s="33"/>
      <c r="F91" s="33"/>
      <c r="G91" s="33"/>
      <c r="H91" s="34"/>
      <c r="I91" s="55"/>
      <c r="J91" s="55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</row>
    <row r="92" spans="1:31" ht="14.25" hidden="1" customHeight="1">
      <c r="A92" s="4"/>
      <c r="B92" s="33"/>
      <c r="C92" s="33"/>
      <c r="D92" s="33"/>
      <c r="E92" s="33"/>
      <c r="F92" s="33"/>
      <c r="G92" s="33"/>
      <c r="H92" s="34"/>
      <c r="I92" s="55"/>
      <c r="J92" s="55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</row>
    <row r="93" spans="1:31" ht="14.25" hidden="1" customHeight="1">
      <c r="A93" s="4"/>
      <c r="B93" s="33"/>
      <c r="C93" s="33"/>
      <c r="D93" s="33"/>
      <c r="E93" s="33"/>
      <c r="F93" s="33"/>
      <c r="G93" s="33"/>
      <c r="H93" s="34"/>
      <c r="I93" s="55"/>
      <c r="J93" s="55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</row>
    <row r="94" spans="1:31" ht="14.25" hidden="1" customHeight="1">
      <c r="A94" s="4"/>
      <c r="B94" s="33"/>
      <c r="C94" s="33"/>
      <c r="D94" s="33"/>
      <c r="E94" s="33"/>
      <c r="F94" s="33"/>
      <c r="G94" s="33"/>
      <c r="H94" s="34"/>
      <c r="I94" s="55"/>
      <c r="J94" s="55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</row>
    <row r="95" spans="1:31" ht="14.25" hidden="1" customHeight="1">
      <c r="A95" s="4"/>
      <c r="B95" s="33"/>
      <c r="C95" s="33"/>
      <c r="D95" s="33"/>
      <c r="E95" s="33"/>
      <c r="F95" s="33"/>
      <c r="G95" s="33"/>
      <c r="H95" s="34"/>
      <c r="I95" s="55"/>
      <c r="J95" s="55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</row>
    <row r="96" spans="1:31" ht="14.25" hidden="1" customHeight="1">
      <c r="A96" s="4"/>
      <c r="B96" s="33"/>
      <c r="C96" s="33"/>
      <c r="D96" s="33"/>
      <c r="E96" s="33"/>
      <c r="F96" s="33"/>
      <c r="G96" s="33"/>
      <c r="H96" s="34"/>
      <c r="I96" s="55"/>
      <c r="J96" s="55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</row>
    <row r="97" spans="1:31" ht="14.25" hidden="1" customHeight="1">
      <c r="A97" s="4"/>
      <c r="B97" s="33"/>
      <c r="C97" s="33"/>
      <c r="D97" s="33"/>
      <c r="E97" s="33"/>
      <c r="F97" s="33"/>
      <c r="G97" s="33"/>
      <c r="H97" s="34"/>
      <c r="I97" s="55"/>
      <c r="J97" s="55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</row>
    <row r="98" spans="1:31" ht="14.25" hidden="1" customHeight="1">
      <c r="A98" s="4"/>
      <c r="B98" s="33"/>
      <c r="C98" s="33"/>
      <c r="D98" s="33"/>
      <c r="E98" s="33"/>
      <c r="F98" s="33"/>
      <c r="G98" s="33"/>
      <c r="H98" s="34"/>
      <c r="I98" s="55"/>
      <c r="J98" s="55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</row>
    <row r="99" spans="1:31" ht="14.25" hidden="1" customHeight="1">
      <c r="A99" s="4"/>
      <c r="B99" s="33"/>
      <c r="C99" s="33"/>
      <c r="D99" s="33"/>
      <c r="E99" s="33"/>
      <c r="F99" s="33"/>
      <c r="G99" s="33"/>
      <c r="H99" s="34"/>
      <c r="I99" s="55"/>
      <c r="J99" s="55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</row>
    <row r="100" spans="1:31" ht="14.25" hidden="1" customHeight="1">
      <c r="A100" s="4"/>
      <c r="B100" s="33"/>
      <c r="C100" s="33"/>
      <c r="D100" s="33"/>
      <c r="E100" s="33"/>
      <c r="F100" s="33"/>
      <c r="G100" s="33"/>
      <c r="H100" s="34"/>
      <c r="I100" s="55"/>
      <c r="J100" s="55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</row>
    <row r="101" spans="1:31" ht="14.25" hidden="1" customHeight="1">
      <c r="A101" s="4"/>
      <c r="B101" s="33"/>
      <c r="C101" s="33"/>
      <c r="D101" s="33"/>
      <c r="E101" s="33"/>
      <c r="F101" s="33"/>
      <c r="G101" s="33"/>
      <c r="H101" s="34"/>
      <c r="I101" s="55"/>
      <c r="J101" s="55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</row>
    <row r="102" spans="1:31" ht="14.25" hidden="1" customHeight="1">
      <c r="A102" s="4"/>
      <c r="B102" s="33"/>
      <c r="C102" s="33"/>
      <c r="D102" s="33"/>
      <c r="E102" s="33"/>
      <c r="F102" s="33"/>
      <c r="G102" s="33"/>
      <c r="H102" s="34"/>
      <c r="I102" s="55"/>
      <c r="J102" s="55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</row>
    <row r="103" spans="1:31" ht="14.25" hidden="1" customHeight="1">
      <c r="A103" s="4"/>
      <c r="B103" s="33"/>
      <c r="C103" s="33"/>
      <c r="D103" s="33"/>
      <c r="E103" s="33"/>
      <c r="F103" s="33"/>
      <c r="G103" s="33"/>
      <c r="H103" s="34"/>
      <c r="I103" s="55"/>
      <c r="J103" s="55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</row>
    <row r="104" spans="1:31" ht="14.25" hidden="1" customHeight="1">
      <c r="A104" s="4"/>
      <c r="B104" s="33"/>
      <c r="C104" s="33"/>
      <c r="D104" s="33"/>
      <c r="E104" s="33"/>
      <c r="F104" s="33"/>
      <c r="G104" s="33"/>
      <c r="H104" s="34"/>
      <c r="I104" s="55"/>
      <c r="J104" s="55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</row>
    <row r="105" spans="1:31" ht="14.25" hidden="1" customHeight="1">
      <c r="A105" s="4"/>
      <c r="B105" s="33"/>
      <c r="C105" s="33"/>
      <c r="D105" s="33"/>
      <c r="E105" s="33"/>
      <c r="F105" s="33"/>
      <c r="G105" s="33"/>
      <c r="H105" s="34"/>
      <c r="I105" s="55"/>
      <c r="J105" s="55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</row>
    <row r="106" spans="1:31" ht="14.25" hidden="1" customHeight="1">
      <c r="A106" s="4"/>
      <c r="B106" s="33"/>
      <c r="C106" s="33"/>
      <c r="D106" s="33"/>
      <c r="E106" s="33"/>
      <c r="F106" s="33"/>
      <c r="G106" s="33"/>
      <c r="H106" s="34"/>
      <c r="I106" s="55"/>
      <c r="J106" s="55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</row>
    <row r="107" spans="1:31" ht="14.25" hidden="1" customHeight="1">
      <c r="A107" s="4"/>
      <c r="B107" s="33"/>
      <c r="C107" s="33"/>
      <c r="D107" s="33"/>
      <c r="E107" s="33"/>
      <c r="F107" s="33"/>
      <c r="G107" s="33"/>
      <c r="H107" s="34"/>
      <c r="I107" s="55"/>
      <c r="J107" s="55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</row>
    <row r="108" spans="1:31" ht="14.25" hidden="1" customHeight="1">
      <c r="A108" s="4"/>
      <c r="B108" s="33"/>
      <c r="C108" s="33"/>
      <c r="D108" s="33"/>
      <c r="E108" s="33"/>
      <c r="F108" s="33"/>
      <c r="G108" s="33"/>
      <c r="H108" s="34"/>
      <c r="I108" s="55"/>
      <c r="J108" s="55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</row>
    <row r="109" spans="1:31" ht="14.25" hidden="1" customHeight="1">
      <c r="A109" s="4"/>
      <c r="B109" s="33"/>
      <c r="C109" s="33"/>
      <c r="D109" s="33"/>
      <c r="E109" s="33"/>
      <c r="F109" s="33"/>
      <c r="G109" s="33"/>
      <c r="H109" s="34"/>
      <c r="I109" s="55"/>
      <c r="J109" s="55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</row>
    <row r="110" spans="1:31" ht="14.25" hidden="1" customHeight="1">
      <c r="A110" s="4"/>
      <c r="B110" s="33"/>
      <c r="C110" s="33"/>
      <c r="D110" s="33"/>
      <c r="E110" s="33"/>
      <c r="F110" s="33"/>
      <c r="G110" s="33"/>
      <c r="H110" s="34"/>
      <c r="I110" s="55"/>
      <c r="J110" s="55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</row>
    <row r="111" spans="1:31" ht="14.25" hidden="1" customHeight="1">
      <c r="A111" s="4"/>
      <c r="B111" s="33"/>
      <c r="C111" s="33"/>
      <c r="D111" s="33"/>
      <c r="E111" s="33"/>
      <c r="F111" s="33"/>
      <c r="G111" s="33"/>
      <c r="H111" s="34"/>
      <c r="I111" s="55"/>
      <c r="J111" s="55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</row>
    <row r="112" spans="1:31" ht="14.25" hidden="1" customHeight="1">
      <c r="A112" s="4"/>
      <c r="B112" s="33"/>
      <c r="C112" s="33"/>
      <c r="D112" s="33"/>
      <c r="E112" s="33"/>
      <c r="F112" s="33"/>
      <c r="G112" s="33"/>
      <c r="H112" s="34"/>
      <c r="I112" s="55"/>
      <c r="J112" s="55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</row>
    <row r="113" spans="1:31" ht="14.25" hidden="1" customHeight="1">
      <c r="A113" s="4"/>
      <c r="B113" s="33"/>
      <c r="C113" s="33"/>
      <c r="D113" s="33"/>
      <c r="E113" s="33"/>
      <c r="F113" s="33"/>
      <c r="G113" s="33"/>
      <c r="H113" s="34"/>
      <c r="I113" s="55"/>
      <c r="J113" s="55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</row>
    <row r="114" spans="1:31" ht="14.25" hidden="1" customHeight="1">
      <c r="A114" s="4"/>
      <c r="B114" s="33"/>
      <c r="C114" s="33"/>
      <c r="D114" s="33"/>
      <c r="E114" s="33"/>
      <c r="F114" s="33"/>
      <c r="G114" s="33"/>
      <c r="H114" s="34"/>
      <c r="I114" s="55"/>
      <c r="J114" s="55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</row>
    <row r="115" spans="1:31" ht="14.25" hidden="1" customHeight="1">
      <c r="A115" s="4"/>
      <c r="B115" s="33"/>
      <c r="C115" s="33"/>
      <c r="D115" s="33"/>
      <c r="E115" s="33"/>
      <c r="F115" s="33"/>
      <c r="G115" s="33"/>
      <c r="H115" s="34"/>
      <c r="I115" s="55"/>
      <c r="J115" s="55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</row>
    <row r="116" spans="1:31" ht="14.25" hidden="1" customHeight="1">
      <c r="A116" s="4"/>
      <c r="B116" s="33"/>
      <c r="C116" s="33"/>
      <c r="D116" s="33"/>
      <c r="E116" s="33"/>
      <c r="F116" s="33"/>
      <c r="G116" s="33"/>
      <c r="H116" s="34"/>
      <c r="I116" s="55"/>
      <c r="J116" s="55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</row>
    <row r="117" spans="1:31" ht="14.25" customHeight="1">
      <c r="A117" s="1"/>
      <c r="B117" s="33"/>
      <c r="C117" s="33"/>
      <c r="D117" s="33"/>
      <c r="E117" s="33"/>
      <c r="F117" s="33"/>
      <c r="G117" s="33"/>
      <c r="H117" s="34"/>
      <c r="I117" s="55"/>
      <c r="J117" s="55"/>
      <c r="K117" s="33"/>
      <c r="L117" s="33"/>
      <c r="M117" s="6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</row>
    <row r="118" spans="1:31" ht="14.25" customHeight="1">
      <c r="A118" s="1"/>
      <c r="B118" s="33"/>
      <c r="C118" s="33"/>
      <c r="D118" s="33"/>
      <c r="E118" s="33"/>
      <c r="F118" s="33"/>
      <c r="G118" s="33"/>
      <c r="H118" s="34"/>
      <c r="I118" s="55"/>
      <c r="J118" s="55"/>
      <c r="K118" s="33"/>
      <c r="L118" s="33"/>
      <c r="M118" s="6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</row>
    <row r="119" spans="1:31" ht="14.25" customHeight="1">
      <c r="A119" s="1"/>
      <c r="B119" s="33"/>
      <c r="C119" s="33"/>
      <c r="D119" s="33"/>
      <c r="E119" s="33"/>
      <c r="F119" s="33"/>
      <c r="G119" s="33"/>
      <c r="H119" s="34"/>
      <c r="I119" s="55"/>
      <c r="J119" s="55"/>
      <c r="K119" s="33"/>
      <c r="L119" s="33"/>
      <c r="M119" s="6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</row>
    <row r="120" spans="1:31" ht="14.25" customHeight="1">
      <c r="A120" s="1"/>
      <c r="B120" s="33"/>
      <c r="C120" s="33"/>
      <c r="D120" s="33"/>
      <c r="E120" s="33"/>
      <c r="F120" s="33"/>
      <c r="G120" s="33"/>
      <c r="H120" s="34"/>
      <c r="I120" s="55"/>
      <c r="J120" s="55"/>
      <c r="K120" s="33"/>
      <c r="L120" s="33"/>
      <c r="M120" s="6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</row>
    <row r="121" spans="1:31" ht="14.25" customHeight="1">
      <c r="A121" s="1"/>
      <c r="B121" s="33"/>
      <c r="C121" s="33"/>
      <c r="D121" s="33"/>
      <c r="E121" s="33"/>
      <c r="F121" s="33"/>
      <c r="G121" s="33"/>
      <c r="H121" s="34"/>
      <c r="I121" s="55"/>
      <c r="J121" s="55"/>
      <c r="K121" s="33"/>
      <c r="L121" s="33"/>
      <c r="M121" s="6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</row>
    <row r="122" spans="1:31" ht="14.25" customHeight="1">
      <c r="A122" s="1"/>
      <c r="B122" s="33"/>
      <c r="C122" s="33"/>
      <c r="D122" s="33"/>
      <c r="E122" s="33"/>
      <c r="F122" s="33"/>
      <c r="G122" s="33"/>
      <c r="H122" s="34"/>
      <c r="I122" s="55"/>
      <c r="J122" s="55"/>
      <c r="K122" s="33"/>
      <c r="L122" s="33"/>
      <c r="M122" s="6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</row>
    <row r="123" spans="1:31" ht="14.25" customHeight="1">
      <c r="A123" s="1"/>
      <c r="B123" s="33"/>
      <c r="C123" s="33"/>
      <c r="D123" s="33"/>
      <c r="E123" s="33"/>
      <c r="F123" s="33"/>
      <c r="G123" s="33"/>
      <c r="H123" s="34"/>
      <c r="I123" s="55"/>
      <c r="J123" s="55"/>
      <c r="K123" s="33"/>
      <c r="L123" s="33"/>
      <c r="M123" s="6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</row>
    <row r="124" spans="1:31" ht="14.25" customHeight="1">
      <c r="A124" s="1"/>
      <c r="B124" s="33"/>
      <c r="C124" s="33"/>
      <c r="D124" s="33"/>
      <c r="E124" s="33"/>
      <c r="F124" s="33"/>
      <c r="G124" s="33"/>
      <c r="H124" s="34"/>
      <c r="I124" s="55"/>
      <c r="J124" s="55"/>
      <c r="K124" s="33"/>
      <c r="L124" s="33"/>
      <c r="M124" s="6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</row>
    <row r="125" spans="1:31" ht="14.25" customHeight="1">
      <c r="A125" s="1"/>
      <c r="B125" s="33"/>
      <c r="C125" s="33"/>
      <c r="D125" s="33"/>
      <c r="E125" s="33"/>
      <c r="F125" s="33"/>
      <c r="G125" s="33"/>
      <c r="H125" s="34"/>
      <c r="I125" s="55"/>
      <c r="J125" s="55"/>
      <c r="K125" s="33"/>
      <c r="L125" s="33"/>
      <c r="M125" s="6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</row>
    <row r="126" spans="1:31" ht="14.25" customHeight="1">
      <c r="A126" s="1"/>
      <c r="B126" s="33"/>
      <c r="C126" s="33"/>
      <c r="D126" s="33"/>
      <c r="E126" s="33"/>
      <c r="F126" s="33"/>
      <c r="G126" s="33"/>
      <c r="H126" s="34"/>
      <c r="I126" s="55"/>
      <c r="J126" s="55"/>
      <c r="K126" s="33"/>
      <c r="L126" s="33"/>
      <c r="M126" s="6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</row>
    <row r="127" spans="1:31" ht="14.25" customHeight="1">
      <c r="A127" s="1"/>
      <c r="B127" s="33"/>
      <c r="C127" s="33"/>
      <c r="D127" s="33"/>
      <c r="E127" s="33"/>
      <c r="F127" s="33"/>
      <c r="G127" s="33"/>
      <c r="H127" s="34"/>
      <c r="I127" s="55"/>
      <c r="J127" s="55"/>
      <c r="K127" s="33"/>
      <c r="L127" s="33"/>
      <c r="M127" s="6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</row>
    <row r="128" spans="1:31" ht="14.25" customHeight="1">
      <c r="A128" s="1"/>
      <c r="B128" s="33"/>
      <c r="C128" s="33"/>
      <c r="D128" s="33"/>
      <c r="E128" s="33"/>
      <c r="F128" s="33"/>
      <c r="G128" s="33"/>
      <c r="H128" s="34"/>
      <c r="I128" s="55"/>
      <c r="J128" s="55"/>
      <c r="K128" s="33"/>
      <c r="L128" s="33"/>
      <c r="M128" s="6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</row>
    <row r="129" spans="1:31" ht="14.25" customHeight="1">
      <c r="A129" s="1"/>
      <c r="B129" s="33"/>
      <c r="C129" s="33"/>
      <c r="D129" s="33"/>
      <c r="E129" s="33"/>
      <c r="F129" s="33"/>
      <c r="G129" s="33"/>
      <c r="H129" s="34"/>
      <c r="I129" s="55"/>
      <c r="J129" s="55"/>
      <c r="K129" s="33"/>
      <c r="L129" s="33"/>
      <c r="M129" s="6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</row>
    <row r="130" spans="1:31" ht="14.25" customHeight="1">
      <c r="A130" s="1"/>
      <c r="B130" s="33"/>
      <c r="C130" s="33"/>
      <c r="D130" s="33"/>
      <c r="E130" s="33"/>
      <c r="F130" s="33"/>
      <c r="G130" s="33"/>
      <c r="H130" s="34"/>
      <c r="I130" s="55"/>
      <c r="J130" s="55"/>
      <c r="K130" s="33"/>
      <c r="L130" s="33"/>
      <c r="M130" s="6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</row>
    <row r="131" spans="1:31" ht="14.25" customHeight="1">
      <c r="A131" s="1"/>
      <c r="B131" s="33"/>
      <c r="C131" s="33"/>
      <c r="D131" s="33"/>
      <c r="E131" s="33"/>
      <c r="F131" s="33"/>
      <c r="G131" s="33"/>
      <c r="H131" s="34"/>
      <c r="I131" s="55"/>
      <c r="J131" s="55"/>
      <c r="K131" s="33"/>
      <c r="L131" s="33"/>
      <c r="M131" s="6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</row>
    <row r="132" spans="1:31" ht="14.25" customHeight="1">
      <c r="A132" s="1"/>
      <c r="B132" s="33"/>
      <c r="C132" s="33"/>
      <c r="D132" s="33"/>
      <c r="E132" s="33"/>
      <c r="F132" s="33"/>
      <c r="G132" s="33"/>
      <c r="H132" s="34"/>
      <c r="I132" s="55"/>
      <c r="J132" s="55"/>
      <c r="K132" s="33"/>
      <c r="L132" s="33"/>
      <c r="M132" s="6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</row>
    <row r="133" spans="1:31" ht="14.25" customHeight="1">
      <c r="A133" s="1"/>
      <c r="B133" s="33"/>
      <c r="C133" s="33"/>
      <c r="D133" s="33"/>
      <c r="E133" s="33"/>
      <c r="F133" s="33"/>
      <c r="G133" s="33"/>
      <c r="H133" s="34"/>
      <c r="I133" s="55"/>
      <c r="J133" s="55"/>
      <c r="K133" s="33"/>
      <c r="L133" s="33"/>
      <c r="M133" s="6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</row>
    <row r="134" spans="1:31" ht="14.25" customHeight="1">
      <c r="A134" s="1"/>
      <c r="B134" s="33"/>
      <c r="C134" s="33"/>
      <c r="D134" s="33"/>
      <c r="E134" s="33"/>
      <c r="F134" s="33"/>
      <c r="G134" s="33"/>
      <c r="H134" s="34"/>
      <c r="I134" s="55"/>
      <c r="J134" s="55"/>
      <c r="K134" s="33"/>
      <c r="L134" s="33"/>
      <c r="M134" s="6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</row>
    <row r="135" spans="1:31" ht="14.25" customHeight="1">
      <c r="A135" s="1"/>
      <c r="B135" s="33"/>
      <c r="C135" s="33"/>
      <c r="D135" s="33"/>
      <c r="E135" s="33"/>
      <c r="F135" s="33"/>
      <c r="G135" s="33"/>
      <c r="H135" s="34"/>
      <c r="I135" s="55"/>
      <c r="J135" s="55"/>
      <c r="K135" s="33"/>
      <c r="L135" s="33"/>
      <c r="M135" s="6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</row>
    <row r="136" spans="1:31" ht="14.25" customHeight="1">
      <c r="A136" s="1"/>
      <c r="B136" s="33"/>
      <c r="C136" s="33"/>
      <c r="D136" s="33"/>
      <c r="E136" s="33"/>
      <c r="F136" s="33"/>
      <c r="G136" s="33"/>
      <c r="H136" s="34"/>
      <c r="I136" s="55"/>
      <c r="J136" s="55"/>
      <c r="K136" s="33"/>
      <c r="L136" s="33"/>
      <c r="M136" s="6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</row>
    <row r="137" spans="1:31" ht="14.25" customHeight="1">
      <c r="A137" s="1"/>
      <c r="B137" s="33"/>
      <c r="C137" s="33"/>
      <c r="D137" s="33"/>
      <c r="E137" s="33"/>
      <c r="F137" s="33"/>
      <c r="G137" s="33"/>
      <c r="H137" s="34"/>
      <c r="I137" s="55"/>
      <c r="J137" s="55"/>
      <c r="K137" s="33"/>
      <c r="L137" s="33"/>
      <c r="M137" s="6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</row>
    <row r="138" spans="1:31" ht="14.25" customHeight="1">
      <c r="A138" s="1"/>
      <c r="B138" s="33"/>
      <c r="C138" s="33"/>
      <c r="D138" s="33"/>
      <c r="E138" s="33"/>
      <c r="F138" s="33"/>
      <c r="G138" s="33"/>
      <c r="H138" s="34"/>
      <c r="I138" s="55"/>
      <c r="J138" s="55"/>
      <c r="K138" s="33"/>
      <c r="L138" s="33"/>
      <c r="M138" s="6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</row>
    <row r="139" spans="1:31" ht="14.25" customHeight="1">
      <c r="A139" s="1"/>
      <c r="B139" s="33"/>
      <c r="C139" s="33"/>
      <c r="D139" s="33"/>
      <c r="E139" s="33"/>
      <c r="F139" s="33"/>
      <c r="G139" s="33"/>
      <c r="H139" s="34"/>
      <c r="I139" s="55"/>
      <c r="J139" s="55"/>
      <c r="K139" s="33"/>
      <c r="L139" s="33"/>
      <c r="M139" s="6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</row>
    <row r="140" spans="1:31" ht="14.25" customHeight="1">
      <c r="A140" s="1"/>
      <c r="B140" s="33"/>
      <c r="C140" s="33"/>
      <c r="D140" s="33"/>
      <c r="E140" s="33"/>
      <c r="F140" s="33"/>
      <c r="G140" s="33"/>
      <c r="H140" s="34"/>
      <c r="I140" s="55"/>
      <c r="J140" s="55"/>
      <c r="K140" s="33"/>
      <c r="L140" s="33"/>
      <c r="M140" s="6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</row>
    <row r="141" spans="1:31" ht="14.25" customHeight="1">
      <c r="A141" s="1"/>
      <c r="B141" s="33"/>
      <c r="C141" s="33"/>
      <c r="D141" s="33"/>
      <c r="E141" s="33"/>
      <c r="F141" s="33"/>
      <c r="G141" s="33"/>
      <c r="H141" s="34"/>
      <c r="I141" s="55"/>
      <c r="J141" s="55"/>
      <c r="K141" s="33"/>
      <c r="L141" s="33"/>
      <c r="M141" s="6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</row>
    <row r="142" spans="1:31" ht="14.25" customHeight="1">
      <c r="A142" s="1"/>
      <c r="B142" s="33"/>
      <c r="C142" s="33"/>
      <c r="D142" s="33"/>
      <c r="E142" s="33"/>
      <c r="F142" s="33"/>
      <c r="G142" s="33"/>
      <c r="H142" s="34"/>
      <c r="I142" s="55"/>
      <c r="J142" s="55"/>
      <c r="K142" s="33"/>
      <c r="L142" s="33"/>
      <c r="M142" s="6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</row>
    <row r="143" spans="1:31" ht="14.25" customHeight="1">
      <c r="A143" s="1"/>
      <c r="B143" s="33"/>
      <c r="C143" s="33"/>
      <c r="D143" s="33"/>
      <c r="E143" s="33"/>
      <c r="F143" s="33"/>
      <c r="G143" s="33"/>
      <c r="H143" s="34"/>
      <c r="I143" s="55"/>
      <c r="J143" s="55"/>
      <c r="K143" s="33"/>
      <c r="L143" s="33"/>
      <c r="M143" s="6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</row>
    <row r="144" spans="1:31" ht="14.25" customHeight="1">
      <c r="A144" s="1"/>
      <c r="B144" s="33"/>
      <c r="C144" s="33"/>
      <c r="D144" s="33"/>
      <c r="E144" s="33"/>
      <c r="F144" s="33"/>
      <c r="G144" s="33"/>
      <c r="H144" s="34"/>
      <c r="I144" s="55"/>
      <c r="J144" s="55"/>
      <c r="K144" s="33"/>
      <c r="L144" s="33"/>
      <c r="M144" s="6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</row>
    <row r="145" spans="1:31" ht="14.25" customHeight="1">
      <c r="A145" s="1"/>
      <c r="B145" s="33"/>
      <c r="C145" s="33"/>
      <c r="D145" s="33"/>
      <c r="E145" s="33"/>
      <c r="F145" s="33"/>
      <c r="G145" s="33"/>
      <c r="H145" s="34"/>
      <c r="I145" s="55"/>
      <c r="J145" s="55"/>
      <c r="K145" s="33"/>
      <c r="L145" s="33"/>
      <c r="M145" s="6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</row>
    <row r="146" spans="1:31" ht="14.25" customHeight="1">
      <c r="A146" s="1"/>
      <c r="B146" s="33"/>
      <c r="C146" s="33"/>
      <c r="D146" s="33"/>
      <c r="E146" s="33"/>
      <c r="F146" s="33"/>
      <c r="G146" s="33"/>
      <c r="H146" s="34"/>
      <c r="I146" s="55"/>
      <c r="J146" s="55"/>
      <c r="K146" s="33"/>
      <c r="L146" s="33"/>
      <c r="M146" s="6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</row>
    <row r="147" spans="1:31" ht="14.25" customHeight="1">
      <c r="A147" s="1"/>
      <c r="B147" s="33"/>
      <c r="C147" s="33"/>
      <c r="D147" s="33"/>
      <c r="E147" s="33"/>
      <c r="F147" s="33"/>
      <c r="G147" s="33"/>
      <c r="H147" s="34"/>
      <c r="I147" s="55"/>
      <c r="J147" s="55"/>
      <c r="K147" s="33"/>
      <c r="L147" s="33"/>
      <c r="M147" s="6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</row>
    <row r="148" spans="1:31" ht="14.25" customHeight="1">
      <c r="A148" s="1"/>
      <c r="B148" s="33"/>
      <c r="C148" s="33"/>
      <c r="D148" s="33"/>
      <c r="E148" s="33"/>
      <c r="F148" s="33"/>
      <c r="G148" s="33"/>
      <c r="H148" s="34"/>
      <c r="I148" s="55"/>
      <c r="J148" s="55"/>
      <c r="K148" s="33"/>
      <c r="L148" s="33"/>
      <c r="M148" s="6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</row>
    <row r="149" spans="1:31" ht="14.25" customHeight="1">
      <c r="A149" s="1"/>
      <c r="B149" s="33"/>
      <c r="C149" s="33"/>
      <c r="D149" s="33"/>
      <c r="E149" s="33"/>
      <c r="F149" s="33"/>
      <c r="G149" s="33"/>
      <c r="H149" s="34"/>
      <c r="I149" s="55"/>
      <c r="J149" s="55"/>
      <c r="K149" s="33"/>
      <c r="L149" s="33"/>
      <c r="M149" s="6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</row>
    <row r="150" spans="1:31" ht="14.25" customHeight="1">
      <c r="A150" s="1"/>
      <c r="B150" s="33"/>
      <c r="C150" s="33"/>
      <c r="D150" s="33"/>
      <c r="E150" s="33"/>
      <c r="F150" s="33"/>
      <c r="G150" s="33"/>
      <c r="H150" s="34"/>
      <c r="I150" s="55"/>
      <c r="J150" s="55"/>
      <c r="K150" s="33"/>
      <c r="L150" s="33"/>
      <c r="M150" s="6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</row>
    <row r="151" spans="1:31" ht="14.25" customHeight="1">
      <c r="A151" s="1"/>
      <c r="B151" s="33"/>
      <c r="C151" s="33"/>
      <c r="D151" s="33"/>
      <c r="E151" s="33"/>
      <c r="F151" s="33"/>
      <c r="G151" s="33"/>
      <c r="H151" s="34"/>
      <c r="I151" s="55"/>
      <c r="J151" s="55"/>
      <c r="K151" s="33"/>
      <c r="L151" s="33"/>
      <c r="M151" s="6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</row>
    <row r="152" spans="1:31" ht="14.25" customHeight="1">
      <c r="A152" s="1"/>
      <c r="B152" s="33"/>
      <c r="C152" s="33"/>
      <c r="D152" s="33"/>
      <c r="E152" s="33"/>
      <c r="F152" s="33"/>
      <c r="G152" s="33"/>
      <c r="H152" s="34"/>
      <c r="I152" s="55"/>
      <c r="J152" s="55"/>
      <c r="K152" s="33"/>
      <c r="L152" s="33"/>
      <c r="M152" s="6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</row>
    <row r="153" spans="1:31" ht="14.25" customHeight="1">
      <c r="A153" s="1"/>
      <c r="B153" s="33"/>
      <c r="C153" s="33"/>
      <c r="D153" s="33"/>
      <c r="E153" s="33"/>
      <c r="F153" s="33"/>
      <c r="G153" s="33"/>
      <c r="H153" s="34"/>
      <c r="I153" s="55"/>
      <c r="J153" s="55"/>
      <c r="K153" s="33"/>
      <c r="L153" s="33"/>
      <c r="M153" s="6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</row>
    <row r="154" spans="1:31" ht="14.25" customHeight="1">
      <c r="A154" s="1"/>
      <c r="B154" s="33"/>
      <c r="C154" s="33"/>
      <c r="D154" s="33"/>
      <c r="E154" s="33"/>
      <c r="F154" s="33"/>
      <c r="G154" s="33"/>
      <c r="H154" s="34"/>
      <c r="I154" s="55"/>
      <c r="J154" s="55"/>
      <c r="K154" s="33"/>
      <c r="L154" s="33"/>
      <c r="M154" s="6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</row>
    <row r="155" spans="1:31" ht="14.25" customHeight="1">
      <c r="A155" s="1"/>
      <c r="B155" s="33"/>
      <c r="C155" s="33"/>
      <c r="D155" s="33"/>
      <c r="E155" s="33"/>
      <c r="F155" s="33"/>
      <c r="G155" s="33"/>
      <c r="H155" s="34"/>
      <c r="I155" s="55"/>
      <c r="J155" s="55"/>
      <c r="K155" s="33"/>
      <c r="L155" s="33"/>
      <c r="M155" s="6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</row>
    <row r="156" spans="1:31" ht="14.25" customHeight="1">
      <c r="A156" s="1"/>
      <c r="B156" s="33"/>
      <c r="C156" s="33"/>
      <c r="D156" s="33"/>
      <c r="E156" s="33"/>
      <c r="F156" s="33"/>
      <c r="G156" s="33"/>
      <c r="H156" s="34"/>
      <c r="I156" s="55"/>
      <c r="J156" s="55"/>
      <c r="K156" s="33"/>
      <c r="L156" s="33"/>
      <c r="M156" s="6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</row>
    <row r="157" spans="1:31" ht="14.25" customHeight="1">
      <c r="A157" s="1"/>
      <c r="B157" s="33"/>
      <c r="C157" s="33"/>
      <c r="D157" s="33"/>
      <c r="E157" s="33"/>
      <c r="F157" s="33"/>
      <c r="G157" s="33"/>
      <c r="H157" s="34"/>
      <c r="I157" s="55"/>
      <c r="J157" s="55"/>
      <c r="K157" s="33"/>
      <c r="L157" s="33"/>
      <c r="M157" s="6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</row>
    <row r="158" spans="1:31" ht="14.25" customHeight="1">
      <c r="A158" s="1"/>
      <c r="B158" s="33"/>
      <c r="C158" s="33"/>
      <c r="D158" s="33"/>
      <c r="E158" s="33"/>
      <c r="F158" s="33"/>
      <c r="G158" s="33"/>
      <c r="H158" s="34"/>
      <c r="I158" s="55"/>
      <c r="J158" s="55"/>
      <c r="K158" s="33"/>
      <c r="L158" s="33"/>
      <c r="M158" s="6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</row>
    <row r="159" spans="1:31" ht="14.25" customHeight="1">
      <c r="A159" s="1"/>
      <c r="B159" s="33"/>
      <c r="C159" s="33"/>
      <c r="D159" s="33"/>
      <c r="E159" s="33"/>
      <c r="F159" s="33"/>
      <c r="G159" s="33"/>
      <c r="H159" s="34"/>
      <c r="I159" s="55"/>
      <c r="J159" s="55"/>
      <c r="K159" s="33"/>
      <c r="L159" s="33"/>
      <c r="M159" s="6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</row>
    <row r="160" spans="1:31" ht="14.25" customHeight="1">
      <c r="A160" s="1"/>
      <c r="B160" s="33"/>
      <c r="C160" s="33"/>
      <c r="D160" s="33"/>
      <c r="E160" s="33"/>
      <c r="F160" s="33"/>
      <c r="G160" s="33"/>
      <c r="H160" s="34"/>
      <c r="I160" s="55"/>
      <c r="J160" s="55"/>
      <c r="K160" s="33"/>
      <c r="L160" s="33"/>
      <c r="M160" s="6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</row>
    <row r="161" spans="1:31" ht="14.25" customHeight="1">
      <c r="A161" s="1"/>
      <c r="B161" s="33"/>
      <c r="C161" s="33"/>
      <c r="D161" s="33"/>
      <c r="E161" s="33"/>
      <c r="F161" s="33"/>
      <c r="G161" s="33"/>
      <c r="H161" s="34"/>
      <c r="I161" s="55"/>
      <c r="J161" s="55"/>
      <c r="K161" s="33"/>
      <c r="L161" s="33"/>
      <c r="M161" s="6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</row>
    <row r="162" spans="1:31" ht="14.25" customHeight="1">
      <c r="A162" s="1"/>
      <c r="B162" s="33"/>
      <c r="C162" s="33"/>
      <c r="D162" s="33"/>
      <c r="E162" s="33"/>
      <c r="F162" s="33"/>
      <c r="G162" s="33"/>
      <c r="H162" s="34"/>
      <c r="I162" s="55"/>
      <c r="J162" s="55"/>
      <c r="K162" s="33"/>
      <c r="L162" s="33"/>
      <c r="M162" s="6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</row>
    <row r="163" spans="1:31" ht="14.25" customHeight="1">
      <c r="A163" s="1"/>
      <c r="B163" s="33"/>
      <c r="C163" s="33"/>
      <c r="D163" s="33"/>
      <c r="E163" s="33"/>
      <c r="F163" s="33"/>
      <c r="G163" s="33"/>
      <c r="H163" s="34"/>
      <c r="I163" s="55"/>
      <c r="J163" s="55"/>
      <c r="K163" s="33"/>
      <c r="L163" s="33"/>
      <c r="M163" s="6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</row>
    <row r="164" spans="1:31" ht="14.25" customHeight="1">
      <c r="A164" s="1"/>
      <c r="B164" s="33"/>
      <c r="C164" s="33"/>
      <c r="D164" s="33"/>
      <c r="E164" s="33"/>
      <c r="F164" s="33"/>
      <c r="G164" s="33"/>
      <c r="H164" s="34"/>
      <c r="I164" s="55"/>
      <c r="J164" s="55"/>
      <c r="K164" s="33"/>
      <c r="L164" s="33"/>
      <c r="M164" s="6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</row>
    <row r="165" spans="1:31" ht="14.25" customHeight="1">
      <c r="A165" s="1"/>
      <c r="B165" s="33"/>
      <c r="C165" s="33"/>
      <c r="D165" s="33"/>
      <c r="E165" s="33"/>
      <c r="F165" s="33"/>
      <c r="G165" s="33"/>
      <c r="H165" s="34"/>
      <c r="I165" s="55"/>
      <c r="J165" s="55"/>
      <c r="K165" s="33"/>
      <c r="L165" s="33"/>
      <c r="M165" s="6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</row>
    <row r="166" spans="1:31" ht="14.25" customHeight="1">
      <c r="A166" s="1"/>
      <c r="B166" s="33"/>
      <c r="C166" s="33"/>
      <c r="D166" s="33"/>
      <c r="E166" s="33"/>
      <c r="F166" s="33"/>
      <c r="G166" s="33"/>
      <c r="H166" s="34"/>
      <c r="I166" s="55"/>
      <c r="J166" s="55"/>
      <c r="K166" s="33"/>
      <c r="L166" s="33"/>
      <c r="M166" s="6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</row>
    <row r="167" spans="1:31" ht="14.25" customHeight="1">
      <c r="A167" s="1"/>
      <c r="B167" s="33"/>
      <c r="C167" s="33"/>
      <c r="D167" s="33"/>
      <c r="E167" s="33"/>
      <c r="F167" s="33"/>
      <c r="G167" s="33"/>
      <c r="H167" s="34"/>
      <c r="I167" s="55"/>
      <c r="J167" s="55"/>
      <c r="K167" s="33"/>
      <c r="L167" s="33"/>
      <c r="M167" s="6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</row>
    <row r="168" spans="1:31" ht="14.25" customHeight="1">
      <c r="A168" s="1"/>
      <c r="B168" s="33"/>
      <c r="C168" s="33"/>
      <c r="D168" s="33"/>
      <c r="E168" s="33"/>
      <c r="F168" s="33"/>
      <c r="G168" s="33"/>
      <c r="H168" s="34"/>
      <c r="I168" s="55"/>
      <c r="J168" s="55"/>
      <c r="K168" s="33"/>
      <c r="L168" s="33"/>
      <c r="M168" s="6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</row>
    <row r="169" spans="1:31" ht="14.25" customHeight="1">
      <c r="A169" s="1"/>
      <c r="B169" s="33"/>
      <c r="C169" s="33"/>
      <c r="D169" s="33"/>
      <c r="E169" s="33"/>
      <c r="F169" s="33"/>
      <c r="G169" s="33"/>
      <c r="H169" s="34"/>
      <c r="I169" s="55"/>
      <c r="J169" s="55"/>
      <c r="K169" s="33"/>
      <c r="L169" s="33"/>
      <c r="M169" s="6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</row>
    <row r="170" spans="1:31" ht="14.25" customHeight="1">
      <c r="A170" s="1"/>
      <c r="B170" s="33"/>
      <c r="C170" s="33"/>
      <c r="D170" s="33"/>
      <c r="E170" s="33"/>
      <c r="F170" s="33"/>
      <c r="G170" s="33"/>
      <c r="H170" s="34"/>
      <c r="I170" s="55"/>
      <c r="J170" s="55"/>
      <c r="K170" s="33"/>
      <c r="L170" s="33"/>
      <c r="M170" s="6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</row>
    <row r="171" spans="1:31" ht="14.25" customHeight="1">
      <c r="A171" s="1"/>
      <c r="B171" s="33"/>
      <c r="C171" s="33"/>
      <c r="D171" s="33"/>
      <c r="E171" s="33"/>
      <c r="F171" s="33"/>
      <c r="G171" s="33"/>
      <c r="H171" s="34"/>
      <c r="I171" s="55"/>
      <c r="J171" s="55"/>
      <c r="K171" s="33"/>
      <c r="L171" s="33"/>
      <c r="M171" s="6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</row>
    <row r="172" spans="1:31" ht="14.25" customHeight="1">
      <c r="A172" s="1"/>
      <c r="B172" s="33"/>
      <c r="C172" s="33"/>
      <c r="D172" s="33"/>
      <c r="E172" s="33"/>
      <c r="F172" s="33"/>
      <c r="G172" s="33"/>
      <c r="H172" s="34"/>
      <c r="I172" s="55"/>
      <c r="J172" s="55"/>
      <c r="K172" s="33"/>
      <c r="L172" s="33"/>
      <c r="M172" s="6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</row>
    <row r="173" spans="1:31" ht="14.25" customHeight="1">
      <c r="A173" s="1"/>
      <c r="B173" s="33"/>
      <c r="C173" s="33"/>
      <c r="D173" s="33"/>
      <c r="E173" s="33"/>
      <c r="F173" s="33"/>
      <c r="G173" s="33"/>
      <c r="H173" s="34"/>
      <c r="I173" s="55"/>
      <c r="J173" s="55"/>
      <c r="K173" s="33"/>
      <c r="L173" s="33"/>
      <c r="M173" s="6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</row>
    <row r="174" spans="1:31" ht="14.25" customHeight="1">
      <c r="A174" s="1"/>
      <c r="B174" s="33"/>
      <c r="C174" s="33"/>
      <c r="D174" s="33"/>
      <c r="E174" s="33"/>
      <c r="F174" s="33"/>
      <c r="G174" s="33"/>
      <c r="H174" s="34"/>
      <c r="I174" s="55"/>
      <c r="J174" s="55"/>
      <c r="K174" s="33"/>
      <c r="L174" s="33"/>
      <c r="M174" s="6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</row>
    <row r="175" spans="1:31" ht="14.25" customHeight="1">
      <c r="A175" s="1"/>
      <c r="B175" s="33"/>
      <c r="C175" s="33"/>
      <c r="D175" s="33"/>
      <c r="E175" s="33"/>
      <c r="F175" s="33"/>
      <c r="G175" s="33"/>
      <c r="H175" s="34"/>
      <c r="I175" s="55"/>
      <c r="J175" s="55"/>
      <c r="K175" s="33"/>
      <c r="L175" s="33"/>
      <c r="M175" s="6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</row>
    <row r="176" spans="1:31" ht="14.25" customHeight="1">
      <c r="A176" s="1"/>
      <c r="B176" s="33"/>
      <c r="C176" s="33"/>
      <c r="D176" s="33"/>
      <c r="E176" s="33"/>
      <c r="F176" s="33"/>
      <c r="G176" s="33"/>
      <c r="H176" s="34"/>
      <c r="I176" s="55"/>
      <c r="J176" s="55"/>
      <c r="K176" s="33"/>
      <c r="L176" s="33"/>
      <c r="M176" s="6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</row>
    <row r="177" spans="1:31" ht="14.25" customHeight="1">
      <c r="A177" s="1"/>
      <c r="B177" s="33"/>
      <c r="C177" s="33"/>
      <c r="D177" s="33"/>
      <c r="E177" s="33"/>
      <c r="F177" s="33"/>
      <c r="G177" s="33"/>
      <c r="H177" s="34"/>
      <c r="I177" s="55"/>
      <c r="J177" s="55"/>
      <c r="K177" s="33"/>
      <c r="L177" s="33"/>
      <c r="M177" s="6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</row>
    <row r="178" spans="1:31" ht="14.25" customHeight="1">
      <c r="A178" s="1"/>
      <c r="B178" s="33"/>
      <c r="C178" s="33"/>
      <c r="D178" s="33"/>
      <c r="E178" s="33"/>
      <c r="F178" s="33"/>
      <c r="G178" s="33"/>
      <c r="H178" s="34"/>
      <c r="I178" s="55"/>
      <c r="J178" s="55"/>
      <c r="K178" s="33"/>
      <c r="L178" s="33"/>
      <c r="M178" s="6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</row>
    <row r="179" spans="1:31" ht="14.25" customHeight="1">
      <c r="A179" s="1"/>
      <c r="B179" s="33"/>
      <c r="C179" s="33"/>
      <c r="D179" s="33"/>
      <c r="E179" s="33"/>
      <c r="F179" s="33"/>
      <c r="G179" s="33"/>
      <c r="H179" s="34"/>
      <c r="I179" s="55"/>
      <c r="J179" s="55"/>
      <c r="K179" s="33"/>
      <c r="L179" s="33"/>
      <c r="M179" s="6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</row>
    <row r="180" spans="1:31" ht="14.25" customHeight="1">
      <c r="A180" s="1"/>
      <c r="B180" s="33"/>
      <c r="C180" s="33"/>
      <c r="D180" s="33"/>
      <c r="E180" s="33"/>
      <c r="F180" s="33"/>
      <c r="G180" s="33"/>
      <c r="H180" s="34"/>
      <c r="I180" s="55"/>
      <c r="J180" s="55"/>
      <c r="K180" s="33"/>
      <c r="L180" s="33"/>
      <c r="M180" s="6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</row>
    <row r="181" spans="1:31" ht="14.25" customHeight="1">
      <c r="A181" s="1"/>
      <c r="B181" s="33"/>
      <c r="C181" s="33"/>
      <c r="D181" s="33"/>
      <c r="E181" s="33"/>
      <c r="F181" s="33"/>
      <c r="G181" s="33"/>
      <c r="H181" s="34"/>
      <c r="I181" s="55"/>
      <c r="J181" s="55"/>
      <c r="K181" s="33"/>
      <c r="L181" s="33"/>
      <c r="M181" s="6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</row>
    <row r="182" spans="1:31" ht="14.25" customHeight="1">
      <c r="A182" s="1"/>
      <c r="B182" s="33"/>
      <c r="C182" s="33"/>
      <c r="D182" s="33"/>
      <c r="E182" s="33"/>
      <c r="F182" s="33"/>
      <c r="G182" s="33"/>
      <c r="H182" s="34"/>
      <c r="I182" s="55"/>
      <c r="J182" s="55"/>
      <c r="K182" s="33"/>
      <c r="L182" s="33"/>
      <c r="M182" s="6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</row>
    <row r="183" spans="1:31" ht="14.25" customHeight="1">
      <c r="A183" s="1"/>
      <c r="B183" s="33"/>
      <c r="C183" s="33"/>
      <c r="D183" s="33"/>
      <c r="E183" s="33"/>
      <c r="F183" s="33"/>
      <c r="G183" s="33"/>
      <c r="H183" s="34"/>
      <c r="I183" s="55"/>
      <c r="J183" s="55"/>
      <c r="K183" s="33"/>
      <c r="L183" s="33"/>
      <c r="M183" s="6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</row>
    <row r="184" spans="1:31" ht="14.25" customHeight="1">
      <c r="A184" s="1"/>
      <c r="B184" s="33"/>
      <c r="C184" s="33"/>
      <c r="D184" s="33"/>
      <c r="E184" s="33"/>
      <c r="F184" s="33"/>
      <c r="G184" s="33"/>
      <c r="H184" s="34"/>
      <c r="I184" s="55"/>
      <c r="J184" s="55"/>
      <c r="K184" s="33"/>
      <c r="L184" s="33"/>
      <c r="M184" s="6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</row>
    <row r="185" spans="1:31" ht="14.25" customHeight="1">
      <c r="A185" s="1"/>
      <c r="B185" s="33"/>
      <c r="C185" s="33"/>
      <c r="D185" s="33"/>
      <c r="E185" s="33"/>
      <c r="F185" s="33"/>
      <c r="G185" s="33"/>
      <c r="H185" s="34"/>
      <c r="I185" s="55"/>
      <c r="J185" s="55"/>
      <c r="K185" s="33"/>
      <c r="L185" s="33"/>
      <c r="M185" s="6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</row>
    <row r="186" spans="1:31" ht="14.25" customHeight="1">
      <c r="A186" s="1"/>
      <c r="B186" s="33"/>
      <c r="C186" s="33"/>
      <c r="D186" s="33"/>
      <c r="E186" s="33"/>
      <c r="F186" s="33"/>
      <c r="G186" s="33"/>
      <c r="H186" s="34"/>
      <c r="I186" s="55"/>
      <c r="J186" s="55"/>
      <c r="K186" s="33"/>
      <c r="L186" s="33"/>
      <c r="M186" s="6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</row>
    <row r="187" spans="1:31" ht="14.25" customHeight="1">
      <c r="A187" s="1"/>
      <c r="B187" s="33"/>
      <c r="C187" s="33"/>
      <c r="D187" s="33"/>
      <c r="E187" s="33"/>
      <c r="F187" s="33"/>
      <c r="G187" s="33"/>
      <c r="H187" s="34"/>
      <c r="I187" s="55"/>
      <c r="J187" s="55"/>
      <c r="K187" s="33"/>
      <c r="L187" s="33"/>
      <c r="M187" s="6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</row>
    <row r="188" spans="1:31" ht="14.25" customHeight="1">
      <c r="A188" s="1"/>
      <c r="B188" s="33"/>
      <c r="C188" s="33"/>
      <c r="D188" s="33"/>
      <c r="E188" s="33"/>
      <c r="F188" s="33"/>
      <c r="G188" s="33"/>
      <c r="H188" s="34"/>
      <c r="I188" s="55"/>
      <c r="J188" s="55"/>
      <c r="K188" s="33"/>
      <c r="L188" s="33"/>
      <c r="M188" s="6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</row>
    <row r="189" spans="1:31" ht="14.25" customHeight="1">
      <c r="A189" s="1"/>
      <c r="B189" s="33"/>
      <c r="C189" s="33"/>
      <c r="D189" s="33"/>
      <c r="E189" s="33"/>
      <c r="F189" s="33"/>
      <c r="G189" s="33"/>
      <c r="H189" s="34"/>
      <c r="I189" s="55"/>
      <c r="J189" s="55"/>
      <c r="K189" s="33"/>
      <c r="L189" s="33"/>
      <c r="M189" s="6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</row>
    <row r="190" spans="1:31" ht="14.25" customHeight="1">
      <c r="A190" s="1"/>
      <c r="B190" s="33"/>
      <c r="C190" s="33"/>
      <c r="D190" s="33"/>
      <c r="E190" s="33"/>
      <c r="F190" s="33"/>
      <c r="G190" s="33"/>
      <c r="H190" s="34"/>
      <c r="I190" s="55"/>
      <c r="J190" s="55"/>
      <c r="K190" s="33"/>
      <c r="L190" s="33"/>
      <c r="M190" s="6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</row>
    <row r="191" spans="1:31" ht="14.25" customHeight="1">
      <c r="A191" s="1"/>
      <c r="B191" s="33"/>
      <c r="C191" s="33"/>
      <c r="D191" s="33"/>
      <c r="E191" s="33"/>
      <c r="F191" s="33"/>
      <c r="G191" s="33"/>
      <c r="H191" s="34"/>
      <c r="I191" s="55"/>
      <c r="J191" s="55"/>
      <c r="K191" s="33"/>
      <c r="L191" s="33"/>
      <c r="M191" s="6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</row>
    <row r="192" spans="1:31" ht="14.25" customHeight="1">
      <c r="A192" s="1"/>
      <c r="B192" s="33"/>
      <c r="C192" s="33"/>
      <c r="D192" s="33"/>
      <c r="E192" s="33"/>
      <c r="F192" s="33"/>
      <c r="G192" s="33"/>
      <c r="H192" s="34"/>
      <c r="I192" s="55"/>
      <c r="J192" s="55"/>
      <c r="K192" s="33"/>
      <c r="L192" s="33"/>
      <c r="M192" s="6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</row>
    <row r="193" spans="1:31" ht="14.25" customHeight="1">
      <c r="A193" s="1"/>
      <c r="B193" s="33"/>
      <c r="C193" s="33"/>
      <c r="D193" s="33"/>
      <c r="E193" s="33"/>
      <c r="F193" s="33"/>
      <c r="G193" s="33"/>
      <c r="H193" s="34"/>
      <c r="I193" s="55"/>
      <c r="J193" s="55"/>
      <c r="K193" s="33"/>
      <c r="L193" s="33"/>
      <c r="M193" s="6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</row>
    <row r="194" spans="1:31" ht="14.25" customHeight="1">
      <c r="A194" s="1"/>
      <c r="B194" s="33"/>
      <c r="C194" s="33"/>
      <c r="D194" s="33"/>
      <c r="E194" s="33"/>
      <c r="F194" s="33"/>
      <c r="G194" s="33"/>
      <c r="H194" s="34"/>
      <c r="I194" s="55"/>
      <c r="J194" s="55"/>
      <c r="K194" s="33"/>
      <c r="L194" s="33"/>
      <c r="M194" s="6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</row>
    <row r="195" spans="1:31" ht="14.25" customHeight="1">
      <c r="A195" s="1"/>
      <c r="B195" s="33"/>
      <c r="C195" s="33"/>
      <c r="D195" s="33"/>
      <c r="E195" s="33"/>
      <c r="F195" s="33"/>
      <c r="G195" s="33"/>
      <c r="H195" s="34"/>
      <c r="I195" s="55"/>
      <c r="J195" s="55"/>
      <c r="K195" s="33"/>
      <c r="L195" s="33"/>
      <c r="M195" s="6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</row>
    <row r="196" spans="1:31" ht="14.25" customHeight="1">
      <c r="A196" s="1"/>
      <c r="B196" s="33"/>
      <c r="C196" s="33"/>
      <c r="D196" s="33"/>
      <c r="E196" s="33"/>
      <c r="F196" s="33"/>
      <c r="G196" s="33"/>
      <c r="H196" s="34"/>
      <c r="I196" s="55"/>
      <c r="J196" s="55"/>
      <c r="K196" s="33"/>
      <c r="L196" s="33"/>
      <c r="M196" s="6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</row>
    <row r="197" spans="1:31" ht="14.25" customHeight="1">
      <c r="A197" s="1"/>
      <c r="B197" s="33"/>
      <c r="C197" s="33"/>
      <c r="D197" s="33"/>
      <c r="E197" s="33"/>
      <c r="F197" s="33"/>
      <c r="G197" s="33"/>
      <c r="H197" s="34"/>
      <c r="I197" s="55"/>
      <c r="J197" s="55"/>
      <c r="K197" s="33"/>
      <c r="L197" s="33"/>
      <c r="M197" s="6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</row>
    <row r="198" spans="1:31" ht="14.25" customHeight="1">
      <c r="A198" s="1"/>
      <c r="B198" s="33"/>
      <c r="C198" s="33"/>
      <c r="D198" s="33"/>
      <c r="E198" s="33"/>
      <c r="F198" s="33"/>
      <c r="G198" s="33"/>
      <c r="H198" s="34"/>
      <c r="I198" s="55"/>
      <c r="J198" s="55"/>
      <c r="K198" s="33"/>
      <c r="L198" s="33"/>
      <c r="M198" s="6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</row>
    <row r="199" spans="1:31" ht="14.25" customHeight="1">
      <c r="A199" s="1"/>
      <c r="B199" s="33"/>
      <c r="C199" s="33"/>
      <c r="D199" s="33"/>
      <c r="E199" s="33"/>
      <c r="F199" s="33"/>
      <c r="G199" s="33"/>
      <c r="H199" s="34"/>
      <c r="I199" s="55"/>
      <c r="J199" s="55"/>
      <c r="K199" s="33"/>
      <c r="L199" s="33"/>
      <c r="M199" s="6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</row>
    <row r="200" spans="1:31" ht="14.25" customHeight="1">
      <c r="A200" s="1"/>
      <c r="B200" s="33"/>
      <c r="C200" s="33"/>
      <c r="D200" s="33"/>
      <c r="E200" s="33"/>
      <c r="F200" s="33"/>
      <c r="G200" s="33"/>
      <c r="H200" s="34"/>
      <c r="I200" s="55"/>
      <c r="J200" s="55"/>
      <c r="K200" s="33"/>
      <c r="L200" s="33"/>
      <c r="M200" s="6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</row>
    <row r="201" spans="1:31" ht="14.25" customHeight="1">
      <c r="A201" s="1"/>
      <c r="B201" s="33"/>
      <c r="C201" s="33"/>
      <c r="D201" s="33"/>
      <c r="E201" s="33"/>
      <c r="F201" s="33"/>
      <c r="G201" s="33"/>
      <c r="H201" s="34"/>
      <c r="I201" s="55"/>
      <c r="J201" s="55"/>
      <c r="K201" s="33"/>
      <c r="L201" s="33"/>
      <c r="M201" s="6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</row>
    <row r="202" spans="1:31" ht="14.25" customHeight="1">
      <c r="A202" s="1"/>
      <c r="B202" s="33"/>
      <c r="C202" s="33"/>
      <c r="D202" s="33"/>
      <c r="E202" s="33"/>
      <c r="F202" s="33"/>
      <c r="G202" s="33"/>
      <c r="H202" s="34"/>
      <c r="I202" s="55"/>
      <c r="J202" s="55"/>
      <c r="K202" s="33"/>
      <c r="L202" s="33"/>
      <c r="M202" s="6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</row>
    <row r="203" spans="1:31" ht="14.25" customHeight="1">
      <c r="A203" s="1"/>
      <c r="B203" s="33"/>
      <c r="C203" s="33"/>
      <c r="D203" s="33"/>
      <c r="E203" s="33"/>
      <c r="F203" s="33"/>
      <c r="G203" s="33"/>
      <c r="H203" s="34"/>
      <c r="I203" s="55"/>
      <c r="J203" s="55"/>
      <c r="K203" s="33"/>
      <c r="L203" s="33"/>
      <c r="M203" s="6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</row>
    <row r="204" spans="1:31" ht="14.25" customHeight="1">
      <c r="A204" s="1"/>
      <c r="B204" s="33"/>
      <c r="C204" s="33"/>
      <c r="D204" s="33"/>
      <c r="E204" s="33"/>
      <c r="F204" s="33"/>
      <c r="G204" s="33"/>
      <c r="H204" s="34"/>
      <c r="I204" s="55"/>
      <c r="J204" s="55"/>
      <c r="K204" s="33"/>
      <c r="L204" s="33"/>
      <c r="M204" s="6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</row>
    <row r="205" spans="1:31" ht="14.25" customHeight="1">
      <c r="A205" s="1"/>
      <c r="B205" s="33"/>
      <c r="C205" s="33"/>
      <c r="D205" s="33"/>
      <c r="E205" s="33"/>
      <c r="F205" s="33"/>
      <c r="G205" s="33"/>
      <c r="H205" s="34"/>
      <c r="I205" s="55"/>
      <c r="J205" s="55"/>
      <c r="K205" s="33"/>
      <c r="L205" s="33"/>
      <c r="M205" s="6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</row>
    <row r="206" spans="1:31" ht="14.25" customHeight="1">
      <c r="A206" s="1"/>
      <c r="B206" s="33"/>
      <c r="C206" s="33"/>
      <c r="D206" s="33"/>
      <c r="E206" s="33"/>
      <c r="F206" s="33"/>
      <c r="G206" s="33"/>
      <c r="H206" s="34"/>
      <c r="I206" s="55"/>
      <c r="J206" s="55"/>
      <c r="K206" s="33"/>
      <c r="L206" s="33"/>
      <c r="M206" s="6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</row>
    <row r="207" spans="1:31" ht="14.25" customHeight="1">
      <c r="A207" s="1"/>
      <c r="B207" s="33"/>
      <c r="C207" s="33"/>
      <c r="D207" s="33"/>
      <c r="E207" s="33"/>
      <c r="F207" s="33"/>
      <c r="G207" s="33"/>
      <c r="H207" s="34"/>
      <c r="I207" s="55"/>
      <c r="J207" s="55"/>
      <c r="K207" s="33"/>
      <c r="L207" s="33"/>
      <c r="M207" s="6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</row>
    <row r="208" spans="1:31" ht="14.25" customHeight="1">
      <c r="A208" s="1"/>
      <c r="B208" s="33"/>
      <c r="C208" s="33"/>
      <c r="D208" s="33"/>
      <c r="E208" s="33"/>
      <c r="F208" s="33"/>
      <c r="G208" s="33"/>
      <c r="H208" s="34"/>
      <c r="I208" s="55"/>
      <c r="J208" s="55"/>
      <c r="K208" s="33"/>
      <c r="L208" s="33"/>
      <c r="M208" s="6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</row>
    <row r="209" spans="1:31" ht="14.25" customHeight="1">
      <c r="A209" s="1"/>
      <c r="B209" s="33"/>
      <c r="C209" s="33"/>
      <c r="D209" s="33"/>
      <c r="E209" s="33"/>
      <c r="F209" s="33"/>
      <c r="G209" s="33"/>
      <c r="H209" s="34"/>
      <c r="I209" s="55"/>
      <c r="J209" s="55"/>
      <c r="K209" s="33"/>
      <c r="L209" s="33"/>
      <c r="M209" s="6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</row>
    <row r="210" spans="1:31" ht="14.25" customHeight="1">
      <c r="A210" s="1"/>
      <c r="B210" s="33"/>
      <c r="C210" s="33"/>
      <c r="D210" s="33"/>
      <c r="E210" s="33"/>
      <c r="F210" s="33"/>
      <c r="G210" s="33"/>
      <c r="H210" s="34"/>
      <c r="I210" s="55"/>
      <c r="J210" s="55"/>
      <c r="K210" s="33"/>
      <c r="L210" s="33"/>
      <c r="M210" s="6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</row>
    <row r="211" spans="1:31" ht="14.25" customHeight="1">
      <c r="A211" s="1"/>
      <c r="B211" s="33"/>
      <c r="C211" s="33"/>
      <c r="D211" s="33"/>
      <c r="E211" s="33"/>
      <c r="F211" s="33"/>
      <c r="G211" s="33"/>
      <c r="H211" s="34"/>
      <c r="I211" s="55"/>
      <c r="J211" s="55"/>
      <c r="K211" s="33"/>
      <c r="L211" s="33"/>
      <c r="M211" s="6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</row>
    <row r="212" spans="1:31" ht="14.25" customHeight="1">
      <c r="A212" s="1"/>
      <c r="B212" s="33"/>
      <c r="C212" s="33"/>
      <c r="D212" s="33"/>
      <c r="E212" s="33"/>
      <c r="F212" s="33"/>
      <c r="G212" s="33"/>
      <c r="H212" s="34"/>
      <c r="I212" s="55"/>
      <c r="J212" s="55"/>
      <c r="K212" s="33"/>
      <c r="L212" s="33"/>
      <c r="M212" s="6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</row>
    <row r="213" spans="1:31" ht="14.25" customHeight="1">
      <c r="A213" s="1"/>
      <c r="B213" s="33"/>
      <c r="C213" s="33"/>
      <c r="D213" s="33"/>
      <c r="E213" s="33"/>
      <c r="F213" s="33"/>
      <c r="G213" s="33"/>
      <c r="H213" s="34"/>
      <c r="I213" s="55"/>
      <c r="J213" s="55"/>
      <c r="K213" s="33"/>
      <c r="L213" s="33"/>
      <c r="M213" s="6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</row>
    <row r="214" spans="1:31" ht="14.25" customHeight="1">
      <c r="A214" s="1"/>
      <c r="B214" s="33"/>
      <c r="C214" s="33"/>
      <c r="D214" s="33"/>
      <c r="E214" s="33"/>
      <c r="F214" s="33"/>
      <c r="G214" s="33"/>
      <c r="H214" s="34"/>
      <c r="I214" s="55"/>
      <c r="J214" s="55"/>
      <c r="K214" s="33"/>
      <c r="L214" s="33"/>
      <c r="M214" s="6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</row>
    <row r="215" spans="1:31" ht="14.25" customHeight="1">
      <c r="A215" s="1"/>
      <c r="B215" s="33"/>
      <c r="C215" s="33"/>
      <c r="D215" s="33"/>
      <c r="E215" s="33"/>
      <c r="F215" s="33"/>
      <c r="G215" s="33"/>
      <c r="H215" s="34"/>
      <c r="I215" s="55"/>
      <c r="J215" s="55"/>
      <c r="K215" s="33"/>
      <c r="L215" s="33"/>
      <c r="M215" s="6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</row>
    <row r="216" spans="1:31" ht="14.25" customHeight="1">
      <c r="A216" s="1"/>
      <c r="B216" s="33"/>
      <c r="C216" s="33"/>
      <c r="D216" s="33"/>
      <c r="E216" s="33"/>
      <c r="F216" s="33"/>
      <c r="G216" s="33"/>
      <c r="H216" s="34"/>
      <c r="I216" s="55"/>
      <c r="J216" s="55"/>
      <c r="K216" s="33"/>
      <c r="L216" s="33"/>
      <c r="M216" s="6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</row>
    <row r="217" spans="1:31" ht="14.25" customHeight="1">
      <c r="A217" s="1"/>
      <c r="B217" s="33"/>
      <c r="C217" s="33"/>
      <c r="D217" s="33"/>
      <c r="E217" s="33"/>
      <c r="F217" s="33"/>
      <c r="G217" s="33"/>
      <c r="H217" s="34"/>
      <c r="I217" s="55"/>
      <c r="J217" s="55"/>
      <c r="K217" s="33"/>
      <c r="L217" s="33"/>
      <c r="M217" s="6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</row>
    <row r="218" spans="1:31" ht="14.25" customHeight="1">
      <c r="A218" s="1"/>
      <c r="B218" s="33"/>
      <c r="C218" s="33"/>
      <c r="D218" s="33"/>
      <c r="E218" s="33"/>
      <c r="F218" s="33"/>
      <c r="G218" s="33"/>
      <c r="H218" s="34"/>
      <c r="I218" s="55"/>
      <c r="J218" s="55"/>
      <c r="K218" s="33"/>
      <c r="L218" s="33"/>
      <c r="M218" s="6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</row>
    <row r="219" spans="1:31" ht="14.25" customHeight="1">
      <c r="A219" s="1"/>
      <c r="B219" s="33"/>
      <c r="C219" s="33"/>
      <c r="D219" s="33"/>
      <c r="E219" s="33"/>
      <c r="F219" s="33"/>
      <c r="G219" s="33"/>
      <c r="H219" s="34"/>
      <c r="I219" s="55"/>
      <c r="J219" s="55"/>
      <c r="K219" s="33"/>
      <c r="L219" s="33"/>
      <c r="M219" s="6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</row>
    <row r="220" spans="1:31" ht="14.25" customHeight="1">
      <c r="A220" s="1"/>
      <c r="B220" s="33"/>
      <c r="C220" s="33"/>
      <c r="D220" s="33"/>
      <c r="E220" s="33"/>
      <c r="F220" s="33"/>
      <c r="G220" s="33"/>
      <c r="H220" s="34"/>
      <c r="I220" s="55"/>
      <c r="J220" s="55"/>
      <c r="K220" s="33"/>
      <c r="L220" s="33"/>
      <c r="M220" s="6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</row>
    <row r="221" spans="1:31" ht="14.25" customHeight="1">
      <c r="A221" s="1"/>
      <c r="B221" s="33"/>
      <c r="C221" s="33"/>
      <c r="D221" s="33"/>
      <c r="E221" s="33"/>
      <c r="F221" s="33"/>
      <c r="G221" s="33"/>
      <c r="H221" s="34"/>
      <c r="I221" s="55"/>
      <c r="J221" s="55"/>
      <c r="K221" s="33"/>
      <c r="L221" s="33"/>
      <c r="M221" s="6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</row>
    <row r="222" spans="1:31" ht="14.25" customHeight="1">
      <c r="A222" s="1"/>
      <c r="B222" s="33"/>
      <c r="C222" s="33"/>
      <c r="D222" s="33"/>
      <c r="E222" s="33"/>
      <c r="F222" s="33"/>
      <c r="G222" s="33"/>
      <c r="H222" s="34"/>
      <c r="I222" s="55"/>
      <c r="J222" s="55"/>
      <c r="K222" s="33"/>
      <c r="L222" s="33"/>
      <c r="M222" s="6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</row>
    <row r="223" spans="1:31" ht="14.25" customHeight="1">
      <c r="A223" s="1"/>
      <c r="B223" s="33"/>
      <c r="C223" s="33"/>
      <c r="D223" s="33"/>
      <c r="E223" s="33"/>
      <c r="F223" s="33"/>
      <c r="G223" s="33"/>
      <c r="H223" s="34"/>
      <c r="I223" s="55"/>
      <c r="J223" s="55"/>
      <c r="K223" s="33"/>
      <c r="L223" s="33"/>
      <c r="M223" s="6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</row>
    <row r="224" spans="1:31" ht="14.25" customHeight="1">
      <c r="A224" s="1"/>
      <c r="B224" s="33"/>
      <c r="C224" s="33"/>
      <c r="D224" s="33"/>
      <c r="E224" s="33"/>
      <c r="F224" s="33"/>
      <c r="G224" s="33"/>
      <c r="H224" s="34"/>
      <c r="I224" s="55"/>
      <c r="J224" s="55"/>
      <c r="K224" s="33"/>
      <c r="L224" s="33"/>
      <c r="M224" s="6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</row>
    <row r="225" spans="1:31" ht="14.25" customHeight="1">
      <c r="A225" s="1"/>
      <c r="B225" s="33"/>
      <c r="C225" s="33"/>
      <c r="D225" s="33"/>
      <c r="E225" s="33"/>
      <c r="F225" s="33"/>
      <c r="G225" s="33"/>
      <c r="H225" s="34"/>
      <c r="I225" s="55"/>
      <c r="J225" s="55"/>
      <c r="K225" s="33"/>
      <c r="L225" s="33"/>
      <c r="M225" s="6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</row>
    <row r="226" spans="1:31" ht="14.25" customHeight="1">
      <c r="A226" s="1"/>
      <c r="B226" s="33"/>
      <c r="C226" s="33"/>
      <c r="D226" s="33"/>
      <c r="E226" s="33"/>
      <c r="F226" s="33"/>
      <c r="G226" s="33"/>
      <c r="H226" s="34"/>
      <c r="I226" s="55"/>
      <c r="J226" s="55"/>
      <c r="K226" s="33"/>
      <c r="L226" s="33"/>
      <c r="M226" s="6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</row>
    <row r="227" spans="1:31" ht="14.25" customHeight="1">
      <c r="A227" s="1"/>
      <c r="B227" s="33"/>
      <c r="C227" s="33"/>
      <c r="D227" s="33"/>
      <c r="E227" s="33"/>
      <c r="F227" s="33"/>
      <c r="G227" s="33"/>
      <c r="H227" s="34"/>
      <c r="I227" s="55"/>
      <c r="J227" s="55"/>
      <c r="K227" s="33"/>
      <c r="L227" s="33"/>
      <c r="M227" s="6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</row>
    <row r="228" spans="1:31" ht="14.25" customHeight="1">
      <c r="A228" s="1"/>
      <c r="B228" s="33"/>
      <c r="C228" s="33"/>
      <c r="D228" s="33"/>
      <c r="E228" s="33"/>
      <c r="F228" s="33"/>
      <c r="G228" s="33"/>
      <c r="H228" s="34"/>
      <c r="I228" s="55"/>
      <c r="J228" s="55"/>
      <c r="K228" s="33"/>
      <c r="L228" s="33"/>
      <c r="M228" s="6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</row>
    <row r="229" spans="1:31" ht="14.25" customHeight="1">
      <c r="A229" s="1"/>
      <c r="B229" s="33"/>
      <c r="C229" s="33"/>
      <c r="D229" s="33"/>
      <c r="E229" s="33"/>
      <c r="F229" s="33"/>
      <c r="G229" s="33"/>
      <c r="H229" s="34"/>
      <c r="I229" s="55"/>
      <c r="J229" s="55"/>
      <c r="K229" s="33"/>
      <c r="L229" s="33"/>
      <c r="M229" s="6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</row>
    <row r="230" spans="1:31" ht="14.25" customHeight="1">
      <c r="A230" s="1"/>
      <c r="B230" s="33"/>
      <c r="C230" s="33"/>
      <c r="D230" s="33"/>
      <c r="E230" s="33"/>
      <c r="F230" s="33"/>
      <c r="G230" s="33"/>
      <c r="H230" s="34"/>
      <c r="I230" s="55"/>
      <c r="J230" s="55"/>
      <c r="K230" s="33"/>
      <c r="L230" s="33"/>
      <c r="M230" s="6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</row>
    <row r="231" spans="1:31" ht="14.25" customHeight="1">
      <c r="A231" s="1"/>
      <c r="B231" s="33"/>
      <c r="C231" s="33"/>
      <c r="D231" s="33"/>
      <c r="E231" s="33"/>
      <c r="F231" s="33"/>
      <c r="G231" s="33"/>
      <c r="H231" s="34"/>
      <c r="I231" s="55"/>
      <c r="J231" s="55"/>
      <c r="K231" s="33"/>
      <c r="L231" s="33"/>
      <c r="M231" s="6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</row>
    <row r="232" spans="1:31" ht="14.25" customHeight="1">
      <c r="A232" s="1"/>
      <c r="B232" s="33"/>
      <c r="C232" s="33"/>
      <c r="D232" s="33"/>
      <c r="E232" s="33"/>
      <c r="F232" s="33"/>
      <c r="G232" s="33"/>
      <c r="H232" s="34"/>
      <c r="I232" s="55"/>
      <c r="J232" s="55"/>
      <c r="K232" s="33"/>
      <c r="L232" s="33"/>
      <c r="M232" s="6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</row>
    <row r="233" spans="1:31" ht="14.25" customHeight="1">
      <c r="A233" s="1"/>
      <c r="B233" s="33"/>
      <c r="C233" s="33"/>
      <c r="D233" s="33"/>
      <c r="E233" s="33"/>
      <c r="F233" s="33"/>
      <c r="G233" s="33"/>
      <c r="H233" s="34"/>
      <c r="I233" s="55"/>
      <c r="J233" s="55"/>
      <c r="K233" s="33"/>
      <c r="L233" s="33"/>
      <c r="M233" s="6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</row>
    <row r="234" spans="1:31" ht="14.25" customHeight="1">
      <c r="A234" s="1"/>
      <c r="B234" s="33"/>
      <c r="C234" s="33"/>
      <c r="D234" s="33"/>
      <c r="E234" s="33"/>
      <c r="F234" s="33"/>
      <c r="G234" s="33"/>
      <c r="H234" s="34"/>
      <c r="I234" s="55"/>
      <c r="J234" s="55"/>
      <c r="K234" s="33"/>
      <c r="L234" s="33"/>
      <c r="M234" s="6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</row>
    <row r="235" spans="1:31" ht="14.25" customHeight="1">
      <c r="A235" s="1"/>
      <c r="B235" s="33"/>
      <c r="C235" s="33"/>
      <c r="D235" s="33"/>
      <c r="E235" s="33"/>
      <c r="F235" s="33"/>
      <c r="G235" s="33"/>
      <c r="H235" s="34"/>
      <c r="I235" s="55"/>
      <c r="J235" s="55"/>
      <c r="K235" s="33"/>
      <c r="L235" s="33"/>
      <c r="M235" s="6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</row>
    <row r="236" spans="1:31" ht="14.25" customHeight="1">
      <c r="A236" s="1"/>
      <c r="B236" s="33"/>
      <c r="C236" s="33"/>
      <c r="D236" s="33"/>
      <c r="E236" s="33"/>
      <c r="F236" s="33"/>
      <c r="G236" s="33"/>
      <c r="H236" s="34"/>
      <c r="I236" s="55"/>
      <c r="J236" s="55"/>
      <c r="K236" s="33"/>
      <c r="L236" s="33"/>
      <c r="M236" s="6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</row>
    <row r="237" spans="1:31" ht="14.25" customHeight="1">
      <c r="A237" s="1"/>
      <c r="B237" s="33"/>
      <c r="C237" s="33"/>
      <c r="D237" s="33"/>
      <c r="E237" s="33"/>
      <c r="F237" s="33"/>
      <c r="G237" s="33"/>
      <c r="H237" s="34"/>
      <c r="I237" s="55"/>
      <c r="J237" s="55"/>
      <c r="K237" s="33"/>
      <c r="L237" s="33"/>
      <c r="M237" s="6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</row>
    <row r="238" spans="1:31" ht="14.25" customHeight="1">
      <c r="A238" s="1"/>
      <c r="B238" s="33"/>
      <c r="C238" s="33"/>
      <c r="D238" s="33"/>
      <c r="E238" s="33"/>
      <c r="F238" s="33"/>
      <c r="G238" s="33"/>
      <c r="H238" s="34"/>
      <c r="I238" s="55"/>
      <c r="J238" s="55"/>
      <c r="K238" s="33"/>
      <c r="L238" s="33"/>
      <c r="M238" s="6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</row>
    <row r="239" spans="1:31" ht="14.25" customHeight="1">
      <c r="A239" s="1"/>
      <c r="B239" s="33"/>
      <c r="C239" s="33"/>
      <c r="D239" s="33"/>
      <c r="E239" s="33"/>
      <c r="F239" s="33"/>
      <c r="G239" s="33"/>
      <c r="H239" s="34"/>
      <c r="I239" s="55"/>
      <c r="J239" s="55"/>
      <c r="K239" s="33"/>
      <c r="L239" s="33"/>
      <c r="M239" s="6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</row>
    <row r="240" spans="1:31" ht="14.25" customHeight="1">
      <c r="A240" s="1"/>
      <c r="B240" s="33"/>
      <c r="C240" s="33"/>
      <c r="D240" s="33"/>
      <c r="E240" s="33"/>
      <c r="F240" s="33"/>
      <c r="G240" s="33"/>
      <c r="H240" s="34"/>
      <c r="I240" s="55"/>
      <c r="J240" s="55"/>
      <c r="K240" s="33"/>
      <c r="L240" s="33"/>
      <c r="M240" s="6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</row>
    <row r="241" spans="1:31" ht="14.25" customHeight="1">
      <c r="A241" s="1"/>
      <c r="B241" s="33"/>
      <c r="C241" s="33"/>
      <c r="D241" s="33"/>
      <c r="E241" s="33"/>
      <c r="F241" s="33"/>
      <c r="G241" s="33"/>
      <c r="H241" s="34"/>
      <c r="I241" s="55"/>
      <c r="J241" s="55"/>
      <c r="K241" s="33"/>
      <c r="L241" s="33"/>
      <c r="M241" s="6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</row>
    <row r="242" spans="1:31" ht="14.25" customHeight="1">
      <c r="A242" s="1"/>
      <c r="B242" s="33"/>
      <c r="C242" s="33"/>
      <c r="D242" s="33"/>
      <c r="E242" s="33"/>
      <c r="F242" s="33"/>
      <c r="G242" s="33"/>
      <c r="H242" s="34"/>
      <c r="I242" s="55"/>
      <c r="J242" s="55"/>
      <c r="K242" s="33"/>
      <c r="L242" s="33"/>
      <c r="M242" s="6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</row>
    <row r="243" spans="1:31" ht="14.25" customHeight="1">
      <c r="A243" s="1"/>
      <c r="B243" s="33"/>
      <c r="C243" s="33"/>
      <c r="D243" s="33"/>
      <c r="E243" s="33"/>
      <c r="F243" s="33"/>
      <c r="G243" s="33"/>
      <c r="H243" s="34"/>
      <c r="I243" s="55"/>
      <c r="J243" s="55"/>
      <c r="K243" s="33"/>
      <c r="L243" s="33"/>
      <c r="M243" s="6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</row>
    <row r="244" spans="1:31" ht="14.25" customHeight="1">
      <c r="A244" s="1"/>
      <c r="B244" s="33"/>
      <c r="C244" s="33"/>
      <c r="D244" s="33"/>
      <c r="E244" s="33"/>
      <c r="F244" s="33"/>
      <c r="G244" s="33"/>
      <c r="H244" s="34"/>
      <c r="I244" s="55"/>
      <c r="J244" s="55"/>
      <c r="K244" s="33"/>
      <c r="L244" s="33"/>
      <c r="M244" s="6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</row>
    <row r="245" spans="1:31" ht="14.25" customHeight="1">
      <c r="A245" s="1"/>
      <c r="B245" s="33"/>
      <c r="C245" s="33"/>
      <c r="D245" s="33"/>
      <c r="E245" s="33"/>
      <c r="F245" s="33"/>
      <c r="G245" s="33"/>
      <c r="H245" s="34"/>
      <c r="I245" s="55"/>
      <c r="J245" s="55"/>
      <c r="K245" s="33"/>
      <c r="L245" s="33"/>
      <c r="M245" s="6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</row>
    <row r="246" spans="1:31" ht="14.25" customHeight="1">
      <c r="A246" s="1"/>
      <c r="B246" s="33"/>
      <c r="C246" s="33"/>
      <c r="D246" s="33"/>
      <c r="E246" s="33"/>
      <c r="F246" s="33"/>
      <c r="G246" s="33"/>
      <c r="H246" s="34"/>
      <c r="I246" s="55"/>
      <c r="J246" s="55"/>
      <c r="K246" s="33"/>
      <c r="L246" s="33"/>
      <c r="M246" s="6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</row>
    <row r="247" spans="1:31" ht="14.25" customHeight="1">
      <c r="A247" s="1"/>
      <c r="B247" s="33"/>
      <c r="C247" s="33"/>
      <c r="D247" s="33"/>
      <c r="E247" s="33"/>
      <c r="F247" s="33"/>
      <c r="G247" s="33"/>
      <c r="H247" s="34"/>
      <c r="I247" s="55"/>
      <c r="J247" s="55"/>
      <c r="K247" s="33"/>
      <c r="L247" s="33"/>
      <c r="M247" s="6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</row>
    <row r="248" spans="1:31" ht="14.25" customHeight="1">
      <c r="A248" s="1"/>
      <c r="B248" s="33"/>
      <c r="C248" s="33"/>
      <c r="D248" s="33"/>
      <c r="E248" s="33"/>
      <c r="F248" s="33"/>
      <c r="G248" s="33"/>
      <c r="H248" s="34"/>
      <c r="I248" s="55"/>
      <c r="J248" s="55"/>
      <c r="K248" s="33"/>
      <c r="L248" s="33"/>
      <c r="M248" s="6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</row>
    <row r="249" spans="1:31" ht="14.25" customHeight="1">
      <c r="A249" s="1"/>
      <c r="B249" s="33"/>
      <c r="C249" s="33"/>
      <c r="D249" s="33"/>
      <c r="E249" s="33"/>
      <c r="F249" s="33"/>
      <c r="G249" s="33"/>
      <c r="H249" s="34"/>
      <c r="I249" s="55"/>
      <c r="J249" s="55"/>
      <c r="K249" s="33"/>
      <c r="L249" s="33"/>
      <c r="M249" s="6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</row>
    <row r="250" spans="1:31" ht="14.25" customHeight="1">
      <c r="A250" s="1"/>
      <c r="B250" s="33"/>
      <c r="C250" s="33"/>
      <c r="D250" s="33"/>
      <c r="E250" s="33"/>
      <c r="F250" s="33"/>
      <c r="G250" s="33"/>
      <c r="H250" s="34"/>
      <c r="I250" s="55"/>
      <c r="J250" s="55"/>
      <c r="K250" s="33"/>
      <c r="L250" s="33"/>
      <c r="M250" s="6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</row>
    <row r="251" spans="1:31" ht="14.25" customHeight="1">
      <c r="A251" s="1"/>
      <c r="B251" s="33"/>
      <c r="C251" s="33"/>
      <c r="D251" s="33"/>
      <c r="E251" s="33"/>
      <c r="F251" s="33"/>
      <c r="G251" s="33"/>
      <c r="H251" s="34"/>
      <c r="I251" s="55"/>
      <c r="J251" s="55"/>
      <c r="K251" s="33"/>
      <c r="L251" s="33"/>
      <c r="M251" s="6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</row>
    <row r="252" spans="1:31" ht="14.25" customHeight="1">
      <c r="A252" s="1"/>
      <c r="B252" s="33"/>
      <c r="C252" s="33"/>
      <c r="D252" s="33"/>
      <c r="E252" s="33"/>
      <c r="F252" s="33"/>
      <c r="G252" s="33"/>
      <c r="H252" s="34"/>
      <c r="I252" s="55"/>
      <c r="J252" s="55"/>
      <c r="K252" s="33"/>
      <c r="L252" s="33"/>
      <c r="M252" s="6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</row>
    <row r="253" spans="1:31" ht="14.25" customHeight="1">
      <c r="A253" s="1"/>
      <c r="B253" s="33"/>
      <c r="C253" s="33"/>
      <c r="D253" s="33"/>
      <c r="E253" s="33"/>
      <c r="F253" s="33"/>
      <c r="G253" s="33"/>
      <c r="H253" s="34"/>
      <c r="I253" s="55"/>
      <c r="J253" s="55"/>
      <c r="K253" s="33"/>
      <c r="L253" s="33"/>
      <c r="M253" s="6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</row>
    <row r="254" spans="1:31" ht="14.25" customHeight="1">
      <c r="A254" s="1"/>
      <c r="B254" s="33"/>
      <c r="C254" s="33"/>
      <c r="D254" s="33"/>
      <c r="E254" s="33"/>
      <c r="F254" s="33"/>
      <c r="G254" s="33"/>
      <c r="H254" s="34"/>
      <c r="I254" s="55"/>
      <c r="J254" s="55"/>
      <c r="K254" s="33"/>
      <c r="L254" s="33"/>
      <c r="M254" s="6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</row>
    <row r="255" spans="1:31" ht="14.25" customHeight="1">
      <c r="A255" s="1"/>
      <c r="B255" s="33"/>
      <c r="C255" s="33"/>
      <c r="D255" s="33"/>
      <c r="E255" s="33"/>
      <c r="F255" s="33"/>
      <c r="G255" s="33"/>
      <c r="H255" s="34"/>
      <c r="I255" s="55"/>
      <c r="J255" s="55"/>
      <c r="K255" s="33"/>
      <c r="L255" s="33"/>
      <c r="M255" s="6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</row>
    <row r="256" spans="1:31" ht="14.25" customHeight="1">
      <c r="A256" s="1"/>
      <c r="B256" s="33"/>
      <c r="C256" s="33"/>
      <c r="D256" s="33"/>
      <c r="E256" s="33"/>
      <c r="F256" s="33"/>
      <c r="G256" s="33"/>
      <c r="H256" s="34"/>
      <c r="I256" s="55"/>
      <c r="J256" s="55"/>
      <c r="K256" s="33"/>
      <c r="L256" s="33"/>
      <c r="M256" s="6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</row>
    <row r="257" spans="1:31" ht="14.25" customHeight="1">
      <c r="A257" s="1"/>
      <c r="B257" s="33"/>
      <c r="C257" s="33"/>
      <c r="D257" s="33"/>
      <c r="E257" s="33"/>
      <c r="F257" s="33"/>
      <c r="G257" s="33"/>
      <c r="H257" s="34"/>
      <c r="I257" s="55"/>
      <c r="J257" s="55"/>
      <c r="K257" s="33"/>
      <c r="L257" s="33"/>
      <c r="M257" s="6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</row>
    <row r="258" spans="1:31" ht="14.25" customHeight="1">
      <c r="A258" s="1"/>
      <c r="B258" s="33"/>
      <c r="C258" s="33"/>
      <c r="D258" s="33"/>
      <c r="E258" s="33"/>
      <c r="F258" s="33"/>
      <c r="G258" s="33"/>
      <c r="H258" s="34"/>
      <c r="I258" s="55"/>
      <c r="J258" s="55"/>
      <c r="K258" s="33"/>
      <c r="L258" s="33"/>
      <c r="M258" s="6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</row>
    <row r="259" spans="1:31" ht="14.25" customHeight="1">
      <c r="A259" s="1"/>
      <c r="B259" s="33"/>
      <c r="C259" s="33"/>
      <c r="D259" s="33"/>
      <c r="E259" s="33"/>
      <c r="F259" s="33"/>
      <c r="G259" s="33"/>
      <c r="H259" s="34"/>
      <c r="I259" s="55"/>
      <c r="J259" s="55"/>
      <c r="K259" s="33"/>
      <c r="L259" s="33"/>
      <c r="M259" s="6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</row>
    <row r="260" spans="1:31" ht="14.25" customHeight="1">
      <c r="A260" s="1"/>
      <c r="B260" s="33"/>
      <c r="C260" s="33"/>
      <c r="D260" s="33"/>
      <c r="E260" s="33"/>
      <c r="F260" s="33"/>
      <c r="G260" s="33"/>
      <c r="H260" s="34"/>
      <c r="I260" s="55"/>
      <c r="J260" s="55"/>
      <c r="K260" s="33"/>
      <c r="L260" s="33"/>
      <c r="M260" s="6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</row>
    <row r="261" spans="1:31" ht="14.25" customHeight="1">
      <c r="A261" s="1"/>
      <c r="B261" s="33"/>
      <c r="C261" s="33"/>
      <c r="D261" s="33"/>
      <c r="E261" s="33"/>
      <c r="F261" s="33"/>
      <c r="G261" s="33"/>
      <c r="H261" s="34"/>
      <c r="I261" s="55"/>
      <c r="J261" s="55"/>
      <c r="K261" s="33"/>
      <c r="L261" s="33"/>
      <c r="M261" s="6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</row>
    <row r="262" spans="1:31" ht="14.25" customHeight="1">
      <c r="A262" s="1"/>
      <c r="B262" s="33"/>
      <c r="C262" s="33"/>
      <c r="D262" s="33"/>
      <c r="E262" s="33"/>
      <c r="F262" s="33"/>
      <c r="G262" s="33"/>
      <c r="H262" s="34"/>
      <c r="I262" s="55"/>
      <c r="J262" s="55"/>
      <c r="K262" s="33"/>
      <c r="L262" s="33"/>
      <c r="M262" s="6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</row>
    <row r="263" spans="1:31" ht="14.25" customHeight="1">
      <c r="A263" s="1"/>
      <c r="B263" s="33"/>
      <c r="C263" s="33"/>
      <c r="D263" s="33"/>
      <c r="E263" s="33"/>
      <c r="F263" s="33"/>
      <c r="G263" s="33"/>
      <c r="H263" s="34"/>
      <c r="I263" s="55"/>
      <c r="J263" s="55"/>
      <c r="K263" s="33"/>
      <c r="L263" s="33"/>
      <c r="M263" s="6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</row>
    <row r="264" spans="1:31" ht="14.25" customHeight="1">
      <c r="A264" s="1"/>
      <c r="B264" s="33"/>
      <c r="C264" s="33"/>
      <c r="D264" s="33"/>
      <c r="E264" s="33"/>
      <c r="F264" s="33"/>
      <c r="G264" s="33"/>
      <c r="H264" s="34"/>
      <c r="I264" s="55"/>
      <c r="J264" s="55"/>
      <c r="K264" s="33"/>
      <c r="L264" s="33"/>
      <c r="M264" s="6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</row>
    <row r="265" spans="1:31" ht="14.25" customHeight="1">
      <c r="A265" s="1"/>
      <c r="B265" s="33"/>
      <c r="C265" s="33"/>
      <c r="D265" s="33"/>
      <c r="E265" s="33"/>
      <c r="F265" s="33"/>
      <c r="G265" s="33"/>
      <c r="H265" s="34"/>
      <c r="I265" s="55"/>
      <c r="J265" s="55"/>
      <c r="K265" s="33"/>
      <c r="L265" s="33"/>
      <c r="M265" s="6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</row>
    <row r="266" spans="1:31" ht="14.25" customHeight="1">
      <c r="A266" s="1"/>
      <c r="B266" s="33"/>
      <c r="C266" s="33"/>
      <c r="D266" s="33"/>
      <c r="E266" s="33"/>
      <c r="F266" s="33"/>
      <c r="G266" s="33"/>
      <c r="H266" s="34"/>
      <c r="I266" s="55"/>
      <c r="J266" s="55"/>
      <c r="K266" s="33"/>
      <c r="L266" s="33"/>
      <c r="M266" s="6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</row>
    <row r="267" spans="1:31" ht="14.25" customHeight="1">
      <c r="A267" s="1"/>
      <c r="B267" s="33"/>
      <c r="C267" s="33"/>
      <c r="D267" s="33"/>
      <c r="E267" s="33"/>
      <c r="F267" s="33"/>
      <c r="G267" s="33"/>
      <c r="H267" s="34"/>
      <c r="I267" s="55"/>
      <c r="J267" s="55"/>
      <c r="K267" s="33"/>
      <c r="L267" s="33"/>
      <c r="M267" s="6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</row>
    <row r="268" spans="1:31" ht="14.25" customHeight="1">
      <c r="A268" s="1"/>
      <c r="B268" s="33"/>
      <c r="C268" s="33"/>
      <c r="D268" s="33"/>
      <c r="E268" s="33"/>
      <c r="F268" s="33"/>
      <c r="G268" s="33"/>
      <c r="H268" s="34"/>
      <c r="I268" s="55"/>
      <c r="J268" s="55"/>
      <c r="K268" s="33"/>
      <c r="L268" s="33"/>
      <c r="M268" s="6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</row>
    <row r="269" spans="1:31" ht="14.25" customHeight="1">
      <c r="A269" s="1"/>
      <c r="B269" s="33"/>
      <c r="C269" s="33"/>
      <c r="D269" s="33"/>
      <c r="E269" s="33"/>
      <c r="F269" s="33"/>
      <c r="G269" s="33"/>
      <c r="H269" s="34"/>
      <c r="I269" s="55"/>
      <c r="J269" s="55"/>
      <c r="K269" s="33"/>
      <c r="L269" s="33"/>
      <c r="M269" s="6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</row>
    <row r="270" spans="1:31" ht="14.25" customHeight="1">
      <c r="A270" s="1"/>
      <c r="B270" s="33"/>
      <c r="C270" s="33"/>
      <c r="D270" s="33"/>
      <c r="E270" s="33"/>
      <c r="F270" s="33"/>
      <c r="G270" s="33"/>
      <c r="H270" s="34"/>
      <c r="I270" s="55"/>
      <c r="J270" s="55"/>
      <c r="K270" s="33"/>
      <c r="L270" s="33"/>
      <c r="M270" s="6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</row>
    <row r="271" spans="1:31" ht="14.25" customHeight="1">
      <c r="A271" s="1"/>
      <c r="B271" s="33"/>
      <c r="C271" s="33"/>
      <c r="D271" s="33"/>
      <c r="E271" s="33"/>
      <c r="F271" s="33"/>
      <c r="G271" s="33"/>
      <c r="H271" s="34"/>
      <c r="I271" s="55"/>
      <c r="J271" s="55"/>
      <c r="K271" s="33"/>
      <c r="L271" s="33"/>
      <c r="M271" s="6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</row>
    <row r="272" spans="1:31" ht="14.25" customHeight="1">
      <c r="A272" s="1"/>
      <c r="B272" s="33"/>
      <c r="C272" s="33"/>
      <c r="D272" s="33"/>
      <c r="E272" s="33"/>
      <c r="F272" s="33"/>
      <c r="G272" s="33"/>
      <c r="H272" s="34"/>
      <c r="I272" s="55"/>
      <c r="J272" s="55"/>
      <c r="K272" s="33"/>
      <c r="L272" s="33"/>
      <c r="M272" s="6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</row>
    <row r="273" spans="1:31" ht="14.25" customHeight="1">
      <c r="A273" s="1"/>
      <c r="B273" s="33"/>
      <c r="C273" s="33"/>
      <c r="D273" s="33"/>
      <c r="E273" s="33"/>
      <c r="F273" s="33"/>
      <c r="G273" s="33"/>
      <c r="H273" s="34"/>
      <c r="I273" s="55"/>
      <c r="J273" s="55"/>
      <c r="K273" s="33"/>
      <c r="L273" s="33"/>
      <c r="M273" s="6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</row>
    <row r="274" spans="1:31" ht="14.25" customHeight="1">
      <c r="A274" s="1"/>
      <c r="B274" s="33"/>
      <c r="C274" s="33"/>
      <c r="D274" s="33"/>
      <c r="E274" s="33"/>
      <c r="F274" s="33"/>
      <c r="G274" s="33"/>
      <c r="H274" s="34"/>
      <c r="I274" s="55"/>
      <c r="J274" s="55"/>
      <c r="K274" s="33"/>
      <c r="L274" s="33"/>
      <c r="M274" s="6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</row>
    <row r="275" spans="1:31" ht="14.25" customHeight="1">
      <c r="A275" s="1"/>
      <c r="B275" s="33"/>
      <c r="C275" s="33"/>
      <c r="D275" s="33"/>
      <c r="E275" s="33"/>
      <c r="F275" s="33"/>
      <c r="G275" s="33"/>
      <c r="H275" s="34"/>
      <c r="I275" s="55"/>
      <c r="J275" s="55"/>
      <c r="K275" s="33"/>
      <c r="L275" s="33"/>
      <c r="M275" s="6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</row>
    <row r="276" spans="1:31" ht="14.25" customHeight="1">
      <c r="A276" s="1"/>
      <c r="B276" s="33"/>
      <c r="C276" s="33"/>
      <c r="D276" s="33"/>
      <c r="E276" s="33"/>
      <c r="F276" s="33"/>
      <c r="G276" s="33"/>
      <c r="H276" s="34"/>
      <c r="I276" s="55"/>
      <c r="J276" s="55"/>
      <c r="K276" s="33"/>
      <c r="L276" s="33"/>
      <c r="M276" s="6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</row>
    <row r="277" spans="1:31" ht="14.25" customHeight="1">
      <c r="A277" s="1"/>
      <c r="B277" s="33"/>
      <c r="C277" s="33"/>
      <c r="D277" s="33"/>
      <c r="E277" s="33"/>
      <c r="F277" s="33"/>
      <c r="G277" s="33"/>
      <c r="H277" s="34"/>
      <c r="I277" s="55"/>
      <c r="J277" s="55"/>
      <c r="K277" s="33"/>
      <c r="L277" s="33"/>
      <c r="M277" s="6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</row>
    <row r="278" spans="1:31" ht="14.25" customHeight="1">
      <c r="A278" s="1"/>
      <c r="B278" s="33"/>
      <c r="C278" s="33"/>
      <c r="D278" s="33"/>
      <c r="E278" s="33"/>
      <c r="F278" s="33"/>
      <c r="G278" s="33"/>
      <c r="H278" s="34"/>
      <c r="I278" s="55"/>
      <c r="J278" s="55"/>
      <c r="K278" s="33"/>
      <c r="L278" s="33"/>
      <c r="M278" s="6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</row>
    <row r="279" spans="1:31" ht="14.25" customHeight="1">
      <c r="A279" s="1"/>
      <c r="B279" s="33"/>
      <c r="C279" s="33"/>
      <c r="D279" s="33"/>
      <c r="E279" s="33"/>
      <c r="F279" s="33"/>
      <c r="G279" s="33"/>
      <c r="H279" s="34"/>
      <c r="I279" s="55"/>
      <c r="J279" s="55"/>
      <c r="K279" s="33"/>
      <c r="L279" s="33"/>
      <c r="M279" s="6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</row>
    <row r="280" spans="1:31" ht="14.25" customHeight="1">
      <c r="A280" s="1"/>
      <c r="B280" s="33"/>
      <c r="C280" s="33"/>
      <c r="D280" s="33"/>
      <c r="E280" s="33"/>
      <c r="F280" s="33"/>
      <c r="G280" s="33"/>
      <c r="H280" s="34"/>
      <c r="I280" s="55"/>
      <c r="J280" s="55"/>
      <c r="K280" s="33"/>
      <c r="L280" s="33"/>
      <c r="M280" s="6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</row>
    <row r="281" spans="1:31" ht="14.25" customHeight="1">
      <c r="A281" s="1"/>
      <c r="B281" s="33"/>
      <c r="C281" s="33"/>
      <c r="D281" s="33"/>
      <c r="E281" s="33"/>
      <c r="F281" s="33"/>
      <c r="G281" s="33"/>
      <c r="H281" s="34"/>
      <c r="I281" s="55"/>
      <c r="J281" s="55"/>
      <c r="K281" s="33"/>
      <c r="L281" s="33"/>
      <c r="M281" s="6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</row>
    <row r="282" spans="1:31" ht="14.25" customHeight="1">
      <c r="A282" s="1"/>
      <c r="B282" s="33"/>
      <c r="C282" s="33"/>
      <c r="D282" s="33"/>
      <c r="E282" s="33"/>
      <c r="F282" s="33"/>
      <c r="G282" s="33"/>
      <c r="H282" s="34"/>
      <c r="I282" s="55"/>
      <c r="J282" s="55"/>
      <c r="K282" s="33"/>
      <c r="L282" s="33"/>
      <c r="M282" s="6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</row>
    <row r="283" spans="1:31" ht="14.25" customHeight="1">
      <c r="A283" s="1"/>
      <c r="B283" s="33"/>
      <c r="C283" s="33"/>
      <c r="D283" s="33"/>
      <c r="E283" s="33"/>
      <c r="F283" s="33"/>
      <c r="G283" s="33"/>
      <c r="H283" s="34"/>
      <c r="I283" s="55"/>
      <c r="J283" s="55"/>
      <c r="K283" s="33"/>
      <c r="L283" s="33"/>
      <c r="M283" s="6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</row>
    <row r="284" spans="1:31" ht="14.25" customHeight="1">
      <c r="A284" s="1"/>
      <c r="B284" s="33"/>
      <c r="C284" s="33"/>
      <c r="D284" s="33"/>
      <c r="E284" s="33"/>
      <c r="F284" s="33"/>
      <c r="G284" s="33"/>
      <c r="H284" s="34"/>
      <c r="I284" s="55"/>
      <c r="J284" s="55"/>
      <c r="K284" s="33"/>
      <c r="L284" s="33"/>
      <c r="M284" s="6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</row>
    <row r="285" spans="1:31" ht="14.25" customHeight="1">
      <c r="A285" s="1"/>
      <c r="B285" s="33"/>
      <c r="C285" s="33"/>
      <c r="D285" s="33"/>
      <c r="E285" s="33"/>
      <c r="F285" s="33"/>
      <c r="G285" s="33"/>
      <c r="H285" s="34"/>
      <c r="I285" s="55"/>
      <c r="J285" s="55"/>
      <c r="K285" s="33"/>
      <c r="L285" s="33"/>
      <c r="M285" s="6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</row>
    <row r="286" spans="1:31" ht="14.25" customHeight="1">
      <c r="A286" s="1"/>
      <c r="B286" s="33"/>
      <c r="C286" s="33"/>
      <c r="D286" s="33"/>
      <c r="E286" s="33"/>
      <c r="F286" s="33"/>
      <c r="G286" s="33"/>
      <c r="H286" s="34"/>
      <c r="I286" s="55"/>
      <c r="J286" s="55"/>
      <c r="K286" s="33"/>
      <c r="L286" s="33"/>
      <c r="M286" s="6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</row>
    <row r="287" spans="1:31" ht="14.25" customHeight="1">
      <c r="A287" s="1"/>
      <c r="B287" s="33"/>
      <c r="C287" s="33"/>
      <c r="D287" s="33"/>
      <c r="E287" s="33"/>
      <c r="F287" s="33"/>
      <c r="G287" s="33"/>
      <c r="H287" s="34"/>
      <c r="I287" s="55"/>
      <c r="J287" s="55"/>
      <c r="K287" s="33"/>
      <c r="L287" s="33"/>
      <c r="M287" s="6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</row>
    <row r="288" spans="1:31" ht="14.25" customHeight="1">
      <c r="A288" s="1"/>
      <c r="B288" s="33"/>
      <c r="C288" s="33"/>
      <c r="D288" s="33"/>
      <c r="E288" s="33"/>
      <c r="F288" s="33"/>
      <c r="G288" s="33"/>
      <c r="H288" s="34"/>
      <c r="I288" s="55"/>
      <c r="J288" s="55"/>
      <c r="K288" s="33"/>
      <c r="L288" s="33"/>
      <c r="M288" s="6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</row>
    <row r="289" spans="1:31" ht="14.25" customHeight="1">
      <c r="A289" s="1"/>
      <c r="B289" s="33"/>
      <c r="C289" s="33"/>
      <c r="D289" s="33"/>
      <c r="E289" s="33"/>
      <c r="F289" s="33"/>
      <c r="G289" s="33"/>
      <c r="H289" s="34"/>
      <c r="I289" s="55"/>
      <c r="J289" s="55"/>
      <c r="K289" s="33"/>
      <c r="L289" s="33"/>
      <c r="M289" s="6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</row>
    <row r="290" spans="1:31" ht="14.25" customHeight="1">
      <c r="A290" s="1"/>
      <c r="B290" s="33"/>
      <c r="C290" s="33"/>
      <c r="D290" s="33"/>
      <c r="E290" s="33"/>
      <c r="F290" s="33"/>
      <c r="G290" s="33"/>
      <c r="H290" s="34"/>
      <c r="I290" s="55"/>
      <c r="J290" s="55"/>
      <c r="K290" s="33"/>
      <c r="L290" s="33"/>
      <c r="M290" s="6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</row>
    <row r="291" spans="1:31" ht="14.25" customHeight="1">
      <c r="A291" s="1"/>
      <c r="B291" s="33"/>
      <c r="C291" s="33"/>
      <c r="D291" s="33"/>
      <c r="E291" s="33"/>
      <c r="F291" s="33"/>
      <c r="G291" s="33"/>
      <c r="H291" s="34"/>
      <c r="I291" s="55"/>
      <c r="J291" s="55"/>
      <c r="K291" s="33"/>
      <c r="L291" s="33"/>
      <c r="M291" s="6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</row>
    <row r="292" spans="1:31" ht="14.25" customHeight="1">
      <c r="A292" s="1"/>
      <c r="B292" s="33"/>
      <c r="C292" s="33"/>
      <c r="D292" s="33"/>
      <c r="E292" s="33"/>
      <c r="F292" s="33"/>
      <c r="G292" s="33"/>
      <c r="H292" s="34"/>
      <c r="I292" s="55"/>
      <c r="J292" s="55"/>
      <c r="K292" s="33"/>
      <c r="L292" s="33"/>
      <c r="M292" s="6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</row>
    <row r="293" spans="1:31" ht="14.25" customHeight="1">
      <c r="A293" s="1"/>
      <c r="B293" s="33"/>
      <c r="C293" s="33"/>
      <c r="D293" s="33"/>
      <c r="E293" s="33"/>
      <c r="F293" s="33"/>
      <c r="G293" s="33"/>
      <c r="H293" s="34"/>
      <c r="I293" s="55"/>
      <c r="J293" s="55"/>
      <c r="K293" s="33"/>
      <c r="L293" s="33"/>
      <c r="M293" s="6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</row>
    <row r="294" spans="1:31" ht="14.25" customHeight="1">
      <c r="A294" s="1"/>
      <c r="B294" s="33"/>
      <c r="C294" s="33"/>
      <c r="D294" s="33"/>
      <c r="E294" s="33"/>
      <c r="F294" s="33"/>
      <c r="G294" s="33"/>
      <c r="H294" s="34"/>
      <c r="I294" s="55"/>
      <c r="J294" s="55"/>
      <c r="K294" s="33"/>
      <c r="L294" s="33"/>
      <c r="M294" s="6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</row>
    <row r="295" spans="1:31" ht="14.25" customHeight="1">
      <c r="A295" s="1"/>
      <c r="B295" s="33"/>
      <c r="C295" s="33"/>
      <c r="D295" s="33"/>
      <c r="E295" s="33"/>
      <c r="F295" s="33"/>
      <c r="G295" s="33"/>
      <c r="H295" s="34"/>
      <c r="I295" s="55"/>
      <c r="J295" s="55"/>
      <c r="K295" s="33"/>
      <c r="L295" s="33"/>
      <c r="M295" s="6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</row>
    <row r="296" spans="1:31" ht="14.25" customHeight="1">
      <c r="A296" s="1"/>
      <c r="B296" s="33"/>
      <c r="C296" s="33"/>
      <c r="D296" s="33"/>
      <c r="E296" s="33"/>
      <c r="F296" s="33"/>
      <c r="G296" s="33"/>
      <c r="H296" s="34"/>
      <c r="I296" s="55"/>
      <c r="J296" s="55"/>
      <c r="K296" s="33"/>
      <c r="L296" s="33"/>
      <c r="M296" s="6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</row>
    <row r="297" spans="1:31" ht="14.25" customHeight="1">
      <c r="A297" s="1"/>
      <c r="B297" s="33"/>
      <c r="C297" s="33"/>
      <c r="D297" s="33"/>
      <c r="E297" s="33"/>
      <c r="F297" s="33"/>
      <c r="G297" s="33"/>
      <c r="H297" s="34"/>
      <c r="I297" s="55"/>
      <c r="J297" s="55"/>
      <c r="K297" s="33"/>
      <c r="L297" s="33"/>
      <c r="M297" s="6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</row>
    <row r="298" spans="1:31" ht="14.25" customHeight="1">
      <c r="A298" s="1"/>
      <c r="B298" s="33"/>
      <c r="C298" s="33"/>
      <c r="D298" s="33"/>
      <c r="E298" s="33"/>
      <c r="F298" s="33"/>
      <c r="G298" s="33"/>
      <c r="H298" s="34"/>
      <c r="I298" s="55"/>
      <c r="J298" s="55"/>
      <c r="K298" s="33"/>
      <c r="L298" s="33"/>
      <c r="M298" s="6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</row>
    <row r="299" spans="1:31" ht="14.25" customHeight="1">
      <c r="A299" s="1"/>
      <c r="B299" s="33"/>
      <c r="C299" s="33"/>
      <c r="D299" s="33"/>
      <c r="E299" s="33"/>
      <c r="F299" s="33"/>
      <c r="G299" s="33"/>
      <c r="H299" s="34"/>
      <c r="I299" s="55"/>
      <c r="J299" s="55"/>
      <c r="K299" s="33"/>
      <c r="L299" s="33"/>
      <c r="M299" s="6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</row>
    <row r="300" spans="1:31" ht="14.25" customHeight="1">
      <c r="A300" s="1"/>
      <c r="B300" s="33"/>
      <c r="C300" s="33"/>
      <c r="D300" s="33"/>
      <c r="E300" s="33"/>
      <c r="F300" s="33"/>
      <c r="G300" s="33"/>
      <c r="H300" s="34"/>
      <c r="I300" s="55"/>
      <c r="J300" s="55"/>
      <c r="K300" s="33"/>
      <c r="L300" s="33"/>
      <c r="M300" s="6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</row>
    <row r="301" spans="1:31" ht="14.25" customHeight="1">
      <c r="A301" s="1"/>
      <c r="B301" s="33"/>
      <c r="C301" s="33"/>
      <c r="D301" s="33"/>
      <c r="E301" s="33"/>
      <c r="F301" s="33"/>
      <c r="G301" s="33"/>
      <c r="H301" s="34"/>
      <c r="I301" s="55"/>
      <c r="J301" s="55"/>
      <c r="K301" s="33"/>
      <c r="L301" s="33"/>
      <c r="M301" s="6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</row>
    <row r="302" spans="1:31" ht="14.25" customHeight="1">
      <c r="A302" s="1"/>
      <c r="B302" s="33"/>
      <c r="C302" s="33"/>
      <c r="D302" s="33"/>
      <c r="E302" s="33"/>
      <c r="F302" s="33"/>
      <c r="G302" s="33"/>
      <c r="H302" s="34"/>
      <c r="I302" s="55"/>
      <c r="J302" s="55"/>
      <c r="K302" s="33"/>
      <c r="L302" s="33"/>
      <c r="M302" s="6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</row>
    <row r="303" spans="1:31" ht="14.25" customHeight="1">
      <c r="A303" s="1"/>
      <c r="B303" s="33"/>
      <c r="C303" s="33"/>
      <c r="D303" s="33"/>
      <c r="E303" s="33"/>
      <c r="F303" s="33"/>
      <c r="G303" s="33"/>
      <c r="H303" s="34"/>
      <c r="I303" s="55"/>
      <c r="J303" s="55"/>
      <c r="K303" s="33"/>
      <c r="L303" s="33"/>
      <c r="M303" s="6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</row>
    <row r="304" spans="1:31" ht="14.25" customHeight="1">
      <c r="A304" s="1"/>
      <c r="B304" s="33"/>
      <c r="C304" s="33"/>
      <c r="D304" s="33"/>
      <c r="E304" s="33"/>
      <c r="F304" s="33"/>
      <c r="G304" s="33"/>
      <c r="H304" s="34"/>
      <c r="I304" s="55"/>
      <c r="J304" s="55"/>
      <c r="K304" s="33"/>
      <c r="L304" s="33"/>
      <c r="M304" s="6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</row>
    <row r="305" spans="1:31" ht="14.25" customHeight="1">
      <c r="A305" s="1"/>
      <c r="B305" s="33"/>
      <c r="C305" s="33"/>
      <c r="D305" s="33"/>
      <c r="E305" s="33"/>
      <c r="F305" s="33"/>
      <c r="G305" s="33"/>
      <c r="H305" s="34"/>
      <c r="I305" s="55"/>
      <c r="J305" s="55"/>
      <c r="K305" s="33"/>
      <c r="L305" s="33"/>
      <c r="M305" s="6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</row>
    <row r="306" spans="1:31" ht="14.25" customHeight="1">
      <c r="A306" s="1"/>
      <c r="B306" s="33"/>
      <c r="C306" s="33"/>
      <c r="D306" s="33"/>
      <c r="E306" s="33"/>
      <c r="F306" s="33"/>
      <c r="G306" s="33"/>
      <c r="H306" s="34"/>
      <c r="I306" s="55"/>
      <c r="J306" s="55"/>
      <c r="K306" s="33"/>
      <c r="L306" s="33"/>
      <c r="M306" s="6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</row>
    <row r="307" spans="1:31" ht="14.25" customHeight="1">
      <c r="A307" s="1"/>
      <c r="B307" s="33"/>
      <c r="C307" s="33"/>
      <c r="D307" s="33"/>
      <c r="E307" s="33"/>
      <c r="F307" s="33"/>
      <c r="G307" s="33"/>
      <c r="H307" s="34"/>
      <c r="I307" s="55"/>
      <c r="J307" s="55"/>
      <c r="K307" s="33"/>
      <c r="L307" s="33"/>
      <c r="M307" s="6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</row>
    <row r="308" spans="1:31" ht="14.25" customHeight="1">
      <c r="A308" s="1"/>
      <c r="B308" s="33"/>
      <c r="C308" s="33"/>
      <c r="D308" s="33"/>
      <c r="E308" s="33"/>
      <c r="F308" s="33"/>
      <c r="G308" s="33"/>
      <c r="H308" s="34"/>
      <c r="I308" s="55"/>
      <c r="J308" s="55"/>
      <c r="K308" s="33"/>
      <c r="L308" s="33"/>
      <c r="M308" s="6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</row>
    <row r="309" spans="1:31" ht="14.25" customHeight="1">
      <c r="A309" s="1"/>
      <c r="B309" s="33"/>
      <c r="C309" s="33"/>
      <c r="D309" s="33"/>
      <c r="E309" s="33"/>
      <c r="F309" s="33"/>
      <c r="G309" s="33"/>
      <c r="H309" s="34"/>
      <c r="I309" s="55"/>
      <c r="J309" s="55"/>
      <c r="K309" s="33"/>
      <c r="L309" s="33"/>
      <c r="M309" s="6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</row>
    <row r="310" spans="1:31" ht="14.25" customHeight="1">
      <c r="A310" s="1"/>
      <c r="B310" s="33"/>
      <c r="C310" s="33"/>
      <c r="D310" s="33"/>
      <c r="E310" s="33"/>
      <c r="F310" s="33"/>
      <c r="G310" s="33"/>
      <c r="H310" s="34"/>
      <c r="I310" s="55"/>
      <c r="J310" s="55"/>
      <c r="K310" s="33"/>
      <c r="L310" s="33"/>
      <c r="M310" s="6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</row>
    <row r="311" spans="1:31" ht="14.25" customHeight="1">
      <c r="A311" s="1"/>
      <c r="B311" s="33"/>
      <c r="C311" s="33"/>
      <c r="D311" s="33"/>
      <c r="E311" s="33"/>
      <c r="F311" s="33"/>
      <c r="G311" s="33"/>
      <c r="H311" s="34"/>
      <c r="I311" s="55"/>
      <c r="J311" s="55"/>
      <c r="K311" s="33"/>
      <c r="L311" s="33"/>
      <c r="M311" s="6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</row>
    <row r="312" spans="1:31" ht="14.25" customHeight="1">
      <c r="A312" s="1"/>
      <c r="B312" s="33"/>
      <c r="C312" s="33"/>
      <c r="D312" s="33"/>
      <c r="E312" s="33"/>
      <c r="F312" s="33"/>
      <c r="G312" s="33"/>
      <c r="H312" s="34"/>
      <c r="I312" s="55"/>
      <c r="J312" s="55"/>
      <c r="K312" s="33"/>
      <c r="L312" s="33"/>
      <c r="M312" s="6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</row>
    <row r="313" spans="1:31" ht="14.25" customHeight="1">
      <c r="A313" s="1"/>
      <c r="B313" s="33"/>
      <c r="C313" s="33"/>
      <c r="D313" s="33"/>
      <c r="E313" s="33"/>
      <c r="F313" s="33"/>
      <c r="G313" s="33"/>
      <c r="H313" s="34"/>
      <c r="I313" s="55"/>
      <c r="J313" s="55"/>
      <c r="K313" s="33"/>
      <c r="L313" s="33"/>
      <c r="M313" s="6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</row>
    <row r="314" spans="1:31" ht="14.25" customHeight="1">
      <c r="A314" s="1"/>
      <c r="B314" s="33"/>
      <c r="C314" s="33"/>
      <c r="D314" s="33"/>
      <c r="E314" s="33"/>
      <c r="F314" s="33"/>
      <c r="G314" s="33"/>
      <c r="H314" s="34"/>
      <c r="I314" s="55"/>
      <c r="J314" s="55"/>
      <c r="K314" s="33"/>
      <c r="L314" s="33"/>
      <c r="M314" s="6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</row>
    <row r="315" spans="1:31" ht="14.25" customHeight="1">
      <c r="A315" s="1"/>
      <c r="B315" s="33"/>
      <c r="C315" s="33"/>
      <c r="D315" s="33"/>
      <c r="E315" s="33"/>
      <c r="F315" s="33"/>
      <c r="G315" s="33"/>
      <c r="H315" s="34"/>
      <c r="I315" s="55"/>
      <c r="J315" s="55"/>
      <c r="K315" s="33"/>
      <c r="L315" s="33"/>
      <c r="M315" s="6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</row>
    <row r="316" spans="1:31" ht="14.25" customHeight="1">
      <c r="A316" s="1"/>
      <c r="B316" s="33"/>
      <c r="C316" s="33"/>
      <c r="D316" s="33"/>
      <c r="E316" s="33"/>
      <c r="F316" s="33"/>
      <c r="G316" s="33"/>
      <c r="H316" s="34"/>
      <c r="I316" s="55"/>
      <c r="J316" s="55"/>
      <c r="K316" s="33"/>
      <c r="L316" s="33"/>
      <c r="M316" s="6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</row>
    <row r="317" spans="1:31" ht="14.25" customHeight="1">
      <c r="A317" s="1"/>
      <c r="B317" s="33"/>
      <c r="C317" s="33"/>
      <c r="D317" s="33"/>
      <c r="E317" s="33"/>
      <c r="F317" s="33"/>
      <c r="G317" s="33"/>
      <c r="H317" s="34"/>
      <c r="I317" s="55"/>
      <c r="J317" s="55"/>
      <c r="K317" s="33"/>
      <c r="L317" s="33"/>
      <c r="M317" s="6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</row>
    <row r="318" spans="1:31" ht="14.25" customHeight="1">
      <c r="A318" s="1"/>
      <c r="B318" s="33"/>
      <c r="C318" s="33"/>
      <c r="D318" s="33"/>
      <c r="E318" s="33"/>
      <c r="F318" s="33"/>
      <c r="G318" s="33"/>
      <c r="H318" s="34"/>
      <c r="I318" s="55"/>
      <c r="J318" s="55"/>
      <c r="K318" s="33"/>
      <c r="L318" s="33"/>
      <c r="M318" s="6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</row>
    <row r="319" spans="1:31" ht="14.25" customHeight="1">
      <c r="A319" s="1"/>
      <c r="B319" s="33"/>
      <c r="C319" s="33"/>
      <c r="D319" s="33"/>
      <c r="E319" s="33"/>
      <c r="F319" s="33"/>
      <c r="G319" s="33"/>
      <c r="H319" s="34"/>
      <c r="I319" s="55"/>
      <c r="J319" s="55"/>
      <c r="K319" s="33"/>
      <c r="L319" s="33"/>
      <c r="M319" s="6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</row>
    <row r="320" spans="1:31" ht="14.25" customHeight="1">
      <c r="A320" s="1"/>
      <c r="B320" s="33"/>
      <c r="C320" s="33"/>
      <c r="D320" s="33"/>
      <c r="E320" s="33"/>
      <c r="F320" s="33"/>
      <c r="G320" s="33"/>
      <c r="H320" s="34"/>
      <c r="I320" s="55"/>
      <c r="J320" s="55"/>
      <c r="K320" s="33"/>
      <c r="L320" s="33"/>
      <c r="M320" s="6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</row>
    <row r="321" spans="1:31" ht="14.25" customHeight="1">
      <c r="A321" s="1"/>
      <c r="B321" s="33"/>
      <c r="C321" s="33"/>
      <c r="D321" s="33"/>
      <c r="E321" s="33"/>
      <c r="F321" s="33"/>
      <c r="G321" s="33"/>
      <c r="H321" s="34"/>
      <c r="I321" s="55"/>
      <c r="J321" s="55"/>
      <c r="K321" s="33"/>
      <c r="L321" s="33"/>
      <c r="M321" s="6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</row>
    <row r="322" spans="1:31" ht="14.25" customHeight="1">
      <c r="A322" s="1"/>
      <c r="B322" s="33"/>
      <c r="C322" s="33"/>
      <c r="D322" s="33"/>
      <c r="E322" s="33"/>
      <c r="F322" s="33"/>
      <c r="G322" s="33"/>
      <c r="H322" s="34"/>
      <c r="I322" s="55"/>
      <c r="J322" s="55"/>
      <c r="K322" s="33"/>
      <c r="L322" s="33"/>
      <c r="M322" s="6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</row>
    <row r="323" spans="1:31" ht="14.25" customHeight="1">
      <c r="A323" s="1"/>
      <c r="B323" s="33"/>
      <c r="C323" s="33"/>
      <c r="D323" s="33"/>
      <c r="E323" s="33"/>
      <c r="F323" s="33"/>
      <c r="G323" s="33"/>
      <c r="H323" s="34"/>
      <c r="I323" s="55"/>
      <c r="J323" s="55"/>
      <c r="K323" s="33"/>
      <c r="L323" s="33"/>
      <c r="M323" s="6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</row>
    <row r="324" spans="1:31" ht="14.25" customHeight="1">
      <c r="A324" s="1"/>
      <c r="B324" s="33"/>
      <c r="C324" s="33"/>
      <c r="D324" s="33"/>
      <c r="E324" s="33"/>
      <c r="F324" s="33"/>
      <c r="G324" s="33"/>
      <c r="H324" s="34"/>
      <c r="I324" s="55"/>
      <c r="J324" s="55"/>
      <c r="K324" s="33"/>
      <c r="L324" s="33"/>
      <c r="M324" s="6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</row>
    <row r="325" spans="1:31" ht="14.25" customHeight="1">
      <c r="A325" s="1"/>
      <c r="B325" s="33"/>
      <c r="C325" s="33"/>
      <c r="D325" s="33"/>
      <c r="E325" s="33"/>
      <c r="F325" s="33"/>
      <c r="G325" s="33"/>
      <c r="H325" s="34"/>
      <c r="I325" s="55"/>
      <c r="J325" s="55"/>
      <c r="K325" s="33"/>
      <c r="L325" s="33"/>
      <c r="M325" s="6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</row>
    <row r="326" spans="1:31" ht="14.25" customHeight="1">
      <c r="A326" s="1"/>
      <c r="B326" s="33"/>
      <c r="C326" s="33"/>
      <c r="D326" s="33"/>
      <c r="E326" s="33"/>
      <c r="F326" s="33"/>
      <c r="G326" s="33"/>
      <c r="H326" s="34"/>
      <c r="I326" s="55"/>
      <c r="J326" s="55"/>
      <c r="K326" s="33"/>
      <c r="L326" s="33"/>
      <c r="M326" s="6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</row>
    <row r="327" spans="1:31" ht="14.25" customHeight="1">
      <c r="A327" s="1"/>
      <c r="B327" s="33"/>
      <c r="C327" s="33"/>
      <c r="D327" s="33"/>
      <c r="E327" s="33"/>
      <c r="F327" s="33"/>
      <c r="G327" s="33"/>
      <c r="H327" s="34"/>
      <c r="I327" s="55"/>
      <c r="J327" s="55"/>
      <c r="K327" s="33"/>
      <c r="L327" s="33"/>
      <c r="M327" s="6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</row>
    <row r="328" spans="1:31" ht="14.25" customHeight="1">
      <c r="A328" s="1"/>
      <c r="B328" s="33"/>
      <c r="C328" s="33"/>
      <c r="D328" s="33"/>
      <c r="E328" s="33"/>
      <c r="F328" s="33"/>
      <c r="G328" s="33"/>
      <c r="H328" s="34"/>
      <c r="I328" s="55"/>
      <c r="J328" s="55"/>
      <c r="K328" s="33"/>
      <c r="L328" s="33"/>
      <c r="M328" s="6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</row>
    <row r="329" spans="1:31" ht="14.25" customHeight="1">
      <c r="A329" s="1"/>
      <c r="B329" s="33"/>
      <c r="C329" s="33"/>
      <c r="D329" s="33"/>
      <c r="E329" s="33"/>
      <c r="F329" s="33"/>
      <c r="G329" s="33"/>
      <c r="H329" s="34"/>
      <c r="I329" s="55"/>
      <c r="J329" s="55"/>
      <c r="K329" s="33"/>
      <c r="L329" s="33"/>
      <c r="M329" s="6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</row>
    <row r="330" spans="1:31" ht="14.25" customHeight="1">
      <c r="A330" s="1"/>
      <c r="B330" s="33"/>
      <c r="C330" s="33"/>
      <c r="D330" s="33"/>
      <c r="E330" s="33"/>
      <c r="F330" s="33"/>
      <c r="G330" s="33"/>
      <c r="H330" s="34"/>
      <c r="I330" s="55"/>
      <c r="J330" s="55"/>
      <c r="K330" s="33"/>
      <c r="L330" s="33"/>
      <c r="M330" s="6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</row>
    <row r="331" spans="1:31" ht="14.25" customHeight="1">
      <c r="A331" s="1"/>
      <c r="B331" s="33"/>
      <c r="C331" s="33"/>
      <c r="D331" s="33"/>
      <c r="E331" s="33"/>
      <c r="F331" s="33"/>
      <c r="G331" s="33"/>
      <c r="H331" s="34"/>
      <c r="I331" s="55"/>
      <c r="J331" s="55"/>
      <c r="K331" s="33"/>
      <c r="L331" s="33"/>
      <c r="M331" s="6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</row>
    <row r="332" spans="1:31" ht="14.25" customHeight="1">
      <c r="A332" s="1"/>
      <c r="B332" s="33"/>
      <c r="C332" s="33"/>
      <c r="D332" s="33"/>
      <c r="E332" s="33"/>
      <c r="F332" s="33"/>
      <c r="G332" s="33"/>
      <c r="H332" s="34"/>
      <c r="I332" s="55"/>
      <c r="J332" s="55"/>
      <c r="K332" s="33"/>
      <c r="L332" s="33"/>
      <c r="M332" s="6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</row>
    <row r="333" spans="1:31" ht="14.25" customHeight="1">
      <c r="A333" s="1"/>
      <c r="B333" s="33"/>
      <c r="C333" s="33"/>
      <c r="D333" s="33"/>
      <c r="E333" s="33"/>
      <c r="F333" s="33"/>
      <c r="G333" s="33"/>
      <c r="H333" s="34"/>
      <c r="I333" s="55"/>
      <c r="J333" s="55"/>
      <c r="K333" s="33"/>
      <c r="L333" s="33"/>
      <c r="M333" s="6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</row>
    <row r="334" spans="1:31" ht="14.25" customHeight="1">
      <c r="A334" s="1"/>
      <c r="B334" s="33"/>
      <c r="C334" s="33"/>
      <c r="D334" s="33"/>
      <c r="E334" s="33"/>
      <c r="F334" s="33"/>
      <c r="G334" s="33"/>
      <c r="H334" s="34"/>
      <c r="I334" s="55"/>
      <c r="J334" s="55"/>
      <c r="K334" s="33"/>
      <c r="L334" s="33"/>
      <c r="M334" s="6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</row>
    <row r="335" spans="1:31" ht="14.25" customHeight="1">
      <c r="A335" s="1"/>
      <c r="B335" s="33"/>
      <c r="C335" s="33"/>
      <c r="D335" s="33"/>
      <c r="E335" s="33"/>
      <c r="F335" s="33"/>
      <c r="G335" s="33"/>
      <c r="H335" s="34"/>
      <c r="I335" s="55"/>
      <c r="J335" s="55"/>
      <c r="K335" s="33"/>
      <c r="L335" s="33"/>
      <c r="M335" s="6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</row>
    <row r="336" spans="1:31" ht="14.25" customHeight="1">
      <c r="A336" s="1"/>
      <c r="B336" s="33"/>
      <c r="C336" s="33"/>
      <c r="D336" s="33"/>
      <c r="E336" s="33"/>
      <c r="F336" s="33"/>
      <c r="G336" s="33"/>
      <c r="H336" s="34"/>
      <c r="I336" s="55"/>
      <c r="J336" s="55"/>
      <c r="K336" s="33"/>
      <c r="L336" s="33"/>
      <c r="M336" s="6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</row>
    <row r="337" spans="1:31" ht="14.25" customHeight="1">
      <c r="A337" s="1"/>
      <c r="B337" s="33"/>
      <c r="C337" s="33"/>
      <c r="D337" s="33"/>
      <c r="E337" s="33"/>
      <c r="F337" s="33"/>
      <c r="G337" s="33"/>
      <c r="H337" s="34"/>
      <c r="I337" s="55"/>
      <c r="J337" s="55"/>
      <c r="K337" s="33"/>
      <c r="L337" s="33"/>
      <c r="M337" s="6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</row>
    <row r="338" spans="1:31" ht="14.25" customHeight="1">
      <c r="A338" s="1"/>
      <c r="B338" s="33"/>
      <c r="C338" s="33"/>
      <c r="D338" s="33"/>
      <c r="E338" s="33"/>
      <c r="F338" s="33"/>
      <c r="G338" s="33"/>
      <c r="H338" s="34"/>
      <c r="I338" s="55"/>
      <c r="J338" s="55"/>
      <c r="K338" s="33"/>
      <c r="L338" s="33"/>
      <c r="M338" s="6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</row>
    <row r="339" spans="1:31" ht="14.25" customHeight="1">
      <c r="A339" s="1"/>
      <c r="B339" s="33"/>
      <c r="C339" s="33"/>
      <c r="D339" s="33"/>
      <c r="E339" s="33"/>
      <c r="F339" s="33"/>
      <c r="G339" s="33"/>
      <c r="H339" s="34"/>
      <c r="I339" s="55"/>
      <c r="J339" s="55"/>
      <c r="K339" s="33"/>
      <c r="L339" s="33"/>
      <c r="M339" s="6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</row>
    <row r="340" spans="1:31" ht="14.25" customHeight="1">
      <c r="A340" s="1"/>
      <c r="B340" s="33"/>
      <c r="C340" s="33"/>
      <c r="D340" s="33"/>
      <c r="E340" s="33"/>
      <c r="F340" s="33"/>
      <c r="G340" s="33"/>
      <c r="H340" s="34"/>
      <c r="I340" s="55"/>
      <c r="J340" s="55"/>
      <c r="K340" s="33"/>
      <c r="L340" s="33"/>
      <c r="M340" s="6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</row>
    <row r="341" spans="1:31" ht="14.25" customHeight="1">
      <c r="A341" s="1"/>
      <c r="B341" s="33"/>
      <c r="C341" s="33"/>
      <c r="D341" s="33"/>
      <c r="E341" s="33"/>
      <c r="F341" s="33"/>
      <c r="G341" s="33"/>
      <c r="H341" s="34"/>
      <c r="I341" s="55"/>
      <c r="J341" s="55"/>
      <c r="K341" s="33"/>
      <c r="L341" s="33"/>
      <c r="M341" s="6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</row>
    <row r="342" spans="1:31" ht="14.25" customHeight="1">
      <c r="A342" s="1"/>
      <c r="B342" s="33"/>
      <c r="C342" s="33"/>
      <c r="D342" s="33"/>
      <c r="E342" s="33"/>
      <c r="F342" s="33"/>
      <c r="G342" s="33"/>
      <c r="H342" s="34"/>
      <c r="I342" s="55"/>
      <c r="J342" s="55"/>
      <c r="K342" s="33"/>
      <c r="L342" s="33"/>
      <c r="M342" s="6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</row>
    <row r="343" spans="1:31" ht="14.25" customHeight="1">
      <c r="A343" s="1"/>
      <c r="B343" s="33"/>
      <c r="C343" s="33"/>
      <c r="D343" s="33"/>
      <c r="E343" s="33"/>
      <c r="F343" s="33"/>
      <c r="G343" s="33"/>
      <c r="H343" s="34"/>
      <c r="I343" s="55"/>
      <c r="J343" s="55"/>
      <c r="K343" s="33"/>
      <c r="L343" s="33"/>
      <c r="M343" s="6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</row>
    <row r="344" spans="1:31" ht="14.25" customHeight="1">
      <c r="A344" s="1"/>
      <c r="B344" s="33"/>
      <c r="C344" s="33"/>
      <c r="D344" s="33"/>
      <c r="E344" s="33"/>
      <c r="F344" s="33"/>
      <c r="G344" s="33"/>
      <c r="H344" s="34"/>
      <c r="I344" s="55"/>
      <c r="J344" s="55"/>
      <c r="K344" s="33"/>
      <c r="L344" s="33"/>
      <c r="M344" s="6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</row>
    <row r="345" spans="1:31" ht="14.25" customHeight="1">
      <c r="A345" s="1"/>
      <c r="B345" s="33"/>
      <c r="C345" s="33"/>
      <c r="D345" s="33"/>
      <c r="E345" s="33"/>
      <c r="F345" s="33"/>
      <c r="G345" s="33"/>
      <c r="H345" s="34"/>
      <c r="I345" s="55"/>
      <c r="J345" s="55"/>
      <c r="K345" s="33"/>
      <c r="L345" s="33"/>
      <c r="M345" s="6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</row>
    <row r="346" spans="1:31" ht="14.25" customHeight="1">
      <c r="A346" s="1"/>
      <c r="B346" s="33"/>
      <c r="C346" s="33"/>
      <c r="D346" s="33"/>
      <c r="E346" s="33"/>
      <c r="F346" s="33"/>
      <c r="G346" s="33"/>
      <c r="H346" s="34"/>
      <c r="I346" s="55"/>
      <c r="J346" s="55"/>
      <c r="K346" s="33"/>
      <c r="L346" s="33"/>
      <c r="M346" s="6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</row>
    <row r="347" spans="1:31" ht="14.25" customHeight="1">
      <c r="A347" s="1"/>
      <c r="B347" s="33"/>
      <c r="C347" s="33"/>
      <c r="D347" s="33"/>
      <c r="E347" s="33"/>
      <c r="F347" s="33"/>
      <c r="G347" s="33"/>
      <c r="H347" s="34"/>
      <c r="I347" s="55"/>
      <c r="J347" s="55"/>
      <c r="K347" s="33"/>
      <c r="L347" s="33"/>
      <c r="M347" s="6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</row>
    <row r="348" spans="1:31" ht="14.25" customHeight="1">
      <c r="A348" s="1"/>
      <c r="B348" s="33"/>
      <c r="C348" s="33"/>
      <c r="D348" s="33"/>
      <c r="E348" s="33"/>
      <c r="F348" s="33"/>
      <c r="G348" s="33"/>
      <c r="H348" s="34"/>
      <c r="I348" s="55"/>
      <c r="J348" s="55"/>
      <c r="K348" s="33"/>
      <c r="L348" s="33"/>
      <c r="M348" s="6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</row>
    <row r="349" spans="1:31" ht="14.25" customHeight="1">
      <c r="A349" s="1"/>
      <c r="B349" s="33"/>
      <c r="C349" s="33"/>
      <c r="D349" s="33"/>
      <c r="E349" s="33"/>
      <c r="F349" s="33"/>
      <c r="G349" s="33"/>
      <c r="H349" s="34"/>
      <c r="I349" s="55"/>
      <c r="J349" s="55"/>
      <c r="K349" s="33"/>
      <c r="L349" s="33"/>
      <c r="M349" s="6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</row>
    <row r="350" spans="1:31" ht="14.25" customHeight="1">
      <c r="A350" s="1"/>
      <c r="B350" s="33"/>
      <c r="C350" s="33"/>
      <c r="D350" s="33"/>
      <c r="E350" s="33"/>
      <c r="F350" s="33"/>
      <c r="G350" s="33"/>
      <c r="H350" s="34"/>
      <c r="I350" s="55"/>
      <c r="J350" s="55"/>
      <c r="K350" s="33"/>
      <c r="L350" s="33"/>
      <c r="M350" s="6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</row>
    <row r="351" spans="1:31" ht="14.25" customHeight="1">
      <c r="A351" s="1"/>
      <c r="B351" s="33"/>
      <c r="C351" s="33"/>
      <c r="D351" s="33"/>
      <c r="E351" s="33"/>
      <c r="F351" s="33"/>
      <c r="G351" s="33"/>
      <c r="H351" s="34"/>
      <c r="I351" s="55"/>
      <c r="J351" s="55"/>
      <c r="K351" s="33"/>
      <c r="L351" s="33"/>
      <c r="M351" s="6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</row>
    <row r="352" spans="1:31" ht="14.25" customHeight="1">
      <c r="A352" s="1"/>
      <c r="B352" s="33"/>
      <c r="C352" s="33"/>
      <c r="D352" s="33"/>
      <c r="E352" s="33"/>
      <c r="F352" s="33"/>
      <c r="G352" s="33"/>
      <c r="H352" s="34"/>
      <c r="I352" s="55"/>
      <c r="J352" s="55"/>
      <c r="K352" s="33"/>
      <c r="L352" s="33"/>
      <c r="M352" s="6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</row>
    <row r="353" spans="1:31" ht="14.25" customHeight="1">
      <c r="A353" s="1"/>
      <c r="B353" s="33"/>
      <c r="C353" s="33"/>
      <c r="D353" s="33"/>
      <c r="E353" s="33"/>
      <c r="F353" s="33"/>
      <c r="G353" s="33"/>
      <c r="H353" s="34"/>
      <c r="I353" s="55"/>
      <c r="J353" s="55"/>
      <c r="K353" s="33"/>
      <c r="L353" s="33"/>
      <c r="M353" s="6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</row>
    <row r="354" spans="1:31" ht="14.25" customHeight="1">
      <c r="A354" s="1"/>
      <c r="B354" s="33"/>
      <c r="C354" s="33"/>
      <c r="D354" s="33"/>
      <c r="E354" s="33"/>
      <c r="F354" s="33"/>
      <c r="G354" s="33"/>
      <c r="H354" s="34"/>
      <c r="I354" s="55"/>
      <c r="J354" s="55"/>
      <c r="K354" s="33"/>
      <c r="L354" s="33"/>
      <c r="M354" s="6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</row>
    <row r="355" spans="1:31" ht="14.25" customHeight="1">
      <c r="A355" s="1"/>
      <c r="B355" s="33"/>
      <c r="C355" s="33"/>
      <c r="D355" s="33"/>
      <c r="E355" s="33"/>
      <c r="F355" s="33"/>
      <c r="G355" s="33"/>
      <c r="H355" s="34"/>
      <c r="I355" s="55"/>
      <c r="J355" s="55"/>
      <c r="K355" s="33"/>
      <c r="L355" s="33"/>
      <c r="M355" s="6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</row>
    <row r="356" spans="1:31" ht="14.25" customHeight="1">
      <c r="A356" s="1"/>
      <c r="B356" s="33"/>
      <c r="C356" s="33"/>
      <c r="D356" s="33"/>
      <c r="E356" s="33"/>
      <c r="F356" s="33"/>
      <c r="G356" s="33"/>
      <c r="H356" s="34"/>
      <c r="I356" s="55"/>
      <c r="J356" s="55"/>
      <c r="K356" s="33"/>
      <c r="L356" s="33"/>
      <c r="M356" s="6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</row>
    <row r="357" spans="1:31" ht="14.25" customHeight="1">
      <c r="A357" s="1"/>
      <c r="B357" s="33"/>
      <c r="C357" s="33"/>
      <c r="D357" s="33"/>
      <c r="E357" s="33"/>
      <c r="F357" s="33"/>
      <c r="G357" s="33"/>
      <c r="H357" s="34"/>
      <c r="I357" s="55"/>
      <c r="J357" s="55"/>
      <c r="K357" s="33"/>
      <c r="L357" s="33"/>
      <c r="M357" s="6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</row>
    <row r="358" spans="1:31" ht="14.25" customHeight="1">
      <c r="A358" s="1"/>
      <c r="B358" s="33"/>
      <c r="C358" s="33"/>
      <c r="D358" s="33"/>
      <c r="E358" s="33"/>
      <c r="F358" s="33"/>
      <c r="G358" s="33"/>
      <c r="H358" s="34"/>
      <c r="I358" s="55"/>
      <c r="J358" s="55"/>
      <c r="K358" s="33"/>
      <c r="L358" s="33"/>
      <c r="M358" s="6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</row>
    <row r="359" spans="1:31" ht="14.25" customHeight="1">
      <c r="A359" s="1"/>
      <c r="B359" s="33"/>
      <c r="C359" s="33"/>
      <c r="D359" s="33"/>
      <c r="E359" s="33"/>
      <c r="F359" s="33"/>
      <c r="G359" s="33"/>
      <c r="H359" s="34"/>
      <c r="I359" s="55"/>
      <c r="J359" s="55"/>
      <c r="K359" s="33"/>
      <c r="L359" s="33"/>
      <c r="M359" s="6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</row>
    <row r="360" spans="1:31" ht="14.25" customHeight="1">
      <c r="A360" s="1"/>
      <c r="B360" s="33"/>
      <c r="C360" s="33"/>
      <c r="D360" s="33"/>
      <c r="E360" s="33"/>
      <c r="F360" s="33"/>
      <c r="G360" s="33"/>
      <c r="H360" s="34"/>
      <c r="I360" s="55"/>
      <c r="J360" s="55"/>
      <c r="K360" s="33"/>
      <c r="L360" s="33"/>
      <c r="M360" s="6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</row>
    <row r="361" spans="1:31" ht="14.25" customHeight="1">
      <c r="A361" s="1"/>
      <c r="B361" s="33"/>
      <c r="C361" s="33"/>
      <c r="D361" s="33"/>
      <c r="E361" s="33"/>
      <c r="F361" s="33"/>
      <c r="G361" s="33"/>
      <c r="H361" s="34"/>
      <c r="I361" s="55"/>
      <c r="J361" s="55"/>
      <c r="K361" s="33"/>
      <c r="L361" s="33"/>
      <c r="M361" s="6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</row>
    <row r="362" spans="1:31" ht="14.25" customHeight="1">
      <c r="A362" s="1"/>
      <c r="B362" s="33"/>
      <c r="C362" s="33"/>
      <c r="D362" s="33"/>
      <c r="E362" s="33"/>
      <c r="F362" s="33"/>
      <c r="G362" s="33"/>
      <c r="H362" s="34"/>
      <c r="I362" s="55"/>
      <c r="J362" s="55"/>
      <c r="K362" s="33"/>
      <c r="L362" s="33"/>
      <c r="M362" s="6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</row>
    <row r="363" spans="1:31" ht="14.25" customHeight="1">
      <c r="A363" s="1"/>
      <c r="B363" s="33"/>
      <c r="C363" s="33"/>
      <c r="D363" s="33"/>
      <c r="E363" s="33"/>
      <c r="F363" s="33"/>
      <c r="G363" s="33"/>
      <c r="H363" s="34"/>
      <c r="I363" s="55"/>
      <c r="J363" s="55"/>
      <c r="K363" s="33"/>
      <c r="L363" s="33"/>
      <c r="M363" s="6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</row>
    <row r="364" spans="1:31" ht="14.25" customHeight="1">
      <c r="A364" s="1"/>
      <c r="B364" s="33"/>
      <c r="C364" s="33"/>
      <c r="D364" s="33"/>
      <c r="E364" s="33"/>
      <c r="F364" s="33"/>
      <c r="G364" s="33"/>
      <c r="H364" s="34"/>
      <c r="I364" s="55"/>
      <c r="J364" s="55"/>
      <c r="K364" s="33"/>
      <c r="L364" s="33"/>
      <c r="M364" s="6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</row>
    <row r="365" spans="1:31" ht="14.25" customHeight="1">
      <c r="A365" s="1"/>
      <c r="B365" s="33"/>
      <c r="C365" s="33"/>
      <c r="D365" s="33"/>
      <c r="E365" s="33"/>
      <c r="F365" s="33"/>
      <c r="G365" s="33"/>
      <c r="H365" s="34"/>
      <c r="I365" s="55"/>
      <c r="J365" s="55"/>
      <c r="K365" s="33"/>
      <c r="L365" s="33"/>
      <c r="M365" s="6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</row>
    <row r="366" spans="1:31" ht="14.25" customHeight="1">
      <c r="A366" s="1"/>
      <c r="B366" s="33"/>
      <c r="C366" s="33"/>
      <c r="D366" s="33"/>
      <c r="E366" s="33"/>
      <c r="F366" s="33"/>
      <c r="G366" s="33"/>
      <c r="H366" s="34"/>
      <c r="I366" s="55"/>
      <c r="J366" s="55"/>
      <c r="K366" s="33"/>
      <c r="L366" s="33"/>
      <c r="M366" s="6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</row>
    <row r="367" spans="1:31" ht="14.25" customHeight="1">
      <c r="A367" s="1"/>
      <c r="B367" s="33"/>
      <c r="C367" s="33"/>
      <c r="D367" s="33"/>
      <c r="E367" s="33"/>
      <c r="F367" s="33"/>
      <c r="G367" s="33"/>
      <c r="H367" s="34"/>
      <c r="I367" s="55"/>
      <c r="J367" s="55"/>
      <c r="K367" s="33"/>
      <c r="L367" s="33"/>
      <c r="M367" s="6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</row>
    <row r="368" spans="1:31" ht="14.25" customHeight="1">
      <c r="A368" s="1"/>
      <c r="B368" s="33"/>
      <c r="C368" s="33"/>
      <c r="D368" s="33"/>
      <c r="E368" s="33"/>
      <c r="F368" s="33"/>
      <c r="G368" s="33"/>
      <c r="H368" s="34"/>
      <c r="I368" s="55"/>
      <c r="J368" s="55"/>
      <c r="K368" s="33"/>
      <c r="L368" s="33"/>
      <c r="M368" s="6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</row>
    <row r="369" spans="1:31" ht="14.25" customHeight="1">
      <c r="A369" s="1"/>
      <c r="B369" s="33"/>
      <c r="C369" s="33"/>
      <c r="D369" s="33"/>
      <c r="E369" s="33"/>
      <c r="F369" s="33"/>
      <c r="G369" s="33"/>
      <c r="H369" s="34"/>
      <c r="I369" s="55"/>
      <c r="J369" s="55"/>
      <c r="K369" s="33"/>
      <c r="L369" s="33"/>
      <c r="M369" s="6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</row>
    <row r="370" spans="1:31" ht="14.25" customHeight="1">
      <c r="A370" s="1"/>
      <c r="B370" s="33"/>
      <c r="C370" s="33"/>
      <c r="D370" s="33"/>
      <c r="E370" s="33"/>
      <c r="F370" s="33"/>
      <c r="G370" s="33"/>
      <c r="H370" s="34"/>
      <c r="I370" s="55"/>
      <c r="J370" s="55"/>
      <c r="K370" s="33"/>
      <c r="L370" s="33"/>
      <c r="M370" s="6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</row>
    <row r="371" spans="1:31" ht="14.25" customHeight="1">
      <c r="A371" s="1"/>
      <c r="B371" s="33"/>
      <c r="C371" s="33"/>
      <c r="D371" s="33"/>
      <c r="E371" s="33"/>
      <c r="F371" s="33"/>
      <c r="G371" s="33"/>
      <c r="H371" s="34"/>
      <c r="I371" s="55"/>
      <c r="J371" s="55"/>
      <c r="K371" s="33"/>
      <c r="L371" s="33"/>
      <c r="M371" s="6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</row>
    <row r="372" spans="1:31" ht="14.25" customHeight="1">
      <c r="A372" s="1"/>
      <c r="B372" s="33"/>
      <c r="C372" s="33"/>
      <c r="D372" s="33"/>
      <c r="E372" s="33"/>
      <c r="F372" s="33"/>
      <c r="G372" s="33"/>
      <c r="H372" s="34"/>
      <c r="I372" s="55"/>
      <c r="J372" s="55"/>
      <c r="K372" s="33"/>
      <c r="L372" s="33"/>
      <c r="M372" s="6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</row>
    <row r="373" spans="1:31" ht="14.25" customHeight="1">
      <c r="A373" s="1"/>
      <c r="B373" s="33"/>
      <c r="C373" s="33"/>
      <c r="D373" s="33"/>
      <c r="E373" s="33"/>
      <c r="F373" s="33"/>
      <c r="G373" s="33"/>
      <c r="H373" s="34"/>
      <c r="I373" s="55"/>
      <c r="J373" s="55"/>
      <c r="K373" s="33"/>
      <c r="L373" s="33"/>
      <c r="M373" s="6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</row>
    <row r="374" spans="1:31" ht="14.25" customHeight="1">
      <c r="A374" s="1"/>
      <c r="B374" s="33"/>
      <c r="C374" s="33"/>
      <c r="D374" s="33"/>
      <c r="E374" s="33"/>
      <c r="F374" s="33"/>
      <c r="G374" s="33"/>
      <c r="H374" s="34"/>
      <c r="I374" s="55"/>
      <c r="J374" s="55"/>
      <c r="K374" s="33"/>
      <c r="L374" s="33"/>
      <c r="M374" s="6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</row>
    <row r="375" spans="1:31" ht="14.25" customHeight="1">
      <c r="A375" s="1"/>
      <c r="B375" s="33"/>
      <c r="C375" s="33"/>
      <c r="D375" s="33"/>
      <c r="E375" s="33"/>
      <c r="F375" s="33"/>
      <c r="G375" s="33"/>
      <c r="H375" s="34"/>
      <c r="I375" s="55"/>
      <c r="J375" s="55"/>
      <c r="K375" s="33"/>
      <c r="L375" s="33"/>
      <c r="M375" s="6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</row>
    <row r="376" spans="1:31" ht="14.25" customHeight="1">
      <c r="A376" s="1"/>
      <c r="B376" s="33"/>
      <c r="C376" s="33"/>
      <c r="D376" s="33"/>
      <c r="E376" s="33"/>
      <c r="F376" s="33"/>
      <c r="G376" s="33"/>
      <c r="H376" s="34"/>
      <c r="I376" s="55"/>
      <c r="J376" s="55"/>
      <c r="K376" s="33"/>
      <c r="L376" s="33"/>
      <c r="M376" s="6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</row>
    <row r="377" spans="1:31" ht="14.25" customHeight="1">
      <c r="A377" s="1"/>
      <c r="B377" s="33"/>
      <c r="C377" s="33"/>
      <c r="D377" s="33"/>
      <c r="E377" s="33"/>
      <c r="F377" s="33"/>
      <c r="G377" s="33"/>
      <c r="H377" s="34"/>
      <c r="I377" s="55"/>
      <c r="J377" s="55"/>
      <c r="K377" s="33"/>
      <c r="L377" s="33"/>
      <c r="M377" s="6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</row>
    <row r="378" spans="1:31" ht="14.25" customHeight="1">
      <c r="A378" s="1"/>
      <c r="B378" s="33"/>
      <c r="C378" s="33"/>
      <c r="D378" s="33"/>
      <c r="E378" s="33"/>
      <c r="F378" s="33"/>
      <c r="G378" s="33"/>
      <c r="H378" s="34"/>
      <c r="I378" s="55"/>
      <c r="J378" s="55"/>
      <c r="K378" s="33"/>
      <c r="L378" s="33"/>
      <c r="M378" s="6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</row>
    <row r="379" spans="1:31" ht="14.25" customHeight="1">
      <c r="A379" s="1"/>
      <c r="B379" s="33"/>
      <c r="C379" s="33"/>
      <c r="D379" s="33"/>
      <c r="E379" s="33"/>
      <c r="F379" s="33"/>
      <c r="G379" s="33"/>
      <c r="H379" s="34"/>
      <c r="I379" s="55"/>
      <c r="J379" s="55"/>
      <c r="K379" s="33"/>
      <c r="L379" s="33"/>
      <c r="M379" s="6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</row>
    <row r="380" spans="1:31" ht="14.25" customHeight="1">
      <c r="A380" s="1"/>
      <c r="B380" s="33"/>
      <c r="C380" s="33"/>
      <c r="D380" s="33"/>
      <c r="E380" s="33"/>
      <c r="F380" s="33"/>
      <c r="G380" s="33"/>
      <c r="H380" s="34"/>
      <c r="I380" s="55"/>
      <c r="J380" s="55"/>
      <c r="K380" s="33"/>
      <c r="L380" s="33"/>
      <c r="M380" s="6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</row>
    <row r="381" spans="1:31" ht="14.25" customHeight="1">
      <c r="A381" s="1"/>
      <c r="B381" s="33"/>
      <c r="C381" s="33"/>
      <c r="D381" s="33"/>
      <c r="E381" s="33"/>
      <c r="F381" s="33"/>
      <c r="G381" s="33"/>
      <c r="H381" s="34"/>
      <c r="I381" s="55"/>
      <c r="J381" s="55"/>
      <c r="K381" s="33"/>
      <c r="L381" s="33"/>
      <c r="M381" s="6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</row>
    <row r="382" spans="1:31" ht="14.25" customHeight="1">
      <c r="A382" s="1"/>
      <c r="B382" s="33"/>
      <c r="C382" s="33"/>
      <c r="D382" s="33"/>
      <c r="E382" s="33"/>
      <c r="F382" s="33"/>
      <c r="G382" s="33"/>
      <c r="H382" s="34"/>
      <c r="I382" s="55"/>
      <c r="J382" s="55"/>
      <c r="K382" s="33"/>
      <c r="L382" s="33"/>
      <c r="M382" s="6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</row>
    <row r="383" spans="1:31" ht="14.25" customHeight="1">
      <c r="A383" s="1"/>
      <c r="B383" s="33"/>
      <c r="C383" s="33"/>
      <c r="D383" s="33"/>
      <c r="E383" s="33"/>
      <c r="F383" s="33"/>
      <c r="G383" s="33"/>
      <c r="H383" s="34"/>
      <c r="I383" s="55"/>
      <c r="J383" s="55"/>
      <c r="K383" s="33"/>
      <c r="L383" s="33"/>
      <c r="M383" s="6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</row>
    <row r="384" spans="1:31" ht="14.25" customHeight="1">
      <c r="A384" s="1"/>
      <c r="B384" s="33"/>
      <c r="C384" s="33"/>
      <c r="D384" s="33"/>
      <c r="E384" s="33"/>
      <c r="F384" s="33"/>
      <c r="G384" s="33"/>
      <c r="H384" s="34"/>
      <c r="I384" s="55"/>
      <c r="J384" s="55"/>
      <c r="K384" s="33"/>
      <c r="L384" s="33"/>
      <c r="M384" s="6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</row>
    <row r="385" spans="1:31" ht="14.25" customHeight="1">
      <c r="A385" s="1"/>
      <c r="B385" s="33"/>
      <c r="C385" s="33"/>
      <c r="D385" s="33"/>
      <c r="E385" s="33"/>
      <c r="F385" s="33"/>
      <c r="G385" s="33"/>
      <c r="H385" s="34"/>
      <c r="I385" s="55"/>
      <c r="J385" s="55"/>
      <c r="K385" s="33"/>
      <c r="L385" s="33"/>
      <c r="M385" s="6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</row>
    <row r="386" spans="1:31" ht="14.25" customHeight="1">
      <c r="A386" s="1"/>
      <c r="B386" s="33"/>
      <c r="C386" s="33"/>
      <c r="D386" s="33"/>
      <c r="E386" s="33"/>
      <c r="F386" s="33"/>
      <c r="G386" s="33"/>
      <c r="H386" s="34"/>
      <c r="I386" s="55"/>
      <c r="J386" s="55"/>
      <c r="K386" s="33"/>
      <c r="L386" s="33"/>
      <c r="M386" s="6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</row>
    <row r="387" spans="1:31" ht="14.25" customHeight="1">
      <c r="A387" s="1"/>
      <c r="B387" s="33"/>
      <c r="C387" s="33"/>
      <c r="D387" s="33"/>
      <c r="E387" s="33"/>
      <c r="F387" s="33"/>
      <c r="G387" s="33"/>
      <c r="H387" s="34"/>
      <c r="I387" s="55"/>
      <c r="J387" s="55"/>
      <c r="K387" s="33"/>
      <c r="L387" s="33"/>
      <c r="M387" s="6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</row>
    <row r="388" spans="1:31" ht="14.25" customHeight="1">
      <c r="A388" s="1"/>
      <c r="B388" s="33"/>
      <c r="C388" s="33"/>
      <c r="D388" s="33"/>
      <c r="E388" s="33"/>
      <c r="F388" s="33"/>
      <c r="G388" s="33"/>
      <c r="H388" s="34"/>
      <c r="I388" s="55"/>
      <c r="J388" s="55"/>
      <c r="K388" s="33"/>
      <c r="L388" s="33"/>
      <c r="M388" s="6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</row>
    <row r="389" spans="1:31" ht="14.25" customHeight="1">
      <c r="A389" s="1"/>
      <c r="B389" s="33"/>
      <c r="C389" s="33"/>
      <c r="D389" s="33"/>
      <c r="E389" s="33"/>
      <c r="F389" s="33"/>
      <c r="G389" s="33"/>
      <c r="H389" s="34"/>
      <c r="I389" s="55"/>
      <c r="J389" s="55"/>
      <c r="K389" s="33"/>
      <c r="L389" s="33"/>
      <c r="M389" s="6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</row>
    <row r="390" spans="1:31" ht="14.25" customHeight="1">
      <c r="A390" s="1"/>
      <c r="B390" s="33"/>
      <c r="C390" s="33"/>
      <c r="D390" s="33"/>
      <c r="E390" s="33"/>
      <c r="F390" s="33"/>
      <c r="G390" s="33"/>
      <c r="H390" s="34"/>
      <c r="I390" s="55"/>
      <c r="J390" s="55"/>
      <c r="K390" s="33"/>
      <c r="L390" s="33"/>
      <c r="M390" s="6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</row>
    <row r="391" spans="1:31" ht="14.25" customHeight="1">
      <c r="A391" s="1"/>
      <c r="B391" s="33"/>
      <c r="C391" s="33"/>
      <c r="D391" s="33"/>
      <c r="E391" s="33"/>
      <c r="F391" s="33"/>
      <c r="G391" s="33"/>
      <c r="H391" s="34"/>
      <c r="I391" s="55"/>
      <c r="J391" s="55"/>
      <c r="K391" s="33"/>
      <c r="L391" s="33"/>
      <c r="M391" s="6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</row>
    <row r="392" spans="1:31" ht="14.25" customHeight="1">
      <c r="A392" s="1"/>
      <c r="B392" s="33"/>
      <c r="C392" s="33"/>
      <c r="D392" s="33"/>
      <c r="E392" s="33"/>
      <c r="F392" s="33"/>
      <c r="G392" s="33"/>
      <c r="H392" s="34"/>
      <c r="I392" s="55"/>
      <c r="J392" s="55"/>
      <c r="K392" s="33"/>
      <c r="L392" s="33"/>
      <c r="M392" s="6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</row>
    <row r="393" spans="1:31" ht="14.25" customHeight="1">
      <c r="A393" s="1"/>
      <c r="B393" s="33"/>
      <c r="C393" s="33"/>
      <c r="D393" s="33"/>
      <c r="E393" s="33"/>
      <c r="F393" s="33"/>
      <c r="G393" s="33"/>
      <c r="H393" s="34"/>
      <c r="I393" s="55"/>
      <c r="J393" s="55"/>
      <c r="K393" s="33"/>
      <c r="L393" s="33"/>
      <c r="M393" s="6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</row>
    <row r="394" spans="1:31" ht="14.25" customHeight="1">
      <c r="A394" s="1"/>
      <c r="B394" s="33"/>
      <c r="C394" s="33"/>
      <c r="D394" s="33"/>
      <c r="E394" s="33"/>
      <c r="F394" s="33"/>
      <c r="G394" s="33"/>
      <c r="H394" s="34"/>
      <c r="I394" s="55"/>
      <c r="J394" s="55"/>
      <c r="K394" s="33"/>
      <c r="L394" s="33"/>
      <c r="M394" s="6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</row>
    <row r="395" spans="1:31" ht="14.25" customHeight="1">
      <c r="A395" s="1"/>
      <c r="B395" s="33"/>
      <c r="C395" s="33"/>
      <c r="D395" s="33"/>
      <c r="E395" s="33"/>
      <c r="F395" s="33"/>
      <c r="G395" s="33"/>
      <c r="H395" s="34"/>
      <c r="I395" s="55"/>
      <c r="J395" s="55"/>
      <c r="K395" s="33"/>
      <c r="L395" s="33"/>
      <c r="M395" s="6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</row>
    <row r="396" spans="1:31" ht="14.25" customHeight="1">
      <c r="A396" s="1"/>
      <c r="B396" s="33"/>
      <c r="C396" s="33"/>
      <c r="D396" s="33"/>
      <c r="E396" s="33"/>
      <c r="F396" s="33"/>
      <c r="G396" s="33"/>
      <c r="H396" s="34"/>
      <c r="I396" s="55"/>
      <c r="J396" s="55"/>
      <c r="K396" s="33"/>
      <c r="L396" s="33"/>
      <c r="M396" s="6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</row>
    <row r="397" spans="1:31" ht="14.25" customHeight="1">
      <c r="A397" s="1"/>
      <c r="B397" s="33"/>
      <c r="C397" s="33"/>
      <c r="D397" s="33"/>
      <c r="E397" s="33"/>
      <c r="F397" s="33"/>
      <c r="G397" s="33"/>
      <c r="H397" s="34"/>
      <c r="I397" s="55"/>
      <c r="J397" s="55"/>
      <c r="K397" s="33"/>
      <c r="L397" s="33"/>
      <c r="M397" s="6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</row>
    <row r="398" spans="1:31" ht="14.25" customHeight="1">
      <c r="A398" s="1"/>
      <c r="B398" s="33"/>
      <c r="C398" s="33"/>
      <c r="D398" s="33"/>
      <c r="E398" s="33"/>
      <c r="F398" s="33"/>
      <c r="G398" s="33"/>
      <c r="H398" s="34"/>
      <c r="I398" s="55"/>
      <c r="J398" s="55"/>
      <c r="K398" s="33"/>
      <c r="L398" s="33"/>
      <c r="M398" s="6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</row>
    <row r="399" spans="1:31" ht="14.25" customHeight="1">
      <c r="A399" s="1"/>
      <c r="B399" s="33"/>
      <c r="C399" s="33"/>
      <c r="D399" s="33"/>
      <c r="E399" s="33"/>
      <c r="F399" s="33"/>
      <c r="G399" s="33"/>
      <c r="H399" s="34"/>
      <c r="I399" s="55"/>
      <c r="J399" s="55"/>
      <c r="K399" s="33"/>
      <c r="L399" s="33"/>
      <c r="M399" s="6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</row>
    <row r="400" spans="1:31" ht="14.25" customHeight="1">
      <c r="A400" s="1"/>
      <c r="B400" s="33"/>
      <c r="C400" s="33"/>
      <c r="D400" s="33"/>
      <c r="E400" s="33"/>
      <c r="F400" s="33"/>
      <c r="G400" s="33"/>
      <c r="H400" s="34"/>
      <c r="I400" s="55"/>
      <c r="J400" s="55"/>
      <c r="K400" s="33"/>
      <c r="L400" s="33"/>
      <c r="M400" s="6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</row>
    <row r="401" spans="1:31" ht="14.25" customHeight="1">
      <c r="A401" s="1"/>
      <c r="B401" s="33"/>
      <c r="C401" s="33"/>
      <c r="D401" s="33"/>
      <c r="E401" s="33"/>
      <c r="F401" s="33"/>
      <c r="G401" s="33"/>
      <c r="H401" s="34"/>
      <c r="I401" s="55"/>
      <c r="J401" s="55"/>
      <c r="K401" s="33"/>
      <c r="L401" s="33"/>
      <c r="M401" s="6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</row>
    <row r="402" spans="1:31" ht="14.25" customHeight="1">
      <c r="A402" s="1"/>
      <c r="B402" s="33"/>
      <c r="C402" s="33"/>
      <c r="D402" s="33"/>
      <c r="E402" s="33"/>
      <c r="F402" s="33"/>
      <c r="G402" s="33"/>
      <c r="H402" s="34"/>
      <c r="I402" s="55"/>
      <c r="J402" s="55"/>
      <c r="K402" s="33"/>
      <c r="L402" s="33"/>
      <c r="M402" s="6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</row>
    <row r="403" spans="1:31" ht="14.25" customHeight="1">
      <c r="A403" s="1"/>
      <c r="B403" s="33"/>
      <c r="C403" s="33"/>
      <c r="D403" s="33"/>
      <c r="E403" s="33"/>
      <c r="F403" s="33"/>
      <c r="G403" s="33"/>
      <c r="H403" s="34"/>
      <c r="I403" s="55"/>
      <c r="J403" s="55"/>
      <c r="K403" s="33"/>
      <c r="L403" s="33"/>
      <c r="M403" s="6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</row>
    <row r="404" spans="1:31" ht="14.25" customHeight="1">
      <c r="A404" s="1"/>
      <c r="B404" s="33"/>
      <c r="C404" s="33"/>
      <c r="D404" s="33"/>
      <c r="E404" s="33"/>
      <c r="F404" s="33"/>
      <c r="G404" s="33"/>
      <c r="H404" s="34"/>
      <c r="I404" s="55"/>
      <c r="J404" s="55"/>
      <c r="K404" s="33"/>
      <c r="L404" s="33"/>
      <c r="M404" s="6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</row>
    <row r="405" spans="1:31" ht="14.25" customHeight="1">
      <c r="A405" s="1"/>
      <c r="B405" s="33"/>
      <c r="C405" s="33"/>
      <c r="D405" s="33"/>
      <c r="E405" s="33"/>
      <c r="F405" s="33"/>
      <c r="G405" s="33"/>
      <c r="H405" s="34"/>
      <c r="I405" s="55"/>
      <c r="J405" s="55"/>
      <c r="K405" s="33"/>
      <c r="L405" s="33"/>
      <c r="M405" s="6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</row>
    <row r="406" spans="1:31" ht="14.25" customHeight="1">
      <c r="A406" s="1"/>
      <c r="B406" s="33"/>
      <c r="C406" s="33"/>
      <c r="D406" s="33"/>
      <c r="E406" s="33"/>
      <c r="F406" s="33"/>
      <c r="G406" s="33"/>
      <c r="H406" s="34"/>
      <c r="I406" s="55"/>
      <c r="J406" s="55"/>
      <c r="K406" s="33"/>
      <c r="L406" s="33"/>
      <c r="M406" s="6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</row>
    <row r="407" spans="1:31" ht="14.25" customHeight="1">
      <c r="A407" s="1"/>
      <c r="B407" s="33"/>
      <c r="C407" s="33"/>
      <c r="D407" s="33"/>
      <c r="E407" s="33"/>
      <c r="F407" s="33"/>
      <c r="G407" s="33"/>
      <c r="H407" s="34"/>
      <c r="I407" s="55"/>
      <c r="J407" s="55"/>
      <c r="K407" s="33"/>
      <c r="L407" s="33"/>
      <c r="M407" s="6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</row>
    <row r="408" spans="1:31" ht="14.25" customHeight="1">
      <c r="A408" s="1"/>
      <c r="B408" s="33"/>
      <c r="C408" s="33"/>
      <c r="D408" s="33"/>
      <c r="E408" s="33"/>
      <c r="F408" s="33"/>
      <c r="G408" s="33"/>
      <c r="H408" s="34"/>
      <c r="I408" s="55"/>
      <c r="J408" s="55"/>
      <c r="K408" s="33"/>
      <c r="L408" s="33"/>
      <c r="M408" s="6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</row>
    <row r="409" spans="1:31" ht="14.25" customHeight="1">
      <c r="A409" s="1"/>
      <c r="B409" s="33"/>
      <c r="C409" s="33"/>
      <c r="D409" s="33"/>
      <c r="E409" s="33"/>
      <c r="F409" s="33"/>
      <c r="G409" s="33"/>
      <c r="H409" s="34"/>
      <c r="I409" s="55"/>
      <c r="J409" s="55"/>
      <c r="K409" s="33"/>
      <c r="L409" s="33"/>
      <c r="M409" s="6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</row>
    <row r="410" spans="1:31" ht="14.25" customHeight="1">
      <c r="A410" s="1"/>
      <c r="B410" s="33"/>
      <c r="C410" s="33"/>
      <c r="D410" s="33"/>
      <c r="E410" s="33"/>
      <c r="F410" s="33"/>
      <c r="G410" s="33"/>
      <c r="H410" s="34"/>
      <c r="I410" s="55"/>
      <c r="J410" s="55"/>
      <c r="K410" s="33"/>
      <c r="L410" s="33"/>
      <c r="M410" s="6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</row>
    <row r="411" spans="1:31" ht="14.25" customHeight="1">
      <c r="A411" s="1"/>
      <c r="B411" s="33"/>
      <c r="C411" s="33"/>
      <c r="D411" s="33"/>
      <c r="E411" s="33"/>
      <c r="F411" s="33"/>
      <c r="G411" s="33"/>
      <c r="H411" s="34"/>
      <c r="I411" s="55"/>
      <c r="J411" s="55"/>
      <c r="K411" s="33"/>
      <c r="L411" s="33"/>
      <c r="M411" s="6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</row>
    <row r="412" spans="1:31" ht="14.25" customHeight="1">
      <c r="A412" s="1"/>
      <c r="B412" s="33"/>
      <c r="C412" s="33"/>
      <c r="D412" s="33"/>
      <c r="E412" s="33"/>
      <c r="F412" s="33"/>
      <c r="G412" s="33"/>
      <c r="H412" s="34"/>
      <c r="I412" s="55"/>
      <c r="J412" s="55"/>
      <c r="K412" s="33"/>
      <c r="L412" s="33"/>
      <c r="M412" s="6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</row>
    <row r="413" spans="1:31" ht="14.25" customHeight="1">
      <c r="A413" s="1"/>
      <c r="B413" s="33"/>
      <c r="C413" s="33"/>
      <c r="D413" s="33"/>
      <c r="E413" s="33"/>
      <c r="F413" s="33"/>
      <c r="G413" s="33"/>
      <c r="H413" s="34"/>
      <c r="I413" s="55"/>
      <c r="J413" s="55"/>
      <c r="K413" s="33"/>
      <c r="L413" s="33"/>
      <c r="M413" s="6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</row>
    <row r="414" spans="1:31" ht="14.25" customHeight="1">
      <c r="A414" s="1"/>
      <c r="B414" s="33"/>
      <c r="C414" s="33"/>
      <c r="D414" s="33"/>
      <c r="E414" s="33"/>
      <c r="F414" s="33"/>
      <c r="G414" s="33"/>
      <c r="H414" s="34"/>
      <c r="I414" s="55"/>
      <c r="J414" s="55"/>
      <c r="K414" s="33"/>
      <c r="L414" s="33"/>
      <c r="M414" s="6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</row>
    <row r="415" spans="1:31" ht="14.25" customHeight="1">
      <c r="A415" s="1"/>
      <c r="B415" s="33"/>
      <c r="C415" s="33"/>
      <c r="D415" s="33"/>
      <c r="E415" s="33"/>
      <c r="F415" s="33"/>
      <c r="G415" s="33"/>
      <c r="H415" s="34"/>
      <c r="I415" s="55"/>
      <c r="J415" s="55"/>
      <c r="K415" s="33"/>
      <c r="L415" s="33"/>
      <c r="M415" s="6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</row>
    <row r="416" spans="1:31" ht="14.25" customHeight="1">
      <c r="A416" s="1"/>
      <c r="B416" s="33"/>
      <c r="C416" s="33"/>
      <c r="D416" s="33"/>
      <c r="E416" s="33"/>
      <c r="F416" s="33"/>
      <c r="G416" s="33"/>
      <c r="H416" s="34"/>
      <c r="I416" s="55"/>
      <c r="J416" s="55"/>
      <c r="K416" s="33"/>
      <c r="L416" s="33"/>
      <c r="M416" s="6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</row>
    <row r="417" spans="1:31" ht="14.25" customHeight="1">
      <c r="A417" s="1"/>
      <c r="B417" s="33"/>
      <c r="C417" s="33"/>
      <c r="D417" s="33"/>
      <c r="E417" s="33"/>
      <c r="F417" s="33"/>
      <c r="G417" s="33"/>
      <c r="H417" s="34"/>
      <c r="I417" s="55"/>
      <c r="J417" s="55"/>
      <c r="K417" s="33"/>
      <c r="L417" s="33"/>
      <c r="M417" s="6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</row>
    <row r="418" spans="1:31" ht="14.25" customHeight="1">
      <c r="A418" s="1"/>
      <c r="B418" s="33"/>
      <c r="C418" s="33"/>
      <c r="D418" s="33"/>
      <c r="E418" s="33"/>
      <c r="F418" s="33"/>
      <c r="G418" s="33"/>
      <c r="H418" s="34"/>
      <c r="I418" s="55"/>
      <c r="J418" s="55"/>
      <c r="K418" s="33"/>
      <c r="L418" s="33"/>
      <c r="M418" s="6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</row>
    <row r="419" spans="1:31" ht="14.25" customHeight="1">
      <c r="A419" s="1"/>
      <c r="B419" s="33"/>
      <c r="C419" s="33"/>
      <c r="D419" s="33"/>
      <c r="E419" s="33"/>
      <c r="F419" s="33"/>
      <c r="G419" s="33"/>
      <c r="H419" s="34"/>
      <c r="I419" s="55"/>
      <c r="J419" s="55"/>
      <c r="K419" s="33"/>
      <c r="L419" s="33"/>
      <c r="M419" s="6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</row>
    <row r="420" spans="1:31" ht="14.25" customHeight="1">
      <c r="A420" s="1"/>
      <c r="B420" s="33"/>
      <c r="C420" s="33"/>
      <c r="D420" s="33"/>
      <c r="E420" s="33"/>
      <c r="F420" s="33"/>
      <c r="G420" s="33"/>
      <c r="H420" s="34"/>
      <c r="I420" s="55"/>
      <c r="J420" s="55"/>
      <c r="K420" s="33"/>
      <c r="L420" s="33"/>
      <c r="M420" s="6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</row>
    <row r="421" spans="1:31" ht="14.25" customHeight="1">
      <c r="A421" s="1"/>
      <c r="B421" s="33"/>
      <c r="C421" s="33"/>
      <c r="D421" s="33"/>
      <c r="E421" s="33"/>
      <c r="F421" s="33"/>
      <c r="G421" s="33"/>
      <c r="H421" s="34"/>
      <c r="I421" s="55"/>
      <c r="J421" s="55"/>
      <c r="K421" s="33"/>
      <c r="L421" s="33"/>
      <c r="M421" s="6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</row>
    <row r="422" spans="1:31" ht="14.25" customHeight="1">
      <c r="A422" s="1"/>
      <c r="B422" s="33"/>
      <c r="C422" s="33"/>
      <c r="D422" s="33"/>
      <c r="E422" s="33"/>
      <c r="F422" s="33"/>
      <c r="G422" s="33"/>
      <c r="H422" s="34"/>
      <c r="I422" s="55"/>
      <c r="J422" s="55"/>
      <c r="K422" s="33"/>
      <c r="L422" s="33"/>
      <c r="M422" s="6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</row>
    <row r="423" spans="1:31" ht="14.25" customHeight="1">
      <c r="A423" s="1"/>
      <c r="B423" s="33"/>
      <c r="C423" s="33"/>
      <c r="D423" s="33"/>
      <c r="E423" s="33"/>
      <c r="F423" s="33"/>
      <c r="G423" s="33"/>
      <c r="H423" s="34"/>
      <c r="I423" s="55"/>
      <c r="J423" s="55"/>
      <c r="K423" s="33"/>
      <c r="L423" s="33"/>
      <c r="M423" s="6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</row>
    <row r="424" spans="1:31" ht="14.25" customHeight="1">
      <c r="A424" s="1"/>
      <c r="B424" s="33"/>
      <c r="C424" s="33"/>
      <c r="D424" s="33"/>
      <c r="E424" s="33"/>
      <c r="F424" s="33"/>
      <c r="G424" s="33"/>
      <c r="H424" s="34"/>
      <c r="I424" s="55"/>
      <c r="J424" s="55"/>
      <c r="K424" s="33"/>
      <c r="L424" s="33"/>
      <c r="M424" s="6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</row>
    <row r="425" spans="1:31" ht="14.25" customHeight="1">
      <c r="A425" s="1"/>
      <c r="B425" s="33"/>
      <c r="C425" s="33"/>
      <c r="D425" s="33"/>
      <c r="E425" s="33"/>
      <c r="F425" s="33"/>
      <c r="G425" s="33"/>
      <c r="H425" s="34"/>
      <c r="I425" s="55"/>
      <c r="J425" s="55"/>
      <c r="K425" s="33"/>
      <c r="L425" s="33"/>
      <c r="M425" s="6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</row>
    <row r="426" spans="1:31" ht="14.25" customHeight="1">
      <c r="A426" s="1"/>
      <c r="B426" s="33"/>
      <c r="C426" s="33"/>
      <c r="D426" s="33"/>
      <c r="E426" s="33"/>
      <c r="F426" s="33"/>
      <c r="G426" s="33"/>
      <c r="H426" s="34"/>
      <c r="I426" s="55"/>
      <c r="J426" s="55"/>
      <c r="K426" s="33"/>
      <c r="L426" s="33"/>
      <c r="M426" s="6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</row>
    <row r="427" spans="1:31" ht="14.25" customHeight="1">
      <c r="A427" s="1"/>
      <c r="B427" s="33"/>
      <c r="C427" s="33"/>
      <c r="D427" s="33"/>
      <c r="E427" s="33"/>
      <c r="F427" s="33"/>
      <c r="G427" s="33"/>
      <c r="H427" s="34"/>
      <c r="I427" s="55"/>
      <c r="J427" s="55"/>
      <c r="K427" s="33"/>
      <c r="L427" s="33"/>
      <c r="M427" s="6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</row>
    <row r="428" spans="1:31" ht="14.25" customHeight="1">
      <c r="A428" s="1"/>
      <c r="B428" s="33"/>
      <c r="C428" s="33"/>
      <c r="D428" s="33"/>
      <c r="E428" s="33"/>
      <c r="F428" s="33"/>
      <c r="G428" s="33"/>
      <c r="H428" s="34"/>
      <c r="I428" s="55"/>
      <c r="J428" s="55"/>
      <c r="K428" s="33"/>
      <c r="L428" s="33"/>
      <c r="M428" s="6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</row>
    <row r="429" spans="1:31" ht="14.25" customHeight="1">
      <c r="A429" s="1"/>
      <c r="B429" s="33"/>
      <c r="C429" s="33"/>
      <c r="D429" s="33"/>
      <c r="E429" s="33"/>
      <c r="F429" s="33"/>
      <c r="G429" s="33"/>
      <c r="H429" s="34"/>
      <c r="I429" s="55"/>
      <c r="J429" s="55"/>
      <c r="K429" s="33"/>
      <c r="L429" s="33"/>
      <c r="M429" s="6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</row>
    <row r="430" spans="1:31" ht="14.25" customHeight="1">
      <c r="A430" s="1"/>
      <c r="B430" s="33"/>
      <c r="C430" s="33"/>
      <c r="D430" s="33"/>
      <c r="E430" s="33"/>
      <c r="F430" s="33"/>
      <c r="G430" s="33"/>
      <c r="H430" s="34"/>
      <c r="I430" s="55"/>
      <c r="J430" s="55"/>
      <c r="K430" s="33"/>
      <c r="L430" s="33"/>
      <c r="M430" s="6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</row>
    <row r="431" spans="1:31" ht="14.25" customHeight="1">
      <c r="A431" s="1"/>
      <c r="B431" s="33"/>
      <c r="C431" s="33"/>
      <c r="D431" s="33"/>
      <c r="E431" s="33"/>
      <c r="F431" s="33"/>
      <c r="G431" s="33"/>
      <c r="H431" s="34"/>
      <c r="I431" s="55"/>
      <c r="J431" s="55"/>
      <c r="K431" s="33"/>
      <c r="L431" s="33"/>
      <c r="M431" s="6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</row>
    <row r="432" spans="1:31" ht="14.25" customHeight="1">
      <c r="A432" s="1"/>
      <c r="B432" s="33"/>
      <c r="C432" s="33"/>
      <c r="D432" s="33"/>
      <c r="E432" s="33"/>
      <c r="F432" s="33"/>
      <c r="G432" s="33"/>
      <c r="H432" s="34"/>
      <c r="I432" s="55"/>
      <c r="J432" s="55"/>
      <c r="K432" s="33"/>
      <c r="L432" s="33"/>
      <c r="M432" s="6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</row>
    <row r="433" spans="1:31" ht="14.25" customHeight="1">
      <c r="A433" s="1"/>
      <c r="B433" s="33"/>
      <c r="C433" s="33"/>
      <c r="D433" s="33"/>
      <c r="E433" s="33"/>
      <c r="F433" s="33"/>
      <c r="G433" s="33"/>
      <c r="H433" s="34"/>
      <c r="I433" s="55"/>
      <c r="J433" s="55"/>
      <c r="K433" s="33"/>
      <c r="L433" s="33"/>
      <c r="M433" s="6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</row>
    <row r="434" spans="1:31" ht="14.25" customHeight="1">
      <c r="A434" s="1"/>
      <c r="B434" s="33"/>
      <c r="C434" s="33"/>
      <c r="D434" s="33"/>
      <c r="E434" s="33"/>
      <c r="F434" s="33"/>
      <c r="G434" s="33"/>
      <c r="H434" s="34"/>
      <c r="I434" s="55"/>
      <c r="J434" s="55"/>
      <c r="K434" s="33"/>
      <c r="L434" s="33"/>
      <c r="M434" s="6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</row>
    <row r="435" spans="1:31" ht="14.25" customHeight="1">
      <c r="A435" s="1"/>
      <c r="B435" s="33"/>
      <c r="C435" s="33"/>
      <c r="D435" s="33"/>
      <c r="E435" s="33"/>
      <c r="F435" s="33"/>
      <c r="G435" s="33"/>
      <c r="H435" s="34"/>
      <c r="I435" s="55"/>
      <c r="J435" s="55"/>
      <c r="K435" s="33"/>
      <c r="L435" s="33"/>
      <c r="M435" s="6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</row>
    <row r="436" spans="1:31" ht="14.25" customHeight="1">
      <c r="A436" s="1"/>
      <c r="B436" s="33"/>
      <c r="C436" s="33"/>
      <c r="D436" s="33"/>
      <c r="E436" s="33"/>
      <c r="F436" s="33"/>
      <c r="G436" s="33"/>
      <c r="H436" s="34"/>
      <c r="I436" s="55"/>
      <c r="J436" s="55"/>
      <c r="K436" s="33"/>
      <c r="L436" s="33"/>
      <c r="M436" s="6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</row>
    <row r="437" spans="1:31" ht="14.25" customHeight="1">
      <c r="A437" s="1"/>
      <c r="B437" s="33"/>
      <c r="C437" s="33"/>
      <c r="D437" s="33"/>
      <c r="E437" s="33"/>
      <c r="F437" s="33"/>
      <c r="G437" s="33"/>
      <c r="H437" s="34"/>
      <c r="I437" s="55"/>
      <c r="J437" s="55"/>
      <c r="K437" s="33"/>
      <c r="L437" s="33"/>
      <c r="M437" s="6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</row>
    <row r="438" spans="1:31" ht="14.25" customHeight="1">
      <c r="A438" s="1"/>
      <c r="B438" s="33"/>
      <c r="C438" s="33"/>
      <c r="D438" s="33"/>
      <c r="E438" s="33"/>
      <c r="F438" s="33"/>
      <c r="G438" s="33"/>
      <c r="H438" s="34"/>
      <c r="I438" s="55"/>
      <c r="J438" s="55"/>
      <c r="K438" s="33"/>
      <c r="L438" s="33"/>
      <c r="M438" s="6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</row>
    <row r="439" spans="1:31" ht="14.25" customHeight="1">
      <c r="A439" s="1"/>
      <c r="B439" s="33"/>
      <c r="C439" s="33"/>
      <c r="D439" s="33"/>
      <c r="E439" s="33"/>
      <c r="F439" s="33"/>
      <c r="G439" s="33"/>
      <c r="H439" s="34"/>
      <c r="I439" s="55"/>
      <c r="J439" s="55"/>
      <c r="K439" s="33"/>
      <c r="L439" s="33"/>
      <c r="M439" s="6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</row>
    <row r="440" spans="1:31" ht="14.25" customHeight="1">
      <c r="A440" s="1"/>
      <c r="B440" s="33"/>
      <c r="C440" s="33"/>
      <c r="D440" s="33"/>
      <c r="E440" s="33"/>
      <c r="F440" s="33"/>
      <c r="G440" s="33"/>
      <c r="H440" s="34"/>
      <c r="I440" s="55"/>
      <c r="J440" s="55"/>
      <c r="K440" s="33"/>
      <c r="L440" s="33"/>
      <c r="M440" s="6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</row>
    <row r="441" spans="1:31" ht="14.25" customHeight="1">
      <c r="A441" s="1"/>
      <c r="B441" s="33"/>
      <c r="C441" s="33"/>
      <c r="D441" s="33"/>
      <c r="E441" s="33"/>
      <c r="F441" s="33"/>
      <c r="G441" s="33"/>
      <c r="H441" s="34"/>
      <c r="I441" s="55"/>
      <c r="J441" s="55"/>
      <c r="K441" s="33"/>
      <c r="L441" s="33"/>
      <c r="M441" s="6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</row>
    <row r="442" spans="1:31" ht="14.25" customHeight="1">
      <c r="A442" s="1"/>
      <c r="B442" s="33"/>
      <c r="C442" s="33"/>
      <c r="D442" s="33"/>
      <c r="E442" s="33"/>
      <c r="F442" s="33"/>
      <c r="G442" s="33"/>
      <c r="H442" s="34"/>
      <c r="I442" s="55"/>
      <c r="J442" s="55"/>
      <c r="K442" s="33"/>
      <c r="L442" s="33"/>
      <c r="M442" s="6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</row>
    <row r="443" spans="1:31" ht="14.25" customHeight="1">
      <c r="A443" s="1"/>
      <c r="B443" s="33"/>
      <c r="C443" s="33"/>
      <c r="D443" s="33"/>
      <c r="E443" s="33"/>
      <c r="F443" s="33"/>
      <c r="G443" s="33"/>
      <c r="H443" s="34"/>
      <c r="I443" s="55"/>
      <c r="J443" s="55"/>
      <c r="K443" s="33"/>
      <c r="L443" s="33"/>
      <c r="M443" s="6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</row>
    <row r="444" spans="1:31" ht="14.25" customHeight="1">
      <c r="A444" s="1"/>
      <c r="B444" s="33"/>
      <c r="C444" s="33"/>
      <c r="D444" s="33"/>
      <c r="E444" s="33"/>
      <c r="F444" s="33"/>
      <c r="G444" s="33"/>
      <c r="H444" s="34"/>
      <c r="I444" s="55"/>
      <c r="J444" s="55"/>
      <c r="K444" s="33"/>
      <c r="L444" s="33"/>
      <c r="M444" s="6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</row>
    <row r="445" spans="1:31" ht="14.25" customHeight="1">
      <c r="A445" s="1"/>
      <c r="B445" s="33"/>
      <c r="C445" s="33"/>
      <c r="D445" s="33"/>
      <c r="E445" s="33"/>
      <c r="F445" s="33"/>
      <c r="G445" s="33"/>
      <c r="H445" s="34"/>
      <c r="I445" s="55"/>
      <c r="J445" s="55"/>
      <c r="K445" s="33"/>
      <c r="L445" s="33"/>
      <c r="M445" s="6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</row>
    <row r="446" spans="1:31" ht="14.25" customHeight="1">
      <c r="A446" s="1"/>
      <c r="B446" s="33"/>
      <c r="C446" s="33"/>
      <c r="D446" s="33"/>
      <c r="E446" s="33"/>
      <c r="F446" s="33"/>
      <c r="G446" s="33"/>
      <c r="H446" s="34"/>
      <c r="I446" s="55"/>
      <c r="J446" s="55"/>
      <c r="K446" s="33"/>
      <c r="L446" s="33"/>
      <c r="M446" s="6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</row>
    <row r="447" spans="1:31" ht="14.25" customHeight="1">
      <c r="A447" s="1"/>
      <c r="B447" s="33"/>
      <c r="C447" s="33"/>
      <c r="D447" s="33"/>
      <c r="E447" s="33"/>
      <c r="F447" s="33"/>
      <c r="G447" s="33"/>
      <c r="H447" s="34"/>
      <c r="I447" s="55"/>
      <c r="J447" s="55"/>
      <c r="K447" s="33"/>
      <c r="L447" s="33"/>
      <c r="M447" s="6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</row>
    <row r="448" spans="1:31" ht="14.25" customHeight="1">
      <c r="A448" s="1"/>
      <c r="B448" s="33"/>
      <c r="C448" s="33"/>
      <c r="D448" s="33"/>
      <c r="E448" s="33"/>
      <c r="F448" s="33"/>
      <c r="G448" s="33"/>
      <c r="H448" s="34"/>
      <c r="I448" s="55"/>
      <c r="J448" s="55"/>
      <c r="K448" s="33"/>
      <c r="L448" s="33"/>
      <c r="M448" s="6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</row>
    <row r="449" spans="1:31" ht="14.25" customHeight="1">
      <c r="A449" s="1"/>
      <c r="B449" s="33"/>
      <c r="C449" s="33"/>
      <c r="D449" s="33"/>
      <c r="E449" s="33"/>
      <c r="F449" s="33"/>
      <c r="G449" s="33"/>
      <c r="H449" s="34"/>
      <c r="I449" s="55"/>
      <c r="J449" s="55"/>
      <c r="K449" s="33"/>
      <c r="L449" s="33"/>
      <c r="M449" s="6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</row>
    <row r="450" spans="1:31" ht="14.25" customHeight="1">
      <c r="A450" s="1"/>
      <c r="B450" s="33"/>
      <c r="C450" s="33"/>
      <c r="D450" s="33"/>
      <c r="E450" s="33"/>
      <c r="F450" s="33"/>
      <c r="G450" s="33"/>
      <c r="H450" s="34"/>
      <c r="I450" s="55"/>
      <c r="J450" s="55"/>
      <c r="K450" s="33"/>
      <c r="L450" s="33"/>
      <c r="M450" s="6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</row>
    <row r="451" spans="1:31" ht="14.25" customHeight="1">
      <c r="A451" s="1"/>
      <c r="B451" s="33"/>
      <c r="C451" s="33"/>
      <c r="D451" s="33"/>
      <c r="E451" s="33"/>
      <c r="F451" s="33"/>
      <c r="G451" s="33"/>
      <c r="H451" s="34"/>
      <c r="I451" s="55"/>
      <c r="J451" s="55"/>
      <c r="K451" s="33"/>
      <c r="L451" s="33"/>
      <c r="M451" s="6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</row>
    <row r="452" spans="1:31" ht="14.25" customHeight="1">
      <c r="A452" s="1"/>
      <c r="B452" s="33"/>
      <c r="C452" s="33"/>
      <c r="D452" s="33"/>
      <c r="E452" s="33"/>
      <c r="F452" s="33"/>
      <c r="G452" s="33"/>
      <c r="H452" s="34"/>
      <c r="I452" s="55"/>
      <c r="J452" s="55"/>
      <c r="K452" s="33"/>
      <c r="L452" s="33"/>
      <c r="M452" s="6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</row>
    <row r="453" spans="1:31" ht="14.25" customHeight="1">
      <c r="A453" s="1"/>
      <c r="B453" s="33"/>
      <c r="C453" s="33"/>
      <c r="D453" s="33"/>
      <c r="E453" s="33"/>
      <c r="F453" s="33"/>
      <c r="G453" s="33"/>
      <c r="H453" s="34"/>
      <c r="I453" s="55"/>
      <c r="J453" s="55"/>
      <c r="K453" s="33"/>
      <c r="L453" s="33"/>
      <c r="M453" s="6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</row>
    <row r="454" spans="1:31" ht="14.25" customHeight="1">
      <c r="A454" s="1"/>
      <c r="B454" s="33"/>
      <c r="C454" s="33"/>
      <c r="D454" s="33"/>
      <c r="E454" s="33"/>
      <c r="F454" s="33"/>
      <c r="G454" s="33"/>
      <c r="H454" s="34"/>
      <c r="I454" s="55"/>
      <c r="J454" s="55"/>
      <c r="K454" s="33"/>
      <c r="L454" s="33"/>
      <c r="M454" s="6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</row>
    <row r="455" spans="1:31" ht="14.25" customHeight="1">
      <c r="A455" s="1"/>
      <c r="B455" s="33"/>
      <c r="C455" s="33"/>
      <c r="D455" s="33"/>
      <c r="E455" s="33"/>
      <c r="F455" s="33"/>
      <c r="G455" s="33"/>
      <c r="H455" s="34"/>
      <c r="I455" s="55"/>
      <c r="J455" s="55"/>
      <c r="K455" s="33"/>
      <c r="L455" s="33"/>
      <c r="M455" s="6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</row>
    <row r="456" spans="1:31" ht="14.25" customHeight="1">
      <c r="A456" s="1"/>
      <c r="B456" s="33"/>
      <c r="C456" s="33"/>
      <c r="D456" s="33"/>
      <c r="E456" s="33"/>
      <c r="F456" s="33"/>
      <c r="G456" s="33"/>
      <c r="H456" s="34"/>
      <c r="I456" s="55"/>
      <c r="J456" s="55"/>
      <c r="K456" s="33"/>
      <c r="L456" s="33"/>
      <c r="M456" s="6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</row>
    <row r="457" spans="1:31" ht="14.25" customHeight="1">
      <c r="A457" s="1"/>
      <c r="B457" s="33"/>
      <c r="C457" s="33"/>
      <c r="D457" s="33"/>
      <c r="E457" s="33"/>
      <c r="F457" s="33"/>
      <c r="G457" s="33"/>
      <c r="H457" s="34"/>
      <c r="I457" s="55"/>
      <c r="J457" s="55"/>
      <c r="K457" s="33"/>
      <c r="L457" s="33"/>
      <c r="M457" s="6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</row>
    <row r="458" spans="1:31" ht="14.25" customHeight="1">
      <c r="A458" s="1"/>
      <c r="B458" s="33"/>
      <c r="C458" s="33"/>
      <c r="D458" s="33"/>
      <c r="E458" s="33"/>
      <c r="F458" s="33"/>
      <c r="G458" s="33"/>
      <c r="H458" s="34"/>
      <c r="I458" s="55"/>
      <c r="J458" s="55"/>
      <c r="K458" s="33"/>
      <c r="L458" s="33"/>
      <c r="M458" s="6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</row>
    <row r="459" spans="1:31" ht="14.25" customHeight="1">
      <c r="A459" s="1"/>
      <c r="B459" s="33"/>
      <c r="C459" s="33"/>
      <c r="D459" s="33"/>
      <c r="E459" s="33"/>
      <c r="F459" s="33"/>
      <c r="G459" s="33"/>
      <c r="H459" s="34"/>
      <c r="I459" s="55"/>
      <c r="J459" s="55"/>
      <c r="K459" s="33"/>
      <c r="L459" s="33"/>
      <c r="M459" s="6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</row>
    <row r="460" spans="1:31" ht="14.25" customHeight="1">
      <c r="A460" s="1"/>
      <c r="B460" s="33"/>
      <c r="C460" s="33"/>
      <c r="D460" s="33"/>
      <c r="E460" s="33"/>
      <c r="F460" s="33"/>
      <c r="G460" s="33"/>
      <c r="H460" s="34"/>
      <c r="I460" s="55"/>
      <c r="J460" s="55"/>
      <c r="K460" s="33"/>
      <c r="L460" s="33"/>
      <c r="M460" s="6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</row>
    <row r="461" spans="1:31" ht="14.25" customHeight="1">
      <c r="A461" s="1"/>
      <c r="B461" s="33"/>
      <c r="C461" s="33"/>
      <c r="D461" s="33"/>
      <c r="E461" s="33"/>
      <c r="F461" s="33"/>
      <c r="G461" s="33"/>
      <c r="H461" s="34"/>
      <c r="I461" s="55"/>
      <c r="J461" s="55"/>
      <c r="K461" s="33"/>
      <c r="L461" s="33"/>
      <c r="M461" s="6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</row>
    <row r="462" spans="1:31" ht="14.25" customHeight="1">
      <c r="A462" s="1"/>
      <c r="B462" s="33"/>
      <c r="C462" s="33"/>
      <c r="D462" s="33"/>
      <c r="E462" s="33"/>
      <c r="F462" s="33"/>
      <c r="G462" s="33"/>
      <c r="H462" s="34"/>
      <c r="I462" s="55"/>
      <c r="J462" s="55"/>
      <c r="K462" s="33"/>
      <c r="L462" s="33"/>
      <c r="M462" s="6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</row>
    <row r="463" spans="1:31" ht="14.25" customHeight="1">
      <c r="A463" s="1"/>
      <c r="B463" s="33"/>
      <c r="C463" s="33"/>
      <c r="D463" s="33"/>
      <c r="E463" s="33"/>
      <c r="F463" s="33"/>
      <c r="G463" s="33"/>
      <c r="H463" s="34"/>
      <c r="I463" s="55"/>
      <c r="J463" s="55"/>
      <c r="K463" s="33"/>
      <c r="L463" s="33"/>
      <c r="M463" s="6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</row>
    <row r="464" spans="1:31" ht="14.25" customHeight="1">
      <c r="A464" s="1"/>
      <c r="B464" s="33"/>
      <c r="C464" s="33"/>
      <c r="D464" s="33"/>
      <c r="E464" s="33"/>
      <c r="F464" s="33"/>
      <c r="G464" s="33"/>
      <c r="H464" s="34"/>
      <c r="I464" s="55"/>
      <c r="J464" s="55"/>
      <c r="K464" s="33"/>
      <c r="L464" s="33"/>
      <c r="M464" s="6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</row>
    <row r="465" spans="1:31" ht="14.25" customHeight="1">
      <c r="A465" s="1"/>
      <c r="B465" s="33"/>
      <c r="C465" s="33"/>
      <c r="D465" s="33"/>
      <c r="E465" s="33"/>
      <c r="F465" s="33"/>
      <c r="G465" s="33"/>
      <c r="H465" s="34"/>
      <c r="I465" s="55"/>
      <c r="J465" s="55"/>
      <c r="K465" s="33"/>
      <c r="L465" s="33"/>
      <c r="M465" s="6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</row>
    <row r="466" spans="1:31" ht="14.25" customHeight="1">
      <c r="A466" s="1"/>
      <c r="B466" s="33"/>
      <c r="C466" s="33"/>
      <c r="D466" s="33"/>
      <c r="E466" s="33"/>
      <c r="F466" s="33"/>
      <c r="G466" s="33"/>
      <c r="H466" s="34"/>
      <c r="I466" s="55"/>
      <c r="J466" s="55"/>
      <c r="K466" s="33"/>
      <c r="L466" s="33"/>
      <c r="M466" s="6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</row>
    <row r="467" spans="1:31" ht="14.25" customHeight="1">
      <c r="A467" s="1"/>
      <c r="B467" s="33"/>
      <c r="C467" s="33"/>
      <c r="D467" s="33"/>
      <c r="E467" s="33"/>
      <c r="F467" s="33"/>
      <c r="G467" s="33"/>
      <c r="H467" s="34"/>
      <c r="I467" s="55"/>
      <c r="J467" s="55"/>
      <c r="K467" s="33"/>
      <c r="L467" s="33"/>
      <c r="M467" s="6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</row>
    <row r="468" spans="1:31" ht="14.25" customHeight="1">
      <c r="A468" s="1"/>
      <c r="B468" s="33"/>
      <c r="C468" s="33"/>
      <c r="D468" s="33"/>
      <c r="E468" s="33"/>
      <c r="F468" s="33"/>
      <c r="G468" s="33"/>
      <c r="H468" s="34"/>
      <c r="I468" s="55"/>
      <c r="J468" s="55"/>
      <c r="K468" s="33"/>
      <c r="L468" s="33"/>
      <c r="M468" s="6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</row>
    <row r="469" spans="1:31" ht="14.25" customHeight="1">
      <c r="A469" s="1"/>
      <c r="B469" s="33"/>
      <c r="C469" s="33"/>
      <c r="D469" s="33"/>
      <c r="E469" s="33"/>
      <c r="F469" s="33"/>
      <c r="G469" s="33"/>
      <c r="H469" s="34"/>
      <c r="I469" s="55"/>
      <c r="J469" s="55"/>
      <c r="K469" s="33"/>
      <c r="L469" s="33"/>
      <c r="M469" s="6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</row>
    <row r="470" spans="1:31" ht="14.25" customHeight="1">
      <c r="A470" s="1"/>
      <c r="B470" s="33"/>
      <c r="C470" s="33"/>
      <c r="D470" s="33"/>
      <c r="E470" s="33"/>
      <c r="F470" s="33"/>
      <c r="G470" s="33"/>
      <c r="H470" s="34"/>
      <c r="I470" s="55"/>
      <c r="J470" s="55"/>
      <c r="K470" s="33"/>
      <c r="L470" s="33"/>
      <c r="M470" s="6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</row>
    <row r="471" spans="1:31" ht="14.25" customHeight="1">
      <c r="A471" s="1"/>
      <c r="B471" s="33"/>
      <c r="C471" s="33"/>
      <c r="D471" s="33"/>
      <c r="E471" s="33"/>
      <c r="F471" s="33"/>
      <c r="G471" s="33"/>
      <c r="H471" s="34"/>
      <c r="I471" s="55"/>
      <c r="J471" s="55"/>
      <c r="K471" s="33"/>
      <c r="L471" s="33"/>
      <c r="M471" s="6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</row>
    <row r="472" spans="1:31" ht="14.25" customHeight="1">
      <c r="A472" s="1"/>
      <c r="B472" s="33"/>
      <c r="C472" s="33"/>
      <c r="D472" s="33"/>
      <c r="E472" s="33"/>
      <c r="F472" s="33"/>
      <c r="G472" s="33"/>
      <c r="H472" s="34"/>
      <c r="I472" s="55"/>
      <c r="J472" s="55"/>
      <c r="K472" s="33"/>
      <c r="L472" s="33"/>
      <c r="M472" s="6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</row>
    <row r="473" spans="1:31" ht="14.25" customHeight="1">
      <c r="A473" s="1"/>
      <c r="B473" s="33"/>
      <c r="C473" s="33"/>
      <c r="D473" s="33"/>
      <c r="E473" s="33"/>
      <c r="F473" s="33"/>
      <c r="G473" s="33"/>
      <c r="H473" s="34"/>
      <c r="I473" s="55"/>
      <c r="J473" s="55"/>
      <c r="K473" s="33"/>
      <c r="L473" s="33"/>
      <c r="M473" s="6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</row>
    <row r="474" spans="1:31" ht="14.25" customHeight="1">
      <c r="A474" s="1"/>
      <c r="B474" s="33"/>
      <c r="C474" s="33"/>
      <c r="D474" s="33"/>
      <c r="E474" s="33"/>
      <c r="F474" s="33"/>
      <c r="G474" s="33"/>
      <c r="H474" s="34"/>
      <c r="I474" s="55"/>
      <c r="J474" s="55"/>
      <c r="K474" s="33"/>
      <c r="L474" s="33"/>
      <c r="M474" s="6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</row>
    <row r="475" spans="1:31" ht="14.25" customHeight="1">
      <c r="A475" s="1"/>
      <c r="B475" s="33"/>
      <c r="C475" s="33"/>
      <c r="D475" s="33"/>
      <c r="E475" s="33"/>
      <c r="F475" s="33"/>
      <c r="G475" s="33"/>
      <c r="H475" s="34"/>
      <c r="I475" s="55"/>
      <c r="J475" s="55"/>
      <c r="K475" s="33"/>
      <c r="L475" s="33"/>
      <c r="M475" s="6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</row>
    <row r="476" spans="1:31" ht="14.25" customHeight="1">
      <c r="A476" s="1"/>
      <c r="B476" s="33"/>
      <c r="C476" s="33"/>
      <c r="D476" s="33"/>
      <c r="E476" s="33"/>
      <c r="F476" s="33"/>
      <c r="G476" s="33"/>
      <c r="H476" s="34"/>
      <c r="I476" s="55"/>
      <c r="J476" s="55"/>
      <c r="K476" s="33"/>
      <c r="L476" s="33"/>
      <c r="M476" s="6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</row>
    <row r="477" spans="1:31" ht="14.25" customHeight="1">
      <c r="A477" s="1"/>
      <c r="B477" s="33"/>
      <c r="C477" s="33"/>
      <c r="D477" s="33"/>
      <c r="E477" s="33"/>
      <c r="F477" s="33"/>
      <c r="G477" s="33"/>
      <c r="H477" s="34"/>
      <c r="I477" s="55"/>
      <c r="J477" s="55"/>
      <c r="K477" s="33"/>
      <c r="L477" s="33"/>
      <c r="M477" s="6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</row>
    <row r="478" spans="1:31" ht="14.25" customHeight="1">
      <c r="A478" s="1"/>
      <c r="B478" s="33"/>
      <c r="C478" s="33"/>
      <c r="D478" s="33"/>
      <c r="E478" s="33"/>
      <c r="F478" s="33"/>
      <c r="G478" s="33"/>
      <c r="H478" s="34"/>
      <c r="I478" s="55"/>
      <c r="J478" s="55"/>
      <c r="K478" s="33"/>
      <c r="L478" s="33"/>
      <c r="M478" s="6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</row>
    <row r="479" spans="1:31" ht="14.25" customHeight="1">
      <c r="A479" s="1"/>
      <c r="B479" s="33"/>
      <c r="C479" s="33"/>
      <c r="D479" s="33"/>
      <c r="E479" s="33"/>
      <c r="F479" s="33"/>
      <c r="G479" s="33"/>
      <c r="H479" s="34"/>
      <c r="I479" s="55"/>
      <c r="J479" s="55"/>
      <c r="K479" s="33"/>
      <c r="L479" s="33"/>
      <c r="M479" s="6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</row>
    <row r="480" spans="1:31" ht="14.25" customHeight="1">
      <c r="A480" s="1"/>
      <c r="B480" s="33"/>
      <c r="C480" s="33"/>
      <c r="D480" s="33"/>
      <c r="E480" s="33"/>
      <c r="F480" s="33"/>
      <c r="G480" s="33"/>
      <c r="H480" s="34"/>
      <c r="I480" s="55"/>
      <c r="J480" s="55"/>
      <c r="K480" s="33"/>
      <c r="L480" s="33"/>
      <c r="M480" s="6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</row>
    <row r="481" spans="1:31" ht="14.25" customHeight="1">
      <c r="A481" s="1"/>
      <c r="B481" s="33"/>
      <c r="C481" s="33"/>
      <c r="D481" s="33"/>
      <c r="E481" s="33"/>
      <c r="F481" s="33"/>
      <c r="G481" s="33"/>
      <c r="H481" s="34"/>
      <c r="I481" s="55"/>
      <c r="J481" s="55"/>
      <c r="K481" s="33"/>
      <c r="L481" s="33"/>
      <c r="M481" s="6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</row>
    <row r="482" spans="1:31" ht="14.25" customHeight="1">
      <c r="A482" s="1"/>
      <c r="B482" s="33"/>
      <c r="C482" s="33"/>
      <c r="D482" s="33"/>
      <c r="E482" s="33"/>
      <c r="F482" s="33"/>
      <c r="G482" s="33"/>
      <c r="H482" s="34"/>
      <c r="I482" s="55"/>
      <c r="J482" s="55"/>
      <c r="K482" s="33"/>
      <c r="L482" s="33"/>
      <c r="M482" s="6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</row>
    <row r="483" spans="1:31" ht="14.25" customHeight="1">
      <c r="A483" s="1"/>
      <c r="B483" s="33"/>
      <c r="C483" s="33"/>
      <c r="D483" s="33"/>
      <c r="E483" s="33"/>
      <c r="F483" s="33"/>
      <c r="G483" s="33"/>
      <c r="H483" s="34"/>
      <c r="I483" s="55"/>
      <c r="J483" s="55"/>
      <c r="K483" s="33"/>
      <c r="L483" s="33"/>
      <c r="M483" s="6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</row>
    <row r="484" spans="1:31" ht="14.25" customHeight="1">
      <c r="A484" s="1"/>
      <c r="B484" s="33"/>
      <c r="C484" s="33"/>
      <c r="D484" s="33"/>
      <c r="E484" s="33"/>
      <c r="F484" s="33"/>
      <c r="G484" s="33"/>
      <c r="H484" s="34"/>
      <c r="I484" s="55"/>
      <c r="J484" s="55"/>
      <c r="K484" s="33"/>
      <c r="L484" s="33"/>
      <c r="M484" s="6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</row>
    <row r="485" spans="1:31" ht="14.25" customHeight="1">
      <c r="A485" s="1"/>
      <c r="B485" s="33"/>
      <c r="C485" s="33"/>
      <c r="D485" s="33"/>
      <c r="E485" s="33"/>
      <c r="F485" s="33"/>
      <c r="G485" s="33"/>
      <c r="H485" s="34"/>
      <c r="I485" s="55"/>
      <c r="J485" s="55"/>
      <c r="K485" s="33"/>
      <c r="L485" s="33"/>
      <c r="M485" s="6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</row>
    <row r="486" spans="1:31" ht="14.25" customHeight="1">
      <c r="A486" s="1"/>
      <c r="B486" s="33"/>
      <c r="C486" s="33"/>
      <c r="D486" s="33"/>
      <c r="E486" s="33"/>
      <c r="F486" s="33"/>
      <c r="G486" s="33"/>
      <c r="H486" s="34"/>
      <c r="I486" s="55"/>
      <c r="J486" s="55"/>
      <c r="K486" s="33"/>
      <c r="L486" s="33"/>
      <c r="M486" s="6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</row>
    <row r="487" spans="1:31" ht="14.25" customHeight="1">
      <c r="A487" s="1"/>
      <c r="B487" s="33"/>
      <c r="C487" s="33"/>
      <c r="D487" s="33"/>
      <c r="E487" s="33"/>
      <c r="F487" s="33"/>
      <c r="G487" s="33"/>
      <c r="H487" s="34"/>
      <c r="I487" s="55"/>
      <c r="J487" s="55"/>
      <c r="K487" s="33"/>
      <c r="L487" s="33"/>
      <c r="M487" s="6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</row>
    <row r="488" spans="1:31" ht="14.25" customHeight="1">
      <c r="A488" s="1"/>
      <c r="B488" s="33"/>
      <c r="C488" s="33"/>
      <c r="D488" s="33"/>
      <c r="E488" s="33"/>
      <c r="F488" s="33"/>
      <c r="G488" s="33"/>
      <c r="H488" s="34"/>
      <c r="I488" s="55"/>
      <c r="J488" s="55"/>
      <c r="K488" s="33"/>
      <c r="L488" s="33"/>
      <c r="M488" s="6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</row>
    <row r="489" spans="1:31" ht="14.25" customHeight="1">
      <c r="A489" s="1"/>
      <c r="B489" s="33"/>
      <c r="C489" s="33"/>
      <c r="D489" s="33"/>
      <c r="E489" s="33"/>
      <c r="F489" s="33"/>
      <c r="G489" s="33"/>
      <c r="H489" s="34"/>
      <c r="I489" s="55"/>
      <c r="J489" s="55"/>
      <c r="K489" s="33"/>
      <c r="L489" s="33"/>
      <c r="M489" s="6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</row>
    <row r="490" spans="1:31" ht="14.25" customHeight="1">
      <c r="A490" s="1"/>
      <c r="B490" s="33"/>
      <c r="C490" s="33"/>
      <c r="D490" s="33"/>
      <c r="E490" s="33"/>
      <c r="F490" s="33"/>
      <c r="G490" s="33"/>
      <c r="H490" s="34"/>
      <c r="I490" s="55"/>
      <c r="J490" s="55"/>
      <c r="K490" s="33"/>
      <c r="L490" s="33"/>
      <c r="M490" s="6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</row>
    <row r="491" spans="1:31" ht="14.25" customHeight="1">
      <c r="A491" s="1"/>
      <c r="B491" s="33"/>
      <c r="C491" s="33"/>
      <c r="D491" s="33"/>
      <c r="E491" s="33"/>
      <c r="F491" s="33"/>
      <c r="G491" s="33"/>
      <c r="H491" s="34"/>
      <c r="I491" s="55"/>
      <c r="J491" s="55"/>
      <c r="K491" s="33"/>
      <c r="L491" s="33"/>
      <c r="M491" s="6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</row>
    <row r="492" spans="1:31" ht="14.25" customHeight="1">
      <c r="A492" s="1"/>
      <c r="B492" s="33"/>
      <c r="C492" s="33"/>
      <c r="D492" s="33"/>
      <c r="E492" s="33"/>
      <c r="F492" s="33"/>
      <c r="G492" s="33"/>
      <c r="H492" s="34"/>
      <c r="I492" s="55"/>
      <c r="J492" s="55"/>
      <c r="K492" s="33"/>
      <c r="L492" s="33"/>
      <c r="M492" s="6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</row>
    <row r="493" spans="1:31" ht="14.25" customHeight="1">
      <c r="A493" s="1"/>
      <c r="B493" s="33"/>
      <c r="C493" s="33"/>
      <c r="D493" s="33"/>
      <c r="E493" s="33"/>
      <c r="F493" s="33"/>
      <c r="G493" s="33"/>
      <c r="H493" s="34"/>
      <c r="I493" s="55"/>
      <c r="J493" s="55"/>
      <c r="K493" s="33"/>
      <c r="L493" s="33"/>
      <c r="M493" s="6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</row>
    <row r="494" spans="1:31" ht="14.25" customHeight="1">
      <c r="A494" s="1"/>
      <c r="B494" s="33"/>
      <c r="C494" s="33"/>
      <c r="D494" s="33"/>
      <c r="E494" s="33"/>
      <c r="F494" s="33"/>
      <c r="G494" s="33"/>
      <c r="H494" s="34"/>
      <c r="I494" s="55"/>
      <c r="J494" s="55"/>
      <c r="K494" s="33"/>
      <c r="L494" s="33"/>
      <c r="M494" s="6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</row>
    <row r="495" spans="1:31" ht="14.25" customHeight="1">
      <c r="A495" s="1"/>
      <c r="B495" s="33"/>
      <c r="C495" s="33"/>
      <c r="D495" s="33"/>
      <c r="E495" s="33"/>
      <c r="F495" s="33"/>
      <c r="G495" s="33"/>
      <c r="H495" s="34"/>
      <c r="I495" s="55"/>
      <c r="J495" s="55"/>
      <c r="K495" s="33"/>
      <c r="L495" s="33"/>
      <c r="M495" s="6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</row>
    <row r="496" spans="1:31" ht="14.25" customHeight="1">
      <c r="A496" s="1"/>
      <c r="B496" s="33"/>
      <c r="C496" s="33"/>
      <c r="D496" s="33"/>
      <c r="E496" s="33"/>
      <c r="F496" s="33"/>
      <c r="G496" s="33"/>
      <c r="H496" s="34"/>
      <c r="I496" s="55"/>
      <c r="J496" s="55"/>
      <c r="K496" s="33"/>
      <c r="L496" s="33"/>
      <c r="M496" s="6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</row>
    <row r="497" spans="1:31" ht="14.25" customHeight="1">
      <c r="A497" s="1"/>
      <c r="B497" s="33"/>
      <c r="C497" s="33"/>
      <c r="D497" s="33"/>
      <c r="E497" s="33"/>
      <c r="F497" s="33"/>
      <c r="G497" s="33"/>
      <c r="H497" s="34"/>
      <c r="I497" s="55"/>
      <c r="J497" s="55"/>
      <c r="K497" s="33"/>
      <c r="L497" s="33"/>
      <c r="M497" s="6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</row>
    <row r="498" spans="1:31" ht="14.25" customHeight="1">
      <c r="A498" s="1"/>
      <c r="B498" s="33"/>
      <c r="C498" s="33"/>
      <c r="D498" s="33"/>
      <c r="E498" s="33"/>
      <c r="F498" s="33"/>
      <c r="G498" s="33"/>
      <c r="H498" s="34"/>
      <c r="I498" s="55"/>
      <c r="J498" s="55"/>
      <c r="K498" s="33"/>
      <c r="L498" s="33"/>
      <c r="M498" s="6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</row>
    <row r="499" spans="1:31" ht="14.25" customHeight="1">
      <c r="A499" s="1"/>
      <c r="B499" s="33"/>
      <c r="C499" s="33"/>
      <c r="D499" s="33"/>
      <c r="E499" s="33"/>
      <c r="F499" s="33"/>
      <c r="G499" s="33"/>
      <c r="H499" s="34"/>
      <c r="I499" s="55"/>
      <c r="J499" s="55"/>
      <c r="K499" s="33"/>
      <c r="L499" s="33"/>
      <c r="M499" s="6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</row>
    <row r="500" spans="1:31" ht="14.25" customHeight="1">
      <c r="A500" s="1"/>
      <c r="B500" s="33"/>
      <c r="C500" s="33"/>
      <c r="D500" s="33"/>
      <c r="E500" s="33"/>
      <c r="F500" s="33"/>
      <c r="G500" s="33"/>
      <c r="H500" s="34"/>
      <c r="I500" s="55"/>
      <c r="J500" s="55"/>
      <c r="K500" s="33"/>
      <c r="L500" s="33"/>
      <c r="M500" s="6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</row>
    <row r="501" spans="1:31" ht="14.25" customHeight="1">
      <c r="A501" s="1"/>
      <c r="B501" s="33"/>
      <c r="C501" s="33"/>
      <c r="D501" s="33"/>
      <c r="E501" s="33"/>
      <c r="F501" s="33"/>
      <c r="G501" s="33"/>
      <c r="H501" s="34"/>
      <c r="I501" s="55"/>
      <c r="J501" s="55"/>
      <c r="K501" s="33"/>
      <c r="L501" s="33"/>
      <c r="M501" s="6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</row>
    <row r="502" spans="1:31" ht="14.25" customHeight="1">
      <c r="A502" s="1"/>
      <c r="B502" s="33"/>
      <c r="C502" s="33"/>
      <c r="D502" s="33"/>
      <c r="E502" s="33"/>
      <c r="F502" s="33"/>
      <c r="G502" s="33"/>
      <c r="H502" s="34"/>
      <c r="I502" s="55"/>
      <c r="J502" s="55"/>
      <c r="K502" s="33"/>
      <c r="L502" s="33"/>
      <c r="M502" s="6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</row>
    <row r="503" spans="1:31" ht="14.25" customHeight="1">
      <c r="A503" s="1"/>
      <c r="B503" s="33"/>
      <c r="C503" s="33"/>
      <c r="D503" s="33"/>
      <c r="E503" s="33"/>
      <c r="F503" s="33"/>
      <c r="G503" s="33"/>
      <c r="H503" s="34"/>
      <c r="I503" s="55"/>
      <c r="J503" s="55"/>
      <c r="K503" s="33"/>
      <c r="L503" s="33"/>
      <c r="M503" s="6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</row>
    <row r="504" spans="1:31" ht="14.25" customHeight="1">
      <c r="A504" s="1"/>
      <c r="B504" s="33"/>
      <c r="C504" s="33"/>
      <c r="D504" s="33"/>
      <c r="E504" s="33"/>
      <c r="F504" s="33"/>
      <c r="G504" s="33"/>
      <c r="H504" s="34"/>
      <c r="I504" s="55"/>
      <c r="J504" s="55"/>
      <c r="K504" s="33"/>
      <c r="L504" s="33"/>
      <c r="M504" s="6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</row>
    <row r="505" spans="1:31" ht="14.25" customHeight="1">
      <c r="A505" s="1"/>
      <c r="B505" s="33"/>
      <c r="C505" s="33"/>
      <c r="D505" s="33"/>
      <c r="E505" s="33"/>
      <c r="F505" s="33"/>
      <c r="G505" s="33"/>
      <c r="H505" s="34"/>
      <c r="I505" s="55"/>
      <c r="J505" s="55"/>
      <c r="K505" s="33"/>
      <c r="L505" s="33"/>
      <c r="M505" s="6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</row>
    <row r="506" spans="1:31" ht="14.25" customHeight="1">
      <c r="A506" s="1"/>
      <c r="B506" s="33"/>
      <c r="C506" s="33"/>
      <c r="D506" s="33"/>
      <c r="E506" s="33"/>
      <c r="F506" s="33"/>
      <c r="G506" s="33"/>
      <c r="H506" s="34"/>
      <c r="I506" s="55"/>
      <c r="J506" s="55"/>
      <c r="K506" s="33"/>
      <c r="L506" s="33"/>
      <c r="M506" s="6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</row>
    <row r="507" spans="1:31" ht="14.25" customHeight="1">
      <c r="A507" s="1"/>
      <c r="B507" s="33"/>
      <c r="C507" s="33"/>
      <c r="D507" s="33"/>
      <c r="E507" s="33"/>
      <c r="F507" s="33"/>
      <c r="G507" s="33"/>
      <c r="H507" s="34"/>
      <c r="I507" s="55"/>
      <c r="J507" s="55"/>
      <c r="K507" s="33"/>
      <c r="L507" s="33"/>
      <c r="M507" s="6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</row>
    <row r="508" spans="1:31" ht="14.25" customHeight="1">
      <c r="A508" s="1"/>
      <c r="B508" s="33"/>
      <c r="C508" s="33"/>
      <c r="D508" s="33"/>
      <c r="E508" s="33"/>
      <c r="F508" s="33"/>
      <c r="G508" s="33"/>
      <c r="H508" s="34"/>
      <c r="I508" s="55"/>
      <c r="J508" s="55"/>
      <c r="K508" s="33"/>
      <c r="L508" s="33"/>
      <c r="M508" s="6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</row>
    <row r="509" spans="1:31" ht="14.25" customHeight="1">
      <c r="A509" s="1"/>
      <c r="B509" s="33"/>
      <c r="C509" s="33"/>
      <c r="D509" s="33"/>
      <c r="E509" s="33"/>
      <c r="F509" s="33"/>
      <c r="G509" s="33"/>
      <c r="H509" s="34"/>
      <c r="I509" s="55"/>
      <c r="J509" s="55"/>
      <c r="K509" s="33"/>
      <c r="L509" s="33"/>
      <c r="M509" s="6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</row>
    <row r="510" spans="1:31" ht="14.25" customHeight="1">
      <c r="A510" s="1"/>
      <c r="B510" s="33"/>
      <c r="C510" s="33"/>
      <c r="D510" s="33"/>
      <c r="E510" s="33"/>
      <c r="F510" s="33"/>
      <c r="G510" s="33"/>
      <c r="H510" s="34"/>
      <c r="I510" s="55"/>
      <c r="J510" s="55"/>
      <c r="K510" s="33"/>
      <c r="L510" s="33"/>
      <c r="M510" s="6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</row>
    <row r="511" spans="1:31" ht="14.25" customHeight="1">
      <c r="A511" s="1"/>
      <c r="B511" s="33"/>
      <c r="C511" s="33"/>
      <c r="D511" s="33"/>
      <c r="E511" s="33"/>
      <c r="F511" s="33"/>
      <c r="G511" s="33"/>
      <c r="H511" s="34"/>
      <c r="I511" s="55"/>
      <c r="J511" s="55"/>
      <c r="K511" s="33"/>
      <c r="L511" s="33"/>
      <c r="M511" s="6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</row>
    <row r="512" spans="1:31" ht="14.25" customHeight="1">
      <c r="A512" s="1"/>
      <c r="B512" s="33"/>
      <c r="C512" s="33"/>
      <c r="D512" s="33"/>
      <c r="E512" s="33"/>
      <c r="F512" s="33"/>
      <c r="G512" s="33"/>
      <c r="H512" s="34"/>
      <c r="I512" s="55"/>
      <c r="J512" s="55"/>
      <c r="K512" s="33"/>
      <c r="L512" s="33"/>
      <c r="M512" s="6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</row>
    <row r="513" spans="1:31" ht="14.25" customHeight="1">
      <c r="A513" s="1"/>
      <c r="B513" s="33"/>
      <c r="C513" s="33"/>
      <c r="D513" s="33"/>
      <c r="E513" s="33"/>
      <c r="F513" s="33"/>
      <c r="G513" s="33"/>
      <c r="H513" s="34"/>
      <c r="I513" s="55"/>
      <c r="J513" s="55"/>
      <c r="K513" s="33"/>
      <c r="L513" s="33"/>
      <c r="M513" s="6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</row>
    <row r="514" spans="1:31" ht="14.25" customHeight="1">
      <c r="A514" s="1"/>
      <c r="B514" s="33"/>
      <c r="C514" s="33"/>
      <c r="D514" s="33"/>
      <c r="E514" s="33"/>
      <c r="F514" s="33"/>
      <c r="G514" s="33"/>
      <c r="H514" s="34"/>
      <c r="I514" s="55"/>
      <c r="J514" s="55"/>
      <c r="K514" s="33"/>
      <c r="L514" s="33"/>
      <c r="M514" s="6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</row>
    <row r="515" spans="1:31" ht="14.25" customHeight="1">
      <c r="A515" s="1"/>
      <c r="B515" s="33"/>
      <c r="C515" s="33"/>
      <c r="D515" s="33"/>
      <c r="E515" s="33"/>
      <c r="F515" s="33"/>
      <c r="G515" s="33"/>
      <c r="H515" s="34"/>
      <c r="I515" s="55"/>
      <c r="J515" s="55"/>
      <c r="K515" s="33"/>
      <c r="L515" s="33"/>
      <c r="M515" s="6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</row>
    <row r="516" spans="1:31" ht="14.25" customHeight="1">
      <c r="A516" s="1"/>
      <c r="B516" s="33"/>
      <c r="C516" s="33"/>
      <c r="D516" s="33"/>
      <c r="E516" s="33"/>
      <c r="F516" s="33"/>
      <c r="G516" s="33"/>
      <c r="H516" s="34"/>
      <c r="I516" s="55"/>
      <c r="J516" s="55"/>
      <c r="K516" s="33"/>
      <c r="L516" s="33"/>
      <c r="M516" s="6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</row>
    <row r="517" spans="1:31" ht="14.25" customHeight="1">
      <c r="A517" s="1"/>
      <c r="B517" s="33"/>
      <c r="C517" s="33"/>
      <c r="D517" s="33"/>
      <c r="E517" s="33"/>
      <c r="F517" s="33"/>
      <c r="G517" s="33"/>
      <c r="H517" s="34"/>
      <c r="I517" s="55"/>
      <c r="J517" s="55"/>
      <c r="K517" s="33"/>
      <c r="L517" s="33"/>
      <c r="M517" s="6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</row>
    <row r="518" spans="1:31" ht="14.25" customHeight="1">
      <c r="A518" s="1"/>
      <c r="B518" s="33"/>
      <c r="C518" s="33"/>
      <c r="D518" s="33"/>
      <c r="E518" s="33"/>
      <c r="F518" s="33"/>
      <c r="G518" s="33"/>
      <c r="H518" s="34"/>
      <c r="I518" s="55"/>
      <c r="J518" s="55"/>
      <c r="K518" s="33"/>
      <c r="L518" s="33"/>
      <c r="M518" s="6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</row>
    <row r="519" spans="1:31" ht="14.25" customHeight="1">
      <c r="A519" s="1"/>
      <c r="B519" s="33"/>
      <c r="C519" s="33"/>
      <c r="D519" s="33"/>
      <c r="E519" s="33"/>
      <c r="F519" s="33"/>
      <c r="G519" s="33"/>
      <c r="H519" s="34"/>
      <c r="I519" s="55"/>
      <c r="J519" s="55"/>
      <c r="K519" s="33"/>
      <c r="L519" s="33"/>
      <c r="M519" s="6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</row>
    <row r="520" spans="1:31" ht="14.25" customHeight="1">
      <c r="A520" s="1"/>
      <c r="B520" s="33"/>
      <c r="C520" s="33"/>
      <c r="D520" s="33"/>
      <c r="E520" s="33"/>
      <c r="F520" s="33"/>
      <c r="G520" s="33"/>
      <c r="H520" s="34"/>
      <c r="I520" s="55"/>
      <c r="J520" s="55"/>
      <c r="K520" s="33"/>
      <c r="L520" s="33"/>
      <c r="M520" s="6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</row>
    <row r="521" spans="1:31" ht="14.25" customHeight="1">
      <c r="A521" s="1"/>
      <c r="B521" s="33"/>
      <c r="C521" s="33"/>
      <c r="D521" s="33"/>
      <c r="E521" s="33"/>
      <c r="F521" s="33"/>
      <c r="G521" s="33"/>
      <c r="H521" s="34"/>
      <c r="I521" s="55"/>
      <c r="J521" s="55"/>
      <c r="K521" s="33"/>
      <c r="L521" s="33"/>
      <c r="M521" s="6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</row>
    <row r="522" spans="1:31" ht="14.25" customHeight="1">
      <c r="A522" s="1"/>
      <c r="B522" s="33"/>
      <c r="C522" s="33"/>
      <c r="D522" s="33"/>
      <c r="E522" s="33"/>
      <c r="F522" s="33"/>
      <c r="G522" s="33"/>
      <c r="H522" s="34"/>
      <c r="I522" s="55"/>
      <c r="J522" s="55"/>
      <c r="K522" s="33"/>
      <c r="L522" s="33"/>
      <c r="M522" s="6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</row>
    <row r="523" spans="1:31" ht="14.25" customHeight="1">
      <c r="A523" s="1"/>
      <c r="B523" s="33"/>
      <c r="C523" s="33"/>
      <c r="D523" s="33"/>
      <c r="E523" s="33"/>
      <c r="F523" s="33"/>
      <c r="G523" s="33"/>
      <c r="H523" s="34"/>
      <c r="I523" s="55"/>
      <c r="J523" s="55"/>
      <c r="K523" s="33"/>
      <c r="L523" s="33"/>
      <c r="M523" s="6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</row>
    <row r="524" spans="1:31" ht="14.25" customHeight="1">
      <c r="A524" s="1"/>
      <c r="B524" s="33"/>
      <c r="C524" s="33"/>
      <c r="D524" s="33"/>
      <c r="E524" s="33"/>
      <c r="F524" s="33"/>
      <c r="G524" s="33"/>
      <c r="H524" s="34"/>
      <c r="I524" s="55"/>
      <c r="J524" s="55"/>
      <c r="K524" s="33"/>
      <c r="L524" s="33"/>
      <c r="M524" s="6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</row>
    <row r="525" spans="1:31" ht="14.25" customHeight="1">
      <c r="A525" s="1"/>
      <c r="B525" s="33"/>
      <c r="C525" s="33"/>
      <c r="D525" s="33"/>
      <c r="E525" s="33"/>
      <c r="F525" s="33"/>
      <c r="G525" s="33"/>
      <c r="H525" s="34"/>
      <c r="I525" s="55"/>
      <c r="J525" s="55"/>
      <c r="K525" s="33"/>
      <c r="L525" s="33"/>
      <c r="M525" s="6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</row>
    <row r="526" spans="1:31" ht="14.25" customHeight="1">
      <c r="A526" s="1"/>
      <c r="B526" s="33"/>
      <c r="C526" s="33"/>
      <c r="D526" s="33"/>
      <c r="E526" s="33"/>
      <c r="F526" s="33"/>
      <c r="G526" s="33"/>
      <c r="H526" s="34"/>
      <c r="I526" s="55"/>
      <c r="J526" s="55"/>
      <c r="K526" s="33"/>
      <c r="L526" s="33"/>
      <c r="M526" s="6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</row>
    <row r="527" spans="1:31" ht="14.25" customHeight="1">
      <c r="A527" s="1"/>
      <c r="B527" s="33"/>
      <c r="C527" s="33"/>
      <c r="D527" s="33"/>
      <c r="E527" s="33"/>
      <c r="F527" s="33"/>
      <c r="G527" s="33"/>
      <c r="H527" s="34"/>
      <c r="I527" s="55"/>
      <c r="J527" s="55"/>
      <c r="K527" s="33"/>
      <c r="L527" s="33"/>
      <c r="M527" s="6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</row>
    <row r="528" spans="1:31" ht="14.25" customHeight="1">
      <c r="A528" s="1"/>
      <c r="B528" s="33"/>
      <c r="C528" s="33"/>
      <c r="D528" s="33"/>
      <c r="E528" s="33"/>
      <c r="F528" s="33"/>
      <c r="G528" s="33"/>
      <c r="H528" s="34"/>
      <c r="I528" s="55"/>
      <c r="J528" s="55"/>
      <c r="K528" s="33"/>
      <c r="L528" s="33"/>
      <c r="M528" s="6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</row>
    <row r="529" spans="1:31" ht="14.25" customHeight="1">
      <c r="A529" s="1"/>
      <c r="B529" s="33"/>
      <c r="C529" s="33"/>
      <c r="D529" s="33"/>
      <c r="E529" s="33"/>
      <c r="F529" s="33"/>
      <c r="G529" s="33"/>
      <c r="H529" s="34"/>
      <c r="I529" s="55"/>
      <c r="J529" s="55"/>
      <c r="K529" s="33"/>
      <c r="L529" s="33"/>
      <c r="M529" s="6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</row>
    <row r="530" spans="1:31" ht="14.25" customHeight="1">
      <c r="A530" s="1"/>
      <c r="B530" s="33"/>
      <c r="C530" s="33"/>
      <c r="D530" s="33"/>
      <c r="E530" s="33"/>
      <c r="F530" s="33"/>
      <c r="G530" s="33"/>
      <c r="H530" s="34"/>
      <c r="I530" s="55"/>
      <c r="J530" s="55"/>
      <c r="K530" s="33"/>
      <c r="L530" s="33"/>
      <c r="M530" s="6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</row>
    <row r="531" spans="1:31" ht="14.25" customHeight="1">
      <c r="A531" s="1"/>
      <c r="B531" s="33"/>
      <c r="C531" s="33"/>
      <c r="D531" s="33"/>
      <c r="E531" s="33"/>
      <c r="F531" s="33"/>
      <c r="G531" s="33"/>
      <c r="H531" s="34"/>
      <c r="I531" s="55"/>
      <c r="J531" s="55"/>
      <c r="K531" s="33"/>
      <c r="L531" s="33"/>
      <c r="M531" s="6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</row>
    <row r="532" spans="1:31" ht="14.25" customHeight="1">
      <c r="A532" s="1"/>
      <c r="B532" s="33"/>
      <c r="C532" s="33"/>
      <c r="D532" s="33"/>
      <c r="E532" s="33"/>
      <c r="F532" s="33"/>
      <c r="G532" s="33"/>
      <c r="H532" s="34"/>
      <c r="I532" s="55"/>
      <c r="J532" s="55"/>
      <c r="K532" s="33"/>
      <c r="L532" s="33"/>
      <c r="M532" s="6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</row>
    <row r="533" spans="1:31" ht="14.25" customHeight="1">
      <c r="A533" s="1"/>
      <c r="B533" s="33"/>
      <c r="C533" s="33"/>
      <c r="D533" s="33"/>
      <c r="E533" s="33"/>
      <c r="F533" s="33"/>
      <c r="G533" s="33"/>
      <c r="H533" s="34"/>
      <c r="I533" s="55"/>
      <c r="J533" s="55"/>
      <c r="K533" s="33"/>
      <c r="L533" s="33"/>
      <c r="M533" s="6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</row>
    <row r="534" spans="1:31" ht="14.25" customHeight="1">
      <c r="A534" s="1"/>
      <c r="B534" s="33"/>
      <c r="C534" s="33"/>
      <c r="D534" s="33"/>
      <c r="E534" s="33"/>
      <c r="F534" s="33"/>
      <c r="G534" s="33"/>
      <c r="H534" s="34"/>
      <c r="I534" s="55"/>
      <c r="J534" s="55"/>
      <c r="K534" s="33"/>
      <c r="L534" s="33"/>
      <c r="M534" s="6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</row>
    <row r="535" spans="1:31" ht="14.25" customHeight="1">
      <c r="A535" s="1"/>
      <c r="B535" s="33"/>
      <c r="C535" s="33"/>
      <c r="D535" s="33"/>
      <c r="E535" s="33"/>
      <c r="F535" s="33"/>
      <c r="G535" s="33"/>
      <c r="H535" s="34"/>
      <c r="I535" s="55"/>
      <c r="J535" s="55"/>
      <c r="K535" s="33"/>
      <c r="L535" s="33"/>
      <c r="M535" s="6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</row>
    <row r="536" spans="1:31" ht="14.25" customHeight="1">
      <c r="A536" s="1"/>
      <c r="B536" s="33"/>
      <c r="C536" s="33"/>
      <c r="D536" s="33"/>
      <c r="E536" s="33"/>
      <c r="F536" s="33"/>
      <c r="G536" s="33"/>
      <c r="H536" s="34"/>
      <c r="I536" s="55"/>
      <c r="J536" s="55"/>
      <c r="K536" s="33"/>
      <c r="L536" s="33"/>
      <c r="M536" s="6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</row>
    <row r="537" spans="1:31" ht="14.25" customHeight="1">
      <c r="A537" s="1"/>
      <c r="B537" s="33"/>
      <c r="C537" s="33"/>
      <c r="D537" s="33"/>
      <c r="E537" s="33"/>
      <c r="F537" s="33"/>
      <c r="G537" s="33"/>
      <c r="H537" s="34"/>
      <c r="I537" s="55"/>
      <c r="J537" s="55"/>
      <c r="K537" s="33"/>
      <c r="L537" s="33"/>
      <c r="M537" s="6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</row>
    <row r="538" spans="1:31" ht="14.25" customHeight="1">
      <c r="A538" s="1"/>
      <c r="B538" s="33"/>
      <c r="C538" s="33"/>
      <c r="D538" s="33"/>
      <c r="E538" s="33"/>
      <c r="F538" s="33"/>
      <c r="G538" s="33"/>
      <c r="H538" s="34"/>
      <c r="I538" s="55"/>
      <c r="J538" s="55"/>
      <c r="K538" s="33"/>
      <c r="L538" s="33"/>
      <c r="M538" s="6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</row>
    <row r="539" spans="1:31" ht="14.25" customHeight="1">
      <c r="A539" s="1"/>
      <c r="B539" s="33"/>
      <c r="C539" s="33"/>
      <c r="D539" s="33"/>
      <c r="E539" s="33"/>
      <c r="F539" s="33"/>
      <c r="G539" s="33"/>
      <c r="H539" s="34"/>
      <c r="I539" s="55"/>
      <c r="J539" s="55"/>
      <c r="K539" s="33"/>
      <c r="L539" s="33"/>
      <c r="M539" s="6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</row>
    <row r="540" spans="1:31" ht="14.25" customHeight="1">
      <c r="A540" s="1"/>
      <c r="B540" s="33"/>
      <c r="C540" s="33"/>
      <c r="D540" s="33"/>
      <c r="E540" s="33"/>
      <c r="F540" s="33"/>
      <c r="G540" s="33"/>
      <c r="H540" s="34"/>
      <c r="I540" s="55"/>
      <c r="J540" s="55"/>
      <c r="K540" s="33"/>
      <c r="L540" s="33"/>
      <c r="M540" s="6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</row>
    <row r="541" spans="1:31" ht="14.25" customHeight="1">
      <c r="A541" s="1"/>
      <c r="B541" s="33"/>
      <c r="C541" s="33"/>
      <c r="D541" s="33"/>
      <c r="E541" s="33"/>
      <c r="F541" s="33"/>
      <c r="G541" s="33"/>
      <c r="H541" s="34"/>
      <c r="I541" s="55"/>
      <c r="J541" s="55"/>
      <c r="K541" s="33"/>
      <c r="L541" s="33"/>
      <c r="M541" s="6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</row>
    <row r="542" spans="1:31" ht="14.25" customHeight="1">
      <c r="A542" s="1"/>
      <c r="B542" s="33"/>
      <c r="C542" s="33"/>
      <c r="D542" s="33"/>
      <c r="E542" s="33"/>
      <c r="F542" s="33"/>
      <c r="G542" s="33"/>
      <c r="H542" s="34"/>
      <c r="I542" s="55"/>
      <c r="J542" s="55"/>
      <c r="K542" s="33"/>
      <c r="L542" s="33"/>
      <c r="M542" s="6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</row>
    <row r="543" spans="1:31" ht="14.25" customHeight="1">
      <c r="A543" s="1"/>
      <c r="B543" s="33"/>
      <c r="C543" s="33"/>
      <c r="D543" s="33"/>
      <c r="E543" s="33"/>
      <c r="F543" s="33"/>
      <c r="G543" s="33"/>
      <c r="H543" s="34"/>
      <c r="I543" s="55"/>
      <c r="J543" s="55"/>
      <c r="K543" s="33"/>
      <c r="L543" s="33"/>
      <c r="M543" s="6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</row>
    <row r="544" spans="1:31" ht="14.25" customHeight="1">
      <c r="A544" s="1"/>
      <c r="B544" s="33"/>
      <c r="C544" s="33"/>
      <c r="D544" s="33"/>
      <c r="E544" s="33"/>
      <c r="F544" s="33"/>
      <c r="G544" s="33"/>
      <c r="H544" s="34"/>
      <c r="I544" s="55"/>
      <c r="J544" s="55"/>
      <c r="K544" s="33"/>
      <c r="L544" s="33"/>
      <c r="M544" s="6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</row>
    <row r="545" spans="1:31" ht="14.25" customHeight="1">
      <c r="A545" s="1"/>
      <c r="B545" s="33"/>
      <c r="C545" s="33"/>
      <c r="D545" s="33"/>
      <c r="E545" s="33"/>
      <c r="F545" s="33"/>
      <c r="G545" s="33"/>
      <c r="H545" s="34"/>
      <c r="I545" s="55"/>
      <c r="J545" s="55"/>
      <c r="K545" s="33"/>
      <c r="L545" s="33"/>
      <c r="M545" s="6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</row>
    <row r="546" spans="1:31" ht="14.25" customHeight="1">
      <c r="A546" s="1"/>
      <c r="B546" s="33"/>
      <c r="C546" s="33"/>
      <c r="D546" s="33"/>
      <c r="E546" s="33"/>
      <c r="F546" s="33"/>
      <c r="G546" s="33"/>
      <c r="H546" s="34"/>
      <c r="I546" s="55"/>
      <c r="J546" s="55"/>
      <c r="K546" s="33"/>
      <c r="L546" s="33"/>
      <c r="M546" s="6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</row>
    <row r="547" spans="1:31" ht="14.25" customHeight="1">
      <c r="A547" s="1"/>
      <c r="B547" s="33"/>
      <c r="C547" s="33"/>
      <c r="D547" s="33"/>
      <c r="E547" s="33"/>
      <c r="F547" s="33"/>
      <c r="G547" s="33"/>
      <c r="H547" s="34"/>
      <c r="I547" s="55"/>
      <c r="J547" s="55"/>
      <c r="K547" s="33"/>
      <c r="L547" s="33"/>
      <c r="M547" s="6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</row>
    <row r="548" spans="1:31" ht="14.25" customHeight="1">
      <c r="A548" s="1"/>
      <c r="B548" s="33"/>
      <c r="C548" s="33"/>
      <c r="D548" s="33"/>
      <c r="E548" s="33"/>
      <c r="F548" s="33"/>
      <c r="G548" s="33"/>
      <c r="H548" s="34"/>
      <c r="I548" s="55"/>
      <c r="J548" s="55"/>
      <c r="K548" s="33"/>
      <c r="L548" s="33"/>
      <c r="M548" s="6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</row>
    <row r="549" spans="1:31" ht="14.25" customHeight="1">
      <c r="A549" s="1"/>
      <c r="B549" s="33"/>
      <c r="C549" s="33"/>
      <c r="D549" s="33"/>
      <c r="E549" s="33"/>
      <c r="F549" s="33"/>
      <c r="G549" s="33"/>
      <c r="H549" s="34"/>
      <c r="I549" s="55"/>
      <c r="J549" s="55"/>
      <c r="K549" s="33"/>
      <c r="L549" s="33"/>
      <c r="M549" s="6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</row>
    <row r="550" spans="1:31" ht="14.25" customHeight="1">
      <c r="A550" s="1"/>
      <c r="B550" s="33"/>
      <c r="C550" s="33"/>
      <c r="D550" s="33"/>
      <c r="E550" s="33"/>
      <c r="F550" s="33"/>
      <c r="G550" s="33"/>
      <c r="H550" s="34"/>
      <c r="I550" s="55"/>
      <c r="J550" s="55"/>
      <c r="K550" s="33"/>
      <c r="L550" s="33"/>
      <c r="M550" s="6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</row>
    <row r="551" spans="1:31" ht="14.25" customHeight="1">
      <c r="A551" s="1"/>
      <c r="B551" s="33"/>
      <c r="C551" s="33"/>
      <c r="D551" s="33"/>
      <c r="E551" s="33"/>
      <c r="F551" s="33"/>
      <c r="G551" s="33"/>
      <c r="H551" s="34"/>
      <c r="I551" s="55"/>
      <c r="J551" s="55"/>
      <c r="K551" s="33"/>
      <c r="L551" s="33"/>
      <c r="M551" s="6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</row>
    <row r="552" spans="1:31" ht="14.25" customHeight="1">
      <c r="A552" s="1"/>
      <c r="B552" s="33"/>
      <c r="C552" s="33"/>
      <c r="D552" s="33"/>
      <c r="E552" s="33"/>
      <c r="F552" s="33"/>
      <c r="G552" s="33"/>
      <c r="H552" s="34"/>
      <c r="I552" s="55"/>
      <c r="J552" s="55"/>
      <c r="K552" s="33"/>
      <c r="L552" s="33"/>
      <c r="M552" s="6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</row>
    <row r="553" spans="1:31" ht="14.25" customHeight="1">
      <c r="A553" s="1"/>
      <c r="B553" s="33"/>
      <c r="C553" s="33"/>
      <c r="D553" s="33"/>
      <c r="E553" s="33"/>
      <c r="F553" s="33"/>
      <c r="G553" s="33"/>
      <c r="H553" s="34"/>
      <c r="I553" s="55"/>
      <c r="J553" s="55"/>
      <c r="K553" s="33"/>
      <c r="L553" s="33"/>
      <c r="M553" s="6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</row>
    <row r="554" spans="1:31" ht="14.25" customHeight="1">
      <c r="A554" s="1"/>
      <c r="B554" s="33"/>
      <c r="C554" s="33"/>
      <c r="D554" s="33"/>
      <c r="E554" s="33"/>
      <c r="F554" s="33"/>
      <c r="G554" s="33"/>
      <c r="H554" s="34"/>
      <c r="I554" s="55"/>
      <c r="J554" s="55"/>
      <c r="K554" s="33"/>
      <c r="L554" s="33"/>
      <c r="M554" s="6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</row>
    <row r="555" spans="1:31" ht="14.25" customHeight="1">
      <c r="A555" s="1"/>
      <c r="B555" s="33"/>
      <c r="C555" s="33"/>
      <c r="D555" s="33"/>
      <c r="E555" s="33"/>
      <c r="F555" s="33"/>
      <c r="G555" s="33"/>
      <c r="H555" s="34"/>
      <c r="I555" s="55"/>
      <c r="J555" s="55"/>
      <c r="K555" s="33"/>
      <c r="L555" s="33"/>
      <c r="M555" s="6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</row>
    <row r="556" spans="1:31" ht="14.25" customHeight="1">
      <c r="A556" s="1"/>
      <c r="B556" s="33"/>
      <c r="C556" s="33"/>
      <c r="D556" s="33"/>
      <c r="E556" s="33"/>
      <c r="F556" s="33"/>
      <c r="G556" s="33"/>
      <c r="H556" s="34"/>
      <c r="I556" s="55"/>
      <c r="J556" s="55"/>
      <c r="K556" s="33"/>
      <c r="L556" s="33"/>
      <c r="M556" s="6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</row>
    <row r="557" spans="1:31" ht="14.25" customHeight="1">
      <c r="A557" s="1"/>
      <c r="B557" s="33"/>
      <c r="C557" s="33"/>
      <c r="D557" s="33"/>
      <c r="E557" s="33"/>
      <c r="F557" s="33"/>
      <c r="G557" s="33"/>
      <c r="H557" s="34"/>
      <c r="I557" s="55"/>
      <c r="J557" s="55"/>
      <c r="K557" s="33"/>
      <c r="L557" s="33"/>
      <c r="M557" s="6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</row>
    <row r="558" spans="1:31" ht="14.25" customHeight="1">
      <c r="A558" s="1"/>
      <c r="B558" s="33"/>
      <c r="C558" s="33"/>
      <c r="D558" s="33"/>
      <c r="E558" s="33"/>
      <c r="F558" s="33"/>
      <c r="G558" s="33"/>
      <c r="H558" s="34"/>
      <c r="I558" s="55"/>
      <c r="J558" s="55"/>
      <c r="K558" s="33"/>
      <c r="L558" s="33"/>
      <c r="M558" s="6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</row>
    <row r="559" spans="1:31" ht="14.25" customHeight="1">
      <c r="A559" s="1"/>
      <c r="B559" s="33"/>
      <c r="C559" s="33"/>
      <c r="D559" s="33"/>
      <c r="E559" s="33"/>
      <c r="F559" s="33"/>
      <c r="G559" s="33"/>
      <c r="H559" s="34"/>
      <c r="I559" s="55"/>
      <c r="J559" s="55"/>
      <c r="K559" s="33"/>
      <c r="L559" s="33"/>
      <c r="M559" s="6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</row>
    <row r="560" spans="1:31" ht="14.25" customHeight="1">
      <c r="A560" s="1"/>
      <c r="B560" s="33"/>
      <c r="C560" s="33"/>
      <c r="D560" s="33"/>
      <c r="E560" s="33"/>
      <c r="F560" s="33"/>
      <c r="G560" s="33"/>
      <c r="H560" s="34"/>
      <c r="I560" s="55"/>
      <c r="J560" s="55"/>
      <c r="K560" s="33"/>
      <c r="L560" s="33"/>
      <c r="M560" s="6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</row>
    <row r="561" spans="1:31" ht="14.25" customHeight="1">
      <c r="A561" s="1"/>
      <c r="B561" s="33"/>
      <c r="C561" s="33"/>
      <c r="D561" s="33"/>
      <c r="E561" s="33"/>
      <c r="F561" s="33"/>
      <c r="G561" s="33"/>
      <c r="H561" s="34"/>
      <c r="I561" s="55"/>
      <c r="J561" s="55"/>
      <c r="K561" s="33"/>
      <c r="L561" s="33"/>
      <c r="M561" s="6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</row>
    <row r="562" spans="1:31" ht="14.25" customHeight="1">
      <c r="A562" s="1"/>
      <c r="B562" s="33"/>
      <c r="C562" s="33"/>
      <c r="D562" s="33"/>
      <c r="E562" s="33"/>
      <c r="F562" s="33"/>
      <c r="G562" s="33"/>
      <c r="H562" s="34"/>
      <c r="I562" s="55"/>
      <c r="J562" s="55"/>
      <c r="K562" s="33"/>
      <c r="L562" s="33"/>
      <c r="M562" s="6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</row>
    <row r="563" spans="1:31" ht="14.25" customHeight="1">
      <c r="A563" s="1"/>
      <c r="B563" s="33"/>
      <c r="C563" s="33"/>
      <c r="D563" s="33"/>
      <c r="E563" s="33"/>
      <c r="F563" s="33"/>
      <c r="G563" s="33"/>
      <c r="H563" s="34"/>
      <c r="I563" s="55"/>
      <c r="J563" s="55"/>
      <c r="K563" s="33"/>
      <c r="L563" s="33"/>
      <c r="M563" s="6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</row>
    <row r="564" spans="1:31" ht="14.25" customHeight="1">
      <c r="A564" s="1"/>
      <c r="B564" s="33"/>
      <c r="C564" s="33"/>
      <c r="D564" s="33"/>
      <c r="E564" s="33"/>
      <c r="F564" s="33"/>
      <c r="G564" s="33"/>
      <c r="H564" s="34"/>
      <c r="I564" s="55"/>
      <c r="J564" s="55"/>
      <c r="K564" s="33"/>
      <c r="L564" s="33"/>
      <c r="M564" s="6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</row>
    <row r="565" spans="1:31" ht="14.25" customHeight="1">
      <c r="A565" s="1"/>
      <c r="B565" s="33"/>
      <c r="C565" s="33"/>
      <c r="D565" s="33"/>
      <c r="E565" s="33"/>
      <c r="F565" s="33"/>
      <c r="G565" s="33"/>
      <c r="H565" s="34"/>
      <c r="I565" s="55"/>
      <c r="J565" s="55"/>
      <c r="K565" s="33"/>
      <c r="L565" s="33"/>
      <c r="M565" s="6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</row>
    <row r="566" spans="1:31" ht="14.25" customHeight="1">
      <c r="A566" s="1"/>
      <c r="B566" s="33"/>
      <c r="C566" s="33"/>
      <c r="D566" s="33"/>
      <c r="E566" s="33"/>
      <c r="F566" s="33"/>
      <c r="G566" s="33"/>
      <c r="H566" s="34"/>
      <c r="I566" s="55"/>
      <c r="J566" s="55"/>
      <c r="K566" s="33"/>
      <c r="L566" s="33"/>
      <c r="M566" s="6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</row>
    <row r="567" spans="1:31" ht="14.25" customHeight="1">
      <c r="A567" s="1"/>
      <c r="B567" s="33"/>
      <c r="C567" s="33"/>
      <c r="D567" s="33"/>
      <c r="E567" s="33"/>
      <c r="F567" s="33"/>
      <c r="G567" s="33"/>
      <c r="H567" s="34"/>
      <c r="I567" s="55"/>
      <c r="J567" s="55"/>
      <c r="K567" s="33"/>
      <c r="L567" s="33"/>
      <c r="M567" s="6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</row>
    <row r="568" spans="1:31" ht="14.25" customHeight="1">
      <c r="A568" s="1"/>
      <c r="B568" s="33"/>
      <c r="C568" s="33"/>
      <c r="D568" s="33"/>
      <c r="E568" s="33"/>
      <c r="F568" s="33"/>
      <c r="G568" s="33"/>
      <c r="H568" s="34"/>
      <c r="I568" s="55"/>
      <c r="J568" s="55"/>
      <c r="K568" s="33"/>
      <c r="L568" s="33"/>
      <c r="M568" s="6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</row>
    <row r="569" spans="1:31" ht="14.25" customHeight="1">
      <c r="A569" s="1"/>
      <c r="B569" s="33"/>
      <c r="C569" s="33"/>
      <c r="D569" s="33"/>
      <c r="E569" s="33"/>
      <c r="F569" s="33"/>
      <c r="G569" s="33"/>
      <c r="H569" s="34"/>
      <c r="I569" s="55"/>
      <c r="J569" s="55"/>
      <c r="K569" s="33"/>
      <c r="L569" s="33"/>
      <c r="M569" s="6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</row>
    <row r="570" spans="1:31" ht="14.25" customHeight="1">
      <c r="A570" s="1"/>
      <c r="B570" s="33"/>
      <c r="C570" s="33"/>
      <c r="D570" s="33"/>
      <c r="E570" s="33"/>
      <c r="F570" s="33"/>
      <c r="G570" s="33"/>
      <c r="H570" s="34"/>
      <c r="I570" s="55"/>
      <c r="J570" s="55"/>
      <c r="K570" s="33"/>
      <c r="L570" s="33"/>
      <c r="M570" s="6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</row>
    <row r="571" spans="1:31" ht="14.25" customHeight="1">
      <c r="A571" s="1"/>
      <c r="B571" s="33"/>
      <c r="C571" s="33"/>
      <c r="D571" s="33"/>
      <c r="E571" s="33"/>
      <c r="F571" s="33"/>
      <c r="G571" s="33"/>
      <c r="H571" s="34"/>
      <c r="I571" s="55"/>
      <c r="J571" s="55"/>
      <c r="K571" s="33"/>
      <c r="L571" s="33"/>
      <c r="M571" s="6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</row>
    <row r="572" spans="1:31" ht="14.25" customHeight="1">
      <c r="A572" s="1"/>
      <c r="B572" s="33"/>
      <c r="C572" s="33"/>
      <c r="D572" s="33"/>
      <c r="E572" s="33"/>
      <c r="F572" s="33"/>
      <c r="G572" s="33"/>
      <c r="H572" s="34"/>
      <c r="I572" s="55"/>
      <c r="J572" s="55"/>
      <c r="K572" s="33"/>
      <c r="L572" s="33"/>
      <c r="M572" s="6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</row>
    <row r="573" spans="1:31" ht="14.25" customHeight="1">
      <c r="A573" s="1"/>
      <c r="B573" s="33"/>
      <c r="C573" s="33"/>
      <c r="D573" s="33"/>
      <c r="E573" s="33"/>
      <c r="F573" s="33"/>
      <c r="G573" s="33"/>
      <c r="H573" s="34"/>
      <c r="I573" s="55"/>
      <c r="J573" s="55"/>
      <c r="K573" s="33"/>
      <c r="L573" s="33"/>
      <c r="M573" s="6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</row>
    <row r="574" spans="1:31" ht="14.25" customHeight="1">
      <c r="A574" s="1"/>
      <c r="B574" s="33"/>
      <c r="C574" s="33"/>
      <c r="D574" s="33"/>
      <c r="E574" s="33"/>
      <c r="F574" s="33"/>
      <c r="G574" s="33"/>
      <c r="H574" s="34"/>
      <c r="I574" s="55"/>
      <c r="J574" s="55"/>
      <c r="K574" s="33"/>
      <c r="L574" s="33"/>
      <c r="M574" s="6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</row>
    <row r="575" spans="1:31" ht="14.25" customHeight="1">
      <c r="A575" s="1"/>
      <c r="B575" s="33"/>
      <c r="C575" s="33"/>
      <c r="D575" s="33"/>
      <c r="E575" s="33"/>
      <c r="F575" s="33"/>
      <c r="G575" s="33"/>
      <c r="H575" s="34"/>
      <c r="I575" s="55"/>
      <c r="J575" s="55"/>
      <c r="K575" s="33"/>
      <c r="L575" s="33"/>
      <c r="M575" s="6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</row>
    <row r="576" spans="1:31" ht="14.25" customHeight="1">
      <c r="A576" s="1"/>
      <c r="B576" s="33"/>
      <c r="C576" s="33"/>
      <c r="D576" s="33"/>
      <c r="E576" s="33"/>
      <c r="F576" s="33"/>
      <c r="G576" s="33"/>
      <c r="H576" s="34"/>
      <c r="I576" s="55"/>
      <c r="J576" s="55"/>
      <c r="K576" s="33"/>
      <c r="L576" s="33"/>
      <c r="M576" s="6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</row>
    <row r="577" spans="1:31" ht="14.25" customHeight="1">
      <c r="A577" s="1"/>
      <c r="B577" s="33"/>
      <c r="C577" s="33"/>
      <c r="D577" s="33"/>
      <c r="E577" s="33"/>
      <c r="F577" s="33"/>
      <c r="G577" s="33"/>
      <c r="H577" s="34"/>
      <c r="I577" s="55"/>
      <c r="J577" s="55"/>
      <c r="K577" s="33"/>
      <c r="L577" s="33"/>
      <c r="M577" s="6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</row>
    <row r="578" spans="1:31" ht="14.25" customHeight="1">
      <c r="A578" s="1"/>
      <c r="B578" s="33"/>
      <c r="C578" s="33"/>
      <c r="D578" s="33"/>
      <c r="E578" s="33"/>
      <c r="F578" s="33"/>
      <c r="G578" s="33"/>
      <c r="H578" s="34"/>
      <c r="I578" s="55"/>
      <c r="J578" s="55"/>
      <c r="K578" s="33"/>
      <c r="L578" s="33"/>
      <c r="M578" s="6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</row>
    <row r="579" spans="1:31" ht="14.25" customHeight="1">
      <c r="A579" s="1"/>
      <c r="B579" s="33"/>
      <c r="C579" s="33"/>
      <c r="D579" s="33"/>
      <c r="E579" s="33"/>
      <c r="F579" s="33"/>
      <c r="G579" s="33"/>
      <c r="H579" s="34"/>
      <c r="I579" s="55"/>
      <c r="J579" s="55"/>
      <c r="K579" s="33"/>
      <c r="L579" s="33"/>
      <c r="M579" s="6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</row>
    <row r="580" spans="1:31" ht="14.25" customHeight="1">
      <c r="A580" s="1"/>
      <c r="B580" s="33"/>
      <c r="C580" s="33"/>
      <c r="D580" s="33"/>
      <c r="E580" s="33"/>
      <c r="F580" s="33"/>
      <c r="G580" s="33"/>
      <c r="H580" s="34"/>
      <c r="I580" s="55"/>
      <c r="J580" s="55"/>
      <c r="K580" s="33"/>
      <c r="L580" s="33"/>
      <c r="M580" s="6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</row>
    <row r="581" spans="1:31" ht="14.25" customHeight="1">
      <c r="A581" s="1"/>
      <c r="B581" s="33"/>
      <c r="C581" s="33"/>
      <c r="D581" s="33"/>
      <c r="E581" s="33"/>
      <c r="F581" s="33"/>
      <c r="G581" s="33"/>
      <c r="H581" s="34"/>
      <c r="I581" s="55"/>
      <c r="J581" s="55"/>
      <c r="K581" s="33"/>
      <c r="L581" s="33"/>
      <c r="M581" s="6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</row>
    <row r="582" spans="1:31" ht="14.25" customHeight="1">
      <c r="A582" s="1"/>
      <c r="B582" s="33"/>
      <c r="C582" s="33"/>
      <c r="D582" s="33"/>
      <c r="E582" s="33"/>
      <c r="F582" s="33"/>
      <c r="G582" s="33"/>
      <c r="H582" s="34"/>
      <c r="I582" s="55"/>
      <c r="J582" s="55"/>
      <c r="K582" s="33"/>
      <c r="L582" s="33"/>
      <c r="M582" s="6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</row>
    <row r="583" spans="1:31" ht="14.25" customHeight="1">
      <c r="A583" s="1"/>
      <c r="B583" s="33"/>
      <c r="C583" s="33"/>
      <c r="D583" s="33"/>
      <c r="E583" s="33"/>
      <c r="F583" s="33"/>
      <c r="G583" s="33"/>
      <c r="H583" s="34"/>
      <c r="I583" s="55"/>
      <c r="J583" s="55"/>
      <c r="K583" s="33"/>
      <c r="L583" s="33"/>
      <c r="M583" s="6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</row>
    <row r="584" spans="1:31" ht="14.25" customHeight="1">
      <c r="A584" s="1"/>
      <c r="B584" s="33"/>
      <c r="C584" s="33"/>
      <c r="D584" s="33"/>
      <c r="E584" s="33"/>
      <c r="F584" s="33"/>
      <c r="G584" s="33"/>
      <c r="H584" s="34"/>
      <c r="I584" s="55"/>
      <c r="J584" s="55"/>
      <c r="K584" s="33"/>
      <c r="L584" s="33"/>
      <c r="M584" s="6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</row>
    <row r="585" spans="1:31" ht="14.25" customHeight="1">
      <c r="A585" s="1"/>
      <c r="B585" s="33"/>
      <c r="C585" s="33"/>
      <c r="D585" s="33"/>
      <c r="E585" s="33"/>
      <c r="F585" s="33"/>
      <c r="G585" s="33"/>
      <c r="H585" s="34"/>
      <c r="I585" s="55"/>
      <c r="J585" s="55"/>
      <c r="K585" s="33"/>
      <c r="L585" s="33"/>
      <c r="M585" s="6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</row>
    <row r="586" spans="1:31" ht="14.25" customHeight="1">
      <c r="A586" s="1"/>
      <c r="B586" s="33"/>
      <c r="C586" s="33"/>
      <c r="D586" s="33"/>
      <c r="E586" s="33"/>
      <c r="F586" s="33"/>
      <c r="G586" s="33"/>
      <c r="H586" s="34"/>
      <c r="I586" s="55"/>
      <c r="J586" s="55"/>
      <c r="K586" s="33"/>
      <c r="L586" s="33"/>
      <c r="M586" s="6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</row>
    <row r="587" spans="1:31" ht="14.25" customHeight="1">
      <c r="A587" s="1"/>
      <c r="B587" s="33"/>
      <c r="C587" s="33"/>
      <c r="D587" s="33"/>
      <c r="E587" s="33"/>
      <c r="F587" s="33"/>
      <c r="G587" s="33"/>
      <c r="H587" s="34"/>
      <c r="I587" s="55"/>
      <c r="J587" s="55"/>
      <c r="K587" s="33"/>
      <c r="L587" s="33"/>
      <c r="M587" s="6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</row>
    <row r="588" spans="1:31" ht="14.25" customHeight="1">
      <c r="A588" s="1"/>
      <c r="B588" s="33"/>
      <c r="C588" s="33"/>
      <c r="D588" s="33"/>
      <c r="E588" s="33"/>
      <c r="F588" s="33"/>
      <c r="G588" s="33"/>
      <c r="H588" s="34"/>
      <c r="I588" s="55"/>
      <c r="J588" s="55"/>
      <c r="K588" s="33"/>
      <c r="L588" s="33"/>
      <c r="M588" s="6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</row>
    <row r="589" spans="1:31" ht="14.25" customHeight="1">
      <c r="A589" s="1"/>
      <c r="B589" s="33"/>
      <c r="C589" s="33"/>
      <c r="D589" s="33"/>
      <c r="E589" s="33"/>
      <c r="F589" s="33"/>
      <c r="G589" s="33"/>
      <c r="H589" s="34"/>
      <c r="I589" s="55"/>
      <c r="J589" s="55"/>
      <c r="K589" s="33"/>
      <c r="L589" s="33"/>
      <c r="M589" s="6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</row>
    <row r="590" spans="1:31" ht="14.25" customHeight="1">
      <c r="A590" s="1"/>
      <c r="B590" s="33"/>
      <c r="C590" s="33"/>
      <c r="D590" s="33"/>
      <c r="E590" s="33"/>
      <c r="F590" s="33"/>
      <c r="G590" s="33"/>
      <c r="H590" s="34"/>
      <c r="I590" s="55"/>
      <c r="J590" s="55"/>
      <c r="K590" s="33"/>
      <c r="L590" s="33"/>
      <c r="M590" s="6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</row>
    <row r="591" spans="1:31" ht="14.25" customHeight="1">
      <c r="A591" s="1"/>
      <c r="B591" s="33"/>
      <c r="C591" s="33"/>
      <c r="D591" s="33"/>
      <c r="E591" s="33"/>
      <c r="F591" s="33"/>
      <c r="G591" s="33"/>
      <c r="H591" s="34"/>
      <c r="I591" s="55"/>
      <c r="J591" s="55"/>
      <c r="K591" s="33"/>
      <c r="L591" s="33"/>
      <c r="M591" s="6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</row>
    <row r="592" spans="1:31" ht="14.25" customHeight="1">
      <c r="A592" s="1"/>
      <c r="B592" s="33"/>
      <c r="C592" s="33"/>
      <c r="D592" s="33"/>
      <c r="E592" s="33"/>
      <c r="F592" s="33"/>
      <c r="G592" s="33"/>
      <c r="H592" s="34"/>
      <c r="I592" s="55"/>
      <c r="J592" s="55"/>
      <c r="K592" s="33"/>
      <c r="L592" s="33"/>
      <c r="M592" s="6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</row>
    <row r="593" spans="1:31" ht="14.25" customHeight="1">
      <c r="A593" s="1"/>
      <c r="B593" s="33"/>
      <c r="C593" s="33"/>
      <c r="D593" s="33"/>
      <c r="E593" s="33"/>
      <c r="F593" s="33"/>
      <c r="G593" s="33"/>
      <c r="H593" s="34"/>
      <c r="I593" s="55"/>
      <c r="J593" s="55"/>
      <c r="K593" s="33"/>
      <c r="L593" s="33"/>
      <c r="M593" s="6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</row>
    <row r="594" spans="1:31" ht="14.25" customHeight="1">
      <c r="A594" s="1"/>
      <c r="B594" s="33"/>
      <c r="C594" s="33"/>
      <c r="D594" s="33"/>
      <c r="E594" s="33"/>
      <c r="F594" s="33"/>
      <c r="G594" s="33"/>
      <c r="H594" s="34"/>
      <c r="I594" s="55"/>
      <c r="J594" s="55"/>
      <c r="K594" s="33"/>
      <c r="L594" s="33"/>
      <c r="M594" s="6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</row>
    <row r="595" spans="1:31" ht="14.25" customHeight="1">
      <c r="A595" s="1"/>
      <c r="B595" s="33"/>
      <c r="C595" s="33"/>
      <c r="D595" s="33"/>
      <c r="E595" s="33"/>
      <c r="F595" s="33"/>
      <c r="G595" s="33"/>
      <c r="H595" s="34"/>
      <c r="I595" s="55"/>
      <c r="J595" s="55"/>
      <c r="K595" s="33"/>
      <c r="L595" s="33"/>
      <c r="M595" s="6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</row>
    <row r="596" spans="1:31" ht="14.25" customHeight="1">
      <c r="A596" s="1"/>
      <c r="B596" s="33"/>
      <c r="C596" s="33"/>
      <c r="D596" s="33"/>
      <c r="E596" s="33"/>
      <c r="F596" s="33"/>
      <c r="G596" s="33"/>
      <c r="H596" s="34"/>
      <c r="I596" s="55"/>
      <c r="J596" s="55"/>
      <c r="K596" s="33"/>
      <c r="L596" s="33"/>
      <c r="M596" s="6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</row>
    <row r="597" spans="1:31" ht="14.25" customHeight="1">
      <c r="A597" s="1"/>
      <c r="B597" s="33"/>
      <c r="C597" s="33"/>
      <c r="D597" s="33"/>
      <c r="E597" s="33"/>
      <c r="F597" s="33"/>
      <c r="G597" s="33"/>
      <c r="H597" s="34"/>
      <c r="I597" s="55"/>
      <c r="J597" s="55"/>
      <c r="K597" s="33"/>
      <c r="L597" s="33"/>
      <c r="M597" s="6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</row>
    <row r="598" spans="1:31" ht="14.25" customHeight="1">
      <c r="A598" s="1"/>
      <c r="B598" s="33"/>
      <c r="C598" s="33"/>
      <c r="D598" s="33"/>
      <c r="E598" s="33"/>
      <c r="F598" s="33"/>
      <c r="G598" s="33"/>
      <c r="H598" s="34"/>
      <c r="I598" s="55"/>
      <c r="J598" s="55"/>
      <c r="K598" s="33"/>
      <c r="L598" s="33"/>
      <c r="M598" s="6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</row>
    <row r="599" spans="1:31" ht="14.25" customHeight="1">
      <c r="A599" s="1"/>
      <c r="B599" s="33"/>
      <c r="C599" s="33"/>
      <c r="D599" s="33"/>
      <c r="E599" s="33"/>
      <c r="F599" s="33"/>
      <c r="G599" s="33"/>
      <c r="H599" s="34"/>
      <c r="I599" s="55"/>
      <c r="J599" s="55"/>
      <c r="K599" s="33"/>
      <c r="L599" s="33"/>
      <c r="M599" s="6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</row>
    <row r="600" spans="1:31" ht="14.25" customHeight="1">
      <c r="A600" s="1"/>
      <c r="B600" s="33"/>
      <c r="C600" s="33"/>
      <c r="D600" s="33"/>
      <c r="E600" s="33"/>
      <c r="F600" s="33"/>
      <c r="G600" s="33"/>
      <c r="H600" s="34"/>
      <c r="I600" s="55"/>
      <c r="J600" s="55"/>
      <c r="K600" s="33"/>
      <c r="L600" s="33"/>
      <c r="M600" s="6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</row>
    <row r="601" spans="1:31" ht="14.25" customHeight="1">
      <c r="A601" s="1"/>
      <c r="B601" s="33"/>
      <c r="C601" s="33"/>
      <c r="D601" s="33"/>
      <c r="E601" s="33"/>
      <c r="F601" s="33"/>
      <c r="G601" s="33"/>
      <c r="H601" s="34"/>
      <c r="I601" s="55"/>
      <c r="J601" s="55"/>
      <c r="K601" s="33"/>
      <c r="L601" s="33"/>
      <c r="M601" s="6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</row>
    <row r="602" spans="1:31" ht="14.25" customHeight="1">
      <c r="A602" s="1"/>
      <c r="B602" s="33"/>
      <c r="C602" s="33"/>
      <c r="D602" s="33"/>
      <c r="E602" s="33"/>
      <c r="F602" s="33"/>
      <c r="G602" s="33"/>
      <c r="H602" s="34"/>
      <c r="I602" s="55"/>
      <c r="J602" s="55"/>
      <c r="K602" s="33"/>
      <c r="L602" s="33"/>
      <c r="M602" s="6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</row>
    <row r="603" spans="1:31" ht="14.25" customHeight="1">
      <c r="A603" s="1"/>
      <c r="B603" s="33"/>
      <c r="C603" s="33"/>
      <c r="D603" s="33"/>
      <c r="E603" s="33"/>
      <c r="F603" s="33"/>
      <c r="G603" s="33"/>
      <c r="H603" s="34"/>
      <c r="I603" s="55"/>
      <c r="J603" s="55"/>
      <c r="K603" s="33"/>
      <c r="L603" s="33"/>
      <c r="M603" s="6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</row>
    <row r="604" spans="1:31" ht="14.25" customHeight="1">
      <c r="A604" s="1"/>
      <c r="B604" s="33"/>
      <c r="C604" s="33"/>
      <c r="D604" s="33"/>
      <c r="E604" s="33"/>
      <c r="F604" s="33"/>
      <c r="G604" s="33"/>
      <c r="H604" s="34"/>
      <c r="I604" s="55"/>
      <c r="J604" s="55"/>
      <c r="K604" s="33"/>
      <c r="L604" s="33"/>
      <c r="M604" s="6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</row>
    <row r="605" spans="1:31" ht="14.25" customHeight="1">
      <c r="A605" s="1"/>
      <c r="B605" s="33"/>
      <c r="C605" s="33"/>
      <c r="D605" s="33"/>
      <c r="E605" s="33"/>
      <c r="F605" s="33"/>
      <c r="G605" s="33"/>
      <c r="H605" s="34"/>
      <c r="I605" s="55"/>
      <c r="J605" s="55"/>
      <c r="K605" s="33"/>
      <c r="L605" s="33"/>
      <c r="M605" s="6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</row>
    <row r="606" spans="1:31" ht="14.25" customHeight="1">
      <c r="A606" s="1"/>
      <c r="B606" s="33"/>
      <c r="C606" s="33"/>
      <c r="D606" s="33"/>
      <c r="E606" s="33"/>
      <c r="F606" s="33"/>
      <c r="G606" s="33"/>
      <c r="H606" s="34"/>
      <c r="I606" s="55"/>
      <c r="J606" s="55"/>
      <c r="K606" s="33"/>
      <c r="L606" s="33"/>
      <c r="M606" s="6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</row>
    <row r="607" spans="1:31" ht="14.25" customHeight="1">
      <c r="A607" s="1"/>
      <c r="B607" s="33"/>
      <c r="C607" s="33"/>
      <c r="D607" s="33"/>
      <c r="E607" s="33"/>
      <c r="F607" s="33"/>
      <c r="G607" s="33"/>
      <c r="H607" s="34"/>
      <c r="I607" s="55"/>
      <c r="J607" s="55"/>
      <c r="K607" s="33"/>
      <c r="L607" s="33"/>
      <c r="M607" s="6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</row>
    <row r="608" spans="1:31" ht="14.25" customHeight="1">
      <c r="A608" s="1"/>
      <c r="B608" s="33"/>
      <c r="C608" s="33"/>
      <c r="D608" s="33"/>
      <c r="E608" s="33"/>
      <c r="F608" s="33"/>
      <c r="G608" s="33"/>
      <c r="H608" s="34"/>
      <c r="I608" s="55"/>
      <c r="J608" s="55"/>
      <c r="K608" s="33"/>
      <c r="L608" s="33"/>
      <c r="M608" s="6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</row>
    <row r="609" spans="1:31" ht="14.25" customHeight="1">
      <c r="A609" s="1"/>
      <c r="B609" s="33"/>
      <c r="C609" s="33"/>
      <c r="D609" s="33"/>
      <c r="E609" s="33"/>
      <c r="F609" s="33"/>
      <c r="G609" s="33"/>
      <c r="H609" s="34"/>
      <c r="I609" s="55"/>
      <c r="J609" s="55"/>
      <c r="K609" s="33"/>
      <c r="L609" s="33"/>
      <c r="M609" s="6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</row>
    <row r="610" spans="1:31" ht="14.25" customHeight="1">
      <c r="A610" s="1"/>
      <c r="B610" s="33"/>
      <c r="C610" s="33"/>
      <c r="D610" s="33"/>
      <c r="E610" s="33"/>
      <c r="F610" s="33"/>
      <c r="G610" s="33"/>
      <c r="H610" s="34"/>
      <c r="I610" s="55"/>
      <c r="J610" s="55"/>
      <c r="K610" s="33"/>
      <c r="L610" s="33"/>
      <c r="M610" s="6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</row>
    <row r="611" spans="1:31" ht="14.25" customHeight="1">
      <c r="A611" s="1"/>
      <c r="B611" s="33"/>
      <c r="C611" s="33"/>
      <c r="D611" s="33"/>
      <c r="E611" s="33"/>
      <c r="F611" s="33"/>
      <c r="G611" s="33"/>
      <c r="H611" s="34"/>
      <c r="I611" s="55"/>
      <c r="J611" s="55"/>
      <c r="K611" s="33"/>
      <c r="L611" s="33"/>
      <c r="M611" s="6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</row>
    <row r="612" spans="1:31" ht="14.25" customHeight="1">
      <c r="A612" s="1"/>
      <c r="B612" s="33"/>
      <c r="C612" s="33"/>
      <c r="D612" s="33"/>
      <c r="E612" s="33"/>
      <c r="F612" s="33"/>
      <c r="G612" s="33"/>
      <c r="H612" s="34"/>
      <c r="I612" s="55"/>
      <c r="J612" s="55"/>
      <c r="K612" s="33"/>
      <c r="L612" s="33"/>
      <c r="M612" s="6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</row>
    <row r="613" spans="1:31" ht="14.25" customHeight="1">
      <c r="A613" s="1"/>
      <c r="B613" s="33"/>
      <c r="C613" s="33"/>
      <c r="D613" s="33"/>
      <c r="E613" s="33"/>
      <c r="F613" s="33"/>
      <c r="G613" s="33"/>
      <c r="H613" s="34"/>
      <c r="I613" s="55"/>
      <c r="J613" s="55"/>
      <c r="K613" s="33"/>
      <c r="L613" s="33"/>
      <c r="M613" s="6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</row>
    <row r="614" spans="1:31" ht="14.25" customHeight="1">
      <c r="A614" s="1"/>
      <c r="B614" s="33"/>
      <c r="C614" s="33"/>
      <c r="D614" s="33"/>
      <c r="E614" s="33"/>
      <c r="F614" s="33"/>
      <c r="G614" s="33"/>
      <c r="H614" s="34"/>
      <c r="I614" s="55"/>
      <c r="J614" s="55"/>
      <c r="K614" s="33"/>
      <c r="L614" s="33"/>
      <c r="M614" s="6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</row>
    <row r="615" spans="1:31" ht="14.25" customHeight="1">
      <c r="A615" s="1"/>
      <c r="B615" s="33"/>
      <c r="C615" s="33"/>
      <c r="D615" s="33"/>
      <c r="E615" s="33"/>
      <c r="F615" s="33"/>
      <c r="G615" s="33"/>
      <c r="H615" s="34"/>
      <c r="I615" s="55"/>
      <c r="J615" s="55"/>
      <c r="K615" s="33"/>
      <c r="L615" s="33"/>
      <c r="M615" s="6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</row>
    <row r="616" spans="1:31" ht="14.25" customHeight="1">
      <c r="A616" s="1"/>
      <c r="B616" s="33"/>
      <c r="C616" s="33"/>
      <c r="D616" s="33"/>
      <c r="E616" s="33"/>
      <c r="F616" s="33"/>
      <c r="G616" s="33"/>
      <c r="H616" s="34"/>
      <c r="I616" s="55"/>
      <c r="J616" s="55"/>
      <c r="K616" s="33"/>
      <c r="L616" s="33"/>
      <c r="M616" s="6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</row>
    <row r="617" spans="1:31" ht="14.25" customHeight="1">
      <c r="A617" s="1"/>
      <c r="B617" s="33"/>
      <c r="C617" s="33"/>
      <c r="D617" s="33"/>
      <c r="E617" s="33"/>
      <c r="F617" s="33"/>
      <c r="G617" s="33"/>
      <c r="H617" s="34"/>
      <c r="I617" s="55"/>
      <c r="J617" s="55"/>
      <c r="K617" s="33"/>
      <c r="L617" s="33"/>
      <c r="M617" s="6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</row>
    <row r="618" spans="1:31" ht="14.25" customHeight="1">
      <c r="A618" s="1"/>
      <c r="B618" s="33"/>
      <c r="C618" s="33"/>
      <c r="D618" s="33"/>
      <c r="E618" s="33"/>
      <c r="F618" s="33"/>
      <c r="G618" s="33"/>
      <c r="H618" s="34"/>
      <c r="I618" s="55"/>
      <c r="J618" s="55"/>
      <c r="K618" s="33"/>
      <c r="L618" s="33"/>
      <c r="M618" s="6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</row>
    <row r="619" spans="1:31" ht="14.25" customHeight="1">
      <c r="A619" s="1"/>
      <c r="B619" s="33"/>
      <c r="C619" s="33"/>
      <c r="D619" s="33"/>
      <c r="E619" s="33"/>
      <c r="F619" s="33"/>
      <c r="G619" s="33"/>
      <c r="H619" s="34"/>
      <c r="I619" s="55"/>
      <c r="J619" s="55"/>
      <c r="K619" s="33"/>
      <c r="L619" s="33"/>
      <c r="M619" s="6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</row>
    <row r="620" spans="1:31" ht="14.25" customHeight="1">
      <c r="A620" s="1"/>
      <c r="B620" s="33"/>
      <c r="C620" s="33"/>
      <c r="D620" s="33"/>
      <c r="E620" s="33"/>
      <c r="F620" s="33"/>
      <c r="G620" s="33"/>
      <c r="H620" s="34"/>
      <c r="I620" s="55"/>
      <c r="J620" s="55"/>
      <c r="K620" s="33"/>
      <c r="L620" s="33"/>
      <c r="M620" s="6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</row>
    <row r="621" spans="1:31" ht="14.25" customHeight="1">
      <c r="A621" s="1"/>
      <c r="B621" s="33"/>
      <c r="C621" s="33"/>
      <c r="D621" s="33"/>
      <c r="E621" s="33"/>
      <c r="F621" s="33"/>
      <c r="G621" s="33"/>
      <c r="H621" s="34"/>
      <c r="I621" s="55"/>
      <c r="J621" s="55"/>
      <c r="K621" s="33"/>
      <c r="L621" s="33"/>
      <c r="M621" s="6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</row>
    <row r="622" spans="1:31" ht="14.25" customHeight="1">
      <c r="A622" s="1"/>
      <c r="B622" s="33"/>
      <c r="C622" s="33"/>
      <c r="D622" s="33"/>
      <c r="E622" s="33"/>
      <c r="F622" s="33"/>
      <c r="G622" s="33"/>
      <c r="H622" s="34"/>
      <c r="I622" s="55"/>
      <c r="J622" s="55"/>
      <c r="K622" s="33"/>
      <c r="L622" s="33"/>
      <c r="M622" s="6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</row>
    <row r="623" spans="1:31" ht="14.25" customHeight="1">
      <c r="A623" s="1"/>
      <c r="B623" s="33"/>
      <c r="C623" s="33"/>
      <c r="D623" s="33"/>
      <c r="E623" s="33"/>
      <c r="F623" s="33"/>
      <c r="G623" s="33"/>
      <c r="H623" s="34"/>
      <c r="I623" s="55"/>
      <c r="J623" s="55"/>
      <c r="K623" s="33"/>
      <c r="L623" s="33"/>
      <c r="M623" s="6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</row>
    <row r="624" spans="1:31" ht="14.25" customHeight="1">
      <c r="A624" s="1"/>
      <c r="B624" s="33"/>
      <c r="C624" s="33"/>
      <c r="D624" s="33"/>
      <c r="E624" s="33"/>
      <c r="F624" s="33"/>
      <c r="G624" s="33"/>
      <c r="H624" s="34"/>
      <c r="I624" s="55"/>
      <c r="J624" s="55"/>
      <c r="K624" s="33"/>
      <c r="L624" s="33"/>
      <c r="M624" s="6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</row>
    <row r="625" spans="1:31" ht="14.25" customHeight="1">
      <c r="A625" s="1"/>
      <c r="B625" s="33"/>
      <c r="C625" s="33"/>
      <c r="D625" s="33"/>
      <c r="E625" s="33"/>
      <c r="F625" s="33"/>
      <c r="G625" s="33"/>
      <c r="H625" s="34"/>
      <c r="I625" s="55"/>
      <c r="J625" s="55"/>
      <c r="K625" s="33"/>
      <c r="L625" s="33"/>
      <c r="M625" s="6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</row>
    <row r="626" spans="1:31" ht="14.25" customHeight="1">
      <c r="A626" s="1"/>
      <c r="B626" s="33"/>
      <c r="C626" s="33"/>
      <c r="D626" s="33"/>
      <c r="E626" s="33"/>
      <c r="F626" s="33"/>
      <c r="G626" s="33"/>
      <c r="H626" s="34"/>
      <c r="I626" s="55"/>
      <c r="J626" s="55"/>
      <c r="K626" s="33"/>
      <c r="L626" s="33"/>
      <c r="M626" s="6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</row>
    <row r="627" spans="1:31" ht="14.25" customHeight="1">
      <c r="A627" s="1"/>
      <c r="B627" s="33"/>
      <c r="C627" s="33"/>
      <c r="D627" s="33"/>
      <c r="E627" s="33"/>
      <c r="F627" s="33"/>
      <c r="G627" s="33"/>
      <c r="H627" s="34"/>
      <c r="I627" s="55"/>
      <c r="J627" s="55"/>
      <c r="K627" s="33"/>
      <c r="L627" s="33"/>
      <c r="M627" s="6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</row>
    <row r="628" spans="1:31" ht="14.25" customHeight="1">
      <c r="A628" s="1"/>
      <c r="B628" s="33"/>
      <c r="C628" s="33"/>
      <c r="D628" s="33"/>
      <c r="E628" s="33"/>
      <c r="F628" s="33"/>
      <c r="G628" s="33"/>
      <c r="H628" s="34"/>
      <c r="I628" s="55"/>
      <c r="J628" s="55"/>
      <c r="K628" s="33"/>
      <c r="L628" s="33"/>
      <c r="M628" s="6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</row>
    <row r="629" spans="1:31" ht="14.25" customHeight="1">
      <c r="A629" s="1"/>
      <c r="B629" s="33"/>
      <c r="C629" s="33"/>
      <c r="D629" s="33"/>
      <c r="E629" s="33"/>
      <c r="F629" s="33"/>
      <c r="G629" s="33"/>
      <c r="H629" s="34"/>
      <c r="I629" s="55"/>
      <c r="J629" s="55"/>
      <c r="K629" s="33"/>
      <c r="L629" s="33"/>
      <c r="M629" s="6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</row>
    <row r="630" spans="1:31" ht="14.25" customHeight="1">
      <c r="A630" s="1"/>
      <c r="B630" s="33"/>
      <c r="C630" s="33"/>
      <c r="D630" s="33"/>
      <c r="E630" s="33"/>
      <c r="F630" s="33"/>
      <c r="G630" s="33"/>
      <c r="H630" s="34"/>
      <c r="I630" s="55"/>
      <c r="J630" s="55"/>
      <c r="K630" s="33"/>
      <c r="L630" s="33"/>
      <c r="M630" s="6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</row>
    <row r="631" spans="1:31" ht="14.25" customHeight="1">
      <c r="A631" s="1"/>
      <c r="B631" s="33"/>
      <c r="C631" s="33"/>
      <c r="D631" s="33"/>
      <c r="E631" s="33"/>
      <c r="F631" s="33"/>
      <c r="G631" s="33"/>
      <c r="H631" s="34"/>
      <c r="I631" s="55"/>
      <c r="J631" s="55"/>
      <c r="K631" s="33"/>
      <c r="L631" s="33"/>
      <c r="M631" s="6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</row>
    <row r="632" spans="1:31" ht="14.25" customHeight="1">
      <c r="A632" s="1"/>
      <c r="B632" s="33"/>
      <c r="C632" s="33"/>
      <c r="D632" s="33"/>
      <c r="E632" s="33"/>
      <c r="F632" s="33"/>
      <c r="G632" s="33"/>
      <c r="H632" s="34"/>
      <c r="I632" s="55"/>
      <c r="J632" s="55"/>
      <c r="K632" s="33"/>
      <c r="L632" s="33"/>
      <c r="M632" s="6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</row>
    <row r="633" spans="1:31" ht="14.25" customHeight="1">
      <c r="A633" s="1"/>
      <c r="B633" s="33"/>
      <c r="C633" s="33"/>
      <c r="D633" s="33"/>
      <c r="E633" s="33"/>
      <c r="F633" s="33"/>
      <c r="G633" s="33"/>
      <c r="H633" s="34"/>
      <c r="I633" s="55"/>
      <c r="J633" s="55"/>
      <c r="K633" s="33"/>
      <c r="L633" s="33"/>
      <c r="M633" s="6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</row>
    <row r="634" spans="1:31" ht="14.25" customHeight="1">
      <c r="A634" s="1"/>
      <c r="B634" s="33"/>
      <c r="C634" s="33"/>
      <c r="D634" s="33"/>
      <c r="E634" s="33"/>
      <c r="F634" s="33"/>
      <c r="G634" s="33"/>
      <c r="H634" s="34"/>
      <c r="I634" s="55"/>
      <c r="J634" s="55"/>
      <c r="K634" s="33"/>
      <c r="L634" s="33"/>
      <c r="M634" s="6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</row>
    <row r="635" spans="1:31" ht="14.25" customHeight="1">
      <c r="A635" s="1"/>
      <c r="B635" s="33"/>
      <c r="C635" s="33"/>
      <c r="D635" s="33"/>
      <c r="E635" s="33"/>
      <c r="F635" s="33"/>
      <c r="G635" s="33"/>
      <c r="H635" s="34"/>
      <c r="I635" s="55"/>
      <c r="J635" s="55"/>
      <c r="K635" s="33"/>
      <c r="L635" s="33"/>
      <c r="M635" s="6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</row>
    <row r="636" spans="1:31" ht="14.25" customHeight="1">
      <c r="A636" s="1"/>
      <c r="B636" s="33"/>
      <c r="C636" s="33"/>
      <c r="D636" s="33"/>
      <c r="E636" s="33"/>
      <c r="F636" s="33"/>
      <c r="G636" s="33"/>
      <c r="H636" s="34"/>
      <c r="I636" s="55"/>
      <c r="J636" s="55"/>
      <c r="K636" s="33"/>
      <c r="L636" s="33"/>
      <c r="M636" s="6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</row>
    <row r="637" spans="1:31" ht="14.25" customHeight="1">
      <c r="A637" s="1"/>
      <c r="B637" s="33"/>
      <c r="C637" s="33"/>
      <c r="D637" s="33"/>
      <c r="E637" s="33"/>
      <c r="F637" s="33"/>
      <c r="G637" s="33"/>
      <c r="H637" s="34"/>
      <c r="I637" s="55"/>
      <c r="J637" s="55"/>
      <c r="K637" s="33"/>
      <c r="L637" s="33"/>
      <c r="M637" s="6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</row>
    <row r="638" spans="1:31" ht="14.25" customHeight="1">
      <c r="A638" s="1"/>
      <c r="B638" s="33"/>
      <c r="C638" s="33"/>
      <c r="D638" s="33"/>
      <c r="E638" s="33"/>
      <c r="F638" s="33"/>
      <c r="G638" s="33"/>
      <c r="H638" s="34"/>
      <c r="I638" s="55"/>
      <c r="J638" s="55"/>
      <c r="K638" s="33"/>
      <c r="L638" s="33"/>
      <c r="M638" s="6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</row>
    <row r="639" spans="1:31" ht="14.25" customHeight="1">
      <c r="A639" s="1"/>
      <c r="B639" s="33"/>
      <c r="C639" s="33"/>
      <c r="D639" s="33"/>
      <c r="E639" s="33"/>
      <c r="F639" s="33"/>
      <c r="G639" s="33"/>
      <c r="H639" s="34"/>
      <c r="I639" s="55"/>
      <c r="J639" s="55"/>
      <c r="K639" s="33"/>
      <c r="L639" s="33"/>
      <c r="M639" s="6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</row>
    <row r="640" spans="1:31" ht="14.25" customHeight="1">
      <c r="A640" s="1"/>
      <c r="B640" s="33"/>
      <c r="C640" s="33"/>
      <c r="D640" s="33"/>
      <c r="E640" s="33"/>
      <c r="F640" s="33"/>
      <c r="G640" s="33"/>
      <c r="H640" s="34"/>
      <c r="I640" s="55"/>
      <c r="J640" s="55"/>
      <c r="K640" s="33"/>
      <c r="L640" s="33"/>
      <c r="M640" s="6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</row>
    <row r="641" spans="1:31" ht="14.25" customHeight="1">
      <c r="A641" s="1"/>
      <c r="B641" s="33"/>
      <c r="C641" s="33"/>
      <c r="D641" s="33"/>
      <c r="E641" s="33"/>
      <c r="F641" s="33"/>
      <c r="G641" s="33"/>
      <c r="H641" s="34"/>
      <c r="I641" s="55"/>
      <c r="J641" s="55"/>
      <c r="K641" s="33"/>
      <c r="L641" s="33"/>
      <c r="M641" s="6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</row>
    <row r="642" spans="1:31" ht="14.25" customHeight="1">
      <c r="A642" s="1"/>
      <c r="B642" s="33"/>
      <c r="C642" s="33"/>
      <c r="D642" s="33"/>
      <c r="E642" s="33"/>
      <c r="F642" s="33"/>
      <c r="G642" s="33"/>
      <c r="H642" s="34"/>
      <c r="I642" s="55"/>
      <c r="J642" s="55"/>
      <c r="K642" s="33"/>
      <c r="L642" s="33"/>
      <c r="M642" s="6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</row>
    <row r="643" spans="1:31" ht="14.25" customHeight="1">
      <c r="A643" s="1"/>
      <c r="B643" s="33"/>
      <c r="C643" s="33"/>
      <c r="D643" s="33"/>
      <c r="E643" s="33"/>
      <c r="F643" s="33"/>
      <c r="G643" s="33"/>
      <c r="H643" s="34"/>
      <c r="I643" s="55"/>
      <c r="J643" s="55"/>
      <c r="K643" s="33"/>
      <c r="L643" s="33"/>
      <c r="M643" s="6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</row>
    <row r="644" spans="1:31" ht="14.25" customHeight="1">
      <c r="A644" s="1"/>
      <c r="B644" s="33"/>
      <c r="C644" s="33"/>
      <c r="D644" s="33"/>
      <c r="E644" s="33"/>
      <c r="F644" s="33"/>
      <c r="G644" s="33"/>
      <c r="H644" s="34"/>
      <c r="I644" s="55"/>
      <c r="J644" s="55"/>
      <c r="K644" s="33"/>
      <c r="L644" s="33"/>
      <c r="M644" s="6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</row>
    <row r="645" spans="1:31" ht="14.25" customHeight="1">
      <c r="A645" s="1"/>
      <c r="B645" s="33"/>
      <c r="C645" s="33"/>
      <c r="D645" s="33"/>
      <c r="E645" s="33"/>
      <c r="F645" s="33"/>
      <c r="G645" s="33"/>
      <c r="H645" s="34"/>
      <c r="I645" s="55"/>
      <c r="J645" s="55"/>
      <c r="K645" s="33"/>
      <c r="L645" s="33"/>
      <c r="M645" s="6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</row>
    <row r="646" spans="1:31" ht="14.25" customHeight="1">
      <c r="A646" s="1"/>
      <c r="B646" s="33"/>
      <c r="C646" s="33"/>
      <c r="D646" s="33"/>
      <c r="E646" s="33"/>
      <c r="F646" s="33"/>
      <c r="G646" s="33"/>
      <c r="H646" s="34"/>
      <c r="I646" s="55"/>
      <c r="J646" s="55"/>
      <c r="K646" s="33"/>
      <c r="L646" s="33"/>
      <c r="M646" s="6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</row>
    <row r="647" spans="1:31" ht="14.25" customHeight="1">
      <c r="A647" s="1"/>
      <c r="B647" s="33"/>
      <c r="C647" s="33"/>
      <c r="D647" s="33"/>
      <c r="E647" s="33"/>
      <c r="F647" s="33"/>
      <c r="G647" s="33"/>
      <c r="H647" s="34"/>
      <c r="I647" s="55"/>
      <c r="J647" s="55"/>
      <c r="K647" s="33"/>
      <c r="L647" s="33"/>
      <c r="M647" s="6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</row>
    <row r="648" spans="1:31" ht="14.25" customHeight="1">
      <c r="A648" s="1"/>
      <c r="B648" s="33"/>
      <c r="C648" s="33"/>
      <c r="D648" s="33"/>
      <c r="E648" s="33"/>
      <c r="F648" s="33"/>
      <c r="G648" s="33"/>
      <c r="H648" s="34"/>
      <c r="I648" s="55"/>
      <c r="J648" s="55"/>
      <c r="K648" s="33"/>
      <c r="L648" s="33"/>
      <c r="M648" s="6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</row>
    <row r="649" spans="1:31" ht="14.25" customHeight="1">
      <c r="A649" s="1"/>
      <c r="B649" s="33"/>
      <c r="C649" s="33"/>
      <c r="D649" s="33"/>
      <c r="E649" s="33"/>
      <c r="F649" s="33"/>
      <c r="G649" s="33"/>
      <c r="H649" s="34"/>
      <c r="I649" s="55"/>
      <c r="J649" s="55"/>
      <c r="K649" s="33"/>
      <c r="L649" s="33"/>
      <c r="M649" s="6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</row>
    <row r="650" spans="1:31" ht="14.25" customHeight="1">
      <c r="A650" s="1"/>
      <c r="B650" s="33"/>
      <c r="C650" s="33"/>
      <c r="D650" s="33"/>
      <c r="E650" s="33"/>
      <c r="F650" s="33"/>
      <c r="G650" s="33"/>
      <c r="H650" s="34"/>
      <c r="I650" s="55"/>
      <c r="J650" s="55"/>
      <c r="K650" s="33"/>
      <c r="L650" s="33"/>
      <c r="M650" s="6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</row>
    <row r="651" spans="1:31" ht="14.25" customHeight="1">
      <c r="A651" s="1"/>
      <c r="B651" s="33"/>
      <c r="C651" s="33"/>
      <c r="D651" s="33"/>
      <c r="E651" s="33"/>
      <c r="F651" s="33"/>
      <c r="G651" s="33"/>
      <c r="H651" s="34"/>
      <c r="I651" s="55"/>
      <c r="J651" s="55"/>
      <c r="K651" s="33"/>
      <c r="L651" s="33"/>
      <c r="M651" s="6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</row>
    <row r="652" spans="1:31" ht="14.25" customHeight="1">
      <c r="A652" s="1"/>
      <c r="B652" s="33"/>
      <c r="C652" s="33"/>
      <c r="D652" s="33"/>
      <c r="E652" s="33"/>
      <c r="F652" s="33"/>
      <c r="G652" s="33"/>
      <c r="H652" s="34"/>
      <c r="I652" s="55"/>
      <c r="J652" s="55"/>
      <c r="K652" s="33"/>
      <c r="L652" s="33"/>
      <c r="M652" s="6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</row>
    <row r="653" spans="1:31" ht="14.25" customHeight="1">
      <c r="A653" s="1"/>
      <c r="B653" s="33"/>
      <c r="C653" s="33"/>
      <c r="D653" s="33"/>
      <c r="E653" s="33"/>
      <c r="F653" s="33"/>
      <c r="G653" s="33"/>
      <c r="H653" s="34"/>
      <c r="I653" s="55"/>
      <c r="J653" s="55"/>
      <c r="K653" s="33"/>
      <c r="L653" s="33"/>
      <c r="M653" s="6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</row>
    <row r="654" spans="1:31" ht="14.25" customHeight="1">
      <c r="A654" s="1"/>
      <c r="B654" s="33"/>
      <c r="C654" s="33"/>
      <c r="D654" s="33"/>
      <c r="E654" s="33"/>
      <c r="F654" s="33"/>
      <c r="G654" s="33"/>
      <c r="H654" s="34"/>
      <c r="I654" s="55"/>
      <c r="J654" s="55"/>
      <c r="K654" s="33"/>
      <c r="L654" s="33"/>
      <c r="M654" s="6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</row>
    <row r="655" spans="1:31" ht="14.25" customHeight="1">
      <c r="A655" s="1"/>
      <c r="B655" s="33"/>
      <c r="C655" s="33"/>
      <c r="D655" s="33"/>
      <c r="E655" s="33"/>
      <c r="F655" s="33"/>
      <c r="G655" s="33"/>
      <c r="H655" s="34"/>
      <c r="I655" s="55"/>
      <c r="J655" s="55"/>
      <c r="K655" s="33"/>
      <c r="L655" s="33"/>
      <c r="M655" s="6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</row>
    <row r="656" spans="1:31" ht="14.25" customHeight="1">
      <c r="A656" s="1"/>
      <c r="B656" s="33"/>
      <c r="C656" s="33"/>
      <c r="D656" s="33"/>
      <c r="E656" s="33"/>
      <c r="F656" s="33"/>
      <c r="G656" s="33"/>
      <c r="H656" s="34"/>
      <c r="I656" s="55"/>
      <c r="J656" s="55"/>
      <c r="K656" s="33"/>
      <c r="L656" s="33"/>
      <c r="M656" s="6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</row>
    <row r="657" spans="1:31" ht="14.25" customHeight="1">
      <c r="A657" s="1"/>
      <c r="B657" s="33"/>
      <c r="C657" s="33"/>
      <c r="D657" s="33"/>
      <c r="E657" s="33"/>
      <c r="F657" s="33"/>
      <c r="G657" s="33"/>
      <c r="H657" s="34"/>
      <c r="I657" s="55"/>
      <c r="J657" s="55"/>
      <c r="K657" s="33"/>
      <c r="L657" s="33"/>
      <c r="M657" s="6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</row>
    <row r="658" spans="1:31" ht="14.25" customHeight="1">
      <c r="A658" s="1"/>
      <c r="B658" s="33"/>
      <c r="C658" s="33"/>
      <c r="D658" s="33"/>
      <c r="E658" s="33"/>
      <c r="F658" s="33"/>
      <c r="G658" s="33"/>
      <c r="H658" s="34"/>
      <c r="I658" s="55"/>
      <c r="J658" s="55"/>
      <c r="K658" s="33"/>
      <c r="L658" s="33"/>
      <c r="M658" s="6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</row>
    <row r="659" spans="1:31" ht="14.25" customHeight="1">
      <c r="A659" s="1"/>
      <c r="B659" s="33"/>
      <c r="C659" s="33"/>
      <c r="D659" s="33"/>
      <c r="E659" s="33"/>
      <c r="F659" s="33"/>
      <c r="G659" s="33"/>
      <c r="H659" s="34"/>
      <c r="I659" s="55"/>
      <c r="J659" s="55"/>
      <c r="K659" s="33"/>
      <c r="L659" s="33"/>
      <c r="M659" s="6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</row>
    <row r="660" spans="1:31" ht="14.25" customHeight="1">
      <c r="A660" s="1"/>
      <c r="B660" s="33"/>
      <c r="C660" s="33"/>
      <c r="D660" s="33"/>
      <c r="E660" s="33"/>
      <c r="F660" s="33"/>
      <c r="G660" s="33"/>
      <c r="H660" s="34"/>
      <c r="I660" s="55"/>
      <c r="J660" s="55"/>
      <c r="K660" s="33"/>
      <c r="L660" s="33"/>
      <c r="M660" s="6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</row>
    <row r="661" spans="1:31" ht="14.25" customHeight="1">
      <c r="A661" s="1"/>
      <c r="B661" s="33"/>
      <c r="C661" s="33"/>
      <c r="D661" s="33"/>
      <c r="E661" s="33"/>
      <c r="F661" s="33"/>
      <c r="G661" s="33"/>
      <c r="H661" s="34"/>
      <c r="I661" s="55"/>
      <c r="J661" s="55"/>
      <c r="K661" s="33"/>
      <c r="L661" s="33"/>
      <c r="M661" s="6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</row>
    <row r="662" spans="1:31" ht="14.25" customHeight="1">
      <c r="A662" s="1"/>
      <c r="B662" s="33"/>
      <c r="C662" s="33"/>
      <c r="D662" s="33"/>
      <c r="E662" s="33"/>
      <c r="F662" s="33"/>
      <c r="G662" s="33"/>
      <c r="H662" s="34"/>
      <c r="I662" s="55"/>
      <c r="J662" s="55"/>
      <c r="K662" s="33"/>
      <c r="L662" s="33"/>
      <c r="M662" s="6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</row>
    <row r="663" spans="1:31" ht="14.25" customHeight="1">
      <c r="A663" s="1"/>
      <c r="B663" s="33"/>
      <c r="C663" s="33"/>
      <c r="D663" s="33"/>
      <c r="E663" s="33"/>
      <c r="F663" s="33"/>
      <c r="G663" s="33"/>
      <c r="H663" s="34"/>
      <c r="I663" s="55"/>
      <c r="J663" s="55"/>
      <c r="K663" s="33"/>
      <c r="L663" s="33"/>
      <c r="M663" s="6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</row>
    <row r="664" spans="1:31" ht="14.25" customHeight="1">
      <c r="A664" s="1"/>
      <c r="B664" s="33"/>
      <c r="C664" s="33"/>
      <c r="D664" s="33"/>
      <c r="E664" s="33"/>
      <c r="F664" s="33"/>
      <c r="G664" s="33"/>
      <c r="H664" s="34"/>
      <c r="I664" s="55"/>
      <c r="J664" s="55"/>
      <c r="K664" s="33"/>
      <c r="L664" s="33"/>
      <c r="M664" s="6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</row>
    <row r="665" spans="1:31" ht="14.25" customHeight="1">
      <c r="A665" s="1"/>
      <c r="B665" s="33"/>
      <c r="C665" s="33"/>
      <c r="D665" s="33"/>
      <c r="E665" s="33"/>
      <c r="F665" s="33"/>
      <c r="G665" s="33"/>
      <c r="H665" s="34"/>
      <c r="I665" s="55"/>
      <c r="J665" s="55"/>
      <c r="K665" s="33"/>
      <c r="L665" s="33"/>
      <c r="M665" s="6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</row>
    <row r="666" spans="1:31" ht="14.25" customHeight="1">
      <c r="A666" s="1"/>
      <c r="B666" s="33"/>
      <c r="C666" s="33"/>
      <c r="D666" s="33"/>
      <c r="E666" s="33"/>
      <c r="F666" s="33"/>
      <c r="G666" s="33"/>
      <c r="H666" s="34"/>
      <c r="I666" s="55"/>
      <c r="J666" s="55"/>
      <c r="K666" s="33"/>
      <c r="L666" s="33"/>
      <c r="M666" s="6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</row>
    <row r="667" spans="1:31" ht="14.25" customHeight="1">
      <c r="A667" s="1"/>
      <c r="B667" s="33"/>
      <c r="C667" s="33"/>
      <c r="D667" s="33"/>
      <c r="E667" s="33"/>
      <c r="F667" s="33"/>
      <c r="G667" s="33"/>
      <c r="H667" s="34"/>
      <c r="I667" s="55"/>
      <c r="J667" s="55"/>
      <c r="K667" s="33"/>
      <c r="L667" s="33"/>
      <c r="M667" s="6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</row>
    <row r="668" spans="1:31" ht="14.25" customHeight="1">
      <c r="A668" s="1"/>
      <c r="B668" s="33"/>
      <c r="C668" s="33"/>
      <c r="D668" s="33"/>
      <c r="E668" s="33"/>
      <c r="F668" s="33"/>
      <c r="G668" s="33"/>
      <c r="H668" s="34"/>
      <c r="I668" s="55"/>
      <c r="J668" s="55"/>
      <c r="K668" s="33"/>
      <c r="L668" s="33"/>
      <c r="M668" s="6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</row>
    <row r="669" spans="1:31" ht="14.25" customHeight="1">
      <c r="A669" s="1"/>
      <c r="B669" s="33"/>
      <c r="C669" s="33"/>
      <c r="D669" s="33"/>
      <c r="E669" s="33"/>
      <c r="F669" s="33"/>
      <c r="G669" s="33"/>
      <c r="H669" s="34"/>
      <c r="I669" s="55"/>
      <c r="J669" s="55"/>
      <c r="K669" s="33"/>
      <c r="L669" s="33"/>
      <c r="M669" s="6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</row>
    <row r="670" spans="1:31" ht="14.25" customHeight="1">
      <c r="A670" s="1"/>
      <c r="B670" s="33"/>
      <c r="C670" s="33"/>
      <c r="D670" s="33"/>
      <c r="E670" s="33"/>
      <c r="F670" s="33"/>
      <c r="G670" s="33"/>
      <c r="H670" s="34"/>
      <c r="I670" s="55"/>
      <c r="J670" s="55"/>
      <c r="K670" s="33"/>
      <c r="L670" s="33"/>
      <c r="M670" s="6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</row>
    <row r="671" spans="1:31" ht="14.25" customHeight="1">
      <c r="A671" s="1"/>
      <c r="B671" s="33"/>
      <c r="C671" s="33"/>
      <c r="D671" s="33"/>
      <c r="E671" s="33"/>
      <c r="F671" s="33"/>
      <c r="G671" s="33"/>
      <c r="H671" s="34"/>
      <c r="I671" s="55"/>
      <c r="J671" s="55"/>
      <c r="K671" s="33"/>
      <c r="L671" s="33"/>
      <c r="M671" s="6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</row>
    <row r="672" spans="1:31" ht="14.25" customHeight="1">
      <c r="A672" s="1"/>
      <c r="B672" s="33"/>
      <c r="C672" s="33"/>
      <c r="D672" s="33"/>
      <c r="E672" s="33"/>
      <c r="F672" s="33"/>
      <c r="G672" s="33"/>
      <c r="H672" s="34"/>
      <c r="I672" s="55"/>
      <c r="J672" s="55"/>
      <c r="K672" s="33"/>
      <c r="L672" s="33"/>
      <c r="M672" s="6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</row>
    <row r="673" spans="1:31" ht="14.25" customHeight="1">
      <c r="A673" s="1"/>
      <c r="B673" s="33"/>
      <c r="C673" s="33"/>
      <c r="D673" s="33"/>
      <c r="E673" s="33"/>
      <c r="F673" s="33"/>
      <c r="G673" s="33"/>
      <c r="H673" s="34"/>
      <c r="I673" s="55"/>
      <c r="J673" s="55"/>
      <c r="K673" s="33"/>
      <c r="L673" s="33"/>
      <c r="M673" s="6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</row>
    <row r="674" spans="1:31" ht="14.25" customHeight="1">
      <c r="A674" s="1"/>
      <c r="B674" s="33"/>
      <c r="C674" s="33"/>
      <c r="D674" s="33"/>
      <c r="E674" s="33"/>
      <c r="F674" s="33"/>
      <c r="G674" s="33"/>
      <c r="H674" s="34"/>
      <c r="I674" s="55"/>
      <c r="J674" s="55"/>
      <c r="K674" s="33"/>
      <c r="L674" s="33"/>
      <c r="M674" s="6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</row>
    <row r="675" spans="1:31" ht="14.25" customHeight="1">
      <c r="A675" s="1"/>
      <c r="B675" s="33"/>
      <c r="C675" s="33"/>
      <c r="D675" s="33"/>
      <c r="E675" s="33"/>
      <c r="F675" s="33"/>
      <c r="G675" s="33"/>
      <c r="H675" s="34"/>
      <c r="I675" s="55"/>
      <c r="J675" s="55"/>
      <c r="K675" s="33"/>
      <c r="L675" s="33"/>
      <c r="M675" s="6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</row>
    <row r="676" spans="1:31" ht="14.25" customHeight="1">
      <c r="A676" s="1"/>
      <c r="B676" s="33"/>
      <c r="C676" s="33"/>
      <c r="D676" s="33"/>
      <c r="E676" s="33"/>
      <c r="F676" s="33"/>
      <c r="G676" s="33"/>
      <c r="H676" s="34"/>
      <c r="I676" s="55"/>
      <c r="J676" s="55"/>
      <c r="K676" s="33"/>
      <c r="L676" s="33"/>
      <c r="M676" s="6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</row>
    <row r="677" spans="1:31" ht="14.25" customHeight="1">
      <c r="A677" s="1"/>
      <c r="B677" s="33"/>
      <c r="C677" s="33"/>
      <c r="D677" s="33"/>
      <c r="E677" s="33"/>
      <c r="F677" s="33"/>
      <c r="G677" s="33"/>
      <c r="H677" s="34"/>
      <c r="I677" s="55"/>
      <c r="J677" s="55"/>
      <c r="K677" s="33"/>
      <c r="L677" s="33"/>
      <c r="M677" s="6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</row>
    <row r="678" spans="1:31" ht="14.25" customHeight="1">
      <c r="A678" s="1"/>
      <c r="B678" s="33"/>
      <c r="C678" s="33"/>
      <c r="D678" s="33"/>
      <c r="E678" s="33"/>
      <c r="F678" s="33"/>
      <c r="G678" s="33"/>
      <c r="H678" s="34"/>
      <c r="I678" s="55"/>
      <c r="J678" s="55"/>
      <c r="K678" s="33"/>
      <c r="L678" s="33"/>
      <c r="M678" s="6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</row>
    <row r="679" spans="1:31" ht="14.25" customHeight="1">
      <c r="A679" s="1"/>
      <c r="B679" s="33"/>
      <c r="C679" s="33"/>
      <c r="D679" s="33"/>
      <c r="E679" s="33"/>
      <c r="F679" s="33"/>
      <c r="G679" s="33"/>
      <c r="H679" s="34"/>
      <c r="I679" s="55"/>
      <c r="J679" s="55"/>
      <c r="K679" s="33"/>
      <c r="L679" s="33"/>
      <c r="M679" s="6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</row>
    <row r="680" spans="1:31" ht="14.25" customHeight="1">
      <c r="A680" s="1"/>
      <c r="B680" s="33"/>
      <c r="C680" s="33"/>
      <c r="D680" s="33"/>
      <c r="E680" s="33"/>
      <c r="F680" s="33"/>
      <c r="G680" s="33"/>
      <c r="H680" s="34"/>
      <c r="I680" s="55"/>
      <c r="J680" s="55"/>
      <c r="K680" s="33"/>
      <c r="L680" s="33"/>
      <c r="M680" s="6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</row>
    <row r="681" spans="1:31" ht="14.25" customHeight="1">
      <c r="A681" s="1"/>
      <c r="B681" s="33"/>
      <c r="C681" s="33"/>
      <c r="D681" s="33"/>
      <c r="E681" s="33"/>
      <c r="F681" s="33"/>
      <c r="G681" s="33"/>
      <c r="H681" s="34"/>
      <c r="I681" s="55"/>
      <c r="J681" s="55"/>
      <c r="K681" s="33"/>
      <c r="L681" s="33"/>
      <c r="M681" s="6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</row>
    <row r="682" spans="1:31" ht="14.25" customHeight="1">
      <c r="A682" s="1"/>
      <c r="B682" s="33"/>
      <c r="C682" s="33"/>
      <c r="D682" s="33"/>
      <c r="E682" s="33"/>
      <c r="F682" s="33"/>
      <c r="G682" s="33"/>
      <c r="H682" s="34"/>
      <c r="I682" s="55"/>
      <c r="J682" s="55"/>
      <c r="K682" s="33"/>
      <c r="L682" s="33"/>
      <c r="M682" s="6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</row>
    <row r="683" spans="1:31" ht="14.25" customHeight="1">
      <c r="A683" s="1"/>
      <c r="B683" s="33"/>
      <c r="C683" s="33"/>
      <c r="D683" s="33"/>
      <c r="E683" s="33"/>
      <c r="F683" s="33"/>
      <c r="G683" s="33"/>
      <c r="H683" s="34"/>
      <c r="I683" s="55"/>
      <c r="J683" s="55"/>
      <c r="K683" s="33"/>
      <c r="L683" s="33"/>
      <c r="M683" s="6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</row>
    <row r="684" spans="1:31" ht="14.25" customHeight="1">
      <c r="A684" s="1"/>
      <c r="B684" s="33"/>
      <c r="C684" s="33"/>
      <c r="D684" s="33"/>
      <c r="E684" s="33"/>
      <c r="F684" s="33"/>
      <c r="G684" s="33"/>
      <c r="H684" s="34"/>
      <c r="I684" s="55"/>
      <c r="J684" s="55"/>
      <c r="K684" s="33"/>
      <c r="L684" s="33"/>
      <c r="M684" s="6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</row>
    <row r="685" spans="1:31" ht="14.25" customHeight="1">
      <c r="A685" s="1"/>
      <c r="B685" s="33"/>
      <c r="C685" s="33"/>
      <c r="D685" s="33"/>
      <c r="E685" s="33"/>
      <c r="F685" s="33"/>
      <c r="G685" s="33"/>
      <c r="H685" s="34"/>
      <c r="I685" s="55"/>
      <c r="J685" s="55"/>
      <c r="K685" s="33"/>
      <c r="L685" s="33"/>
      <c r="M685" s="6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</row>
    <row r="686" spans="1:31" ht="14.25" customHeight="1">
      <c r="A686" s="1"/>
      <c r="B686" s="33"/>
      <c r="C686" s="33"/>
      <c r="D686" s="33"/>
      <c r="E686" s="33"/>
      <c r="F686" s="33"/>
      <c r="G686" s="33"/>
      <c r="H686" s="34"/>
      <c r="I686" s="55"/>
      <c r="J686" s="55"/>
      <c r="K686" s="33"/>
      <c r="L686" s="33"/>
      <c r="M686" s="6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</row>
    <row r="687" spans="1:31" ht="14.25" customHeight="1">
      <c r="A687" s="1"/>
      <c r="B687" s="33"/>
      <c r="C687" s="33"/>
      <c r="D687" s="33"/>
      <c r="E687" s="33"/>
      <c r="F687" s="33"/>
      <c r="G687" s="33"/>
      <c r="H687" s="34"/>
      <c r="I687" s="55"/>
      <c r="J687" s="55"/>
      <c r="K687" s="33"/>
      <c r="L687" s="33"/>
      <c r="M687" s="6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</row>
    <row r="688" spans="1:31" ht="14.25" customHeight="1">
      <c r="A688" s="1"/>
      <c r="B688" s="33"/>
      <c r="C688" s="33"/>
      <c r="D688" s="33"/>
      <c r="E688" s="33"/>
      <c r="F688" s="33"/>
      <c r="G688" s="33"/>
      <c r="H688" s="34"/>
      <c r="I688" s="55"/>
      <c r="J688" s="55"/>
      <c r="K688" s="33"/>
      <c r="L688" s="33"/>
      <c r="M688" s="6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</row>
    <row r="689" spans="1:31" ht="14.25" customHeight="1">
      <c r="A689" s="1"/>
      <c r="B689" s="33"/>
      <c r="C689" s="33"/>
      <c r="D689" s="33"/>
      <c r="E689" s="33"/>
      <c r="F689" s="33"/>
      <c r="G689" s="33"/>
      <c r="H689" s="34"/>
      <c r="I689" s="55"/>
      <c r="J689" s="55"/>
      <c r="K689" s="33"/>
      <c r="L689" s="33"/>
      <c r="M689" s="6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</row>
    <row r="690" spans="1:31" ht="14.25" customHeight="1">
      <c r="A690" s="1"/>
      <c r="B690" s="33"/>
      <c r="C690" s="33"/>
      <c r="D690" s="33"/>
      <c r="E690" s="33"/>
      <c r="F690" s="33"/>
      <c r="G690" s="33"/>
      <c r="H690" s="34"/>
      <c r="I690" s="55"/>
      <c r="J690" s="55"/>
      <c r="K690" s="33"/>
      <c r="L690" s="33"/>
      <c r="M690" s="6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</row>
    <row r="691" spans="1:31" ht="14.25" customHeight="1">
      <c r="A691" s="1"/>
      <c r="B691" s="33"/>
      <c r="C691" s="33"/>
      <c r="D691" s="33"/>
      <c r="E691" s="33"/>
      <c r="F691" s="33"/>
      <c r="G691" s="33"/>
      <c r="H691" s="34"/>
      <c r="I691" s="55"/>
      <c r="J691" s="55"/>
      <c r="K691" s="33"/>
      <c r="L691" s="33"/>
      <c r="M691" s="6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</row>
    <row r="692" spans="1:31" ht="14.25" customHeight="1">
      <c r="A692" s="1"/>
      <c r="B692" s="33"/>
      <c r="C692" s="33"/>
      <c r="D692" s="33"/>
      <c r="E692" s="33"/>
      <c r="F692" s="33"/>
      <c r="G692" s="33"/>
      <c r="H692" s="34"/>
      <c r="I692" s="55"/>
      <c r="J692" s="55"/>
      <c r="K692" s="33"/>
      <c r="L692" s="33"/>
      <c r="M692" s="6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</row>
    <row r="693" spans="1:31" ht="14.25" customHeight="1">
      <c r="A693" s="1"/>
      <c r="B693" s="33"/>
      <c r="C693" s="33"/>
      <c r="D693" s="33"/>
      <c r="E693" s="33"/>
      <c r="F693" s="33"/>
      <c r="G693" s="33"/>
      <c r="H693" s="34"/>
      <c r="I693" s="55"/>
      <c r="J693" s="55"/>
      <c r="K693" s="33"/>
      <c r="L693" s="33"/>
      <c r="M693" s="6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</row>
    <row r="694" spans="1:31" ht="14.25" customHeight="1">
      <c r="A694" s="1"/>
      <c r="B694" s="33"/>
      <c r="C694" s="33"/>
      <c r="D694" s="33"/>
      <c r="E694" s="33"/>
      <c r="F694" s="33"/>
      <c r="G694" s="33"/>
      <c r="H694" s="34"/>
      <c r="I694" s="55"/>
      <c r="J694" s="55"/>
      <c r="K694" s="33"/>
      <c r="L694" s="33"/>
      <c r="M694" s="6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</row>
    <row r="695" spans="1:31" ht="14.25" customHeight="1">
      <c r="A695" s="1"/>
      <c r="B695" s="33"/>
      <c r="C695" s="33"/>
      <c r="D695" s="33"/>
      <c r="E695" s="33"/>
      <c r="F695" s="33"/>
      <c r="G695" s="33"/>
      <c r="H695" s="34"/>
      <c r="I695" s="55"/>
      <c r="J695" s="55"/>
      <c r="K695" s="33"/>
      <c r="L695" s="33"/>
      <c r="M695" s="6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</row>
    <row r="696" spans="1:31" ht="14.25" customHeight="1">
      <c r="A696" s="1"/>
      <c r="B696" s="33"/>
      <c r="C696" s="33"/>
      <c r="D696" s="33"/>
      <c r="E696" s="33"/>
      <c r="F696" s="33"/>
      <c r="G696" s="33"/>
      <c r="H696" s="34"/>
      <c r="I696" s="55"/>
      <c r="J696" s="55"/>
      <c r="K696" s="33"/>
      <c r="L696" s="33"/>
      <c r="M696" s="6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</row>
    <row r="697" spans="1:31" ht="14.25" customHeight="1">
      <c r="A697" s="1"/>
      <c r="B697" s="33"/>
      <c r="C697" s="33"/>
      <c r="D697" s="33"/>
      <c r="E697" s="33"/>
      <c r="F697" s="33"/>
      <c r="G697" s="33"/>
      <c r="H697" s="34"/>
      <c r="I697" s="55"/>
      <c r="J697" s="55"/>
      <c r="K697" s="33"/>
      <c r="L697" s="33"/>
      <c r="M697" s="6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</row>
    <row r="698" spans="1:31" ht="14.25" customHeight="1">
      <c r="A698" s="1"/>
      <c r="B698" s="33"/>
      <c r="C698" s="33"/>
      <c r="D698" s="33"/>
      <c r="E698" s="33"/>
      <c r="F698" s="33"/>
      <c r="G698" s="33"/>
      <c r="H698" s="34"/>
      <c r="I698" s="55"/>
      <c r="J698" s="55"/>
      <c r="K698" s="33"/>
      <c r="L698" s="33"/>
      <c r="M698" s="6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</row>
    <row r="699" spans="1:31" ht="14.25" customHeight="1">
      <c r="A699" s="1"/>
      <c r="B699" s="33"/>
      <c r="C699" s="33"/>
      <c r="D699" s="33"/>
      <c r="E699" s="33"/>
      <c r="F699" s="33"/>
      <c r="G699" s="33"/>
      <c r="H699" s="34"/>
      <c r="I699" s="55"/>
      <c r="J699" s="55"/>
      <c r="K699" s="33"/>
      <c r="L699" s="33"/>
      <c r="M699" s="6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</row>
    <row r="700" spans="1:31" ht="14.25" customHeight="1">
      <c r="A700" s="1"/>
      <c r="B700" s="33"/>
      <c r="C700" s="33"/>
      <c r="D700" s="33"/>
      <c r="E700" s="33"/>
      <c r="F700" s="33"/>
      <c r="G700" s="33"/>
      <c r="H700" s="34"/>
      <c r="I700" s="55"/>
      <c r="J700" s="55"/>
      <c r="K700" s="33"/>
      <c r="L700" s="33"/>
      <c r="M700" s="6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</row>
    <row r="701" spans="1:31" ht="14.25" customHeight="1">
      <c r="A701" s="1"/>
      <c r="B701" s="33"/>
      <c r="C701" s="33"/>
      <c r="D701" s="33"/>
      <c r="E701" s="33"/>
      <c r="F701" s="33"/>
      <c r="G701" s="33"/>
      <c r="H701" s="34"/>
      <c r="I701" s="55"/>
      <c r="J701" s="55"/>
      <c r="K701" s="33"/>
      <c r="L701" s="33"/>
      <c r="M701" s="6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</row>
    <row r="702" spans="1:31" ht="14.25" customHeight="1">
      <c r="A702" s="1"/>
      <c r="B702" s="33"/>
      <c r="C702" s="33"/>
      <c r="D702" s="33"/>
      <c r="E702" s="33"/>
      <c r="F702" s="33"/>
      <c r="G702" s="33"/>
      <c r="H702" s="34"/>
      <c r="I702" s="55"/>
      <c r="J702" s="55"/>
      <c r="K702" s="33"/>
      <c r="L702" s="33"/>
      <c r="M702" s="6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</row>
    <row r="703" spans="1:31" ht="14.25" customHeight="1">
      <c r="A703" s="1"/>
      <c r="B703" s="33"/>
      <c r="C703" s="33"/>
      <c r="D703" s="33"/>
      <c r="E703" s="33"/>
      <c r="F703" s="33"/>
      <c r="G703" s="33"/>
      <c r="H703" s="34"/>
      <c r="I703" s="55"/>
      <c r="J703" s="55"/>
      <c r="K703" s="33"/>
      <c r="L703" s="33"/>
      <c r="M703" s="6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</row>
    <row r="704" spans="1:31" ht="14.25" customHeight="1">
      <c r="A704" s="1"/>
      <c r="B704" s="33"/>
      <c r="C704" s="33"/>
      <c r="D704" s="33"/>
      <c r="E704" s="33"/>
      <c r="F704" s="33"/>
      <c r="G704" s="33"/>
      <c r="H704" s="34"/>
      <c r="I704" s="55"/>
      <c r="J704" s="55"/>
      <c r="K704" s="33"/>
      <c r="L704" s="33"/>
      <c r="M704" s="6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</row>
    <row r="705" spans="1:31" ht="14.25" customHeight="1">
      <c r="A705" s="1"/>
      <c r="B705" s="33"/>
      <c r="C705" s="33"/>
      <c r="D705" s="33"/>
      <c r="E705" s="33"/>
      <c r="F705" s="33"/>
      <c r="G705" s="33"/>
      <c r="H705" s="34"/>
      <c r="I705" s="55"/>
      <c r="J705" s="55"/>
      <c r="K705" s="33"/>
      <c r="L705" s="33"/>
      <c r="M705" s="6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</row>
    <row r="706" spans="1:31" ht="14.25" customHeight="1">
      <c r="A706" s="1"/>
      <c r="B706" s="33"/>
      <c r="C706" s="33"/>
      <c r="D706" s="33"/>
      <c r="E706" s="33"/>
      <c r="F706" s="33"/>
      <c r="G706" s="33"/>
      <c r="H706" s="34"/>
      <c r="I706" s="55"/>
      <c r="J706" s="55"/>
      <c r="K706" s="33"/>
      <c r="L706" s="33"/>
      <c r="M706" s="6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</row>
    <row r="707" spans="1:31" ht="14.25" customHeight="1">
      <c r="A707" s="1"/>
      <c r="B707" s="33"/>
      <c r="C707" s="33"/>
      <c r="D707" s="33"/>
      <c r="E707" s="33"/>
      <c r="F707" s="33"/>
      <c r="G707" s="33"/>
      <c r="H707" s="34"/>
      <c r="I707" s="55"/>
      <c r="J707" s="55"/>
      <c r="K707" s="33"/>
      <c r="L707" s="33"/>
      <c r="M707" s="6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</row>
    <row r="708" spans="1:31" ht="14.25" customHeight="1">
      <c r="A708" s="1"/>
      <c r="B708" s="33"/>
      <c r="C708" s="33"/>
      <c r="D708" s="33"/>
      <c r="E708" s="33"/>
      <c r="F708" s="33"/>
      <c r="G708" s="33"/>
      <c r="H708" s="34"/>
      <c r="I708" s="55"/>
      <c r="J708" s="55"/>
      <c r="K708" s="33"/>
      <c r="L708" s="33"/>
      <c r="M708" s="6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</row>
    <row r="709" spans="1:31" ht="14.25" customHeight="1">
      <c r="A709" s="1"/>
      <c r="B709" s="33"/>
      <c r="C709" s="33"/>
      <c r="D709" s="33"/>
      <c r="E709" s="33"/>
      <c r="F709" s="33"/>
      <c r="G709" s="33"/>
      <c r="H709" s="34"/>
      <c r="I709" s="55"/>
      <c r="J709" s="55"/>
      <c r="K709" s="33"/>
      <c r="L709" s="33"/>
      <c r="M709" s="6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</row>
    <row r="710" spans="1:31" ht="14.25" customHeight="1">
      <c r="A710" s="1"/>
      <c r="B710" s="33"/>
      <c r="C710" s="33"/>
      <c r="D710" s="33"/>
      <c r="E710" s="33"/>
      <c r="F710" s="33"/>
      <c r="G710" s="33"/>
      <c r="H710" s="34"/>
      <c r="I710" s="55"/>
      <c r="J710" s="55"/>
      <c r="K710" s="33"/>
      <c r="L710" s="33"/>
      <c r="M710" s="6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</row>
    <row r="711" spans="1:31" ht="14.25" customHeight="1">
      <c r="A711" s="1"/>
      <c r="B711" s="33"/>
      <c r="C711" s="33"/>
      <c r="D711" s="33"/>
      <c r="E711" s="33"/>
      <c r="F711" s="33"/>
      <c r="G711" s="33"/>
      <c r="H711" s="34"/>
      <c r="I711" s="55"/>
      <c r="J711" s="55"/>
      <c r="K711" s="33"/>
      <c r="L711" s="33"/>
      <c r="M711" s="6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</row>
    <row r="712" spans="1:31" ht="14.25" customHeight="1">
      <c r="A712" s="1"/>
      <c r="B712" s="33"/>
      <c r="C712" s="33"/>
      <c r="D712" s="33"/>
      <c r="E712" s="33"/>
      <c r="F712" s="33"/>
      <c r="G712" s="33"/>
      <c r="H712" s="34"/>
      <c r="I712" s="55"/>
      <c r="J712" s="55"/>
      <c r="K712" s="33"/>
      <c r="L712" s="33"/>
      <c r="M712" s="6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</row>
    <row r="713" spans="1:31" ht="14.25" customHeight="1">
      <c r="A713" s="1"/>
      <c r="B713" s="33"/>
      <c r="C713" s="33"/>
      <c r="D713" s="33"/>
      <c r="E713" s="33"/>
      <c r="F713" s="33"/>
      <c r="G713" s="33"/>
      <c r="H713" s="34"/>
      <c r="I713" s="55"/>
      <c r="J713" s="55"/>
      <c r="K713" s="33"/>
      <c r="L713" s="33"/>
      <c r="M713" s="6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</row>
    <row r="714" spans="1:31" ht="14.25" customHeight="1">
      <c r="A714" s="1"/>
      <c r="B714" s="33"/>
      <c r="C714" s="33"/>
      <c r="D714" s="33"/>
      <c r="E714" s="33"/>
      <c r="F714" s="33"/>
      <c r="G714" s="33"/>
      <c r="H714" s="34"/>
      <c r="I714" s="55"/>
      <c r="J714" s="55"/>
      <c r="K714" s="33"/>
      <c r="L714" s="33"/>
      <c r="M714" s="6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</row>
    <row r="715" spans="1:31" ht="14.25" customHeight="1">
      <c r="A715" s="1"/>
      <c r="B715" s="33"/>
      <c r="C715" s="33"/>
      <c r="D715" s="33"/>
      <c r="E715" s="33"/>
      <c r="F715" s="33"/>
      <c r="G715" s="33"/>
      <c r="H715" s="34"/>
      <c r="I715" s="55"/>
      <c r="J715" s="55"/>
      <c r="K715" s="33"/>
      <c r="L715" s="33"/>
      <c r="M715" s="6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</row>
    <row r="716" spans="1:31" ht="14.25" customHeight="1">
      <c r="A716" s="1"/>
      <c r="B716" s="33"/>
      <c r="C716" s="33"/>
      <c r="D716" s="33"/>
      <c r="E716" s="33"/>
      <c r="F716" s="33"/>
      <c r="G716" s="33"/>
      <c r="H716" s="34"/>
      <c r="I716" s="55"/>
      <c r="J716" s="55"/>
      <c r="K716" s="33"/>
      <c r="L716" s="33"/>
      <c r="M716" s="6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</row>
    <row r="717" spans="1:31" ht="14.25" customHeight="1">
      <c r="A717" s="1"/>
      <c r="B717" s="33"/>
      <c r="C717" s="33"/>
      <c r="D717" s="33"/>
      <c r="E717" s="33"/>
      <c r="F717" s="33"/>
      <c r="G717" s="33"/>
      <c r="H717" s="34"/>
      <c r="I717" s="55"/>
      <c r="J717" s="55"/>
      <c r="K717" s="33"/>
      <c r="L717" s="33"/>
      <c r="M717" s="6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</row>
    <row r="718" spans="1:31" ht="14.25" customHeight="1">
      <c r="A718" s="1"/>
      <c r="B718" s="33"/>
      <c r="C718" s="33"/>
      <c r="D718" s="33"/>
      <c r="E718" s="33"/>
      <c r="F718" s="33"/>
      <c r="G718" s="33"/>
      <c r="H718" s="34"/>
      <c r="I718" s="55"/>
      <c r="J718" s="55"/>
      <c r="K718" s="33"/>
      <c r="L718" s="33"/>
      <c r="M718" s="6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</row>
    <row r="719" spans="1:31" ht="14.25" customHeight="1">
      <c r="A719" s="1"/>
      <c r="B719" s="33"/>
      <c r="C719" s="33"/>
      <c r="D719" s="33"/>
      <c r="E719" s="33"/>
      <c r="F719" s="33"/>
      <c r="G719" s="33"/>
      <c r="H719" s="34"/>
      <c r="I719" s="55"/>
      <c r="J719" s="55"/>
      <c r="K719" s="33"/>
      <c r="L719" s="33"/>
      <c r="M719" s="6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</row>
    <row r="720" spans="1:31" ht="14.25" customHeight="1">
      <c r="A720" s="1"/>
      <c r="B720" s="33"/>
      <c r="C720" s="33"/>
      <c r="D720" s="33"/>
      <c r="E720" s="33"/>
      <c r="F720" s="33"/>
      <c r="G720" s="33"/>
      <c r="H720" s="34"/>
      <c r="I720" s="55"/>
      <c r="J720" s="55"/>
      <c r="K720" s="33"/>
      <c r="L720" s="33"/>
      <c r="M720" s="6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</row>
    <row r="721" spans="1:31" ht="14.25" customHeight="1">
      <c r="A721" s="1"/>
      <c r="B721" s="33"/>
      <c r="C721" s="33"/>
      <c r="D721" s="33"/>
      <c r="E721" s="33"/>
      <c r="F721" s="33"/>
      <c r="G721" s="33"/>
      <c r="H721" s="34"/>
      <c r="I721" s="55"/>
      <c r="J721" s="55"/>
      <c r="K721" s="33"/>
      <c r="L721" s="33"/>
      <c r="M721" s="6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</row>
    <row r="722" spans="1:31" ht="14.25" customHeight="1">
      <c r="A722" s="1"/>
      <c r="B722" s="33"/>
      <c r="C722" s="33"/>
      <c r="D722" s="33"/>
      <c r="E722" s="33"/>
      <c r="F722" s="33"/>
      <c r="G722" s="33"/>
      <c r="H722" s="34"/>
      <c r="I722" s="55"/>
      <c r="J722" s="55"/>
      <c r="K722" s="33"/>
      <c r="L722" s="33"/>
      <c r="M722" s="6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</row>
    <row r="723" spans="1:31" ht="14.25" customHeight="1">
      <c r="A723" s="1"/>
      <c r="B723" s="33"/>
      <c r="C723" s="33"/>
      <c r="D723" s="33"/>
      <c r="E723" s="33"/>
      <c r="F723" s="33"/>
      <c r="G723" s="33"/>
      <c r="H723" s="34"/>
      <c r="I723" s="55"/>
      <c r="J723" s="55"/>
      <c r="K723" s="33"/>
      <c r="L723" s="33"/>
      <c r="M723" s="6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</row>
    <row r="724" spans="1:31" ht="14.25" customHeight="1">
      <c r="A724" s="1"/>
      <c r="B724" s="33"/>
      <c r="C724" s="33"/>
      <c r="D724" s="33"/>
      <c r="E724" s="33"/>
      <c r="F724" s="33"/>
      <c r="G724" s="33"/>
      <c r="H724" s="34"/>
      <c r="I724" s="55"/>
      <c r="J724" s="55"/>
      <c r="K724" s="33"/>
      <c r="L724" s="33"/>
      <c r="M724" s="6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</row>
    <row r="725" spans="1:31" ht="14.25" customHeight="1">
      <c r="A725" s="1"/>
      <c r="B725" s="33"/>
      <c r="C725" s="33"/>
      <c r="D725" s="33"/>
      <c r="E725" s="33"/>
      <c r="F725" s="33"/>
      <c r="G725" s="33"/>
      <c r="H725" s="34"/>
      <c r="I725" s="55"/>
      <c r="J725" s="55"/>
      <c r="K725" s="33"/>
      <c r="L725" s="33"/>
      <c r="M725" s="6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</row>
    <row r="726" spans="1:31" ht="14.25" customHeight="1">
      <c r="A726" s="1"/>
      <c r="B726" s="33"/>
      <c r="C726" s="33"/>
      <c r="D726" s="33"/>
      <c r="E726" s="33"/>
      <c r="F726" s="33"/>
      <c r="G726" s="33"/>
      <c r="H726" s="34"/>
      <c r="I726" s="55"/>
      <c r="J726" s="55"/>
      <c r="K726" s="33"/>
      <c r="L726" s="33"/>
      <c r="M726" s="6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</row>
    <row r="727" spans="1:31" ht="14.25" customHeight="1">
      <c r="A727" s="1"/>
      <c r="B727" s="33"/>
      <c r="C727" s="33"/>
      <c r="D727" s="33"/>
      <c r="E727" s="33"/>
      <c r="F727" s="33"/>
      <c r="G727" s="33"/>
      <c r="H727" s="34"/>
      <c r="I727" s="55"/>
      <c r="J727" s="55"/>
      <c r="K727" s="33"/>
      <c r="L727" s="33"/>
      <c r="M727" s="6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</row>
    <row r="728" spans="1:31" ht="14.25" customHeight="1">
      <c r="A728" s="1"/>
      <c r="B728" s="33"/>
      <c r="C728" s="33"/>
      <c r="D728" s="33"/>
      <c r="E728" s="33"/>
      <c r="F728" s="33"/>
      <c r="G728" s="33"/>
      <c r="H728" s="34"/>
      <c r="I728" s="55"/>
      <c r="J728" s="55"/>
      <c r="K728" s="33"/>
      <c r="L728" s="33"/>
      <c r="M728" s="6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</row>
    <row r="729" spans="1:31" ht="14.25" customHeight="1">
      <c r="A729" s="1"/>
      <c r="B729" s="33"/>
      <c r="C729" s="33"/>
      <c r="D729" s="33"/>
      <c r="E729" s="33"/>
      <c r="F729" s="33"/>
      <c r="G729" s="33"/>
      <c r="H729" s="34"/>
      <c r="I729" s="55"/>
      <c r="J729" s="55"/>
      <c r="K729" s="33"/>
      <c r="L729" s="33"/>
      <c r="M729" s="6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</row>
    <row r="730" spans="1:31" ht="14.25" customHeight="1">
      <c r="A730" s="1"/>
      <c r="B730" s="33"/>
      <c r="C730" s="33"/>
      <c r="D730" s="33"/>
      <c r="E730" s="33"/>
      <c r="F730" s="33"/>
      <c r="G730" s="33"/>
      <c r="H730" s="34"/>
      <c r="I730" s="55"/>
      <c r="J730" s="55"/>
      <c r="K730" s="33"/>
      <c r="L730" s="33"/>
      <c r="M730" s="6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</row>
    <row r="731" spans="1:31" ht="14.25" customHeight="1">
      <c r="A731" s="1"/>
      <c r="B731" s="33"/>
      <c r="C731" s="33"/>
      <c r="D731" s="33"/>
      <c r="E731" s="33"/>
      <c r="F731" s="33"/>
      <c r="G731" s="33"/>
      <c r="H731" s="34"/>
      <c r="I731" s="55"/>
      <c r="J731" s="55"/>
      <c r="K731" s="33"/>
      <c r="L731" s="33"/>
      <c r="M731" s="6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</row>
    <row r="732" spans="1:31" ht="14.25" customHeight="1">
      <c r="A732" s="1"/>
      <c r="B732" s="33"/>
      <c r="C732" s="33"/>
      <c r="D732" s="33"/>
      <c r="E732" s="33"/>
      <c r="F732" s="33"/>
      <c r="G732" s="33"/>
      <c r="H732" s="34"/>
      <c r="I732" s="55"/>
      <c r="J732" s="55"/>
      <c r="K732" s="33"/>
      <c r="L732" s="33"/>
      <c r="M732" s="6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</row>
    <row r="733" spans="1:31" ht="14.25" customHeight="1">
      <c r="A733" s="1"/>
      <c r="B733" s="33"/>
      <c r="C733" s="33"/>
      <c r="D733" s="33"/>
      <c r="E733" s="33"/>
      <c r="F733" s="33"/>
      <c r="G733" s="33"/>
      <c r="H733" s="34"/>
      <c r="I733" s="55"/>
      <c r="J733" s="55"/>
      <c r="K733" s="33"/>
      <c r="L733" s="33"/>
      <c r="M733" s="6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</row>
    <row r="734" spans="1:31" ht="14.25" customHeight="1">
      <c r="A734" s="1"/>
      <c r="B734" s="33"/>
      <c r="C734" s="33"/>
      <c r="D734" s="33"/>
      <c r="E734" s="33"/>
      <c r="F734" s="33"/>
      <c r="G734" s="33"/>
      <c r="H734" s="34"/>
      <c r="I734" s="55"/>
      <c r="J734" s="55"/>
      <c r="K734" s="33"/>
      <c r="L734" s="33"/>
      <c r="M734" s="6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</row>
    <row r="735" spans="1:31" ht="14.25" customHeight="1">
      <c r="A735" s="1"/>
      <c r="B735" s="33"/>
      <c r="C735" s="33"/>
      <c r="D735" s="33"/>
      <c r="E735" s="33"/>
      <c r="F735" s="33"/>
      <c r="G735" s="33"/>
      <c r="H735" s="34"/>
      <c r="I735" s="55"/>
      <c r="J735" s="55"/>
      <c r="K735" s="33"/>
      <c r="L735" s="33"/>
      <c r="M735" s="6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</row>
    <row r="736" spans="1:31" ht="14.25" customHeight="1">
      <c r="A736" s="1"/>
      <c r="B736" s="33"/>
      <c r="C736" s="33"/>
      <c r="D736" s="33"/>
      <c r="E736" s="33"/>
      <c r="F736" s="33"/>
      <c r="G736" s="33"/>
      <c r="H736" s="34"/>
      <c r="I736" s="55"/>
      <c r="J736" s="55"/>
      <c r="K736" s="33"/>
      <c r="L736" s="33"/>
      <c r="M736" s="6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</row>
    <row r="737" spans="1:31" ht="14.25" customHeight="1">
      <c r="A737" s="1"/>
      <c r="B737" s="33"/>
      <c r="C737" s="33"/>
      <c r="D737" s="33"/>
      <c r="E737" s="33"/>
      <c r="F737" s="33"/>
      <c r="G737" s="33"/>
      <c r="H737" s="34"/>
      <c r="I737" s="55"/>
      <c r="J737" s="55"/>
      <c r="K737" s="33"/>
      <c r="L737" s="33"/>
      <c r="M737" s="6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</row>
    <row r="738" spans="1:31" ht="14.25" customHeight="1">
      <c r="A738" s="1"/>
      <c r="B738" s="33"/>
      <c r="C738" s="33"/>
      <c r="D738" s="33"/>
      <c r="E738" s="33"/>
      <c r="F738" s="33"/>
      <c r="G738" s="33"/>
      <c r="H738" s="34"/>
      <c r="I738" s="55"/>
      <c r="J738" s="55"/>
      <c r="K738" s="33"/>
      <c r="L738" s="33"/>
      <c r="M738" s="6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</row>
    <row r="739" spans="1:31" ht="14.25" customHeight="1">
      <c r="A739" s="1"/>
      <c r="B739" s="33"/>
      <c r="C739" s="33"/>
      <c r="D739" s="33"/>
      <c r="E739" s="33"/>
      <c r="F739" s="33"/>
      <c r="G739" s="33"/>
      <c r="H739" s="34"/>
      <c r="I739" s="55"/>
      <c r="J739" s="55"/>
      <c r="K739" s="33"/>
      <c r="L739" s="33"/>
      <c r="M739" s="6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</row>
    <row r="740" spans="1:31" ht="14.25" customHeight="1">
      <c r="A740" s="1"/>
      <c r="B740" s="33"/>
      <c r="C740" s="33"/>
      <c r="D740" s="33"/>
      <c r="E740" s="33"/>
      <c r="F740" s="33"/>
      <c r="G740" s="33"/>
      <c r="H740" s="34"/>
      <c r="I740" s="55"/>
      <c r="J740" s="55"/>
      <c r="K740" s="33"/>
      <c r="L740" s="33"/>
      <c r="M740" s="6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</row>
    <row r="741" spans="1:31" ht="14.25" customHeight="1">
      <c r="A741" s="1"/>
      <c r="B741" s="33"/>
      <c r="C741" s="33"/>
      <c r="D741" s="33"/>
      <c r="E741" s="33"/>
      <c r="F741" s="33"/>
      <c r="G741" s="33"/>
      <c r="H741" s="34"/>
      <c r="I741" s="55"/>
      <c r="J741" s="55"/>
      <c r="K741" s="33"/>
      <c r="L741" s="33"/>
      <c r="M741" s="6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</row>
    <row r="742" spans="1:31" ht="14.25" customHeight="1">
      <c r="A742" s="1"/>
      <c r="B742" s="33"/>
      <c r="C742" s="33"/>
      <c r="D742" s="33"/>
      <c r="E742" s="33"/>
      <c r="F742" s="33"/>
      <c r="G742" s="33"/>
      <c r="H742" s="34"/>
      <c r="I742" s="55"/>
      <c r="J742" s="55"/>
      <c r="K742" s="33"/>
      <c r="L742" s="33"/>
      <c r="M742" s="6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</row>
    <row r="743" spans="1:31" ht="14.25" customHeight="1">
      <c r="A743" s="1"/>
      <c r="B743" s="33"/>
      <c r="C743" s="33"/>
      <c r="D743" s="33"/>
      <c r="E743" s="33"/>
      <c r="F743" s="33"/>
      <c r="G743" s="33"/>
      <c r="H743" s="34"/>
      <c r="I743" s="55"/>
      <c r="J743" s="55"/>
      <c r="K743" s="33"/>
      <c r="L743" s="33"/>
      <c r="M743" s="6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</row>
    <row r="744" spans="1:31" ht="14.25" customHeight="1">
      <c r="A744" s="1"/>
      <c r="B744" s="33"/>
      <c r="C744" s="33"/>
      <c r="D744" s="33"/>
      <c r="E744" s="33"/>
      <c r="F744" s="33"/>
      <c r="G744" s="33"/>
      <c r="H744" s="34"/>
      <c r="I744" s="55"/>
      <c r="J744" s="55"/>
      <c r="K744" s="33"/>
      <c r="L744" s="33"/>
      <c r="M744" s="6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</row>
    <row r="745" spans="1:31" ht="14.25" customHeight="1">
      <c r="A745" s="1"/>
      <c r="B745" s="33"/>
      <c r="C745" s="33"/>
      <c r="D745" s="33"/>
      <c r="E745" s="33"/>
      <c r="F745" s="33"/>
      <c r="G745" s="33"/>
      <c r="H745" s="34"/>
      <c r="I745" s="55"/>
      <c r="J745" s="55"/>
      <c r="K745" s="33"/>
      <c r="L745" s="33"/>
      <c r="M745" s="6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</row>
    <row r="746" spans="1:31" ht="14.25" customHeight="1">
      <c r="A746" s="1"/>
      <c r="B746" s="33"/>
      <c r="C746" s="33"/>
      <c r="D746" s="33"/>
      <c r="E746" s="33"/>
      <c r="F746" s="33"/>
      <c r="G746" s="33"/>
      <c r="H746" s="34"/>
      <c r="I746" s="55"/>
      <c r="J746" s="55"/>
      <c r="K746" s="33"/>
      <c r="L746" s="33"/>
      <c r="M746" s="6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</row>
    <row r="747" spans="1:31" ht="14.25" customHeight="1">
      <c r="A747" s="1"/>
      <c r="B747" s="33"/>
      <c r="C747" s="33"/>
      <c r="D747" s="33"/>
      <c r="E747" s="33"/>
      <c r="F747" s="33"/>
      <c r="G747" s="33"/>
      <c r="H747" s="34"/>
      <c r="I747" s="55"/>
      <c r="J747" s="55"/>
      <c r="K747" s="33"/>
      <c r="L747" s="33"/>
      <c r="M747" s="6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</row>
    <row r="748" spans="1:31" ht="14.25" customHeight="1">
      <c r="A748" s="1"/>
      <c r="B748" s="33"/>
      <c r="C748" s="33"/>
      <c r="D748" s="33"/>
      <c r="E748" s="33"/>
      <c r="F748" s="33"/>
      <c r="G748" s="33"/>
      <c r="H748" s="34"/>
      <c r="I748" s="55"/>
      <c r="J748" s="55"/>
      <c r="K748" s="33"/>
      <c r="L748" s="33"/>
      <c r="M748" s="6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</row>
    <row r="749" spans="1:31" ht="14.25" customHeight="1">
      <c r="A749" s="1"/>
      <c r="B749" s="33"/>
      <c r="C749" s="33"/>
      <c r="D749" s="33"/>
      <c r="E749" s="33"/>
      <c r="F749" s="33"/>
      <c r="G749" s="33"/>
      <c r="H749" s="34"/>
      <c r="I749" s="55"/>
      <c r="J749" s="55"/>
      <c r="K749" s="33"/>
      <c r="L749" s="33"/>
      <c r="M749" s="6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</row>
    <row r="750" spans="1:31" ht="14.25" customHeight="1">
      <c r="A750" s="1"/>
      <c r="B750" s="33"/>
      <c r="C750" s="33"/>
      <c r="D750" s="33"/>
      <c r="E750" s="33"/>
      <c r="F750" s="33"/>
      <c r="G750" s="33"/>
      <c r="H750" s="34"/>
      <c r="I750" s="55"/>
      <c r="J750" s="55"/>
      <c r="K750" s="33"/>
      <c r="L750" s="33"/>
      <c r="M750" s="6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</row>
    <row r="751" spans="1:31" ht="14.25" customHeight="1">
      <c r="A751" s="1"/>
      <c r="B751" s="33"/>
      <c r="C751" s="33"/>
      <c r="D751" s="33"/>
      <c r="E751" s="33"/>
      <c r="F751" s="33"/>
      <c r="G751" s="33"/>
      <c r="H751" s="34"/>
      <c r="I751" s="55"/>
      <c r="J751" s="55"/>
      <c r="K751" s="33"/>
      <c r="L751" s="33"/>
      <c r="M751" s="6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</row>
    <row r="752" spans="1:31" ht="14.25" customHeight="1">
      <c r="A752" s="1"/>
      <c r="B752" s="33"/>
      <c r="C752" s="33"/>
      <c r="D752" s="33"/>
      <c r="E752" s="33"/>
      <c r="F752" s="33"/>
      <c r="G752" s="33"/>
      <c r="H752" s="34"/>
      <c r="I752" s="55"/>
      <c r="J752" s="55"/>
      <c r="K752" s="33"/>
      <c r="L752" s="33"/>
      <c r="M752" s="6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</row>
    <row r="753" spans="1:31" ht="14.25" customHeight="1">
      <c r="A753" s="1"/>
      <c r="B753" s="33"/>
      <c r="C753" s="33"/>
      <c r="D753" s="33"/>
      <c r="E753" s="33"/>
      <c r="F753" s="33"/>
      <c r="G753" s="33"/>
      <c r="H753" s="34"/>
      <c r="I753" s="55"/>
      <c r="J753" s="55"/>
      <c r="K753" s="33"/>
      <c r="L753" s="33"/>
      <c r="M753" s="6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</row>
    <row r="754" spans="1:31" ht="14.25" customHeight="1">
      <c r="A754" s="1"/>
      <c r="B754" s="33"/>
      <c r="C754" s="33"/>
      <c r="D754" s="33"/>
      <c r="E754" s="33"/>
      <c r="F754" s="33"/>
      <c r="G754" s="33"/>
      <c r="H754" s="34"/>
      <c r="I754" s="55"/>
      <c r="J754" s="55"/>
      <c r="K754" s="33"/>
      <c r="L754" s="33"/>
      <c r="M754" s="6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</row>
    <row r="755" spans="1:31" ht="14.25" customHeight="1">
      <c r="A755" s="1"/>
      <c r="B755" s="33"/>
      <c r="C755" s="33"/>
      <c r="D755" s="33"/>
      <c r="E755" s="33"/>
      <c r="F755" s="33"/>
      <c r="G755" s="33"/>
      <c r="H755" s="34"/>
      <c r="I755" s="55"/>
      <c r="J755" s="55"/>
      <c r="K755" s="33"/>
      <c r="L755" s="33"/>
      <c r="M755" s="6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</row>
    <row r="756" spans="1:31" ht="14.25" customHeight="1">
      <c r="A756" s="1"/>
      <c r="B756" s="33"/>
      <c r="C756" s="33"/>
      <c r="D756" s="33"/>
      <c r="E756" s="33"/>
      <c r="F756" s="33"/>
      <c r="G756" s="33"/>
      <c r="H756" s="34"/>
      <c r="I756" s="55"/>
      <c r="J756" s="55"/>
      <c r="K756" s="33"/>
      <c r="L756" s="33"/>
      <c r="M756" s="6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</row>
    <row r="757" spans="1:31" ht="14.25" customHeight="1">
      <c r="A757" s="1"/>
      <c r="B757" s="33"/>
      <c r="C757" s="33"/>
      <c r="D757" s="33"/>
      <c r="E757" s="33"/>
      <c r="F757" s="33"/>
      <c r="G757" s="33"/>
      <c r="H757" s="34"/>
      <c r="I757" s="55"/>
      <c r="J757" s="55"/>
      <c r="K757" s="33"/>
      <c r="L757" s="33"/>
      <c r="M757" s="6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</row>
    <row r="758" spans="1:31" ht="14.25" customHeight="1">
      <c r="A758" s="1"/>
      <c r="B758" s="33"/>
      <c r="C758" s="33"/>
      <c r="D758" s="33"/>
      <c r="E758" s="33"/>
      <c r="F758" s="33"/>
      <c r="G758" s="33"/>
      <c r="H758" s="34"/>
      <c r="I758" s="55"/>
      <c r="J758" s="55"/>
      <c r="K758" s="33"/>
      <c r="L758" s="33"/>
      <c r="M758" s="6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</row>
    <row r="759" spans="1:31" ht="14.25" customHeight="1">
      <c r="A759" s="1"/>
      <c r="B759" s="33"/>
      <c r="C759" s="33"/>
      <c r="D759" s="33"/>
      <c r="E759" s="33"/>
      <c r="F759" s="33"/>
      <c r="G759" s="33"/>
      <c r="H759" s="34"/>
      <c r="I759" s="55"/>
      <c r="J759" s="55"/>
      <c r="K759" s="33"/>
      <c r="L759" s="33"/>
      <c r="M759" s="6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</row>
    <row r="760" spans="1:31" ht="14.25" customHeight="1">
      <c r="A760" s="1"/>
      <c r="B760" s="33"/>
      <c r="C760" s="33"/>
      <c r="D760" s="33"/>
      <c r="E760" s="33"/>
      <c r="F760" s="33"/>
      <c r="G760" s="33"/>
      <c r="H760" s="34"/>
      <c r="I760" s="55"/>
      <c r="J760" s="55"/>
      <c r="K760" s="33"/>
      <c r="L760" s="33"/>
      <c r="M760" s="6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</row>
    <row r="761" spans="1:31" ht="14.25" customHeight="1">
      <c r="A761" s="1"/>
      <c r="B761" s="33"/>
      <c r="C761" s="33"/>
      <c r="D761" s="33"/>
      <c r="E761" s="33"/>
      <c r="F761" s="33"/>
      <c r="G761" s="33"/>
      <c r="H761" s="34"/>
      <c r="I761" s="55"/>
      <c r="J761" s="55"/>
      <c r="K761" s="33"/>
      <c r="L761" s="33"/>
      <c r="M761" s="6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</row>
    <row r="762" spans="1:31" ht="14.25" customHeight="1">
      <c r="A762" s="1"/>
      <c r="B762" s="33"/>
      <c r="C762" s="33"/>
      <c r="D762" s="33"/>
      <c r="E762" s="33"/>
      <c r="F762" s="33"/>
      <c r="G762" s="33"/>
      <c r="H762" s="34"/>
      <c r="I762" s="55"/>
      <c r="J762" s="55"/>
      <c r="K762" s="33"/>
      <c r="L762" s="33"/>
      <c r="M762" s="6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</row>
    <row r="763" spans="1:31" ht="14.25" customHeight="1">
      <c r="A763" s="1"/>
      <c r="B763" s="33"/>
      <c r="C763" s="33"/>
      <c r="D763" s="33"/>
      <c r="E763" s="33"/>
      <c r="F763" s="33"/>
      <c r="G763" s="33"/>
      <c r="H763" s="34"/>
      <c r="I763" s="55"/>
      <c r="J763" s="55"/>
      <c r="K763" s="33"/>
      <c r="L763" s="33"/>
      <c r="M763" s="6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</row>
    <row r="764" spans="1:31" ht="14.25" customHeight="1">
      <c r="A764" s="1"/>
      <c r="B764" s="33"/>
      <c r="C764" s="33"/>
      <c r="D764" s="33"/>
      <c r="E764" s="33"/>
      <c r="F764" s="33"/>
      <c r="G764" s="33"/>
      <c r="H764" s="34"/>
      <c r="I764" s="55"/>
      <c r="J764" s="55"/>
      <c r="K764" s="33"/>
      <c r="L764" s="33"/>
      <c r="M764" s="6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</row>
    <row r="765" spans="1:31" ht="14.25" customHeight="1">
      <c r="A765" s="1"/>
      <c r="B765" s="33"/>
      <c r="C765" s="33"/>
      <c r="D765" s="33"/>
      <c r="E765" s="33"/>
      <c r="F765" s="33"/>
      <c r="G765" s="33"/>
      <c r="H765" s="34"/>
      <c r="I765" s="55"/>
      <c r="J765" s="55"/>
      <c r="K765" s="33"/>
      <c r="L765" s="33"/>
      <c r="M765" s="6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</row>
    <row r="766" spans="1:31" ht="14.25" customHeight="1">
      <c r="A766" s="1"/>
      <c r="B766" s="33"/>
      <c r="C766" s="33"/>
      <c r="D766" s="33"/>
      <c r="E766" s="33"/>
      <c r="F766" s="33"/>
      <c r="G766" s="33"/>
      <c r="H766" s="34"/>
      <c r="I766" s="55"/>
      <c r="J766" s="55"/>
      <c r="K766" s="33"/>
      <c r="L766" s="33"/>
      <c r="M766" s="6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</row>
    <row r="767" spans="1:31" ht="14.25" customHeight="1">
      <c r="A767" s="1"/>
      <c r="B767" s="33"/>
      <c r="C767" s="33"/>
      <c r="D767" s="33"/>
      <c r="E767" s="33"/>
      <c r="F767" s="33"/>
      <c r="G767" s="33"/>
      <c r="H767" s="34"/>
      <c r="I767" s="55"/>
      <c r="J767" s="55"/>
      <c r="K767" s="33"/>
      <c r="L767" s="33"/>
      <c r="M767" s="6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</row>
    <row r="768" spans="1:31" ht="14.25" customHeight="1">
      <c r="A768" s="1"/>
      <c r="B768" s="33"/>
      <c r="C768" s="33"/>
      <c r="D768" s="33"/>
      <c r="E768" s="33"/>
      <c r="F768" s="33"/>
      <c r="G768" s="33"/>
      <c r="H768" s="34"/>
      <c r="I768" s="55"/>
      <c r="J768" s="55"/>
      <c r="K768" s="33"/>
      <c r="L768" s="33"/>
      <c r="M768" s="6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</row>
    <row r="769" spans="1:31" ht="14.25" customHeight="1">
      <c r="A769" s="1"/>
      <c r="B769" s="33"/>
      <c r="C769" s="33"/>
      <c r="D769" s="33"/>
      <c r="E769" s="33"/>
      <c r="F769" s="33"/>
      <c r="G769" s="33"/>
      <c r="H769" s="34"/>
      <c r="I769" s="55"/>
      <c r="J769" s="55"/>
      <c r="K769" s="33"/>
      <c r="L769" s="33"/>
      <c r="M769" s="6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</row>
    <row r="770" spans="1:31" ht="14.25" customHeight="1">
      <c r="A770" s="1"/>
      <c r="B770" s="33"/>
      <c r="C770" s="33"/>
      <c r="D770" s="33"/>
      <c r="E770" s="33"/>
      <c r="F770" s="33"/>
      <c r="G770" s="33"/>
      <c r="H770" s="34"/>
      <c r="I770" s="55"/>
      <c r="J770" s="55"/>
      <c r="K770" s="33"/>
      <c r="L770" s="33"/>
      <c r="M770" s="6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</row>
    <row r="771" spans="1:31" ht="14.25" customHeight="1">
      <c r="A771" s="1"/>
      <c r="B771" s="33"/>
      <c r="C771" s="33"/>
      <c r="D771" s="33"/>
      <c r="E771" s="33"/>
      <c r="F771" s="33"/>
      <c r="G771" s="33"/>
      <c r="H771" s="34"/>
      <c r="I771" s="55"/>
      <c r="J771" s="55"/>
      <c r="K771" s="33"/>
      <c r="L771" s="33"/>
      <c r="M771" s="6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</row>
    <row r="772" spans="1:31" ht="14.25" customHeight="1">
      <c r="A772" s="1"/>
      <c r="B772" s="33"/>
      <c r="C772" s="33"/>
      <c r="D772" s="33"/>
      <c r="E772" s="33"/>
      <c r="F772" s="33"/>
      <c r="G772" s="33"/>
      <c r="H772" s="34"/>
      <c r="I772" s="55"/>
      <c r="J772" s="55"/>
      <c r="K772" s="33"/>
      <c r="L772" s="33"/>
      <c r="M772" s="6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</row>
    <row r="773" spans="1:31" ht="14.25" customHeight="1">
      <c r="A773" s="1"/>
      <c r="B773" s="33"/>
      <c r="C773" s="33"/>
      <c r="D773" s="33"/>
      <c r="E773" s="33"/>
      <c r="F773" s="33"/>
      <c r="G773" s="33"/>
      <c r="H773" s="34"/>
      <c r="I773" s="55"/>
      <c r="J773" s="55"/>
      <c r="K773" s="33"/>
      <c r="L773" s="33"/>
      <c r="M773" s="6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</row>
    <row r="774" spans="1:31" ht="14.25" customHeight="1">
      <c r="A774" s="1"/>
      <c r="B774" s="33"/>
      <c r="C774" s="33"/>
      <c r="D774" s="33"/>
      <c r="E774" s="33"/>
      <c r="F774" s="33"/>
      <c r="G774" s="33"/>
      <c r="H774" s="34"/>
      <c r="I774" s="55"/>
      <c r="J774" s="55"/>
      <c r="K774" s="33"/>
      <c r="L774" s="33"/>
      <c r="M774" s="6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</row>
    <row r="775" spans="1:31" ht="14.25" customHeight="1">
      <c r="A775" s="1"/>
      <c r="B775" s="33"/>
      <c r="C775" s="33"/>
      <c r="D775" s="33"/>
      <c r="E775" s="33"/>
      <c r="F775" s="33"/>
      <c r="G775" s="33"/>
      <c r="H775" s="34"/>
      <c r="I775" s="55"/>
      <c r="J775" s="55"/>
      <c r="K775" s="33"/>
      <c r="L775" s="33"/>
      <c r="M775" s="6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</row>
    <row r="776" spans="1:31" ht="14.25" customHeight="1">
      <c r="A776" s="1"/>
      <c r="B776" s="33"/>
      <c r="C776" s="33"/>
      <c r="D776" s="33"/>
      <c r="E776" s="33"/>
      <c r="F776" s="33"/>
      <c r="G776" s="33"/>
      <c r="H776" s="34"/>
      <c r="I776" s="55"/>
      <c r="J776" s="55"/>
      <c r="K776" s="33"/>
      <c r="L776" s="33"/>
      <c r="M776" s="6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</row>
    <row r="777" spans="1:31" ht="14.25" customHeight="1">
      <c r="A777" s="1"/>
      <c r="B777" s="33"/>
      <c r="C777" s="33"/>
      <c r="D777" s="33"/>
      <c r="E777" s="33"/>
      <c r="F777" s="33"/>
      <c r="G777" s="33"/>
      <c r="H777" s="34"/>
      <c r="I777" s="55"/>
      <c r="J777" s="55"/>
      <c r="K777" s="33"/>
      <c r="L777" s="33"/>
      <c r="M777" s="6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</row>
    <row r="778" spans="1:31" ht="14.25" customHeight="1">
      <c r="A778" s="1"/>
      <c r="B778" s="33"/>
      <c r="C778" s="33"/>
      <c r="D778" s="33"/>
      <c r="E778" s="33"/>
      <c r="F778" s="33"/>
      <c r="G778" s="33"/>
      <c r="H778" s="34"/>
      <c r="I778" s="55"/>
      <c r="J778" s="55"/>
      <c r="K778" s="33"/>
      <c r="L778" s="33"/>
      <c r="M778" s="6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</row>
    <row r="779" spans="1:31" ht="14.25" customHeight="1">
      <c r="A779" s="1"/>
      <c r="B779" s="33"/>
      <c r="C779" s="33"/>
      <c r="D779" s="33"/>
      <c r="E779" s="33"/>
      <c r="F779" s="33"/>
      <c r="G779" s="33"/>
      <c r="H779" s="34"/>
      <c r="I779" s="55"/>
      <c r="J779" s="55"/>
      <c r="K779" s="33"/>
      <c r="L779" s="33"/>
      <c r="M779" s="6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</row>
    <row r="780" spans="1:31" ht="14.25" customHeight="1">
      <c r="A780" s="1"/>
      <c r="B780" s="33"/>
      <c r="C780" s="33"/>
      <c r="D780" s="33"/>
      <c r="E780" s="33"/>
      <c r="F780" s="33"/>
      <c r="G780" s="33"/>
      <c r="H780" s="34"/>
      <c r="I780" s="55"/>
      <c r="J780" s="55"/>
      <c r="K780" s="33"/>
      <c r="L780" s="33"/>
      <c r="M780" s="6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</row>
    <row r="781" spans="1:31" ht="14.25" customHeight="1">
      <c r="A781" s="1"/>
      <c r="B781" s="33"/>
      <c r="C781" s="33"/>
      <c r="D781" s="33"/>
      <c r="E781" s="33"/>
      <c r="F781" s="33"/>
      <c r="G781" s="33"/>
      <c r="H781" s="34"/>
      <c r="I781" s="55"/>
      <c r="J781" s="55"/>
      <c r="K781" s="33"/>
      <c r="L781" s="33"/>
      <c r="M781" s="6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</row>
    <row r="782" spans="1:31" ht="14.25" customHeight="1">
      <c r="A782" s="1"/>
      <c r="B782" s="33"/>
      <c r="C782" s="33"/>
      <c r="D782" s="33"/>
      <c r="E782" s="33"/>
      <c r="F782" s="33"/>
      <c r="G782" s="33"/>
      <c r="H782" s="34"/>
      <c r="I782" s="55"/>
      <c r="J782" s="55"/>
      <c r="K782" s="33"/>
      <c r="L782" s="33"/>
      <c r="M782" s="6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</row>
    <row r="783" spans="1:31" ht="14.25" customHeight="1">
      <c r="A783" s="1"/>
      <c r="B783" s="33"/>
      <c r="C783" s="33"/>
      <c r="D783" s="33"/>
      <c r="E783" s="33"/>
      <c r="F783" s="33"/>
      <c r="G783" s="33"/>
      <c r="H783" s="34"/>
      <c r="I783" s="55"/>
      <c r="J783" s="55"/>
      <c r="K783" s="33"/>
      <c r="L783" s="33"/>
      <c r="M783" s="6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</row>
    <row r="784" spans="1:31" ht="14.25" customHeight="1">
      <c r="A784" s="1"/>
      <c r="B784" s="33"/>
      <c r="C784" s="33"/>
      <c r="D784" s="33"/>
      <c r="E784" s="33"/>
      <c r="F784" s="33"/>
      <c r="G784" s="33"/>
      <c r="H784" s="34"/>
      <c r="I784" s="55"/>
      <c r="J784" s="55"/>
      <c r="K784" s="33"/>
      <c r="L784" s="33"/>
      <c r="M784" s="6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</row>
    <row r="785" spans="1:31" ht="14.25" customHeight="1">
      <c r="A785" s="1"/>
      <c r="B785" s="33"/>
      <c r="C785" s="33"/>
      <c r="D785" s="33"/>
      <c r="E785" s="33"/>
      <c r="F785" s="33"/>
      <c r="G785" s="33"/>
      <c r="H785" s="34"/>
      <c r="I785" s="55"/>
      <c r="J785" s="55"/>
      <c r="K785" s="33"/>
      <c r="L785" s="33"/>
      <c r="M785" s="6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</row>
    <row r="786" spans="1:31" ht="14.25" customHeight="1">
      <c r="A786" s="1"/>
      <c r="B786" s="33"/>
      <c r="C786" s="33"/>
      <c r="D786" s="33"/>
      <c r="E786" s="33"/>
      <c r="F786" s="33"/>
      <c r="G786" s="33"/>
      <c r="H786" s="34"/>
      <c r="I786" s="55"/>
      <c r="J786" s="55"/>
      <c r="K786" s="33"/>
      <c r="L786" s="33"/>
      <c r="M786" s="6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</row>
    <row r="787" spans="1:31" ht="14.25" customHeight="1">
      <c r="A787" s="1"/>
      <c r="B787" s="33"/>
      <c r="C787" s="33"/>
      <c r="D787" s="33"/>
      <c r="E787" s="33"/>
      <c r="F787" s="33"/>
      <c r="G787" s="33"/>
      <c r="H787" s="34"/>
      <c r="I787" s="55"/>
      <c r="J787" s="55"/>
      <c r="K787" s="33"/>
      <c r="L787" s="33"/>
      <c r="M787" s="6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</row>
    <row r="788" spans="1:31" ht="14.25" customHeight="1">
      <c r="A788" s="1"/>
      <c r="B788" s="33"/>
      <c r="C788" s="33"/>
      <c r="D788" s="33"/>
      <c r="E788" s="33"/>
      <c r="F788" s="33"/>
      <c r="G788" s="33"/>
      <c r="H788" s="34"/>
      <c r="I788" s="55"/>
      <c r="J788" s="55"/>
      <c r="K788" s="33"/>
      <c r="L788" s="33"/>
      <c r="M788" s="6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</row>
    <row r="789" spans="1:31" ht="14.25" customHeight="1">
      <c r="A789" s="1"/>
      <c r="B789" s="33"/>
      <c r="C789" s="33"/>
      <c r="D789" s="33"/>
      <c r="E789" s="33"/>
      <c r="F789" s="33"/>
      <c r="G789" s="33"/>
      <c r="H789" s="34"/>
      <c r="I789" s="55"/>
      <c r="J789" s="55"/>
      <c r="K789" s="33"/>
      <c r="L789" s="33"/>
      <c r="M789" s="6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</row>
    <row r="790" spans="1:31" ht="14.25" customHeight="1">
      <c r="A790" s="1"/>
      <c r="B790" s="33"/>
      <c r="C790" s="33"/>
      <c r="D790" s="33"/>
      <c r="E790" s="33"/>
      <c r="F790" s="33"/>
      <c r="G790" s="33"/>
      <c r="H790" s="34"/>
      <c r="I790" s="55"/>
      <c r="J790" s="55"/>
      <c r="K790" s="33"/>
      <c r="L790" s="33"/>
      <c r="M790" s="6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</row>
    <row r="791" spans="1:31" ht="14.25" customHeight="1">
      <c r="A791" s="1"/>
      <c r="B791" s="33"/>
      <c r="C791" s="33"/>
      <c r="D791" s="33"/>
      <c r="E791" s="33"/>
      <c r="F791" s="33"/>
      <c r="G791" s="33"/>
      <c r="H791" s="34"/>
      <c r="I791" s="55"/>
      <c r="J791" s="55"/>
      <c r="K791" s="33"/>
      <c r="L791" s="33"/>
      <c r="M791" s="6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</row>
    <row r="792" spans="1:31" ht="14.25" customHeight="1">
      <c r="A792" s="1"/>
      <c r="B792" s="33"/>
      <c r="C792" s="33"/>
      <c r="D792" s="33"/>
      <c r="E792" s="33"/>
      <c r="F792" s="33"/>
      <c r="G792" s="33"/>
      <c r="H792" s="34"/>
      <c r="I792" s="55"/>
      <c r="J792" s="55"/>
      <c r="K792" s="33"/>
      <c r="L792" s="33"/>
      <c r="M792" s="6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</row>
    <row r="793" spans="1:31" ht="14.25" customHeight="1">
      <c r="A793" s="1"/>
      <c r="B793" s="33"/>
      <c r="C793" s="33"/>
      <c r="D793" s="33"/>
      <c r="E793" s="33"/>
      <c r="F793" s="33"/>
      <c r="G793" s="33"/>
      <c r="H793" s="34"/>
      <c r="I793" s="55"/>
      <c r="J793" s="55"/>
      <c r="K793" s="33"/>
      <c r="L793" s="33"/>
      <c r="M793" s="6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</row>
    <row r="794" spans="1:31" ht="14.25" customHeight="1">
      <c r="A794" s="1"/>
      <c r="B794" s="33"/>
      <c r="C794" s="33"/>
      <c r="D794" s="33"/>
      <c r="E794" s="33"/>
      <c r="F794" s="33"/>
      <c r="G794" s="33"/>
      <c r="H794" s="34"/>
      <c r="I794" s="55"/>
      <c r="J794" s="55"/>
      <c r="K794" s="33"/>
      <c r="L794" s="33"/>
      <c r="M794" s="6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</row>
    <row r="795" spans="1:31" ht="14.25" customHeight="1">
      <c r="A795" s="1"/>
      <c r="B795" s="33"/>
      <c r="C795" s="33"/>
      <c r="D795" s="33"/>
      <c r="E795" s="33"/>
      <c r="F795" s="33"/>
      <c r="G795" s="33"/>
      <c r="H795" s="34"/>
      <c r="I795" s="55"/>
      <c r="J795" s="55"/>
      <c r="K795" s="33"/>
      <c r="L795" s="33"/>
      <c r="M795" s="6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</row>
    <row r="796" spans="1:31" ht="14.25" customHeight="1">
      <c r="A796" s="1"/>
      <c r="B796" s="33"/>
      <c r="C796" s="33"/>
      <c r="D796" s="33"/>
      <c r="E796" s="33"/>
      <c r="F796" s="33"/>
      <c r="G796" s="33"/>
      <c r="H796" s="34"/>
      <c r="I796" s="55"/>
      <c r="J796" s="55"/>
      <c r="K796" s="33"/>
      <c r="L796" s="33"/>
      <c r="M796" s="6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</row>
    <row r="797" spans="1:31" ht="14.25" customHeight="1">
      <c r="A797" s="1"/>
      <c r="B797" s="33"/>
      <c r="C797" s="33"/>
      <c r="D797" s="33"/>
      <c r="E797" s="33"/>
      <c r="F797" s="33"/>
      <c r="G797" s="33"/>
      <c r="H797" s="34"/>
      <c r="I797" s="55"/>
      <c r="J797" s="55"/>
      <c r="K797" s="33"/>
      <c r="L797" s="33"/>
      <c r="M797" s="6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</row>
    <row r="798" spans="1:31" ht="14.25" customHeight="1">
      <c r="A798" s="1"/>
      <c r="B798" s="33"/>
      <c r="C798" s="33"/>
      <c r="D798" s="33"/>
      <c r="E798" s="33"/>
      <c r="F798" s="33"/>
      <c r="G798" s="33"/>
      <c r="H798" s="34"/>
      <c r="I798" s="55"/>
      <c r="J798" s="55"/>
      <c r="K798" s="33"/>
      <c r="L798" s="33"/>
      <c r="M798" s="6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</row>
    <row r="799" spans="1:31" ht="14.25" customHeight="1">
      <c r="A799" s="1"/>
      <c r="B799" s="33"/>
      <c r="C799" s="33"/>
      <c r="D799" s="33"/>
      <c r="E799" s="33"/>
      <c r="F799" s="33"/>
      <c r="G799" s="33"/>
      <c r="H799" s="34"/>
      <c r="I799" s="55"/>
      <c r="J799" s="55"/>
      <c r="K799" s="33"/>
      <c r="L799" s="33"/>
      <c r="M799" s="6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</row>
    <row r="800" spans="1:31" ht="14.25" customHeight="1">
      <c r="A800" s="1"/>
      <c r="B800" s="33"/>
      <c r="C800" s="33"/>
      <c r="D800" s="33"/>
      <c r="E800" s="33"/>
      <c r="F800" s="33"/>
      <c r="G800" s="33"/>
      <c r="H800" s="34"/>
      <c r="I800" s="55"/>
      <c r="J800" s="55"/>
      <c r="K800" s="33"/>
      <c r="L800" s="33"/>
      <c r="M800" s="6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</row>
    <row r="801" spans="1:31" ht="14.25" customHeight="1">
      <c r="A801" s="1"/>
      <c r="B801" s="33"/>
      <c r="C801" s="33"/>
      <c r="D801" s="33"/>
      <c r="E801" s="33"/>
      <c r="F801" s="33"/>
      <c r="G801" s="33"/>
      <c r="H801" s="34"/>
      <c r="I801" s="55"/>
      <c r="J801" s="55"/>
      <c r="K801" s="33"/>
      <c r="L801" s="33"/>
      <c r="M801" s="6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</row>
    <row r="802" spans="1:31" ht="14.25" customHeight="1">
      <c r="A802" s="1"/>
      <c r="B802" s="33"/>
      <c r="C802" s="33"/>
      <c r="D802" s="33"/>
      <c r="E802" s="33"/>
      <c r="F802" s="33"/>
      <c r="G802" s="33"/>
      <c r="H802" s="34"/>
      <c r="I802" s="55"/>
      <c r="J802" s="55"/>
      <c r="K802" s="33"/>
      <c r="L802" s="33"/>
      <c r="M802" s="6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</row>
    <row r="803" spans="1:31" ht="14.25" customHeight="1">
      <c r="A803" s="1"/>
      <c r="B803" s="33"/>
      <c r="C803" s="33"/>
      <c r="D803" s="33"/>
      <c r="E803" s="33"/>
      <c r="F803" s="33"/>
      <c r="G803" s="33"/>
      <c r="H803" s="34"/>
      <c r="I803" s="55"/>
      <c r="J803" s="55"/>
      <c r="K803" s="33"/>
      <c r="L803" s="33"/>
      <c r="M803" s="6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</row>
    <row r="804" spans="1:31" ht="14.25" customHeight="1">
      <c r="A804" s="1"/>
      <c r="B804" s="33"/>
      <c r="C804" s="33"/>
      <c r="D804" s="33"/>
      <c r="E804" s="33"/>
      <c r="F804" s="33"/>
      <c r="G804" s="33"/>
      <c r="H804" s="34"/>
      <c r="I804" s="55"/>
      <c r="J804" s="55"/>
      <c r="K804" s="33"/>
      <c r="L804" s="33"/>
      <c r="M804" s="6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</row>
    <row r="805" spans="1:31" ht="14.25" customHeight="1">
      <c r="A805" s="1"/>
      <c r="B805" s="33"/>
      <c r="C805" s="33"/>
      <c r="D805" s="33"/>
      <c r="E805" s="33"/>
      <c r="F805" s="33"/>
      <c r="G805" s="33"/>
      <c r="H805" s="34"/>
      <c r="I805" s="55"/>
      <c r="J805" s="55"/>
      <c r="K805" s="33"/>
      <c r="L805" s="33"/>
      <c r="M805" s="6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</row>
    <row r="806" spans="1:31" ht="14.25" customHeight="1">
      <c r="A806" s="1"/>
      <c r="B806" s="33"/>
      <c r="C806" s="33"/>
      <c r="D806" s="33"/>
      <c r="E806" s="33"/>
      <c r="F806" s="33"/>
      <c r="G806" s="33"/>
      <c r="H806" s="34"/>
      <c r="I806" s="55"/>
      <c r="J806" s="55"/>
      <c r="K806" s="33"/>
      <c r="L806" s="33"/>
      <c r="M806" s="6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</row>
    <row r="807" spans="1:31" ht="14.25" customHeight="1">
      <c r="A807" s="1"/>
      <c r="B807" s="33"/>
      <c r="C807" s="33"/>
      <c r="D807" s="33"/>
      <c r="E807" s="33"/>
      <c r="F807" s="33"/>
      <c r="G807" s="33"/>
      <c r="H807" s="34"/>
      <c r="I807" s="55"/>
      <c r="J807" s="55"/>
      <c r="K807" s="33"/>
      <c r="L807" s="33"/>
      <c r="M807" s="6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</row>
    <row r="808" spans="1:31" ht="14.25" customHeight="1">
      <c r="A808" s="1"/>
      <c r="B808" s="33"/>
      <c r="C808" s="33"/>
      <c r="D808" s="33"/>
      <c r="E808" s="33"/>
      <c r="F808" s="33"/>
      <c r="G808" s="33"/>
      <c r="H808" s="34"/>
      <c r="I808" s="55"/>
      <c r="J808" s="55"/>
      <c r="K808" s="33"/>
      <c r="L808" s="33"/>
      <c r="M808" s="6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</row>
    <row r="809" spans="1:31" ht="14.25" customHeight="1">
      <c r="A809" s="1"/>
      <c r="B809" s="33"/>
      <c r="C809" s="33"/>
      <c r="D809" s="33"/>
      <c r="E809" s="33"/>
      <c r="F809" s="33"/>
      <c r="G809" s="33"/>
      <c r="H809" s="34"/>
      <c r="I809" s="55"/>
      <c r="J809" s="55"/>
      <c r="K809" s="33"/>
      <c r="L809" s="33"/>
      <c r="M809" s="6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</row>
    <row r="810" spans="1:31" ht="14.25" customHeight="1">
      <c r="A810" s="1"/>
      <c r="B810" s="33"/>
      <c r="C810" s="33"/>
      <c r="D810" s="33"/>
      <c r="E810" s="33"/>
      <c r="F810" s="33"/>
      <c r="G810" s="33"/>
      <c r="H810" s="34"/>
      <c r="I810" s="55"/>
      <c r="J810" s="55"/>
      <c r="K810" s="33"/>
      <c r="L810" s="33"/>
      <c r="M810" s="6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</row>
    <row r="811" spans="1:31" ht="14.25" customHeight="1">
      <c r="A811" s="1"/>
      <c r="B811" s="33"/>
      <c r="C811" s="33"/>
      <c r="D811" s="33"/>
      <c r="E811" s="33"/>
      <c r="F811" s="33"/>
      <c r="G811" s="33"/>
      <c r="H811" s="34"/>
      <c r="I811" s="55"/>
      <c r="J811" s="55"/>
      <c r="K811" s="33"/>
      <c r="L811" s="33"/>
      <c r="M811" s="6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</row>
    <row r="812" spans="1:31" ht="14.25" customHeight="1">
      <c r="A812" s="1"/>
      <c r="B812" s="33"/>
      <c r="C812" s="33"/>
      <c r="D812" s="33"/>
      <c r="E812" s="33"/>
      <c r="F812" s="33"/>
      <c r="G812" s="33"/>
      <c r="H812" s="34"/>
      <c r="I812" s="55"/>
      <c r="J812" s="55"/>
      <c r="K812" s="33"/>
      <c r="L812" s="33"/>
      <c r="M812" s="6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</row>
    <row r="813" spans="1:31" ht="14.25" customHeight="1">
      <c r="A813" s="1"/>
      <c r="B813" s="33"/>
      <c r="C813" s="33"/>
      <c r="D813" s="33"/>
      <c r="E813" s="33"/>
      <c r="F813" s="33"/>
      <c r="G813" s="33"/>
      <c r="H813" s="34"/>
      <c r="I813" s="55"/>
      <c r="J813" s="55"/>
      <c r="K813" s="33"/>
      <c r="L813" s="33"/>
      <c r="M813" s="6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</row>
    <row r="814" spans="1:31" ht="14.25" customHeight="1">
      <c r="A814" s="1"/>
      <c r="B814" s="33"/>
      <c r="C814" s="33"/>
      <c r="D814" s="33"/>
      <c r="E814" s="33"/>
      <c r="F814" s="33"/>
      <c r="G814" s="33"/>
      <c r="H814" s="34"/>
      <c r="I814" s="55"/>
      <c r="J814" s="55"/>
      <c r="K814" s="33"/>
      <c r="L814" s="33"/>
      <c r="M814" s="6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</row>
    <row r="815" spans="1:31" ht="14.25" customHeight="1">
      <c r="A815" s="1"/>
      <c r="B815" s="33"/>
      <c r="C815" s="33"/>
      <c r="D815" s="33"/>
      <c r="E815" s="33"/>
      <c r="F815" s="33"/>
      <c r="G815" s="33"/>
      <c r="H815" s="34"/>
      <c r="I815" s="55"/>
      <c r="J815" s="55"/>
      <c r="K815" s="33"/>
      <c r="L815" s="33"/>
      <c r="M815" s="6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</row>
    <row r="816" spans="1:31" ht="14.25" customHeight="1">
      <c r="A816" s="1"/>
      <c r="B816" s="33"/>
      <c r="C816" s="33"/>
      <c r="D816" s="33"/>
      <c r="E816" s="33"/>
      <c r="F816" s="33"/>
      <c r="G816" s="33"/>
      <c r="H816" s="34"/>
      <c r="I816" s="55"/>
      <c r="J816" s="55"/>
      <c r="K816" s="33"/>
      <c r="L816" s="33"/>
      <c r="M816" s="6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</row>
    <row r="817" spans="1:31" ht="14.25" customHeight="1">
      <c r="A817" s="1"/>
      <c r="B817" s="33"/>
      <c r="C817" s="33"/>
      <c r="D817" s="33"/>
      <c r="E817" s="33"/>
      <c r="F817" s="33"/>
      <c r="G817" s="33"/>
      <c r="H817" s="34"/>
      <c r="I817" s="55"/>
      <c r="J817" s="55"/>
      <c r="K817" s="33"/>
      <c r="L817" s="33"/>
      <c r="M817" s="6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</row>
    <row r="818" spans="1:31" ht="14.25" customHeight="1">
      <c r="A818" s="1"/>
      <c r="B818" s="33"/>
      <c r="C818" s="33"/>
      <c r="D818" s="33"/>
      <c r="E818" s="33"/>
      <c r="F818" s="33"/>
      <c r="G818" s="33"/>
      <c r="H818" s="34"/>
      <c r="I818" s="55"/>
      <c r="J818" s="55"/>
      <c r="K818" s="33"/>
      <c r="L818" s="33"/>
      <c r="M818" s="6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</row>
    <row r="819" spans="1:31" ht="14.25" customHeight="1">
      <c r="A819" s="1"/>
      <c r="B819" s="33"/>
      <c r="C819" s="33"/>
      <c r="D819" s="33"/>
      <c r="E819" s="33"/>
      <c r="F819" s="33"/>
      <c r="G819" s="33"/>
      <c r="H819" s="34"/>
      <c r="I819" s="55"/>
      <c r="J819" s="55"/>
      <c r="K819" s="33"/>
      <c r="L819" s="33"/>
      <c r="M819" s="6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</row>
    <row r="820" spans="1:31" ht="14.25" customHeight="1">
      <c r="A820" s="1"/>
      <c r="B820" s="33"/>
      <c r="C820" s="33"/>
      <c r="D820" s="33"/>
      <c r="E820" s="33"/>
      <c r="F820" s="33"/>
      <c r="G820" s="33"/>
      <c r="H820" s="34"/>
      <c r="I820" s="55"/>
      <c r="J820" s="55"/>
      <c r="K820" s="33"/>
      <c r="L820" s="33"/>
      <c r="M820" s="6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</row>
    <row r="821" spans="1:31" ht="14.25" customHeight="1">
      <c r="A821" s="1"/>
      <c r="B821" s="33"/>
      <c r="C821" s="33"/>
      <c r="D821" s="33"/>
      <c r="E821" s="33"/>
      <c r="F821" s="33"/>
      <c r="G821" s="33"/>
      <c r="H821" s="34"/>
      <c r="I821" s="55"/>
      <c r="J821" s="55"/>
      <c r="K821" s="33"/>
      <c r="L821" s="33"/>
      <c r="M821" s="6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</row>
    <row r="822" spans="1:31" ht="14.25" customHeight="1">
      <c r="A822" s="1"/>
      <c r="B822" s="33"/>
      <c r="C822" s="33"/>
      <c r="D822" s="33"/>
      <c r="E822" s="33"/>
      <c r="F822" s="33"/>
      <c r="G822" s="33"/>
      <c r="H822" s="34"/>
      <c r="I822" s="55"/>
      <c r="J822" s="55"/>
      <c r="K822" s="33"/>
      <c r="L822" s="33"/>
      <c r="M822" s="6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</row>
    <row r="823" spans="1:31" ht="14.25" customHeight="1">
      <c r="A823" s="1"/>
      <c r="B823" s="33"/>
      <c r="C823" s="33"/>
      <c r="D823" s="33"/>
      <c r="E823" s="33"/>
      <c r="F823" s="33"/>
      <c r="G823" s="33"/>
      <c r="H823" s="34"/>
      <c r="I823" s="55"/>
      <c r="J823" s="55"/>
      <c r="K823" s="33"/>
      <c r="L823" s="33"/>
      <c r="M823" s="6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</row>
    <row r="824" spans="1:31" ht="14.25" customHeight="1">
      <c r="A824" s="1"/>
      <c r="B824" s="33"/>
      <c r="C824" s="33"/>
      <c r="D824" s="33"/>
      <c r="E824" s="33"/>
      <c r="F824" s="33"/>
      <c r="G824" s="33"/>
      <c r="H824" s="34"/>
      <c r="I824" s="55"/>
      <c r="J824" s="55"/>
      <c r="K824" s="33"/>
      <c r="L824" s="33"/>
      <c r="M824" s="6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</row>
    <row r="825" spans="1:31" ht="14.25" customHeight="1">
      <c r="A825" s="1"/>
      <c r="B825" s="33"/>
      <c r="C825" s="33"/>
      <c r="D825" s="33"/>
      <c r="E825" s="33"/>
      <c r="F825" s="33"/>
      <c r="G825" s="33"/>
      <c r="H825" s="34"/>
      <c r="I825" s="55"/>
      <c r="J825" s="55"/>
      <c r="K825" s="33"/>
      <c r="L825" s="33"/>
      <c r="M825" s="6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</row>
    <row r="826" spans="1:31" ht="14.25" customHeight="1">
      <c r="A826" s="1"/>
      <c r="B826" s="33"/>
      <c r="C826" s="33"/>
      <c r="D826" s="33"/>
      <c r="E826" s="33"/>
      <c r="F826" s="33"/>
      <c r="G826" s="33"/>
      <c r="H826" s="34"/>
      <c r="I826" s="55"/>
      <c r="J826" s="55"/>
      <c r="K826" s="33"/>
      <c r="L826" s="33"/>
      <c r="M826" s="6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</row>
    <row r="827" spans="1:31" ht="14.25" customHeight="1">
      <c r="A827" s="1"/>
      <c r="B827" s="33"/>
      <c r="C827" s="33"/>
      <c r="D827" s="33"/>
      <c r="E827" s="33"/>
      <c r="F827" s="33"/>
      <c r="G827" s="33"/>
      <c r="H827" s="34"/>
      <c r="I827" s="55"/>
      <c r="J827" s="55"/>
      <c r="K827" s="33"/>
      <c r="L827" s="33"/>
      <c r="M827" s="6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</row>
    <row r="828" spans="1:31" ht="14.25" customHeight="1">
      <c r="A828" s="1"/>
      <c r="B828" s="33"/>
      <c r="C828" s="33"/>
      <c r="D828" s="33"/>
      <c r="E828" s="33"/>
      <c r="F828" s="33"/>
      <c r="G828" s="33"/>
      <c r="H828" s="34"/>
      <c r="I828" s="55"/>
      <c r="J828" s="55"/>
      <c r="K828" s="33"/>
      <c r="L828" s="33"/>
      <c r="M828" s="6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</row>
    <row r="829" spans="1:31" ht="14.25" customHeight="1">
      <c r="A829" s="1"/>
      <c r="B829" s="33"/>
      <c r="C829" s="33"/>
      <c r="D829" s="33"/>
      <c r="E829" s="33"/>
      <c r="F829" s="33"/>
      <c r="G829" s="33"/>
      <c r="H829" s="34"/>
      <c r="I829" s="55"/>
      <c r="J829" s="55"/>
      <c r="K829" s="33"/>
      <c r="L829" s="33"/>
      <c r="M829" s="6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</row>
    <row r="830" spans="1:31" ht="14.25" customHeight="1">
      <c r="A830" s="1"/>
      <c r="B830" s="33"/>
      <c r="C830" s="33"/>
      <c r="D830" s="33"/>
      <c r="E830" s="33"/>
      <c r="F830" s="33"/>
      <c r="G830" s="33"/>
      <c r="H830" s="34"/>
      <c r="I830" s="55"/>
      <c r="J830" s="55"/>
      <c r="K830" s="33"/>
      <c r="L830" s="33"/>
      <c r="M830" s="6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</row>
    <row r="831" spans="1:31" ht="14.25" customHeight="1">
      <c r="A831" s="1"/>
      <c r="B831" s="33"/>
      <c r="C831" s="33"/>
      <c r="D831" s="33"/>
      <c r="E831" s="33"/>
      <c r="F831" s="33"/>
      <c r="G831" s="33"/>
      <c r="H831" s="34"/>
      <c r="I831" s="55"/>
      <c r="J831" s="55"/>
      <c r="K831" s="33"/>
      <c r="L831" s="33"/>
      <c r="M831" s="6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</row>
    <row r="832" spans="1:31" ht="14.25" customHeight="1">
      <c r="A832" s="1"/>
      <c r="B832" s="33"/>
      <c r="C832" s="33"/>
      <c r="D832" s="33"/>
      <c r="E832" s="33"/>
      <c r="F832" s="33"/>
      <c r="G832" s="33"/>
      <c r="H832" s="34"/>
      <c r="I832" s="55"/>
      <c r="J832" s="55"/>
      <c r="K832" s="33"/>
      <c r="L832" s="33"/>
      <c r="M832" s="6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</row>
    <row r="833" spans="1:31" ht="14.25" customHeight="1">
      <c r="A833" s="1"/>
      <c r="B833" s="33"/>
      <c r="C833" s="33"/>
      <c r="D833" s="33"/>
      <c r="E833" s="33"/>
      <c r="F833" s="33"/>
      <c r="G833" s="33"/>
      <c r="H833" s="34"/>
      <c r="I833" s="55"/>
      <c r="J833" s="55"/>
      <c r="K833" s="33"/>
      <c r="L833" s="33"/>
      <c r="M833" s="6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</row>
    <row r="834" spans="1:31" ht="14.25" customHeight="1">
      <c r="A834" s="1"/>
      <c r="B834" s="33"/>
      <c r="C834" s="33"/>
      <c r="D834" s="33"/>
      <c r="E834" s="33"/>
      <c r="F834" s="33"/>
      <c r="G834" s="33"/>
      <c r="H834" s="34"/>
      <c r="I834" s="55"/>
      <c r="J834" s="55"/>
      <c r="K834" s="33"/>
      <c r="L834" s="33"/>
      <c r="M834" s="6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</row>
    <row r="835" spans="1:31" ht="14.25" customHeight="1">
      <c r="A835" s="1"/>
      <c r="B835" s="33"/>
      <c r="C835" s="33"/>
      <c r="D835" s="33"/>
      <c r="E835" s="33"/>
      <c r="F835" s="33"/>
      <c r="G835" s="33"/>
      <c r="H835" s="34"/>
      <c r="I835" s="55"/>
      <c r="J835" s="55"/>
      <c r="K835" s="33"/>
      <c r="L835" s="33"/>
      <c r="M835" s="6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</row>
    <row r="836" spans="1:31" ht="14.25" customHeight="1">
      <c r="A836" s="1"/>
      <c r="B836" s="33"/>
      <c r="C836" s="33"/>
      <c r="D836" s="33"/>
      <c r="E836" s="33"/>
      <c r="F836" s="33"/>
      <c r="G836" s="33"/>
      <c r="H836" s="34"/>
      <c r="I836" s="55"/>
      <c r="J836" s="55"/>
      <c r="K836" s="33"/>
      <c r="L836" s="33"/>
      <c r="M836" s="6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</row>
    <row r="837" spans="1:31" ht="14.25" customHeight="1">
      <c r="A837" s="1"/>
      <c r="B837" s="33"/>
      <c r="C837" s="33"/>
      <c r="D837" s="33"/>
      <c r="E837" s="33"/>
      <c r="F837" s="33"/>
      <c r="G837" s="33"/>
      <c r="H837" s="34"/>
      <c r="I837" s="55"/>
      <c r="J837" s="55"/>
      <c r="K837" s="33"/>
      <c r="L837" s="33"/>
      <c r="M837" s="6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</row>
    <row r="838" spans="1:31" ht="14.25" customHeight="1">
      <c r="A838" s="1"/>
      <c r="B838" s="33"/>
      <c r="C838" s="33"/>
      <c r="D838" s="33"/>
      <c r="E838" s="33"/>
      <c r="F838" s="33"/>
      <c r="G838" s="33"/>
      <c r="H838" s="34"/>
      <c r="I838" s="55"/>
      <c r="J838" s="55"/>
      <c r="K838" s="33"/>
      <c r="L838" s="33"/>
      <c r="M838" s="6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</row>
    <row r="839" spans="1:31" ht="14.25" customHeight="1">
      <c r="A839" s="1"/>
      <c r="B839" s="33"/>
      <c r="C839" s="33"/>
      <c r="D839" s="33"/>
      <c r="E839" s="33"/>
      <c r="F839" s="33"/>
      <c r="G839" s="33"/>
      <c r="H839" s="34"/>
      <c r="I839" s="55"/>
      <c r="J839" s="55"/>
      <c r="K839" s="33"/>
      <c r="L839" s="33"/>
      <c r="M839" s="6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</row>
    <row r="840" spans="1:31" ht="14.25" customHeight="1">
      <c r="A840" s="1"/>
      <c r="B840" s="33"/>
      <c r="C840" s="33"/>
      <c r="D840" s="33"/>
      <c r="E840" s="33"/>
      <c r="F840" s="33"/>
      <c r="G840" s="33"/>
      <c r="H840" s="34"/>
      <c r="I840" s="55"/>
      <c r="J840" s="55"/>
      <c r="K840" s="33"/>
      <c r="L840" s="33"/>
      <c r="M840" s="6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</row>
    <row r="841" spans="1:31" ht="14.25" customHeight="1">
      <c r="A841" s="1"/>
      <c r="B841" s="33"/>
      <c r="C841" s="33"/>
      <c r="D841" s="33"/>
      <c r="E841" s="33"/>
      <c r="F841" s="33"/>
      <c r="G841" s="33"/>
      <c r="H841" s="34"/>
      <c r="I841" s="55"/>
      <c r="J841" s="55"/>
      <c r="K841" s="33"/>
      <c r="L841" s="33"/>
      <c r="M841" s="6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</row>
    <row r="842" spans="1:31" ht="14.25" customHeight="1">
      <c r="A842" s="1"/>
      <c r="B842" s="33"/>
      <c r="C842" s="33"/>
      <c r="D842" s="33"/>
      <c r="E842" s="33"/>
      <c r="F842" s="33"/>
      <c r="G842" s="33"/>
      <c r="H842" s="34"/>
      <c r="I842" s="55"/>
      <c r="J842" s="55"/>
      <c r="K842" s="33"/>
      <c r="L842" s="33"/>
      <c r="M842" s="6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</row>
    <row r="843" spans="1:31" ht="14.25" customHeight="1">
      <c r="A843" s="1"/>
      <c r="B843" s="33"/>
      <c r="C843" s="33"/>
      <c r="D843" s="33"/>
      <c r="E843" s="33"/>
      <c r="F843" s="33"/>
      <c r="G843" s="33"/>
      <c r="H843" s="34"/>
      <c r="I843" s="55"/>
      <c r="J843" s="55"/>
      <c r="K843" s="33"/>
      <c r="L843" s="33"/>
      <c r="M843" s="6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</row>
    <row r="844" spans="1:31" ht="14.25" customHeight="1">
      <c r="A844" s="1"/>
      <c r="B844" s="33"/>
      <c r="C844" s="33"/>
      <c r="D844" s="33"/>
      <c r="E844" s="33"/>
      <c r="F844" s="33"/>
      <c r="G844" s="33"/>
      <c r="H844" s="34"/>
      <c r="I844" s="55"/>
      <c r="J844" s="55"/>
      <c r="K844" s="33"/>
      <c r="L844" s="33"/>
      <c r="M844" s="6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</row>
    <row r="845" spans="1:31" ht="14.25" customHeight="1">
      <c r="A845" s="1"/>
      <c r="B845" s="33"/>
      <c r="C845" s="33"/>
      <c r="D845" s="33"/>
      <c r="E845" s="33"/>
      <c r="F845" s="33"/>
      <c r="G845" s="33"/>
      <c r="H845" s="34"/>
      <c r="I845" s="55"/>
      <c r="J845" s="55"/>
      <c r="K845" s="33"/>
      <c r="L845" s="33"/>
      <c r="M845" s="6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</row>
    <row r="846" spans="1:31" ht="14.25" customHeight="1">
      <c r="A846" s="1"/>
      <c r="B846" s="33"/>
      <c r="C846" s="33"/>
      <c r="D846" s="33"/>
      <c r="E846" s="33"/>
      <c r="F846" s="33"/>
      <c r="G846" s="33"/>
      <c r="H846" s="34"/>
      <c r="I846" s="55"/>
      <c r="J846" s="55"/>
      <c r="K846" s="33"/>
      <c r="L846" s="33"/>
      <c r="M846" s="6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</row>
    <row r="847" spans="1:31" ht="14.25" customHeight="1">
      <c r="A847" s="1"/>
      <c r="B847" s="33"/>
      <c r="C847" s="33"/>
      <c r="D847" s="33"/>
      <c r="E847" s="33"/>
      <c r="F847" s="33"/>
      <c r="G847" s="33"/>
      <c r="H847" s="34"/>
      <c r="I847" s="55"/>
      <c r="J847" s="55"/>
      <c r="K847" s="33"/>
      <c r="L847" s="33"/>
      <c r="M847" s="6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</row>
    <row r="848" spans="1:31" ht="14.25" customHeight="1">
      <c r="A848" s="1"/>
      <c r="B848" s="33"/>
      <c r="C848" s="33"/>
      <c r="D848" s="33"/>
      <c r="E848" s="33"/>
      <c r="F848" s="33"/>
      <c r="G848" s="33"/>
      <c r="H848" s="34"/>
      <c r="I848" s="55"/>
      <c r="J848" s="55"/>
      <c r="K848" s="33"/>
      <c r="L848" s="33"/>
      <c r="M848" s="6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</row>
    <row r="849" spans="1:31" ht="14.25" customHeight="1">
      <c r="A849" s="1"/>
      <c r="B849" s="33"/>
      <c r="C849" s="33"/>
      <c r="D849" s="33"/>
      <c r="E849" s="33"/>
      <c r="F849" s="33"/>
      <c r="G849" s="33"/>
      <c r="H849" s="34"/>
      <c r="I849" s="55"/>
      <c r="J849" s="55"/>
      <c r="K849" s="33"/>
      <c r="L849" s="33"/>
      <c r="M849" s="6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</row>
    <row r="850" spans="1:31" ht="14.25" customHeight="1">
      <c r="A850" s="1"/>
      <c r="B850" s="33"/>
      <c r="C850" s="33"/>
      <c r="D850" s="33"/>
      <c r="E850" s="33"/>
      <c r="F850" s="33"/>
      <c r="G850" s="33"/>
      <c r="H850" s="34"/>
      <c r="I850" s="55"/>
      <c r="J850" s="55"/>
      <c r="K850" s="33"/>
      <c r="L850" s="33"/>
      <c r="M850" s="6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</row>
    <row r="851" spans="1:31" ht="14.25" customHeight="1">
      <c r="A851" s="1"/>
      <c r="B851" s="33"/>
      <c r="C851" s="33"/>
      <c r="D851" s="33"/>
      <c r="E851" s="33"/>
      <c r="F851" s="33"/>
      <c r="G851" s="33"/>
      <c r="H851" s="34"/>
      <c r="I851" s="55"/>
      <c r="J851" s="55"/>
      <c r="K851" s="33"/>
      <c r="L851" s="33"/>
      <c r="M851" s="6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</row>
    <row r="852" spans="1:31" ht="14.25" customHeight="1">
      <c r="A852" s="1"/>
      <c r="B852" s="33"/>
      <c r="C852" s="33"/>
      <c r="D852" s="33"/>
      <c r="E852" s="33"/>
      <c r="F852" s="33"/>
      <c r="G852" s="33"/>
      <c r="H852" s="34"/>
      <c r="I852" s="55"/>
      <c r="J852" s="55"/>
      <c r="K852" s="33"/>
      <c r="L852" s="33"/>
      <c r="M852" s="6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</row>
    <row r="853" spans="1:31" ht="14.25" customHeight="1">
      <c r="A853" s="1"/>
      <c r="B853" s="33"/>
      <c r="C853" s="33"/>
      <c r="D853" s="33"/>
      <c r="E853" s="33"/>
      <c r="F853" s="33"/>
      <c r="G853" s="33"/>
      <c r="H853" s="34"/>
      <c r="I853" s="55"/>
      <c r="J853" s="55"/>
      <c r="K853" s="33"/>
      <c r="L853" s="33"/>
      <c r="M853" s="6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</row>
    <row r="854" spans="1:31" ht="14.25" customHeight="1">
      <c r="A854" s="1"/>
      <c r="B854" s="33"/>
      <c r="C854" s="33"/>
      <c r="D854" s="33"/>
      <c r="E854" s="33"/>
      <c r="F854" s="33"/>
      <c r="G854" s="33"/>
      <c r="H854" s="34"/>
      <c r="I854" s="55"/>
      <c r="J854" s="55"/>
      <c r="K854" s="33"/>
      <c r="L854" s="33"/>
      <c r="M854" s="6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</row>
    <row r="855" spans="1:31" ht="14.25" customHeight="1">
      <c r="A855" s="1"/>
      <c r="B855" s="33"/>
      <c r="C855" s="33"/>
      <c r="D855" s="33"/>
      <c r="E855" s="33"/>
      <c r="F855" s="33"/>
      <c r="G855" s="33"/>
      <c r="H855" s="34"/>
      <c r="I855" s="55"/>
      <c r="J855" s="55"/>
      <c r="K855" s="33"/>
      <c r="L855" s="33"/>
      <c r="M855" s="6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</row>
    <row r="856" spans="1:31" ht="14.25" customHeight="1">
      <c r="A856" s="1"/>
      <c r="B856" s="33"/>
      <c r="C856" s="33"/>
      <c r="D856" s="33"/>
      <c r="E856" s="33"/>
      <c r="F856" s="33"/>
      <c r="G856" s="33"/>
      <c r="H856" s="34"/>
      <c r="I856" s="55"/>
      <c r="J856" s="55"/>
      <c r="K856" s="33"/>
      <c r="L856" s="33"/>
      <c r="M856" s="6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</row>
    <row r="857" spans="1:31" ht="14.25" customHeight="1">
      <c r="A857" s="1"/>
      <c r="B857" s="33"/>
      <c r="C857" s="33"/>
      <c r="D857" s="33"/>
      <c r="E857" s="33"/>
      <c r="F857" s="33"/>
      <c r="G857" s="33"/>
      <c r="H857" s="34"/>
      <c r="I857" s="55"/>
      <c r="J857" s="55"/>
      <c r="K857" s="33"/>
      <c r="L857" s="33"/>
      <c r="M857" s="6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</row>
    <row r="858" spans="1:31" ht="14.25" customHeight="1">
      <c r="A858" s="1"/>
      <c r="B858" s="33"/>
      <c r="C858" s="33"/>
      <c r="D858" s="33"/>
      <c r="E858" s="33"/>
      <c r="F858" s="33"/>
      <c r="G858" s="33"/>
      <c r="H858" s="34"/>
      <c r="I858" s="55"/>
      <c r="J858" s="55"/>
      <c r="K858" s="33"/>
      <c r="L858" s="33"/>
      <c r="M858" s="6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</row>
    <row r="859" spans="1:31" ht="14.25" customHeight="1">
      <c r="A859" s="1"/>
      <c r="B859" s="33"/>
      <c r="C859" s="33"/>
      <c r="D859" s="33"/>
      <c r="E859" s="33"/>
      <c r="F859" s="33"/>
      <c r="G859" s="33"/>
      <c r="H859" s="34"/>
      <c r="I859" s="55"/>
      <c r="J859" s="55"/>
      <c r="K859" s="33"/>
      <c r="L859" s="33"/>
      <c r="M859" s="6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</row>
    <row r="860" spans="1:31" ht="14.25" customHeight="1">
      <c r="A860" s="1"/>
      <c r="B860" s="33"/>
      <c r="C860" s="33"/>
      <c r="D860" s="33"/>
      <c r="E860" s="33"/>
      <c r="F860" s="33"/>
      <c r="G860" s="33"/>
      <c r="H860" s="34"/>
      <c r="I860" s="55"/>
      <c r="J860" s="55"/>
      <c r="K860" s="33"/>
      <c r="L860" s="33"/>
      <c r="M860" s="6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</row>
    <row r="861" spans="1:31" ht="14.25" customHeight="1">
      <c r="A861" s="1"/>
      <c r="B861" s="33"/>
      <c r="C861" s="33"/>
      <c r="D861" s="33"/>
      <c r="E861" s="33"/>
      <c r="F861" s="33"/>
      <c r="G861" s="33"/>
      <c r="H861" s="34"/>
      <c r="I861" s="55"/>
      <c r="J861" s="55"/>
      <c r="K861" s="33"/>
      <c r="L861" s="33"/>
      <c r="M861" s="6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</row>
    <row r="862" spans="1:31" ht="14.25" customHeight="1">
      <c r="A862" s="1"/>
      <c r="B862" s="33"/>
      <c r="C862" s="33"/>
      <c r="D862" s="33"/>
      <c r="E862" s="33"/>
      <c r="F862" s="33"/>
      <c r="G862" s="33"/>
      <c r="H862" s="34"/>
      <c r="I862" s="55"/>
      <c r="J862" s="55"/>
      <c r="K862" s="33"/>
      <c r="L862" s="33"/>
      <c r="M862" s="6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</row>
    <row r="863" spans="1:31" ht="14.25" customHeight="1">
      <c r="A863" s="1"/>
      <c r="B863" s="33"/>
      <c r="C863" s="33"/>
      <c r="D863" s="33"/>
      <c r="E863" s="33"/>
      <c r="F863" s="33"/>
      <c r="G863" s="33"/>
      <c r="H863" s="34"/>
      <c r="I863" s="55"/>
      <c r="J863" s="55"/>
      <c r="K863" s="33"/>
      <c r="L863" s="33"/>
      <c r="M863" s="6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</row>
    <row r="864" spans="1:31" ht="14.25" customHeight="1">
      <c r="A864" s="1"/>
      <c r="B864" s="33"/>
      <c r="C864" s="33"/>
      <c r="D864" s="33"/>
      <c r="E864" s="33"/>
      <c r="F864" s="33"/>
      <c r="G864" s="33"/>
      <c r="H864" s="34"/>
      <c r="I864" s="55"/>
      <c r="J864" s="55"/>
      <c r="K864" s="33"/>
      <c r="L864" s="33"/>
      <c r="M864" s="6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</row>
    <row r="865" spans="1:31" ht="14.25" customHeight="1">
      <c r="A865" s="1"/>
      <c r="B865" s="33"/>
      <c r="C865" s="33"/>
      <c r="D865" s="33"/>
      <c r="E865" s="33"/>
      <c r="F865" s="33"/>
      <c r="G865" s="33"/>
      <c r="H865" s="34"/>
      <c r="I865" s="55"/>
      <c r="J865" s="55"/>
      <c r="K865" s="33"/>
      <c r="L865" s="33"/>
      <c r="M865" s="6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</row>
    <row r="866" spans="1:31" ht="14.25" customHeight="1">
      <c r="A866" s="1"/>
      <c r="B866" s="33"/>
      <c r="C866" s="33"/>
      <c r="D866" s="33"/>
      <c r="E866" s="33"/>
      <c r="F866" s="33"/>
      <c r="G866" s="33"/>
      <c r="H866" s="34"/>
      <c r="I866" s="55"/>
      <c r="J866" s="55"/>
      <c r="K866" s="33"/>
      <c r="L866" s="33"/>
      <c r="M866" s="6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</row>
    <row r="867" spans="1:31" ht="14.25" customHeight="1">
      <c r="A867" s="1"/>
      <c r="B867" s="33"/>
      <c r="C867" s="33"/>
      <c r="D867" s="33"/>
      <c r="E867" s="33"/>
      <c r="F867" s="33"/>
      <c r="G867" s="33"/>
      <c r="H867" s="34"/>
      <c r="I867" s="55"/>
      <c r="J867" s="55"/>
      <c r="K867" s="33"/>
      <c r="L867" s="33"/>
      <c r="M867" s="6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</row>
    <row r="868" spans="1:31" ht="14.25" customHeight="1">
      <c r="A868" s="1"/>
      <c r="B868" s="33"/>
      <c r="C868" s="33"/>
      <c r="D868" s="33"/>
      <c r="E868" s="33"/>
      <c r="F868" s="33"/>
      <c r="G868" s="33"/>
      <c r="H868" s="34"/>
      <c r="I868" s="55"/>
      <c r="J868" s="55"/>
      <c r="K868" s="33"/>
      <c r="L868" s="33"/>
      <c r="M868" s="6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</row>
    <row r="869" spans="1:31" ht="14.25" customHeight="1">
      <c r="A869" s="1"/>
      <c r="B869" s="33"/>
      <c r="C869" s="33"/>
      <c r="D869" s="33"/>
      <c r="E869" s="33"/>
      <c r="F869" s="33"/>
      <c r="G869" s="33"/>
      <c r="H869" s="34"/>
      <c r="I869" s="55"/>
      <c r="J869" s="55"/>
      <c r="K869" s="33"/>
      <c r="L869" s="33"/>
      <c r="M869" s="6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</row>
    <row r="870" spans="1:31" ht="14.25" customHeight="1">
      <c r="A870" s="1"/>
      <c r="B870" s="33"/>
      <c r="C870" s="33"/>
      <c r="D870" s="33"/>
      <c r="E870" s="33"/>
      <c r="F870" s="33"/>
      <c r="G870" s="33"/>
      <c r="H870" s="34"/>
      <c r="I870" s="55"/>
      <c r="J870" s="55"/>
      <c r="K870" s="33"/>
      <c r="L870" s="33"/>
      <c r="M870" s="6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</row>
    <row r="871" spans="1:31" ht="14.25" customHeight="1">
      <c r="A871" s="1"/>
      <c r="B871" s="33"/>
      <c r="C871" s="33"/>
      <c r="D871" s="33"/>
      <c r="E871" s="33"/>
      <c r="F871" s="33"/>
      <c r="G871" s="33"/>
      <c r="H871" s="34"/>
      <c r="I871" s="55"/>
      <c r="J871" s="55"/>
      <c r="K871" s="33"/>
      <c r="L871" s="33"/>
      <c r="M871" s="6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</row>
    <row r="872" spans="1:31" ht="14.25" customHeight="1">
      <c r="A872" s="1"/>
      <c r="B872" s="33"/>
      <c r="C872" s="33"/>
      <c r="D872" s="33"/>
      <c r="E872" s="33"/>
      <c r="F872" s="33"/>
      <c r="G872" s="33"/>
      <c r="H872" s="34"/>
      <c r="I872" s="55"/>
      <c r="J872" s="55"/>
      <c r="K872" s="33"/>
      <c r="L872" s="33"/>
      <c r="M872" s="6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</row>
    <row r="873" spans="1:31" ht="14.25" customHeight="1">
      <c r="A873" s="1"/>
      <c r="B873" s="33"/>
      <c r="C873" s="33"/>
      <c r="D873" s="33"/>
      <c r="E873" s="33"/>
      <c r="F873" s="33"/>
      <c r="G873" s="33"/>
      <c r="H873" s="34"/>
      <c r="I873" s="55"/>
      <c r="J873" s="55"/>
      <c r="K873" s="33"/>
      <c r="L873" s="33"/>
      <c r="M873" s="6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</row>
    <row r="874" spans="1:31" ht="14.25" customHeight="1">
      <c r="A874" s="1"/>
      <c r="B874" s="33"/>
      <c r="C874" s="33"/>
      <c r="D874" s="33"/>
      <c r="E874" s="33"/>
      <c r="F874" s="33"/>
      <c r="G874" s="33"/>
      <c r="H874" s="34"/>
      <c r="I874" s="55"/>
      <c r="J874" s="55"/>
      <c r="K874" s="33"/>
      <c r="L874" s="33"/>
      <c r="M874" s="6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</row>
    <row r="875" spans="1:31" ht="14.25" customHeight="1">
      <c r="A875" s="1"/>
      <c r="B875" s="33"/>
      <c r="C875" s="33"/>
      <c r="D875" s="33"/>
      <c r="E875" s="33"/>
      <c r="F875" s="33"/>
      <c r="G875" s="33"/>
      <c r="H875" s="34"/>
      <c r="I875" s="55"/>
      <c r="J875" s="55"/>
      <c r="K875" s="33"/>
      <c r="L875" s="33"/>
      <c r="M875" s="6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</row>
    <row r="876" spans="1:31" ht="14.25" customHeight="1">
      <c r="A876" s="1"/>
      <c r="B876" s="33"/>
      <c r="C876" s="33"/>
      <c r="D876" s="33"/>
      <c r="E876" s="33"/>
      <c r="F876" s="33"/>
      <c r="G876" s="33"/>
      <c r="H876" s="34"/>
      <c r="I876" s="55"/>
      <c r="J876" s="55"/>
      <c r="K876" s="33"/>
      <c r="L876" s="33"/>
      <c r="M876" s="6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</row>
    <row r="877" spans="1:31" ht="14.25" customHeight="1">
      <c r="A877" s="1"/>
      <c r="B877" s="33"/>
      <c r="C877" s="33"/>
      <c r="D877" s="33"/>
      <c r="E877" s="33"/>
      <c r="F877" s="33"/>
      <c r="G877" s="33"/>
      <c r="H877" s="34"/>
      <c r="I877" s="55"/>
      <c r="J877" s="55"/>
      <c r="K877" s="33"/>
      <c r="L877" s="33"/>
      <c r="M877" s="6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</row>
    <row r="878" spans="1:31" ht="14.25" customHeight="1">
      <c r="A878" s="1"/>
      <c r="B878" s="33"/>
      <c r="C878" s="33"/>
      <c r="D878" s="33"/>
      <c r="E878" s="33"/>
      <c r="F878" s="33"/>
      <c r="G878" s="33"/>
      <c r="H878" s="34"/>
      <c r="I878" s="55"/>
      <c r="J878" s="55"/>
      <c r="K878" s="33"/>
      <c r="L878" s="33"/>
      <c r="M878" s="6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</row>
    <row r="879" spans="1:31" ht="14.25" customHeight="1">
      <c r="A879" s="1"/>
      <c r="B879" s="33"/>
      <c r="C879" s="33"/>
      <c r="D879" s="33"/>
      <c r="E879" s="33"/>
      <c r="F879" s="33"/>
      <c r="G879" s="33"/>
      <c r="H879" s="34"/>
      <c r="I879" s="55"/>
      <c r="J879" s="55"/>
      <c r="K879" s="33"/>
      <c r="L879" s="33"/>
      <c r="M879" s="6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</row>
    <row r="880" spans="1:31" ht="14.25" customHeight="1">
      <c r="A880" s="1"/>
      <c r="B880" s="33"/>
      <c r="C880" s="33"/>
      <c r="D880" s="33"/>
      <c r="E880" s="33"/>
      <c r="F880" s="33"/>
      <c r="G880" s="33"/>
      <c r="H880" s="34"/>
      <c r="I880" s="55"/>
      <c r="J880" s="55"/>
      <c r="K880" s="33"/>
      <c r="L880" s="33"/>
      <c r="M880" s="6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</row>
    <row r="881" spans="1:31" ht="14.25" customHeight="1">
      <c r="A881" s="1"/>
      <c r="B881" s="33"/>
      <c r="C881" s="33"/>
      <c r="D881" s="33"/>
      <c r="E881" s="33"/>
      <c r="F881" s="33"/>
      <c r="G881" s="33"/>
      <c r="H881" s="34"/>
      <c r="I881" s="55"/>
      <c r="J881" s="55"/>
      <c r="K881" s="33"/>
      <c r="L881" s="33"/>
      <c r="M881" s="6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</row>
    <row r="882" spans="1:31" ht="14.25" customHeight="1">
      <c r="A882" s="1"/>
      <c r="B882" s="33"/>
      <c r="C882" s="33"/>
      <c r="D882" s="33"/>
      <c r="E882" s="33"/>
      <c r="F882" s="33"/>
      <c r="G882" s="33"/>
      <c r="H882" s="34"/>
      <c r="I882" s="55"/>
      <c r="J882" s="55"/>
      <c r="K882" s="33"/>
      <c r="L882" s="33"/>
      <c r="M882" s="6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</row>
    <row r="883" spans="1:31" ht="14.25" customHeight="1">
      <c r="A883" s="1"/>
      <c r="B883" s="33"/>
      <c r="C883" s="33"/>
      <c r="D883" s="33"/>
      <c r="E883" s="33"/>
      <c r="F883" s="33"/>
      <c r="G883" s="33"/>
      <c r="H883" s="34"/>
      <c r="I883" s="55"/>
      <c r="J883" s="55"/>
      <c r="K883" s="33"/>
      <c r="L883" s="33"/>
      <c r="M883" s="6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</row>
    <row r="884" spans="1:31" ht="14.25" customHeight="1">
      <c r="A884" s="1"/>
      <c r="B884" s="33"/>
      <c r="C884" s="33"/>
      <c r="D884" s="33"/>
      <c r="E884" s="33"/>
      <c r="F884" s="33"/>
      <c r="G884" s="33"/>
      <c r="H884" s="34"/>
      <c r="I884" s="55"/>
      <c r="J884" s="55"/>
      <c r="K884" s="33"/>
      <c r="L884" s="33"/>
      <c r="M884" s="6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</row>
    <row r="885" spans="1:31" ht="14.25" customHeight="1">
      <c r="A885" s="1"/>
      <c r="B885" s="33"/>
      <c r="C885" s="33"/>
      <c r="D885" s="33"/>
      <c r="E885" s="33"/>
      <c r="F885" s="33"/>
      <c r="G885" s="33"/>
      <c r="H885" s="34"/>
      <c r="I885" s="55"/>
      <c r="J885" s="55"/>
      <c r="K885" s="33"/>
      <c r="L885" s="33"/>
      <c r="M885" s="6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</row>
    <row r="886" spans="1:31" ht="14.25" customHeight="1">
      <c r="A886" s="1"/>
      <c r="B886" s="33"/>
      <c r="C886" s="33"/>
      <c r="D886" s="33"/>
      <c r="E886" s="33"/>
      <c r="F886" s="33"/>
      <c r="G886" s="33"/>
      <c r="H886" s="34"/>
      <c r="I886" s="55"/>
      <c r="J886" s="55"/>
      <c r="K886" s="33"/>
      <c r="L886" s="33"/>
      <c r="M886" s="6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</row>
    <row r="887" spans="1:31" ht="14.25" customHeight="1">
      <c r="A887" s="1"/>
      <c r="B887" s="33"/>
      <c r="C887" s="33"/>
      <c r="D887" s="33"/>
      <c r="E887" s="33"/>
      <c r="F887" s="33"/>
      <c r="G887" s="33"/>
      <c r="H887" s="34"/>
      <c r="I887" s="55"/>
      <c r="J887" s="55"/>
      <c r="K887" s="33"/>
      <c r="L887" s="33"/>
      <c r="M887" s="6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</row>
    <row r="888" spans="1:31" ht="14.25" customHeight="1">
      <c r="A888" s="1"/>
      <c r="B888" s="33"/>
      <c r="C888" s="33"/>
      <c r="D888" s="33"/>
      <c r="E888" s="33"/>
      <c r="F888" s="33"/>
      <c r="G888" s="33"/>
      <c r="H888" s="34"/>
      <c r="I888" s="55"/>
      <c r="J888" s="55"/>
      <c r="K888" s="33"/>
      <c r="L888" s="33"/>
      <c r="M888" s="6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</row>
    <row r="889" spans="1:31" ht="14.25" customHeight="1">
      <c r="A889" s="1"/>
      <c r="B889" s="33"/>
      <c r="C889" s="33"/>
      <c r="D889" s="33"/>
      <c r="E889" s="33"/>
      <c r="F889" s="33"/>
      <c r="G889" s="33"/>
      <c r="H889" s="34"/>
      <c r="I889" s="55"/>
      <c r="J889" s="55"/>
      <c r="K889" s="33"/>
      <c r="L889" s="33"/>
      <c r="M889" s="6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</row>
    <row r="890" spans="1:31" ht="14.25" customHeight="1">
      <c r="A890" s="1"/>
      <c r="B890" s="33"/>
      <c r="C890" s="33"/>
      <c r="D890" s="33"/>
      <c r="E890" s="33"/>
      <c r="F890" s="33"/>
      <c r="G890" s="33"/>
      <c r="H890" s="34"/>
      <c r="I890" s="55"/>
      <c r="J890" s="55"/>
      <c r="K890" s="33"/>
      <c r="L890" s="33"/>
      <c r="M890" s="6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</row>
    <row r="891" spans="1:31" ht="14.25" customHeight="1">
      <c r="A891" s="1"/>
      <c r="B891" s="33"/>
      <c r="C891" s="33"/>
      <c r="D891" s="33"/>
      <c r="E891" s="33"/>
      <c r="F891" s="33"/>
      <c r="G891" s="33"/>
      <c r="H891" s="34"/>
      <c r="I891" s="55"/>
      <c r="J891" s="55"/>
      <c r="K891" s="33"/>
      <c r="L891" s="33"/>
      <c r="M891" s="6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</row>
    <row r="892" spans="1:31" ht="14.25" customHeight="1">
      <c r="A892" s="1"/>
      <c r="B892" s="33"/>
      <c r="C892" s="33"/>
      <c r="D892" s="33"/>
      <c r="E892" s="33"/>
      <c r="F892" s="33"/>
      <c r="G892" s="33"/>
      <c r="H892" s="34"/>
      <c r="I892" s="55"/>
      <c r="J892" s="55"/>
      <c r="K892" s="33"/>
      <c r="L892" s="33"/>
      <c r="M892" s="6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</row>
    <row r="893" spans="1:31" ht="14.25" customHeight="1">
      <c r="A893" s="1"/>
      <c r="B893" s="33"/>
      <c r="C893" s="33"/>
      <c r="D893" s="33"/>
      <c r="E893" s="33"/>
      <c r="F893" s="33"/>
      <c r="G893" s="33"/>
      <c r="H893" s="34"/>
      <c r="I893" s="55"/>
      <c r="J893" s="55"/>
      <c r="K893" s="33"/>
      <c r="L893" s="33"/>
      <c r="M893" s="6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</row>
    <row r="894" spans="1:31" ht="14.25" customHeight="1">
      <c r="A894" s="1"/>
      <c r="B894" s="33"/>
      <c r="C894" s="33"/>
      <c r="D894" s="33"/>
      <c r="E894" s="33"/>
      <c r="F894" s="33"/>
      <c r="G894" s="33"/>
      <c r="H894" s="34"/>
      <c r="I894" s="55"/>
      <c r="J894" s="55"/>
      <c r="K894" s="33"/>
      <c r="L894" s="33"/>
      <c r="M894" s="6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</row>
    <row r="895" spans="1:31" ht="14.25" customHeight="1">
      <c r="A895" s="1"/>
      <c r="B895" s="33"/>
      <c r="C895" s="33"/>
      <c r="D895" s="33"/>
      <c r="E895" s="33"/>
      <c r="F895" s="33"/>
      <c r="G895" s="33"/>
      <c r="H895" s="34"/>
      <c r="I895" s="55"/>
      <c r="J895" s="55"/>
      <c r="K895" s="33"/>
      <c r="L895" s="33"/>
      <c r="M895" s="6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</row>
    <row r="896" spans="1:31" ht="14.25" customHeight="1">
      <c r="A896" s="1"/>
      <c r="B896" s="33"/>
      <c r="C896" s="33"/>
      <c r="D896" s="33"/>
      <c r="E896" s="33"/>
      <c r="F896" s="33"/>
      <c r="G896" s="33"/>
      <c r="H896" s="34"/>
      <c r="I896" s="55"/>
      <c r="J896" s="55"/>
      <c r="K896" s="33"/>
      <c r="L896" s="33"/>
      <c r="M896" s="6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</row>
    <row r="897" spans="1:31" ht="14.25" customHeight="1">
      <c r="A897" s="1"/>
      <c r="B897" s="33"/>
      <c r="C897" s="33"/>
      <c r="D897" s="33"/>
      <c r="E897" s="33"/>
      <c r="F897" s="33"/>
      <c r="G897" s="33"/>
      <c r="H897" s="34"/>
      <c r="I897" s="55"/>
      <c r="J897" s="55"/>
      <c r="K897" s="33"/>
      <c r="L897" s="33"/>
      <c r="M897" s="6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</row>
    <row r="898" spans="1:31" ht="14.25" customHeight="1">
      <c r="A898" s="1"/>
      <c r="B898" s="33"/>
      <c r="C898" s="33"/>
      <c r="D898" s="33"/>
      <c r="E898" s="33"/>
      <c r="F898" s="33"/>
      <c r="G898" s="33"/>
      <c r="H898" s="34"/>
      <c r="I898" s="55"/>
      <c r="J898" s="55"/>
      <c r="K898" s="33"/>
      <c r="L898" s="33"/>
      <c r="M898" s="6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</row>
    <row r="899" spans="1:31" ht="14.25" customHeight="1">
      <c r="A899" s="1"/>
      <c r="B899" s="33"/>
      <c r="C899" s="33"/>
      <c r="D899" s="33"/>
      <c r="E899" s="33"/>
      <c r="F899" s="33"/>
      <c r="G899" s="33"/>
      <c r="H899" s="34"/>
      <c r="I899" s="55"/>
      <c r="J899" s="55"/>
      <c r="K899" s="33"/>
      <c r="L899" s="33"/>
      <c r="M899" s="6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</row>
    <row r="900" spans="1:31" ht="14.25" customHeight="1">
      <c r="A900" s="1"/>
      <c r="B900" s="33"/>
      <c r="C900" s="33"/>
      <c r="D900" s="33"/>
      <c r="E900" s="33"/>
      <c r="F900" s="33"/>
      <c r="G900" s="33"/>
      <c r="H900" s="34"/>
      <c r="I900" s="55"/>
      <c r="J900" s="55"/>
      <c r="K900" s="33"/>
      <c r="L900" s="33"/>
      <c r="M900" s="6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</row>
    <row r="901" spans="1:31" ht="14.25" customHeight="1">
      <c r="A901" s="1"/>
      <c r="B901" s="33"/>
      <c r="C901" s="33"/>
      <c r="D901" s="33"/>
      <c r="E901" s="33"/>
      <c r="F901" s="33"/>
      <c r="G901" s="33"/>
      <c r="H901" s="34"/>
      <c r="I901" s="55"/>
      <c r="J901" s="55"/>
      <c r="K901" s="33"/>
      <c r="L901" s="33"/>
      <c r="M901" s="6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</row>
    <row r="902" spans="1:31" ht="14.25" customHeight="1">
      <c r="A902" s="1"/>
      <c r="B902" s="33"/>
      <c r="C902" s="33"/>
      <c r="D902" s="33"/>
      <c r="E902" s="33"/>
      <c r="F902" s="33"/>
      <c r="G902" s="33"/>
      <c r="H902" s="34"/>
      <c r="I902" s="55"/>
      <c r="J902" s="55"/>
      <c r="K902" s="33"/>
      <c r="L902" s="33"/>
      <c r="M902" s="6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</row>
    <row r="903" spans="1:31" ht="14.25" customHeight="1">
      <c r="A903" s="1"/>
      <c r="B903" s="33"/>
      <c r="C903" s="33"/>
      <c r="D903" s="33"/>
      <c r="E903" s="33"/>
      <c r="F903" s="33"/>
      <c r="G903" s="33"/>
      <c r="H903" s="34"/>
      <c r="I903" s="55"/>
      <c r="J903" s="55"/>
      <c r="K903" s="33"/>
      <c r="L903" s="33"/>
      <c r="M903" s="6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</row>
    <row r="904" spans="1:31" ht="14.25" customHeight="1">
      <c r="A904" s="1"/>
      <c r="B904" s="33"/>
      <c r="C904" s="33"/>
      <c r="D904" s="33"/>
      <c r="E904" s="33"/>
      <c r="F904" s="33"/>
      <c r="G904" s="33"/>
      <c r="H904" s="34"/>
      <c r="I904" s="55"/>
      <c r="J904" s="55"/>
      <c r="K904" s="33"/>
      <c r="L904" s="33"/>
      <c r="M904" s="6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</row>
    <row r="905" spans="1:31" ht="14.25" customHeight="1">
      <c r="A905" s="1"/>
      <c r="B905" s="33"/>
      <c r="C905" s="33"/>
      <c r="D905" s="33"/>
      <c r="E905" s="33"/>
      <c r="F905" s="33"/>
      <c r="G905" s="33"/>
      <c r="H905" s="34"/>
      <c r="I905" s="55"/>
      <c r="J905" s="55"/>
      <c r="K905" s="33"/>
      <c r="L905" s="33"/>
      <c r="M905" s="6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</row>
    <row r="906" spans="1:31" ht="14.25" customHeight="1">
      <c r="A906" s="1"/>
      <c r="B906" s="33"/>
      <c r="C906" s="33"/>
      <c r="D906" s="33"/>
      <c r="E906" s="33"/>
      <c r="F906" s="33"/>
      <c r="G906" s="33"/>
      <c r="H906" s="34"/>
      <c r="I906" s="55"/>
      <c r="J906" s="55"/>
      <c r="K906" s="33"/>
      <c r="L906" s="33"/>
      <c r="M906" s="6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</row>
    <row r="907" spans="1:31" ht="14.25" customHeight="1">
      <c r="A907" s="1"/>
      <c r="B907" s="33"/>
      <c r="C907" s="33"/>
      <c r="D907" s="33"/>
      <c r="E907" s="33"/>
      <c r="F907" s="33"/>
      <c r="G907" s="33"/>
      <c r="H907" s="34"/>
      <c r="I907" s="55"/>
      <c r="J907" s="55"/>
      <c r="K907" s="33"/>
      <c r="L907" s="33"/>
      <c r="M907" s="6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</row>
    <row r="908" spans="1:31" ht="14.25" customHeight="1">
      <c r="A908" s="1"/>
      <c r="B908" s="33"/>
      <c r="C908" s="33"/>
      <c r="D908" s="33"/>
      <c r="E908" s="33"/>
      <c r="F908" s="33"/>
      <c r="G908" s="33"/>
      <c r="H908" s="34"/>
      <c r="I908" s="55"/>
      <c r="J908" s="55"/>
      <c r="K908" s="33"/>
      <c r="L908" s="33"/>
      <c r="M908" s="6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</row>
    <row r="909" spans="1:31" ht="14.25" customHeight="1">
      <c r="A909" s="1"/>
      <c r="B909" s="33"/>
      <c r="C909" s="33"/>
      <c r="D909" s="33"/>
      <c r="E909" s="33"/>
      <c r="F909" s="33"/>
      <c r="G909" s="33"/>
      <c r="H909" s="34"/>
      <c r="I909" s="55"/>
      <c r="J909" s="55"/>
      <c r="K909" s="33"/>
      <c r="L909" s="33"/>
      <c r="M909" s="6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</row>
    <row r="910" spans="1:31" ht="14.25" customHeight="1">
      <c r="A910" s="1"/>
      <c r="B910" s="33"/>
      <c r="C910" s="33"/>
      <c r="D910" s="33"/>
      <c r="E910" s="33"/>
      <c r="F910" s="33"/>
      <c r="G910" s="33"/>
      <c r="H910" s="34"/>
      <c r="I910" s="55"/>
      <c r="J910" s="55"/>
      <c r="K910" s="33"/>
      <c r="L910" s="33"/>
      <c r="M910" s="6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</row>
    <row r="911" spans="1:31" ht="14.25" customHeight="1">
      <c r="A911" s="1"/>
      <c r="B911" s="33"/>
      <c r="C911" s="33"/>
      <c r="D911" s="33"/>
      <c r="E911" s="33"/>
      <c r="F911" s="33"/>
      <c r="G911" s="33"/>
      <c r="H911" s="34"/>
      <c r="I911" s="55"/>
      <c r="J911" s="55"/>
      <c r="K911" s="33"/>
      <c r="L911" s="33"/>
      <c r="M911" s="6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</row>
    <row r="912" spans="1:31" ht="14.25" customHeight="1">
      <c r="A912" s="1"/>
      <c r="B912" s="33"/>
      <c r="C912" s="33"/>
      <c r="D912" s="33"/>
      <c r="E912" s="33"/>
      <c r="F912" s="33"/>
      <c r="G912" s="33"/>
      <c r="H912" s="34"/>
      <c r="I912" s="55"/>
      <c r="J912" s="55"/>
      <c r="K912" s="33"/>
      <c r="L912" s="33"/>
      <c r="M912" s="6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</row>
    <row r="913" spans="1:31" ht="14.25" customHeight="1">
      <c r="A913" s="1"/>
      <c r="B913" s="33"/>
      <c r="C913" s="33"/>
      <c r="D913" s="33"/>
      <c r="E913" s="33"/>
      <c r="F913" s="33"/>
      <c r="G913" s="33"/>
      <c r="H913" s="34"/>
      <c r="I913" s="55"/>
      <c r="J913" s="55"/>
      <c r="K913" s="33"/>
      <c r="L913" s="33"/>
      <c r="M913" s="6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</row>
    <row r="914" spans="1:31" ht="14.25" customHeight="1">
      <c r="A914" s="1"/>
      <c r="B914" s="33"/>
      <c r="C914" s="33"/>
      <c r="D914" s="33"/>
      <c r="E914" s="33"/>
      <c r="F914" s="33"/>
      <c r="G914" s="33"/>
      <c r="H914" s="34"/>
      <c r="I914" s="55"/>
      <c r="J914" s="55"/>
      <c r="K914" s="33"/>
      <c r="L914" s="33"/>
      <c r="M914" s="6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</row>
    <row r="915" spans="1:31" ht="14.25" customHeight="1">
      <c r="A915" s="1"/>
      <c r="B915" s="33"/>
      <c r="C915" s="33"/>
      <c r="D915" s="33"/>
      <c r="E915" s="33"/>
      <c r="F915" s="33"/>
      <c r="G915" s="33"/>
      <c r="H915" s="34"/>
      <c r="I915" s="55"/>
      <c r="J915" s="55"/>
      <c r="K915" s="33"/>
      <c r="L915" s="33"/>
      <c r="M915" s="6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</row>
    <row r="916" spans="1:31" ht="14.25" customHeight="1">
      <c r="A916" s="1"/>
      <c r="B916" s="33"/>
      <c r="C916" s="33"/>
      <c r="D916" s="33"/>
      <c r="E916" s="33"/>
      <c r="F916" s="33"/>
      <c r="G916" s="33"/>
      <c r="H916" s="34"/>
      <c r="I916" s="55"/>
      <c r="J916" s="55"/>
      <c r="K916" s="33"/>
      <c r="L916" s="33"/>
      <c r="M916" s="6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</row>
    <row r="917" spans="1:31" ht="14.25" customHeight="1">
      <c r="A917" s="1"/>
      <c r="B917" s="33"/>
      <c r="C917" s="33"/>
      <c r="D917" s="33"/>
      <c r="E917" s="33"/>
      <c r="F917" s="33"/>
      <c r="G917" s="33"/>
      <c r="H917" s="34"/>
      <c r="I917" s="55"/>
      <c r="J917" s="55"/>
      <c r="K917" s="33"/>
      <c r="L917" s="33"/>
      <c r="M917" s="6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</row>
    <row r="918" spans="1:31" ht="14.25" customHeight="1">
      <c r="A918" s="1"/>
      <c r="B918" s="33"/>
      <c r="C918" s="33"/>
      <c r="D918" s="33"/>
      <c r="E918" s="33"/>
      <c r="F918" s="33"/>
      <c r="G918" s="33"/>
      <c r="H918" s="34"/>
      <c r="I918" s="55"/>
      <c r="J918" s="55"/>
      <c r="K918" s="33"/>
      <c r="L918" s="33"/>
      <c r="M918" s="6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</row>
    <row r="919" spans="1:31" ht="14.25" customHeight="1">
      <c r="A919" s="1"/>
      <c r="B919" s="33"/>
      <c r="C919" s="33"/>
      <c r="D919" s="33"/>
      <c r="E919" s="33"/>
      <c r="F919" s="33"/>
      <c r="G919" s="33"/>
      <c r="H919" s="34"/>
      <c r="I919" s="55"/>
      <c r="J919" s="55"/>
      <c r="K919" s="33"/>
      <c r="L919" s="33"/>
      <c r="M919" s="6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</row>
    <row r="920" spans="1:31" ht="14.25" customHeight="1">
      <c r="A920" s="1"/>
      <c r="B920" s="33"/>
      <c r="C920" s="33"/>
      <c r="D920" s="33"/>
      <c r="E920" s="33"/>
      <c r="F920" s="33"/>
      <c r="G920" s="33"/>
      <c r="H920" s="34"/>
      <c r="I920" s="55"/>
      <c r="J920" s="55"/>
      <c r="K920" s="33"/>
      <c r="L920" s="33"/>
      <c r="M920" s="6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</row>
    <row r="921" spans="1:31" ht="14.25" customHeight="1">
      <c r="A921" s="1"/>
      <c r="B921" s="33"/>
      <c r="C921" s="33"/>
      <c r="D921" s="33"/>
      <c r="E921" s="33"/>
      <c r="F921" s="33"/>
      <c r="G921" s="33"/>
      <c r="H921" s="34"/>
      <c r="I921" s="55"/>
      <c r="J921" s="55"/>
      <c r="K921" s="33"/>
      <c r="L921" s="33"/>
      <c r="M921" s="6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</row>
    <row r="922" spans="1:31" ht="14.25" customHeight="1">
      <c r="A922" s="1"/>
      <c r="B922" s="33"/>
      <c r="C922" s="33"/>
      <c r="D922" s="33"/>
      <c r="E922" s="33"/>
      <c r="F922" s="33"/>
      <c r="G922" s="33"/>
      <c r="H922" s="34"/>
      <c r="I922" s="55"/>
      <c r="J922" s="55"/>
      <c r="K922" s="33"/>
      <c r="L922" s="33"/>
      <c r="M922" s="6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</row>
    <row r="923" spans="1:31" ht="14.25" customHeight="1">
      <c r="A923" s="1"/>
      <c r="B923" s="33"/>
      <c r="C923" s="33"/>
      <c r="D923" s="33"/>
      <c r="E923" s="33"/>
      <c r="F923" s="33"/>
      <c r="G923" s="33"/>
      <c r="H923" s="34"/>
      <c r="I923" s="55"/>
      <c r="J923" s="55"/>
      <c r="K923" s="33"/>
      <c r="L923" s="33"/>
      <c r="M923" s="6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</row>
    <row r="924" spans="1:31" ht="14.25" customHeight="1">
      <c r="A924" s="1"/>
      <c r="B924" s="33"/>
      <c r="C924" s="33"/>
      <c r="D924" s="33"/>
      <c r="E924" s="33"/>
      <c r="F924" s="33"/>
      <c r="G924" s="33"/>
      <c r="H924" s="34"/>
      <c r="I924" s="55"/>
      <c r="J924" s="55"/>
      <c r="K924" s="33"/>
      <c r="L924" s="33"/>
      <c r="M924" s="6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</row>
    <row r="925" spans="1:31" ht="14.25" customHeight="1">
      <c r="A925" s="1"/>
      <c r="B925" s="33"/>
      <c r="C925" s="33"/>
      <c r="D925" s="33"/>
      <c r="E925" s="33"/>
      <c r="F925" s="33"/>
      <c r="G925" s="33"/>
      <c r="H925" s="34"/>
      <c r="I925" s="55"/>
      <c r="J925" s="55"/>
      <c r="K925" s="33"/>
      <c r="L925" s="33"/>
      <c r="M925" s="6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</row>
    <row r="926" spans="1:31" ht="14.25" customHeight="1">
      <c r="A926" s="1"/>
      <c r="B926" s="33"/>
      <c r="C926" s="33"/>
      <c r="D926" s="33"/>
      <c r="E926" s="33"/>
      <c r="F926" s="33"/>
      <c r="G926" s="33"/>
      <c r="H926" s="34"/>
      <c r="I926" s="55"/>
      <c r="J926" s="55"/>
      <c r="K926" s="33"/>
      <c r="L926" s="33"/>
      <c r="M926" s="6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</row>
    <row r="927" spans="1:31" ht="14.25" customHeight="1">
      <c r="A927" s="1"/>
      <c r="B927" s="33"/>
      <c r="C927" s="33"/>
      <c r="D927" s="33"/>
      <c r="E927" s="33"/>
      <c r="F927" s="33"/>
      <c r="G927" s="33"/>
      <c r="H927" s="34"/>
      <c r="I927" s="55"/>
      <c r="J927" s="55"/>
      <c r="K927" s="33"/>
      <c r="L927" s="33"/>
      <c r="M927" s="6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</row>
    <row r="928" spans="1:31" ht="14.25" customHeight="1">
      <c r="A928" s="1"/>
      <c r="B928" s="33"/>
      <c r="C928" s="33"/>
      <c r="D928" s="33"/>
      <c r="E928" s="33"/>
      <c r="F928" s="33"/>
      <c r="G928" s="33"/>
      <c r="H928" s="34"/>
      <c r="I928" s="55"/>
      <c r="J928" s="55"/>
      <c r="K928" s="33"/>
      <c r="L928" s="33"/>
      <c r="M928" s="6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</row>
    <row r="929" spans="1:31" ht="14.25" customHeight="1">
      <c r="A929" s="1"/>
      <c r="B929" s="33"/>
      <c r="C929" s="33"/>
      <c r="D929" s="33"/>
      <c r="E929" s="33"/>
      <c r="F929" s="33"/>
      <c r="G929" s="33"/>
      <c r="H929" s="34"/>
      <c r="I929" s="55"/>
      <c r="J929" s="55"/>
      <c r="K929" s="33"/>
      <c r="L929" s="33"/>
      <c r="M929" s="6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</row>
    <row r="930" spans="1:31" ht="14.25" customHeight="1">
      <c r="A930" s="1"/>
      <c r="B930" s="33"/>
      <c r="C930" s="33"/>
      <c r="D930" s="33"/>
      <c r="E930" s="33"/>
      <c r="F930" s="33"/>
      <c r="G930" s="33"/>
      <c r="H930" s="34"/>
      <c r="I930" s="55"/>
      <c r="J930" s="55"/>
      <c r="K930" s="33"/>
      <c r="L930" s="33"/>
      <c r="M930" s="6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</row>
    <row r="931" spans="1:31" ht="14.25" customHeight="1">
      <c r="A931" s="1"/>
      <c r="B931" s="33"/>
      <c r="C931" s="33"/>
      <c r="D931" s="33"/>
      <c r="E931" s="33"/>
      <c r="F931" s="33"/>
      <c r="G931" s="33"/>
      <c r="H931" s="34"/>
      <c r="I931" s="55"/>
      <c r="J931" s="55"/>
      <c r="K931" s="33"/>
      <c r="L931" s="33"/>
      <c r="M931" s="6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</row>
    <row r="932" spans="1:31" ht="14.25" customHeight="1">
      <c r="A932" s="1"/>
      <c r="B932" s="33"/>
      <c r="C932" s="33"/>
      <c r="D932" s="33"/>
      <c r="E932" s="33"/>
      <c r="F932" s="33"/>
      <c r="G932" s="33"/>
      <c r="H932" s="34"/>
      <c r="I932" s="55"/>
      <c r="J932" s="55"/>
      <c r="K932" s="33"/>
      <c r="L932" s="33"/>
      <c r="M932" s="6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</row>
    <row r="933" spans="1:31" ht="14.25" customHeight="1">
      <c r="A933" s="1"/>
      <c r="B933" s="33"/>
      <c r="C933" s="33"/>
      <c r="D933" s="33"/>
      <c r="E933" s="33"/>
      <c r="F933" s="33"/>
      <c r="G933" s="33"/>
      <c r="H933" s="34"/>
      <c r="I933" s="55"/>
      <c r="J933" s="55"/>
      <c r="K933" s="33"/>
      <c r="L933" s="33"/>
      <c r="M933" s="6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</row>
    <row r="934" spans="1:31" ht="14.25" customHeight="1">
      <c r="A934" s="1"/>
      <c r="B934" s="33"/>
      <c r="C934" s="33"/>
      <c r="D934" s="33"/>
      <c r="E934" s="33"/>
      <c r="F934" s="33"/>
      <c r="G934" s="33"/>
      <c r="H934" s="34"/>
      <c r="I934" s="55"/>
      <c r="J934" s="55"/>
      <c r="K934" s="33"/>
      <c r="L934" s="33"/>
      <c r="M934" s="6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</row>
    <row r="935" spans="1:31" ht="14.25" customHeight="1">
      <c r="A935" s="1"/>
      <c r="B935" s="33"/>
      <c r="C935" s="33"/>
      <c r="D935" s="33"/>
      <c r="E935" s="33"/>
      <c r="F935" s="33"/>
      <c r="G935" s="33"/>
      <c r="H935" s="34"/>
      <c r="I935" s="55"/>
      <c r="J935" s="55"/>
      <c r="K935" s="33"/>
      <c r="L935" s="33"/>
      <c r="M935" s="6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</row>
    <row r="936" spans="1:31" ht="14.25" customHeight="1">
      <c r="A936" s="1"/>
      <c r="B936" s="33"/>
      <c r="C936" s="33"/>
      <c r="D936" s="33"/>
      <c r="E936" s="33"/>
      <c r="F936" s="33"/>
      <c r="G936" s="33"/>
      <c r="H936" s="34"/>
      <c r="I936" s="55"/>
      <c r="J936" s="55"/>
      <c r="K936" s="33"/>
      <c r="L936" s="33"/>
      <c r="M936" s="6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</row>
    <row r="937" spans="1:31" ht="14.25" customHeight="1">
      <c r="A937" s="1"/>
      <c r="B937" s="33"/>
      <c r="C937" s="33"/>
      <c r="D937" s="33"/>
      <c r="E937" s="33"/>
      <c r="F937" s="33"/>
      <c r="G937" s="33"/>
      <c r="H937" s="34"/>
      <c r="I937" s="55"/>
      <c r="J937" s="55"/>
      <c r="K937" s="33"/>
      <c r="L937" s="33"/>
      <c r="M937" s="6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</row>
    <row r="938" spans="1:31" ht="14.25" customHeight="1">
      <c r="A938" s="1"/>
      <c r="B938" s="33"/>
      <c r="C938" s="33"/>
      <c r="D938" s="33"/>
      <c r="E938" s="33"/>
      <c r="F938" s="33"/>
      <c r="G938" s="33"/>
      <c r="H938" s="34"/>
      <c r="I938" s="55"/>
      <c r="J938" s="55"/>
      <c r="K938" s="33"/>
      <c r="L938" s="33"/>
      <c r="M938" s="6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</row>
    <row r="939" spans="1:31" ht="14.25" customHeight="1">
      <c r="A939" s="1"/>
      <c r="B939" s="33"/>
      <c r="C939" s="33"/>
      <c r="D939" s="33"/>
      <c r="E939" s="33"/>
      <c r="F939" s="33"/>
      <c r="G939" s="33"/>
      <c r="H939" s="34"/>
      <c r="I939" s="55"/>
      <c r="J939" s="55"/>
      <c r="K939" s="33"/>
      <c r="L939" s="33"/>
      <c r="M939" s="6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</row>
    <row r="940" spans="1:31" ht="14.25" customHeight="1">
      <c r="A940" s="1"/>
      <c r="B940" s="33"/>
      <c r="C940" s="33"/>
      <c r="D940" s="33"/>
      <c r="E940" s="33"/>
      <c r="F940" s="33"/>
      <c r="G940" s="33"/>
      <c r="H940" s="34"/>
      <c r="I940" s="55"/>
      <c r="J940" s="55"/>
      <c r="K940" s="33"/>
      <c r="L940" s="33"/>
      <c r="M940" s="6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</row>
    <row r="941" spans="1:31" ht="14.25" customHeight="1">
      <c r="A941" s="1"/>
      <c r="B941" s="33"/>
      <c r="C941" s="33"/>
      <c r="D941" s="33"/>
      <c r="E941" s="33"/>
      <c r="F941" s="33"/>
      <c r="G941" s="33"/>
      <c r="H941" s="34"/>
      <c r="I941" s="55"/>
      <c r="J941" s="55"/>
      <c r="K941" s="33"/>
      <c r="L941" s="33"/>
      <c r="M941" s="6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</row>
    <row r="942" spans="1:31" ht="14.25" customHeight="1">
      <c r="A942" s="1"/>
      <c r="B942" s="33"/>
      <c r="C942" s="33"/>
      <c r="D942" s="33"/>
      <c r="E942" s="33"/>
      <c r="F942" s="33"/>
      <c r="G942" s="33"/>
      <c r="H942" s="34"/>
      <c r="I942" s="55"/>
      <c r="J942" s="55"/>
      <c r="K942" s="33"/>
      <c r="L942" s="33"/>
      <c r="M942" s="6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</row>
    <row r="943" spans="1:31" ht="14.25" customHeight="1">
      <c r="A943" s="1"/>
      <c r="B943" s="33"/>
      <c r="C943" s="33"/>
      <c r="D943" s="33"/>
      <c r="E943" s="33"/>
      <c r="F943" s="33"/>
      <c r="G943" s="33"/>
      <c r="H943" s="34"/>
      <c r="I943" s="55"/>
      <c r="J943" s="55"/>
      <c r="K943" s="33"/>
      <c r="L943" s="33"/>
      <c r="M943" s="6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</row>
    <row r="944" spans="1:31" ht="14.25" customHeight="1">
      <c r="A944" s="1"/>
      <c r="B944" s="33"/>
      <c r="C944" s="33"/>
      <c r="D944" s="33"/>
      <c r="E944" s="33"/>
      <c r="F944" s="33"/>
      <c r="G944" s="33"/>
      <c r="H944" s="34"/>
      <c r="I944" s="55"/>
      <c r="J944" s="55"/>
      <c r="K944" s="33"/>
      <c r="L944" s="33"/>
      <c r="M944" s="6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</row>
    <row r="945" spans="1:31" ht="14.25" customHeight="1">
      <c r="A945" s="1"/>
      <c r="B945" s="33"/>
      <c r="C945" s="33"/>
      <c r="D945" s="33"/>
      <c r="E945" s="33"/>
      <c r="F945" s="33"/>
      <c r="G945" s="33"/>
      <c r="H945" s="34"/>
      <c r="I945" s="55"/>
      <c r="J945" s="55"/>
      <c r="K945" s="33"/>
      <c r="L945" s="33"/>
      <c r="M945" s="6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</row>
    <row r="946" spans="1:31" ht="14.25" customHeight="1">
      <c r="A946" s="1"/>
      <c r="B946" s="33"/>
      <c r="C946" s="33"/>
      <c r="D946" s="33"/>
      <c r="E946" s="33"/>
      <c r="F946" s="33"/>
      <c r="G946" s="33"/>
      <c r="H946" s="34"/>
      <c r="I946" s="55"/>
      <c r="J946" s="55"/>
      <c r="K946" s="33"/>
      <c r="L946" s="33"/>
      <c r="M946" s="6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</row>
    <row r="947" spans="1:31" ht="14.25" customHeight="1">
      <c r="A947" s="1"/>
      <c r="B947" s="33"/>
      <c r="C947" s="33"/>
      <c r="D947" s="33"/>
      <c r="E947" s="33"/>
      <c r="F947" s="33"/>
      <c r="G947" s="33"/>
      <c r="H947" s="34"/>
      <c r="I947" s="55"/>
      <c r="J947" s="55"/>
      <c r="K947" s="33"/>
      <c r="L947" s="33"/>
      <c r="M947" s="6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</row>
    <row r="948" spans="1:31" ht="14.25" customHeight="1">
      <c r="A948" s="1"/>
      <c r="B948" s="33"/>
      <c r="C948" s="33"/>
      <c r="D948" s="33"/>
      <c r="E948" s="33"/>
      <c r="F948" s="33"/>
      <c r="G948" s="33"/>
      <c r="H948" s="34"/>
      <c r="I948" s="55"/>
      <c r="J948" s="55"/>
      <c r="K948" s="33"/>
      <c r="L948" s="33"/>
      <c r="M948" s="6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</row>
    <row r="949" spans="1:31" ht="14.25" customHeight="1">
      <c r="A949" s="1"/>
      <c r="B949" s="33"/>
      <c r="C949" s="33"/>
      <c r="D949" s="33"/>
      <c r="E949" s="33"/>
      <c r="F949" s="33"/>
      <c r="G949" s="33"/>
      <c r="H949" s="34"/>
      <c r="I949" s="55"/>
      <c r="J949" s="55"/>
      <c r="K949" s="33"/>
      <c r="L949" s="33"/>
      <c r="M949" s="6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</row>
    <row r="950" spans="1:31" ht="14.25" customHeight="1">
      <c r="A950" s="1"/>
      <c r="B950" s="33"/>
      <c r="C950" s="33"/>
      <c r="D950" s="33"/>
      <c r="E950" s="33"/>
      <c r="F950" s="33"/>
      <c r="G950" s="33"/>
      <c r="H950" s="34"/>
      <c r="I950" s="55"/>
      <c r="J950" s="55"/>
      <c r="K950" s="33"/>
      <c r="L950" s="33"/>
      <c r="M950" s="6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</row>
    <row r="951" spans="1:31" ht="14.25" customHeight="1">
      <c r="A951" s="1"/>
      <c r="B951" s="33"/>
      <c r="C951" s="33"/>
      <c r="D951" s="33"/>
      <c r="E951" s="33"/>
      <c r="F951" s="33"/>
      <c r="G951" s="33"/>
      <c r="H951" s="34"/>
      <c r="I951" s="55"/>
      <c r="J951" s="55"/>
      <c r="K951" s="33"/>
      <c r="L951" s="33"/>
      <c r="M951" s="6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</row>
    <row r="952" spans="1:31" ht="14.25" customHeight="1">
      <c r="A952" s="1"/>
      <c r="B952" s="33"/>
      <c r="C952" s="33"/>
      <c r="D952" s="33"/>
      <c r="E952" s="33"/>
      <c r="F952" s="33"/>
      <c r="G952" s="33"/>
      <c r="H952" s="34"/>
      <c r="I952" s="55"/>
      <c r="J952" s="55"/>
      <c r="K952" s="33"/>
      <c r="L952" s="33"/>
      <c r="M952" s="6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</row>
    <row r="953" spans="1:31" ht="14.25" customHeight="1">
      <c r="A953" s="1"/>
      <c r="B953" s="33"/>
      <c r="C953" s="33"/>
      <c r="D953" s="33"/>
      <c r="E953" s="33"/>
      <c r="F953" s="33"/>
      <c r="G953" s="33"/>
      <c r="H953" s="34"/>
      <c r="I953" s="55"/>
      <c r="J953" s="55"/>
      <c r="K953" s="33"/>
      <c r="L953" s="33"/>
      <c r="M953" s="6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</row>
    <row r="954" spans="1:31" ht="14.25" customHeight="1">
      <c r="A954" s="1"/>
      <c r="B954" s="33"/>
      <c r="C954" s="33"/>
      <c r="D954" s="33"/>
      <c r="E954" s="33"/>
      <c r="F954" s="33"/>
      <c r="G954" s="33"/>
      <c r="H954" s="34"/>
      <c r="I954" s="55"/>
      <c r="J954" s="55"/>
      <c r="K954" s="33"/>
      <c r="L954" s="33"/>
      <c r="M954" s="6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</row>
    <row r="955" spans="1:31" ht="14.25" customHeight="1">
      <c r="A955" s="1"/>
      <c r="B955" s="33"/>
      <c r="C955" s="33"/>
      <c r="D955" s="33"/>
      <c r="E955" s="33"/>
      <c r="F955" s="33"/>
      <c r="G955" s="33"/>
      <c r="H955" s="34"/>
      <c r="I955" s="55"/>
      <c r="J955" s="55"/>
      <c r="K955" s="33"/>
      <c r="L955" s="33"/>
      <c r="M955" s="6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</row>
    <row r="956" spans="1:31" ht="14.25" customHeight="1">
      <c r="A956" s="1"/>
      <c r="B956" s="33"/>
      <c r="C956" s="33"/>
      <c r="D956" s="33"/>
      <c r="E956" s="33"/>
      <c r="F956" s="33"/>
      <c r="G956" s="33"/>
      <c r="H956" s="34"/>
      <c r="I956" s="55"/>
      <c r="J956" s="55"/>
      <c r="K956" s="33"/>
      <c r="L956" s="33"/>
      <c r="M956" s="6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</row>
    <row r="957" spans="1:31" ht="14.25" customHeight="1">
      <c r="A957" s="1"/>
      <c r="B957" s="33"/>
      <c r="C957" s="33"/>
      <c r="D957" s="33"/>
      <c r="E957" s="33"/>
      <c r="F957" s="33"/>
      <c r="G957" s="33"/>
      <c r="H957" s="34"/>
      <c r="I957" s="55"/>
      <c r="J957" s="55"/>
      <c r="K957" s="33"/>
      <c r="L957" s="33"/>
      <c r="M957" s="6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</row>
    <row r="958" spans="1:31" ht="14.25" customHeight="1">
      <c r="A958" s="1"/>
      <c r="B958" s="33"/>
      <c r="C958" s="33"/>
      <c r="D958" s="33"/>
      <c r="E958" s="33"/>
      <c r="F958" s="33"/>
      <c r="G958" s="33"/>
      <c r="H958" s="34"/>
      <c r="I958" s="55"/>
      <c r="J958" s="55"/>
      <c r="K958" s="33"/>
      <c r="L958" s="33"/>
      <c r="M958" s="6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</row>
    <row r="959" spans="1:31" ht="14.25" customHeight="1">
      <c r="A959" s="1"/>
      <c r="B959" s="33"/>
      <c r="C959" s="33"/>
      <c r="D959" s="33"/>
      <c r="E959" s="33"/>
      <c r="F959" s="33"/>
      <c r="G959" s="33"/>
      <c r="H959" s="34"/>
      <c r="I959" s="55"/>
      <c r="J959" s="55"/>
      <c r="K959" s="33"/>
      <c r="L959" s="33"/>
      <c r="M959" s="6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</row>
    <row r="960" spans="1:31" ht="14.25" customHeight="1">
      <c r="A960" s="1"/>
      <c r="B960" s="33"/>
      <c r="C960" s="33"/>
      <c r="D960" s="33"/>
      <c r="E960" s="33"/>
      <c r="F960" s="33"/>
      <c r="G960" s="33"/>
      <c r="H960" s="34"/>
      <c r="I960" s="55"/>
      <c r="J960" s="55"/>
      <c r="K960" s="33"/>
      <c r="L960" s="33"/>
      <c r="M960" s="6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</row>
    <row r="961" spans="1:31" ht="14.25" customHeight="1">
      <c r="A961" s="1"/>
      <c r="B961" s="33"/>
      <c r="C961" s="33"/>
      <c r="D961" s="33"/>
      <c r="E961" s="33"/>
      <c r="F961" s="33"/>
      <c r="G961" s="33"/>
      <c r="H961" s="34"/>
      <c r="I961" s="55"/>
      <c r="J961" s="55"/>
      <c r="K961" s="33"/>
      <c r="L961" s="33"/>
      <c r="M961" s="6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</row>
    <row r="962" spans="1:31" ht="14.25" customHeight="1">
      <c r="A962" s="1"/>
      <c r="B962" s="33"/>
      <c r="C962" s="33"/>
      <c r="D962" s="33"/>
      <c r="E962" s="33"/>
      <c r="F962" s="33"/>
      <c r="G962" s="33"/>
      <c r="H962" s="34"/>
      <c r="I962" s="55"/>
      <c r="J962" s="55"/>
      <c r="K962" s="33"/>
      <c r="L962" s="33"/>
      <c r="M962" s="6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</row>
    <row r="963" spans="1:31" ht="14.25" customHeight="1">
      <c r="A963" s="1"/>
      <c r="B963" s="33"/>
      <c r="C963" s="33"/>
      <c r="D963" s="33"/>
      <c r="E963" s="33"/>
      <c r="F963" s="33"/>
      <c r="G963" s="33"/>
      <c r="H963" s="34"/>
      <c r="I963" s="55"/>
      <c r="J963" s="55"/>
      <c r="K963" s="33"/>
      <c r="L963" s="33"/>
      <c r="M963" s="6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</row>
    <row r="964" spans="1:31" ht="14.25" customHeight="1">
      <c r="A964" s="1"/>
      <c r="B964" s="33"/>
      <c r="C964" s="33"/>
      <c r="D964" s="33"/>
      <c r="E964" s="33"/>
      <c r="F964" s="33"/>
      <c r="G964" s="33"/>
      <c r="H964" s="34"/>
      <c r="I964" s="55"/>
      <c r="J964" s="55"/>
      <c r="K964" s="33"/>
      <c r="L964" s="33"/>
      <c r="M964" s="6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</row>
    <row r="965" spans="1:31" ht="14.25" customHeight="1">
      <c r="A965" s="1"/>
      <c r="B965" s="33"/>
      <c r="C965" s="33"/>
      <c r="D965" s="33"/>
      <c r="E965" s="33"/>
      <c r="F965" s="33"/>
      <c r="G965" s="33"/>
      <c r="H965" s="34"/>
      <c r="I965" s="55"/>
      <c r="J965" s="55"/>
      <c r="K965" s="33"/>
      <c r="L965" s="33"/>
      <c r="M965" s="6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</row>
    <row r="966" spans="1:31" ht="14.25" customHeight="1">
      <c r="A966" s="1"/>
      <c r="B966" s="33"/>
      <c r="C966" s="33"/>
      <c r="D966" s="33"/>
      <c r="E966" s="33"/>
      <c r="F966" s="33"/>
      <c r="G966" s="33"/>
      <c r="H966" s="34"/>
      <c r="I966" s="55"/>
      <c r="J966" s="55"/>
      <c r="K966" s="33"/>
      <c r="L966" s="33"/>
      <c r="M966" s="6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</row>
    <row r="967" spans="1:31" ht="14.25" customHeight="1">
      <c r="A967" s="1"/>
      <c r="B967" s="33"/>
      <c r="C967" s="33"/>
      <c r="D967" s="33"/>
      <c r="E967" s="33"/>
      <c r="F967" s="33"/>
      <c r="G967" s="33"/>
      <c r="H967" s="34"/>
      <c r="I967" s="55"/>
      <c r="J967" s="55"/>
      <c r="K967" s="33"/>
      <c r="L967" s="33"/>
      <c r="M967" s="6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</row>
    <row r="968" spans="1:31" ht="14.25" customHeight="1">
      <c r="A968" s="1"/>
      <c r="B968" s="33"/>
      <c r="C968" s="33"/>
      <c r="D968" s="33"/>
      <c r="E968" s="33"/>
      <c r="F968" s="33"/>
      <c r="G968" s="33"/>
      <c r="H968" s="34"/>
      <c r="I968" s="55"/>
      <c r="J968" s="55"/>
      <c r="K968" s="33"/>
      <c r="L968" s="33"/>
      <c r="M968" s="6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</row>
    <row r="969" spans="1:31" ht="14.25" customHeight="1">
      <c r="A969" s="1"/>
      <c r="B969" s="33"/>
      <c r="C969" s="33"/>
      <c r="D969" s="33"/>
      <c r="E969" s="33"/>
      <c r="F969" s="33"/>
      <c r="G969" s="33"/>
      <c r="H969" s="34"/>
      <c r="I969" s="55"/>
      <c r="J969" s="55"/>
      <c r="K969" s="33"/>
      <c r="L969" s="33"/>
      <c r="M969" s="6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</row>
    <row r="970" spans="1:31" ht="14.25" customHeight="1">
      <c r="A970" s="1"/>
      <c r="B970" s="33"/>
      <c r="C970" s="33"/>
      <c r="D970" s="33"/>
      <c r="E970" s="33"/>
      <c r="F970" s="33"/>
      <c r="G970" s="33"/>
      <c r="H970" s="34"/>
      <c r="I970" s="55"/>
      <c r="J970" s="55"/>
      <c r="K970" s="33"/>
      <c r="L970" s="33"/>
      <c r="M970" s="6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</row>
    <row r="971" spans="1:31" ht="14.25" customHeight="1">
      <c r="A971" s="1"/>
      <c r="B971" s="33"/>
      <c r="C971" s="33"/>
      <c r="D971" s="33"/>
      <c r="E971" s="33"/>
      <c r="F971" s="33"/>
      <c r="G971" s="33"/>
      <c r="H971" s="34"/>
      <c r="I971" s="55"/>
      <c r="J971" s="55"/>
      <c r="K971" s="33"/>
      <c r="L971" s="33"/>
      <c r="M971" s="6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</row>
    <row r="972" spans="1:31" ht="14.25" customHeight="1">
      <c r="A972" s="1"/>
      <c r="B972" s="33"/>
      <c r="C972" s="33"/>
      <c r="D972" s="33"/>
      <c r="E972" s="33"/>
      <c r="F972" s="33"/>
      <c r="G972" s="33"/>
      <c r="H972" s="34"/>
      <c r="I972" s="55"/>
      <c r="J972" s="55"/>
      <c r="K972" s="33"/>
      <c r="L972" s="33"/>
      <c r="M972" s="6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</row>
    <row r="973" spans="1:31" ht="14.25" customHeight="1">
      <c r="A973" s="1"/>
      <c r="B973" s="33"/>
      <c r="C973" s="33"/>
      <c r="D973" s="33"/>
      <c r="E973" s="33"/>
      <c r="F973" s="33"/>
      <c r="G973" s="33"/>
      <c r="H973" s="34"/>
      <c r="I973" s="55"/>
      <c r="J973" s="55"/>
      <c r="K973" s="33"/>
      <c r="L973" s="33"/>
      <c r="M973" s="6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</row>
    <row r="974" spans="1:31" ht="14.25" customHeight="1">
      <c r="A974" s="1"/>
      <c r="B974" s="33"/>
      <c r="C974" s="33"/>
      <c r="D974" s="33"/>
      <c r="E974" s="33"/>
      <c r="F974" s="33"/>
      <c r="G974" s="33"/>
      <c r="H974" s="34"/>
      <c r="I974" s="55"/>
      <c r="J974" s="55"/>
      <c r="K974" s="33"/>
      <c r="L974" s="33"/>
      <c r="M974" s="6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</row>
    <row r="975" spans="1:31" ht="14.25" customHeight="1">
      <c r="A975" s="1"/>
      <c r="B975" s="33"/>
      <c r="C975" s="33"/>
      <c r="D975" s="33"/>
      <c r="E975" s="33"/>
      <c r="F975" s="33"/>
      <c r="G975" s="33"/>
      <c r="H975" s="34"/>
      <c r="I975" s="55"/>
      <c r="J975" s="55"/>
      <c r="K975" s="33"/>
      <c r="L975" s="33"/>
      <c r="M975" s="6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</row>
    <row r="976" spans="1:31" ht="14.25" customHeight="1">
      <c r="A976" s="1"/>
      <c r="B976" s="33"/>
      <c r="C976" s="33"/>
      <c r="D976" s="33"/>
      <c r="E976" s="33"/>
      <c r="F976" s="33"/>
      <c r="G976" s="33"/>
      <c r="H976" s="34"/>
      <c r="I976" s="55"/>
      <c r="J976" s="55"/>
      <c r="K976" s="33"/>
      <c r="L976" s="33"/>
      <c r="M976" s="6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</row>
    <row r="977" spans="1:31" ht="14.25" customHeight="1">
      <c r="A977" s="1"/>
      <c r="B977" s="33"/>
      <c r="C977" s="33"/>
      <c r="D977" s="33"/>
      <c r="E977" s="33"/>
      <c r="F977" s="33"/>
      <c r="G977" s="33"/>
      <c r="H977" s="34"/>
      <c r="I977" s="55"/>
      <c r="J977" s="55"/>
      <c r="K977" s="33"/>
      <c r="L977" s="33"/>
      <c r="M977" s="6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</row>
    <row r="978" spans="1:31" ht="14.25" customHeight="1">
      <c r="A978" s="1"/>
      <c r="B978" s="33"/>
      <c r="C978" s="33"/>
      <c r="D978" s="33"/>
      <c r="E978" s="33"/>
      <c r="F978" s="33"/>
      <c r="G978" s="33"/>
      <c r="H978" s="34"/>
      <c r="I978" s="55"/>
      <c r="J978" s="55"/>
      <c r="K978" s="33"/>
      <c r="L978" s="33"/>
      <c r="M978" s="6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</row>
    <row r="979" spans="1:31" ht="14.25" customHeight="1">
      <c r="A979" s="1"/>
      <c r="B979" s="33"/>
      <c r="C979" s="33"/>
      <c r="D979" s="33"/>
      <c r="E979" s="33"/>
      <c r="F979" s="33"/>
      <c r="G979" s="33"/>
      <c r="H979" s="34"/>
      <c r="I979" s="55"/>
      <c r="J979" s="55"/>
      <c r="K979" s="33"/>
      <c r="L979" s="33"/>
      <c r="M979" s="6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</row>
    <row r="980" spans="1:31" ht="14.25" customHeight="1">
      <c r="A980" s="1"/>
      <c r="B980" s="33"/>
      <c r="C980" s="33"/>
      <c r="D980" s="33"/>
      <c r="E980" s="33"/>
      <c r="F980" s="33"/>
      <c r="G980" s="33"/>
      <c r="H980" s="34"/>
      <c r="I980" s="55"/>
      <c r="J980" s="55"/>
      <c r="K980" s="33"/>
      <c r="L980" s="33"/>
      <c r="M980" s="6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</row>
    <row r="981" spans="1:31" ht="14.25" customHeight="1">
      <c r="A981" s="1"/>
      <c r="B981" s="33"/>
      <c r="C981" s="33"/>
      <c r="D981" s="33"/>
      <c r="E981" s="33"/>
      <c r="F981" s="33"/>
      <c r="G981" s="33"/>
      <c r="H981" s="34"/>
      <c r="I981" s="55"/>
      <c r="J981" s="55"/>
      <c r="K981" s="33"/>
      <c r="L981" s="33"/>
      <c r="M981" s="6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</row>
    <row r="982" spans="1:31" ht="14.25" customHeight="1">
      <c r="A982" s="1"/>
      <c r="B982" s="33"/>
      <c r="C982" s="33"/>
      <c r="D982" s="33"/>
      <c r="E982" s="33"/>
      <c r="F982" s="33"/>
      <c r="G982" s="33"/>
      <c r="H982" s="34"/>
      <c r="I982" s="55"/>
      <c r="J982" s="55"/>
      <c r="K982" s="33"/>
      <c r="L982" s="33"/>
      <c r="M982" s="6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</row>
    <row r="983" spans="1:31" ht="14.25" customHeight="1">
      <c r="A983" s="1"/>
      <c r="B983" s="33"/>
      <c r="C983" s="33"/>
      <c r="D983" s="33"/>
      <c r="E983" s="33"/>
      <c r="F983" s="33"/>
      <c r="G983" s="33"/>
      <c r="H983" s="34"/>
      <c r="I983" s="55"/>
      <c r="J983" s="55"/>
      <c r="K983" s="33"/>
      <c r="L983" s="33"/>
      <c r="M983" s="6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</row>
    <row r="984" spans="1:31" ht="14.25" customHeight="1">
      <c r="A984" s="1"/>
      <c r="B984" s="33"/>
      <c r="C984" s="33"/>
      <c r="D984" s="33"/>
      <c r="E984" s="33"/>
      <c r="F984" s="33"/>
      <c r="G984" s="33"/>
      <c r="H984" s="34"/>
      <c r="I984" s="55"/>
      <c r="J984" s="55"/>
      <c r="K984" s="33"/>
      <c r="L984" s="33"/>
      <c r="M984" s="6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</row>
    <row r="985" spans="1:31" ht="14.25" customHeight="1">
      <c r="A985" s="1"/>
      <c r="B985" s="33"/>
      <c r="C985" s="33"/>
      <c r="D985" s="33"/>
      <c r="E985" s="33"/>
      <c r="F985" s="33"/>
      <c r="G985" s="33"/>
      <c r="H985" s="34"/>
      <c r="I985" s="55"/>
      <c r="J985" s="55"/>
      <c r="K985" s="33"/>
      <c r="L985" s="33"/>
      <c r="M985" s="6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</row>
    <row r="986" spans="1:31" ht="14.25" customHeight="1">
      <c r="A986" s="1"/>
      <c r="B986" s="33"/>
      <c r="C986" s="33"/>
      <c r="D986" s="33"/>
      <c r="E986" s="33"/>
      <c r="F986" s="33"/>
      <c r="G986" s="33"/>
      <c r="H986" s="34"/>
      <c r="I986" s="55"/>
      <c r="J986" s="55"/>
      <c r="K986" s="33"/>
      <c r="L986" s="33"/>
      <c r="M986" s="6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</row>
    <row r="987" spans="1:31" ht="14.25" customHeight="1">
      <c r="A987" s="1"/>
      <c r="B987" s="33"/>
      <c r="C987" s="33"/>
      <c r="D987" s="33"/>
      <c r="E987" s="33"/>
      <c r="F987" s="33"/>
      <c r="G987" s="33"/>
      <c r="H987" s="34"/>
      <c r="I987" s="55"/>
      <c r="J987" s="55"/>
      <c r="K987" s="33"/>
      <c r="L987" s="33"/>
      <c r="M987" s="6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</row>
    <row r="988" spans="1:31" ht="14.25" customHeight="1">
      <c r="A988" s="1"/>
      <c r="B988" s="33"/>
      <c r="C988" s="33"/>
      <c r="D988" s="33"/>
      <c r="E988" s="33"/>
      <c r="F988" s="33"/>
      <c r="G988" s="33"/>
      <c r="H988" s="34"/>
      <c r="I988" s="55"/>
      <c r="J988" s="55"/>
      <c r="K988" s="33"/>
      <c r="L988" s="33"/>
      <c r="M988" s="6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</row>
    <row r="989" spans="1:31" ht="14.25" customHeight="1">
      <c r="A989" s="1"/>
      <c r="B989" s="33"/>
      <c r="C989" s="33"/>
      <c r="D989" s="33"/>
      <c r="E989" s="33"/>
      <c r="F989" s="33"/>
      <c r="G989" s="33"/>
      <c r="H989" s="34"/>
      <c r="I989" s="55"/>
      <c r="J989" s="55"/>
      <c r="K989" s="33"/>
      <c r="L989" s="33"/>
      <c r="M989" s="6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</row>
    <row r="990" spans="1:31" ht="14.25" customHeight="1">
      <c r="A990" s="1"/>
      <c r="B990" s="33"/>
      <c r="C990" s="33"/>
      <c r="D990" s="33"/>
      <c r="E990" s="33"/>
      <c r="F990" s="33"/>
      <c r="G990" s="33"/>
      <c r="H990" s="34"/>
      <c r="I990" s="55"/>
      <c r="J990" s="55"/>
      <c r="K990" s="33"/>
      <c r="L990" s="33"/>
      <c r="M990" s="6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</row>
    <row r="991" spans="1:31" ht="14.25" customHeight="1">
      <c r="A991" s="1"/>
      <c r="B991" s="33"/>
      <c r="C991" s="33"/>
      <c r="D991" s="33"/>
      <c r="E991" s="33"/>
      <c r="F991" s="33"/>
      <c r="G991" s="33"/>
      <c r="H991" s="34"/>
      <c r="I991" s="55"/>
      <c r="J991" s="55"/>
      <c r="K991" s="33"/>
      <c r="L991" s="33"/>
      <c r="M991" s="6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</row>
  </sheetData>
  <mergeCells count="1">
    <mergeCell ref="B1:D1"/>
  </mergeCells>
  <conditionalFormatting sqref="G2">
    <cfRule type="containsText" dxfId="25" priority="1" operator="containsText" text="Not noticed">
      <formula>NOT(ISERROR(SEARCH(("Not noticed"),(G2))))</formula>
    </cfRule>
  </conditionalFormatting>
  <conditionalFormatting sqref="G3">
    <cfRule type="endsWith" dxfId="24" priority="14" operator="endsWith" text="o">
      <formula>RIGHT((G3),LEN("o"))=("o")</formula>
    </cfRule>
  </conditionalFormatting>
  <conditionalFormatting sqref="G4:G8">
    <cfRule type="containsText" dxfId="23" priority="15" operator="containsText" text="Low Dependancy">
      <formula>NOT(ISERROR(SEARCH(("Low Dependancy"),(G4))))</formula>
    </cfRule>
  </conditionalFormatting>
  <conditionalFormatting sqref="G9">
    <cfRule type="containsText" dxfId="22" priority="2" operator="containsText" text="Not noticed">
      <formula>NOT(ISERROR(SEARCH(("Not noticed"),(G9))))</formula>
    </cfRule>
  </conditionalFormatting>
  <conditionalFormatting sqref="G10">
    <cfRule type="containsText" dxfId="21" priority="16" operator="containsText" text="Low Dependancy">
      <formula>NOT(ISERROR(SEARCH(("Low Dependancy"),(G10))))</formula>
    </cfRule>
  </conditionalFormatting>
  <conditionalFormatting sqref="G11">
    <cfRule type="containsText" dxfId="20" priority="3" operator="containsText" text="Not noticed">
      <formula>NOT(ISERROR(SEARCH(("Not noticed"),(G11))))</formula>
    </cfRule>
  </conditionalFormatting>
  <conditionalFormatting sqref="G12">
    <cfRule type="containsText" dxfId="19" priority="19" operator="containsText" text="Almost Nobody Has">
      <formula>NOT(ISERROR(SEARCH(("Almost Nobody Has"),(G12))))</formula>
    </cfRule>
  </conditionalFormatting>
  <conditionalFormatting sqref="G13">
    <cfRule type="containsText" dxfId="18" priority="4" operator="containsText" text="Not noticed">
      <formula>NOT(ISERROR(SEARCH(("Not noticed"),(G13))))</formula>
    </cfRule>
  </conditionalFormatting>
  <conditionalFormatting sqref="G15:G16">
    <cfRule type="containsText" dxfId="17" priority="18" operator="containsText" text="Few Residents Concerned">
      <formula>NOT(ISERROR(SEARCH(("Few Residents Concerned"),(G15))))</formula>
    </cfRule>
  </conditionalFormatting>
  <conditionalFormatting sqref="G17">
    <cfRule type="containsText" dxfId="16" priority="17" operator="containsText" text="Yes">
      <formula>NOT(ISERROR(SEARCH(("Yes"),(G17))))</formula>
    </cfRule>
  </conditionalFormatting>
  <conditionalFormatting sqref="G18:G20">
    <cfRule type="containsText" dxfId="15" priority="5" operator="containsText" text="Not noticed">
      <formula>NOT(ISERROR(SEARCH(("Not noticed"),(G18))))</formula>
    </cfRule>
  </conditionalFormatting>
  <conditionalFormatting sqref="G22:G33">
    <cfRule type="containsText" dxfId="14" priority="6" operator="containsText" text="Not noticed">
      <formula>NOT(ISERROR(SEARCH(("Not noticed"),(G22))))</formula>
    </cfRule>
  </conditionalFormatting>
  <conditionalFormatting sqref="G35:G37">
    <cfRule type="containsText" dxfId="13" priority="7" operator="containsText" text="Not noticed">
      <formula>NOT(ISERROR(SEARCH(("Not noticed"),(G35))))</formula>
    </cfRule>
  </conditionalFormatting>
  <conditionalFormatting sqref="G39:G42">
    <cfRule type="containsText" dxfId="12" priority="8" operator="containsText" text="Not noticed">
      <formula>NOT(ISERROR(SEARCH(("Not noticed"),(G39))))</formula>
    </cfRule>
  </conditionalFormatting>
  <conditionalFormatting sqref="G43">
    <cfRule type="endsWith" dxfId="11" priority="20" operator="endsWith" text="o">
      <formula>RIGHT((G43),LEN("o"))=("o")</formula>
    </cfRule>
  </conditionalFormatting>
  <conditionalFormatting sqref="G44:G48">
    <cfRule type="containsText" dxfId="10" priority="9" operator="containsText" text="Not noticed">
      <formula>NOT(ISERROR(SEARCH(("Not noticed"),(G44))))</formula>
    </cfRule>
  </conditionalFormatting>
  <conditionalFormatting sqref="G50">
    <cfRule type="containsText" dxfId="9" priority="10" operator="containsText" text="Not noticed">
      <formula>NOT(ISERROR(SEARCH(("Not noticed"),(G50))))</formula>
    </cfRule>
  </conditionalFormatting>
  <conditionalFormatting sqref="G51">
    <cfRule type="containsText" dxfId="8" priority="12" operator="containsText" text="Yes">
      <formula>NOT(ISERROR(SEARCH(("Yes"),(G51))))</formula>
    </cfRule>
  </conditionalFormatting>
  <conditionalFormatting sqref="G52">
    <cfRule type="containsText" dxfId="7" priority="11" operator="containsText" text="Not noticed">
      <formula>NOT(ISERROR(SEARCH(("Not noticed"),(G52))))</formula>
    </cfRule>
  </conditionalFormatting>
  <conditionalFormatting sqref="G53:G58">
    <cfRule type="containsText" dxfId="6" priority="13" operator="containsText" text="Yes">
      <formula>NOT(ISERROR(SEARCH(("Yes"),(G53))))</formula>
    </cfRule>
  </conditionalFormatting>
  <dataValidations count="8">
    <dataValidation type="list" allowBlank="1" showErrorMessage="1" sqref="G13 G52 G50 G45 G40:G41 G35:G37 G31:G32" xr:uid="{00000000-0002-0000-0400-000000000000}">
      <formula1>$J$44:$J$46</formula1>
    </dataValidation>
    <dataValidation type="list" allowBlank="1" showErrorMessage="1" sqref="G4:G8 G10" xr:uid="{00000000-0002-0000-0400-000001000000}">
      <formula1>$J$8:$J$10</formula1>
    </dataValidation>
    <dataValidation type="list" allowBlank="1" showErrorMessage="1" sqref="G15:G16" xr:uid="{00000000-0002-0000-0400-000002000000}">
      <formula1>$J$24:$J$26</formula1>
    </dataValidation>
    <dataValidation type="list" allowBlank="1" showErrorMessage="1" sqref="G3 G53:G58 G51 G43" xr:uid="{00000000-0002-0000-0400-000003000000}">
      <formula1>$J$54:$J$56</formula1>
    </dataValidation>
    <dataValidation type="list" allowBlank="1" showErrorMessage="1" sqref="G9 G46:G48 G44 G42 G39 G33 G22:G30 G18:G20 G11" xr:uid="{00000000-0002-0000-0400-000004000000}">
      <formula1>$J$13:$J$15</formula1>
    </dataValidation>
    <dataValidation type="list" allowBlank="1" showErrorMessage="1" sqref="G12" xr:uid="{00000000-0002-0000-0400-000005000000}">
      <formula1>$J$18:$J$20</formula1>
    </dataValidation>
    <dataValidation type="list" allowBlank="1" showErrorMessage="1" sqref="G17" xr:uid="{00000000-0002-0000-0400-000006000000}">
      <formula1>$J$34:$J$36</formula1>
    </dataValidation>
    <dataValidation type="list" allowBlank="1" showErrorMessage="1" sqref="G2" xr:uid="{00000000-0002-0000-0400-000007000000}">
      <formula1>$J$2:$J$4</formula1>
    </dataValidation>
  </dataValidations>
  <pageMargins left="0.7" right="0.7" top="0.75" bottom="0.75" header="0" footer="0"/>
  <pageSetup paperSize="9" orientation="portrait"/>
  <headerFooter>
    <oddFooter>&amp;R#000000C2 - Safaricom Internal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AI58"/>
  <sheetViews>
    <sheetView showGridLines="0" topLeftCell="A39" workbookViewId="0">
      <selection activeCell="E51" sqref="E51"/>
    </sheetView>
  </sheetViews>
  <sheetFormatPr defaultColWidth="14.42578125" defaultRowHeight="15" customHeight="1"/>
  <cols>
    <col min="1" max="1" width="6.42578125" customWidth="1"/>
    <col min="2" max="2" width="21.5703125" customWidth="1"/>
    <col min="3" max="3" width="22.42578125" customWidth="1"/>
    <col min="4" max="4" width="111.42578125" customWidth="1"/>
    <col min="5" max="5" width="71.5703125" customWidth="1"/>
    <col min="6" max="6" width="26.42578125" customWidth="1"/>
    <col min="7" max="7" width="11.42578125" hidden="1" customWidth="1"/>
    <col min="8" max="8" width="27.5703125" hidden="1" customWidth="1"/>
    <col min="9" max="9" width="23.5703125" hidden="1" customWidth="1"/>
    <col min="10" max="10" width="12.42578125" hidden="1" customWidth="1"/>
    <col min="11" max="11" width="8.42578125" hidden="1" customWidth="1"/>
    <col min="12" max="12" width="9.140625" hidden="1" customWidth="1"/>
    <col min="13" max="13" width="10.42578125" hidden="1" customWidth="1"/>
    <col min="14" max="25" width="9.140625" hidden="1" customWidth="1"/>
    <col min="26" max="35" width="8.7109375" customWidth="1"/>
  </cols>
  <sheetData>
    <row r="1" spans="1:35" ht="23.25" customHeight="1">
      <c r="A1" s="71" t="s">
        <v>443</v>
      </c>
      <c r="B1" s="72"/>
      <c r="C1" s="73"/>
      <c r="D1" s="37" t="s">
        <v>2</v>
      </c>
      <c r="E1" s="7" t="s">
        <v>3</v>
      </c>
      <c r="F1" s="8" t="s">
        <v>4</v>
      </c>
      <c r="G1" s="28" t="s">
        <v>6</v>
      </c>
      <c r="H1" s="38" t="s">
        <v>7</v>
      </c>
      <c r="I1" s="30" t="s">
        <v>444</v>
      </c>
      <c r="J1" s="1"/>
      <c r="K1" s="1"/>
      <c r="L1" s="1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4.25" customHeight="1">
      <c r="A2" s="39">
        <v>1</v>
      </c>
      <c r="B2" s="40" t="s">
        <v>144</v>
      </c>
      <c r="C2" s="41" t="s">
        <v>145</v>
      </c>
      <c r="D2" s="42" t="s">
        <v>445</v>
      </c>
      <c r="E2" s="43" t="s">
        <v>446</v>
      </c>
      <c r="F2" s="19" t="s">
        <v>30</v>
      </c>
      <c r="G2" s="28">
        <f t="shared" ref="G2:G3" si="0">IF(F2=$H$2,$I$2,IF(F2=$H$3,$I$3,$I$4))</f>
        <v>3</v>
      </c>
      <c r="H2" s="1" t="s">
        <v>22</v>
      </c>
      <c r="I2" s="1">
        <v>1</v>
      </c>
      <c r="J2" s="1"/>
      <c r="K2" s="1"/>
      <c r="L2" s="1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4.25" customHeight="1">
      <c r="A3" s="64"/>
      <c r="B3" s="65"/>
      <c r="C3" s="41" t="s">
        <v>150</v>
      </c>
      <c r="D3" s="42" t="s">
        <v>447</v>
      </c>
      <c r="E3" s="43" t="s">
        <v>446</v>
      </c>
      <c r="F3" s="19" t="s">
        <v>30</v>
      </c>
      <c r="G3" s="28">
        <f t="shared" si="0"/>
        <v>3</v>
      </c>
      <c r="H3" s="1" t="s">
        <v>33</v>
      </c>
      <c r="I3" s="1">
        <v>2</v>
      </c>
      <c r="J3" s="1"/>
      <c r="K3" s="1"/>
      <c r="L3" s="1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4.25" customHeight="1">
      <c r="A4" s="46"/>
      <c r="B4" s="47"/>
      <c r="C4" s="41" t="s">
        <v>154</v>
      </c>
      <c r="D4" s="17" t="s">
        <v>448</v>
      </c>
      <c r="E4" s="43" t="s">
        <v>449</v>
      </c>
      <c r="F4" s="19" t="s">
        <v>30</v>
      </c>
      <c r="G4" s="28">
        <f t="shared" ref="G4:G5" si="1">IF(F4=$H$8,$I$8,IF(F4=$H$9,$I$9,$I$10))</f>
        <v>3</v>
      </c>
      <c r="H4" s="1" t="s">
        <v>30</v>
      </c>
      <c r="I4" s="1">
        <v>3</v>
      </c>
      <c r="J4" s="1"/>
      <c r="K4" s="1"/>
      <c r="L4" s="1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4.25" customHeight="1">
      <c r="A5" s="46"/>
      <c r="B5" s="47"/>
      <c r="C5" s="41" t="s">
        <v>157</v>
      </c>
      <c r="D5" s="17" t="s">
        <v>450</v>
      </c>
      <c r="E5" s="43" t="s">
        <v>451</v>
      </c>
      <c r="F5" s="19" t="s">
        <v>30</v>
      </c>
      <c r="G5" s="28">
        <f t="shared" si="1"/>
        <v>3</v>
      </c>
      <c r="H5" s="1"/>
      <c r="I5" s="1"/>
      <c r="J5" s="1"/>
      <c r="K5" s="1"/>
      <c r="L5" s="1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4.25" customHeight="1">
      <c r="A6" s="46"/>
      <c r="B6" s="47"/>
      <c r="C6" s="41" t="s">
        <v>160</v>
      </c>
      <c r="D6" s="17" t="s">
        <v>452</v>
      </c>
      <c r="E6" s="43" t="s">
        <v>446</v>
      </c>
      <c r="F6" s="19" t="s">
        <v>30</v>
      </c>
      <c r="G6" s="28">
        <f t="shared" ref="G6:G13" si="2">IF(F6=$H$2,$I$2,IF(F6=$H$3,$I$3,$I$4))</f>
        <v>3</v>
      </c>
      <c r="H6" s="1"/>
      <c r="I6" s="1"/>
      <c r="J6" s="1"/>
      <c r="K6" s="1"/>
      <c r="L6" s="1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4.25" customHeight="1">
      <c r="A7" s="46"/>
      <c r="B7" s="47"/>
      <c r="C7" s="41" t="s">
        <v>163</v>
      </c>
      <c r="D7" s="17" t="s">
        <v>453</v>
      </c>
      <c r="E7" s="43" t="s">
        <v>454</v>
      </c>
      <c r="F7" s="19" t="s">
        <v>30</v>
      </c>
      <c r="G7" s="28">
        <f t="shared" si="2"/>
        <v>3</v>
      </c>
      <c r="H7" s="1" t="s">
        <v>26</v>
      </c>
      <c r="I7" s="1" t="s">
        <v>444</v>
      </c>
      <c r="J7" s="1"/>
      <c r="K7" s="1"/>
      <c r="L7" s="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4.25" customHeight="1">
      <c r="A8" s="46"/>
      <c r="B8" s="47"/>
      <c r="C8" s="41" t="s">
        <v>166</v>
      </c>
      <c r="D8" s="17" t="s">
        <v>455</v>
      </c>
      <c r="E8" s="43" t="s">
        <v>456</v>
      </c>
      <c r="F8" s="19" t="s">
        <v>30</v>
      </c>
      <c r="G8" s="28">
        <f t="shared" si="2"/>
        <v>3</v>
      </c>
      <c r="H8" s="1" t="s">
        <v>22</v>
      </c>
      <c r="I8" s="1">
        <v>1</v>
      </c>
      <c r="J8" s="1"/>
      <c r="K8" s="1"/>
      <c r="L8" s="1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4.25" customHeight="1">
      <c r="A9" s="46"/>
      <c r="B9" s="47"/>
      <c r="C9" s="41" t="s">
        <v>170</v>
      </c>
      <c r="D9" s="17" t="s">
        <v>457</v>
      </c>
      <c r="E9" s="43" t="s">
        <v>458</v>
      </c>
      <c r="F9" s="19" t="s">
        <v>30</v>
      </c>
      <c r="G9" s="28">
        <f t="shared" si="2"/>
        <v>3</v>
      </c>
      <c r="H9" s="1" t="s">
        <v>30</v>
      </c>
      <c r="I9" s="1">
        <v>3</v>
      </c>
      <c r="J9" s="1"/>
      <c r="K9" s="1"/>
      <c r="L9" s="1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4.25" customHeight="1">
      <c r="A10" s="46"/>
      <c r="B10" s="47"/>
      <c r="C10" s="41" t="s">
        <v>174</v>
      </c>
      <c r="D10" s="17" t="s">
        <v>459</v>
      </c>
      <c r="E10" s="43" t="s">
        <v>460</v>
      </c>
      <c r="F10" s="19" t="s">
        <v>30</v>
      </c>
      <c r="G10" s="28">
        <f t="shared" si="2"/>
        <v>3</v>
      </c>
      <c r="H10" s="1" t="s">
        <v>292</v>
      </c>
      <c r="I10" s="1">
        <v>2</v>
      </c>
      <c r="J10" s="1"/>
      <c r="K10" s="1"/>
      <c r="L10" s="1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4.25" customHeight="1">
      <c r="A11" s="46"/>
      <c r="B11" s="47"/>
      <c r="C11" s="41" t="s">
        <v>179</v>
      </c>
      <c r="D11" s="17" t="s">
        <v>461</v>
      </c>
      <c r="E11" s="43" t="s">
        <v>462</v>
      </c>
      <c r="F11" s="19" t="s">
        <v>30</v>
      </c>
      <c r="G11" s="28">
        <f t="shared" si="2"/>
        <v>3</v>
      </c>
      <c r="H11" s="1"/>
      <c r="I11" s="1"/>
      <c r="J11" s="1"/>
      <c r="K11" s="1"/>
      <c r="L11" s="1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4.25" customHeight="1">
      <c r="A12" s="46"/>
      <c r="B12" s="47"/>
      <c r="C12" s="41" t="s">
        <v>182</v>
      </c>
      <c r="D12" s="17" t="s">
        <v>463</v>
      </c>
      <c r="E12" s="43" t="s">
        <v>464</v>
      </c>
      <c r="F12" s="19" t="s">
        <v>30</v>
      </c>
      <c r="G12" s="28">
        <f t="shared" si="2"/>
        <v>3</v>
      </c>
      <c r="H12" s="1" t="s">
        <v>40</v>
      </c>
      <c r="I12" s="1" t="s">
        <v>465</v>
      </c>
      <c r="J12" s="1"/>
      <c r="K12" s="1"/>
      <c r="L12" s="1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4.25" customHeight="1">
      <c r="A13" s="60"/>
      <c r="B13" s="61"/>
      <c r="C13" s="41" t="s">
        <v>187</v>
      </c>
      <c r="D13" s="17" t="s">
        <v>466</v>
      </c>
      <c r="E13" s="43" t="s">
        <v>467</v>
      </c>
      <c r="F13" s="19" t="s">
        <v>30</v>
      </c>
      <c r="G13" s="28">
        <f t="shared" si="2"/>
        <v>3</v>
      </c>
      <c r="H13" s="1" t="s">
        <v>22</v>
      </c>
      <c r="I13" s="1">
        <v>1</v>
      </c>
      <c r="J13" s="1"/>
      <c r="K13" s="1"/>
      <c r="L13" s="1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4.25" customHeight="1">
      <c r="A14" s="25"/>
      <c r="B14" s="25"/>
      <c r="C14" s="25"/>
      <c r="D14" s="25"/>
      <c r="E14" s="25"/>
      <c r="F14" s="25"/>
      <c r="G14" s="28"/>
      <c r="H14" s="1" t="s">
        <v>292</v>
      </c>
      <c r="I14" s="1">
        <v>2</v>
      </c>
      <c r="J14" s="1"/>
      <c r="K14" s="1"/>
      <c r="L14" s="1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4.25" customHeight="1">
      <c r="A15" s="39">
        <v>2</v>
      </c>
      <c r="B15" s="40" t="s">
        <v>193</v>
      </c>
      <c r="C15" s="41" t="s">
        <v>194</v>
      </c>
      <c r="D15" s="17" t="s">
        <v>468</v>
      </c>
      <c r="E15" s="43" t="s">
        <v>469</v>
      </c>
      <c r="F15" s="19" t="s">
        <v>30</v>
      </c>
      <c r="G15" s="28">
        <f>IF(F15=$H$2,$I$2,IF(F15=$H$3,$I$3,$I$4))</f>
        <v>3</v>
      </c>
      <c r="H15" s="1" t="s">
        <v>30</v>
      </c>
      <c r="I15" s="30">
        <v>3</v>
      </c>
      <c r="J15" s="1"/>
      <c r="K15" s="1"/>
      <c r="L15" s="1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4.25" customHeight="1">
      <c r="A16" s="46"/>
      <c r="B16" s="46"/>
      <c r="C16" s="41" t="s">
        <v>197</v>
      </c>
      <c r="D16" s="17" t="s">
        <v>470</v>
      </c>
      <c r="E16" s="43" t="s">
        <v>471</v>
      </c>
      <c r="F16" s="19" t="s">
        <v>30</v>
      </c>
      <c r="G16" s="28">
        <f>IF(F16=$H$8,$I$8,IF(F16=$H$9,$I$9,$I$10))</f>
        <v>3</v>
      </c>
      <c r="H16" s="1"/>
      <c r="I16" s="1"/>
      <c r="J16" s="1"/>
      <c r="K16" s="1"/>
      <c r="L16" s="1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4.25" customHeight="1">
      <c r="A17" s="46"/>
      <c r="B17" s="46"/>
      <c r="C17" s="41" t="s">
        <v>200</v>
      </c>
      <c r="D17" s="17" t="s">
        <v>472</v>
      </c>
      <c r="E17" s="43" t="s">
        <v>473</v>
      </c>
      <c r="F17" s="19" t="s">
        <v>30</v>
      </c>
      <c r="G17" s="28">
        <f t="shared" ref="G17:G18" si="3">IF(F17=$H$2,$I$2,IF(F17=$H$3,$I$3,$I$4))</f>
        <v>3</v>
      </c>
      <c r="H17" s="1"/>
      <c r="I17" s="1"/>
      <c r="J17" s="1"/>
      <c r="K17" s="1"/>
      <c r="L17" s="1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4.25" customHeight="1">
      <c r="A18" s="46"/>
      <c r="B18" s="46"/>
      <c r="C18" s="41" t="s">
        <v>205</v>
      </c>
      <c r="D18" s="17" t="s">
        <v>474</v>
      </c>
      <c r="E18" s="43" t="s">
        <v>475</v>
      </c>
      <c r="F18" s="19" t="s">
        <v>30</v>
      </c>
      <c r="G18" s="28">
        <f t="shared" si="3"/>
        <v>3</v>
      </c>
      <c r="H18" s="1"/>
      <c r="I18" s="1"/>
      <c r="J18" s="1"/>
      <c r="K18" s="1"/>
      <c r="L18" s="1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4.25" customHeight="1">
      <c r="A19" s="46"/>
      <c r="B19" s="46"/>
      <c r="C19" s="41" t="s">
        <v>209</v>
      </c>
      <c r="D19" s="17" t="s">
        <v>476</v>
      </c>
      <c r="E19" s="43" t="s">
        <v>477</v>
      </c>
      <c r="F19" s="19" t="s">
        <v>30</v>
      </c>
      <c r="G19" s="28">
        <f>IF(F19=$H$8,$I$8,IF(F19=$H$9,$I$9,$I$10))</f>
        <v>3</v>
      </c>
      <c r="H19" s="1"/>
      <c r="I19" s="1"/>
      <c r="J19" s="1"/>
      <c r="K19" s="1"/>
      <c r="L19" s="1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4.25" customHeight="1">
      <c r="A20" s="48"/>
      <c r="B20" s="48"/>
      <c r="C20" s="41" t="s">
        <v>213</v>
      </c>
      <c r="D20" s="17" t="s">
        <v>478</v>
      </c>
      <c r="E20" s="43" t="s">
        <v>479</v>
      </c>
      <c r="F20" s="19" t="s">
        <v>30</v>
      </c>
      <c r="G20" s="28">
        <f>IF(F20=$H$2,$I$2,IF(F20=$H$3,$I$3,$I$4))</f>
        <v>3</v>
      </c>
      <c r="H20" s="1"/>
      <c r="I20" s="30"/>
      <c r="J20" s="1"/>
      <c r="K20" s="1"/>
      <c r="L20" s="1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4.25" customHeight="1">
      <c r="A21" s="25"/>
      <c r="B21" s="25"/>
      <c r="C21" s="25"/>
      <c r="D21" s="25"/>
      <c r="E21" s="25"/>
      <c r="F21" s="25"/>
      <c r="G21" s="28"/>
      <c r="H21" s="1"/>
      <c r="I21" s="1"/>
      <c r="J21" s="1"/>
      <c r="K21" s="1"/>
      <c r="L21" s="1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4.25" customHeight="1">
      <c r="A22" s="39">
        <v>3</v>
      </c>
      <c r="B22" s="39" t="s">
        <v>216</v>
      </c>
      <c r="C22" s="41" t="s">
        <v>217</v>
      </c>
      <c r="D22" s="17" t="s">
        <v>480</v>
      </c>
      <c r="E22" s="43" t="s">
        <v>481</v>
      </c>
      <c r="F22" s="19" t="s">
        <v>30</v>
      </c>
      <c r="G22" s="28">
        <f>IF(F22=$H$13,$I$13,IF(F22=$H$14,$I$14,$I$15))</f>
        <v>3</v>
      </c>
      <c r="H22" s="1"/>
      <c r="I22" s="1"/>
      <c r="J22" s="1"/>
      <c r="K22" s="1"/>
      <c r="L22" s="1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4.25" customHeight="1">
      <c r="A23" s="46"/>
      <c r="B23" s="46"/>
      <c r="C23" s="41" t="s">
        <v>220</v>
      </c>
      <c r="D23" s="17" t="s">
        <v>482</v>
      </c>
      <c r="E23" s="43" t="s">
        <v>483</v>
      </c>
      <c r="F23" s="19" t="s">
        <v>30</v>
      </c>
      <c r="G23" s="28">
        <f t="shared" ref="G23:G31" si="4">IF(F23=$H$8,$I$8,IF(F23=$H$9,$I$9,$I$10))</f>
        <v>3</v>
      </c>
      <c r="H23" s="1"/>
      <c r="I23" s="1"/>
      <c r="J23" s="1"/>
      <c r="K23" s="1"/>
      <c r="L23" s="1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4.25" customHeight="1">
      <c r="A24" s="46"/>
      <c r="B24" s="46"/>
      <c r="C24" s="41" t="s">
        <v>223</v>
      </c>
      <c r="D24" s="17" t="s">
        <v>484</v>
      </c>
      <c r="E24" s="43" t="s">
        <v>485</v>
      </c>
      <c r="F24" s="19" t="s">
        <v>30</v>
      </c>
      <c r="G24" s="28">
        <f t="shared" si="4"/>
        <v>3</v>
      </c>
      <c r="H24" s="1"/>
      <c r="I24" s="1"/>
      <c r="J24" s="1"/>
      <c r="K24" s="1"/>
      <c r="L24" s="1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4.25" customHeight="1">
      <c r="A25" s="46"/>
      <c r="B25" s="46"/>
      <c r="C25" s="41" t="s">
        <v>227</v>
      </c>
      <c r="D25" s="17" t="s">
        <v>486</v>
      </c>
      <c r="E25" s="43" t="s">
        <v>487</v>
      </c>
      <c r="F25" s="19" t="s">
        <v>30</v>
      </c>
      <c r="G25" s="28">
        <f t="shared" si="4"/>
        <v>3</v>
      </c>
      <c r="H25" s="1"/>
      <c r="I25" s="1"/>
      <c r="J25" s="1"/>
      <c r="K25" s="1"/>
      <c r="L25" s="1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4.25" customHeight="1">
      <c r="A26" s="46"/>
      <c r="B26" s="46"/>
      <c r="C26" s="41" t="s">
        <v>231</v>
      </c>
      <c r="D26" s="17" t="s">
        <v>488</v>
      </c>
      <c r="E26" s="43" t="s">
        <v>489</v>
      </c>
      <c r="F26" s="19" t="s">
        <v>30</v>
      </c>
      <c r="G26" s="28">
        <f t="shared" si="4"/>
        <v>3</v>
      </c>
      <c r="H26" s="1"/>
      <c r="I26" s="30"/>
      <c r="J26" s="1"/>
      <c r="K26" s="1"/>
      <c r="L26" s="1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4.25" customHeight="1">
      <c r="A27" s="46"/>
      <c r="B27" s="46"/>
      <c r="C27" s="41" t="s">
        <v>234</v>
      </c>
      <c r="D27" s="17" t="s">
        <v>490</v>
      </c>
      <c r="E27" s="43" t="s">
        <v>483</v>
      </c>
      <c r="F27" s="19" t="s">
        <v>30</v>
      </c>
      <c r="G27" s="28">
        <f t="shared" si="4"/>
        <v>3</v>
      </c>
      <c r="H27" s="38"/>
      <c r="I27" s="30"/>
      <c r="J27" s="1"/>
      <c r="K27" s="1"/>
      <c r="L27" s="1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4.25" customHeight="1">
      <c r="A28" s="46"/>
      <c r="B28" s="46"/>
      <c r="C28" s="41" t="s">
        <v>237</v>
      </c>
      <c r="D28" s="17" t="s">
        <v>491</v>
      </c>
      <c r="E28" s="43" t="s">
        <v>492</v>
      </c>
      <c r="F28" s="19" t="s">
        <v>30</v>
      </c>
      <c r="G28" s="28">
        <f t="shared" si="4"/>
        <v>3</v>
      </c>
      <c r="H28" s="1"/>
      <c r="I28" s="1"/>
      <c r="J28" s="1"/>
      <c r="K28" s="1"/>
      <c r="L28" s="1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4.25" customHeight="1">
      <c r="A29" s="46"/>
      <c r="B29" s="46"/>
      <c r="C29" s="41" t="s">
        <v>240</v>
      </c>
      <c r="D29" s="17" t="s">
        <v>493</v>
      </c>
      <c r="E29" s="43" t="s">
        <v>489</v>
      </c>
      <c r="F29" s="19" t="s">
        <v>30</v>
      </c>
      <c r="G29" s="28">
        <f t="shared" si="4"/>
        <v>3</v>
      </c>
      <c r="H29" s="1"/>
      <c r="I29" s="1"/>
      <c r="J29" s="1"/>
      <c r="K29" s="1"/>
      <c r="L29" s="1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4.25" customHeight="1">
      <c r="A30" s="46"/>
      <c r="B30" s="46"/>
      <c r="C30" s="41" t="s">
        <v>243</v>
      </c>
      <c r="D30" s="17" t="s">
        <v>494</v>
      </c>
      <c r="E30" s="43" t="s">
        <v>495</v>
      </c>
      <c r="F30" s="19" t="s">
        <v>30</v>
      </c>
      <c r="G30" s="28">
        <f t="shared" si="4"/>
        <v>3</v>
      </c>
      <c r="H30" s="1"/>
      <c r="I30" s="30"/>
      <c r="J30" s="1"/>
      <c r="K30" s="1"/>
      <c r="L30" s="1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4.25" customHeight="1">
      <c r="A31" s="46"/>
      <c r="B31" s="46"/>
      <c r="C31" s="41" t="s">
        <v>246</v>
      </c>
      <c r="D31" s="17" t="s">
        <v>496</v>
      </c>
      <c r="E31" s="43" t="s">
        <v>497</v>
      </c>
      <c r="F31" s="19" t="s">
        <v>30</v>
      </c>
      <c r="G31" s="28">
        <f t="shared" si="4"/>
        <v>3</v>
      </c>
      <c r="H31" s="1"/>
      <c r="I31" s="1"/>
      <c r="J31" s="1"/>
      <c r="K31" s="1"/>
      <c r="L31" s="1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14.25" customHeight="1">
      <c r="A32" s="46"/>
      <c r="B32" s="46"/>
      <c r="C32" s="41" t="s">
        <v>249</v>
      </c>
      <c r="D32" s="17" t="s">
        <v>498</v>
      </c>
      <c r="E32" s="43" t="s">
        <v>489</v>
      </c>
      <c r="F32" s="19" t="s">
        <v>30</v>
      </c>
      <c r="G32" s="28">
        <f t="shared" ref="G32:G33" si="5">IF(F32=$H$13,$I$13,IF(F32=$H$14,$I$14,$I$15))</f>
        <v>3</v>
      </c>
      <c r="H32" s="1"/>
      <c r="I32" s="1"/>
      <c r="J32" s="1"/>
      <c r="K32" s="1"/>
      <c r="L32" s="1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14.25" customHeight="1">
      <c r="A33" s="48"/>
      <c r="B33" s="48"/>
      <c r="C33" s="41" t="s">
        <v>252</v>
      </c>
      <c r="D33" s="17" t="s">
        <v>499</v>
      </c>
      <c r="E33" s="43" t="s">
        <v>489</v>
      </c>
      <c r="F33" s="19" t="s">
        <v>30</v>
      </c>
      <c r="G33" s="28">
        <f t="shared" si="5"/>
        <v>3</v>
      </c>
      <c r="H33" s="1"/>
      <c r="I33" s="1"/>
      <c r="J33" s="1"/>
      <c r="K33" s="1"/>
      <c r="L33" s="1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4.25" customHeight="1">
      <c r="A34" s="25"/>
      <c r="B34" s="25"/>
      <c r="C34" s="25"/>
      <c r="D34" s="25"/>
      <c r="E34" s="25"/>
      <c r="F34" s="25"/>
      <c r="G34" s="28"/>
      <c r="H34" s="1"/>
      <c r="I34" s="1"/>
      <c r="J34" s="1"/>
      <c r="K34" s="1"/>
      <c r="L34" s="1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4.25" customHeight="1">
      <c r="A35" s="39">
        <v>4</v>
      </c>
      <c r="B35" s="39" t="s">
        <v>257</v>
      </c>
      <c r="C35" s="41" t="s">
        <v>258</v>
      </c>
      <c r="D35" s="17" t="s">
        <v>500</v>
      </c>
      <c r="E35" s="43" t="s">
        <v>501</v>
      </c>
      <c r="F35" s="19" t="s">
        <v>30</v>
      </c>
      <c r="G35" s="28">
        <f>IF(F35=$H$13,$I$13,IF(F35=$H$14,$I$14,$I$15))</f>
        <v>3</v>
      </c>
      <c r="H35" s="38"/>
      <c r="I35" s="30"/>
      <c r="J35" s="1"/>
      <c r="K35" s="1"/>
      <c r="L35" s="1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4.25" customHeight="1">
      <c r="A36" s="46"/>
      <c r="B36" s="46"/>
      <c r="C36" s="41" t="s">
        <v>262</v>
      </c>
      <c r="D36" s="17" t="s">
        <v>502</v>
      </c>
      <c r="E36" s="43" t="s">
        <v>501</v>
      </c>
      <c r="F36" s="19" t="s">
        <v>30</v>
      </c>
      <c r="G36" s="28">
        <f>IF(F36=$H$2,$I$2,IF(F36=$H$3,$I$3,$I$4))</f>
        <v>3</v>
      </c>
      <c r="H36" s="1"/>
      <c r="I36" s="1"/>
      <c r="J36" s="1"/>
      <c r="K36" s="1"/>
      <c r="L36" s="1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4.25" customHeight="1">
      <c r="A37" s="48"/>
      <c r="B37" s="48"/>
      <c r="C37" s="41" t="s">
        <v>265</v>
      </c>
      <c r="D37" s="17" t="s">
        <v>503</v>
      </c>
      <c r="E37" s="43" t="s">
        <v>501</v>
      </c>
      <c r="F37" s="19" t="s">
        <v>30</v>
      </c>
      <c r="G37" s="28">
        <f>IF(F37=$H$13,$I$13,IF(F37=$H$14,$I$14,$I$15))</f>
        <v>3</v>
      </c>
      <c r="H37" s="1"/>
      <c r="I37" s="1"/>
      <c r="J37" s="1"/>
      <c r="K37" s="1"/>
      <c r="L37" s="1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4.25" customHeight="1">
      <c r="A38" s="25"/>
      <c r="B38" s="25"/>
      <c r="C38" s="25"/>
      <c r="D38" s="25"/>
      <c r="E38" s="25"/>
      <c r="F38" s="25"/>
      <c r="G38" s="28"/>
      <c r="H38" s="1"/>
      <c r="I38" s="1"/>
      <c r="J38" s="1"/>
      <c r="K38" s="1"/>
      <c r="L38" s="1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4.25" customHeight="1">
      <c r="A39" s="39">
        <v>5</v>
      </c>
      <c r="B39" s="39" t="s">
        <v>268</v>
      </c>
      <c r="C39" s="41" t="s">
        <v>269</v>
      </c>
      <c r="D39" s="17" t="s">
        <v>504</v>
      </c>
      <c r="E39" s="43" t="s">
        <v>505</v>
      </c>
      <c r="F39" s="19" t="s">
        <v>30</v>
      </c>
      <c r="G39" s="28">
        <f t="shared" ref="G39:G48" si="6">IF(F39=$H$13,$I$13,IF(F39=$H$14,$I$14,$I$15))</f>
        <v>3</v>
      </c>
      <c r="H39" s="1"/>
      <c r="I39" s="1"/>
      <c r="J39" s="1"/>
      <c r="K39" s="1"/>
      <c r="L39" s="1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14.25" customHeight="1">
      <c r="A40" s="46"/>
      <c r="B40" s="46"/>
      <c r="C40" s="41" t="s">
        <v>272</v>
      </c>
      <c r="D40" s="17" t="s">
        <v>506</v>
      </c>
      <c r="E40" s="43" t="s">
        <v>507</v>
      </c>
      <c r="F40" s="19" t="s">
        <v>30</v>
      </c>
      <c r="G40" s="28">
        <f t="shared" si="6"/>
        <v>3</v>
      </c>
      <c r="H40" s="38"/>
      <c r="I40" s="30"/>
      <c r="J40" s="1"/>
      <c r="K40" s="1"/>
      <c r="L40" s="1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14.25" customHeight="1">
      <c r="A41" s="46"/>
      <c r="B41" s="46"/>
      <c r="C41" s="41" t="s">
        <v>275</v>
      </c>
      <c r="D41" s="17" t="s">
        <v>508</v>
      </c>
      <c r="E41" s="43" t="s">
        <v>509</v>
      </c>
      <c r="F41" s="19" t="s">
        <v>30</v>
      </c>
      <c r="G41" s="28">
        <f t="shared" si="6"/>
        <v>3</v>
      </c>
      <c r="H41" s="1"/>
      <c r="I41" s="1"/>
      <c r="J41" s="1"/>
      <c r="K41" s="1"/>
      <c r="L41" s="1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14.25" customHeight="1">
      <c r="A42" s="46"/>
      <c r="B42" s="46"/>
      <c r="C42" s="41" t="s">
        <v>278</v>
      </c>
      <c r="D42" s="17" t="s">
        <v>510</v>
      </c>
      <c r="E42" s="43" t="s">
        <v>511</v>
      </c>
      <c r="F42" s="19" t="s">
        <v>30</v>
      </c>
      <c r="G42" s="28">
        <f t="shared" si="6"/>
        <v>3</v>
      </c>
      <c r="H42" s="1"/>
      <c r="I42" s="1"/>
      <c r="J42" s="1"/>
      <c r="K42" s="1"/>
      <c r="L42" s="1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16.5" customHeight="1">
      <c r="A43" s="46"/>
      <c r="B43" s="46"/>
      <c r="C43" s="41" t="s">
        <v>281</v>
      </c>
      <c r="D43" s="17" t="s">
        <v>512</v>
      </c>
      <c r="E43" s="43" t="s">
        <v>513</v>
      </c>
      <c r="F43" s="19" t="s">
        <v>30</v>
      </c>
      <c r="G43" s="28">
        <f t="shared" si="6"/>
        <v>3</v>
      </c>
      <c r="H43" s="38"/>
      <c r="I43" s="30"/>
      <c r="J43" s="1"/>
      <c r="K43" s="1"/>
      <c r="L43" s="1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14.25" customHeight="1">
      <c r="A44" s="46"/>
      <c r="B44" s="46"/>
      <c r="C44" s="41" t="s">
        <v>285</v>
      </c>
      <c r="D44" s="17" t="s">
        <v>514</v>
      </c>
      <c r="E44" s="43" t="s">
        <v>515</v>
      </c>
      <c r="F44" s="19" t="s">
        <v>30</v>
      </c>
      <c r="G44" s="28">
        <f t="shared" si="6"/>
        <v>3</v>
      </c>
      <c r="H44" s="1"/>
      <c r="I44" s="1"/>
      <c r="J44" s="1"/>
      <c r="K44" s="1"/>
      <c r="L44" s="1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14.25" customHeight="1">
      <c r="A45" s="46"/>
      <c r="B45" s="46"/>
      <c r="C45" s="41" t="s">
        <v>289</v>
      </c>
      <c r="D45" s="17" t="s">
        <v>516</v>
      </c>
      <c r="E45" s="43" t="s">
        <v>517</v>
      </c>
      <c r="F45" s="19" t="s">
        <v>30</v>
      </c>
      <c r="G45" s="28">
        <f t="shared" si="6"/>
        <v>3</v>
      </c>
      <c r="H45" s="1"/>
      <c r="I45" s="1"/>
      <c r="J45" s="1"/>
      <c r="K45" s="1"/>
      <c r="L45" s="1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14.25" customHeight="1">
      <c r="A46" s="46"/>
      <c r="B46" s="46"/>
      <c r="C46" s="41" t="s">
        <v>293</v>
      </c>
      <c r="D46" s="17" t="s">
        <v>518</v>
      </c>
      <c r="E46" s="43" t="s">
        <v>519</v>
      </c>
      <c r="F46" s="19" t="s">
        <v>30</v>
      </c>
      <c r="G46" s="28">
        <f t="shared" si="6"/>
        <v>3</v>
      </c>
      <c r="H46" s="1"/>
      <c r="I46" s="1"/>
      <c r="J46" s="1"/>
      <c r="K46" s="1"/>
      <c r="L46" s="1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4.25" customHeight="1">
      <c r="A47" s="46"/>
      <c r="B47" s="46"/>
      <c r="C47" s="41" t="s">
        <v>296</v>
      </c>
      <c r="D47" s="17" t="s">
        <v>520</v>
      </c>
      <c r="E47" s="43" t="s">
        <v>521</v>
      </c>
      <c r="F47" s="19" t="s">
        <v>30</v>
      </c>
      <c r="G47" s="28">
        <f t="shared" si="6"/>
        <v>3</v>
      </c>
      <c r="H47" s="38"/>
      <c r="I47" s="30"/>
      <c r="J47" s="1"/>
      <c r="K47" s="1"/>
      <c r="L47" s="1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14.25" customHeight="1">
      <c r="A48" s="48"/>
      <c r="B48" s="48"/>
      <c r="C48" s="41" t="s">
        <v>299</v>
      </c>
      <c r="D48" s="17" t="s">
        <v>522</v>
      </c>
      <c r="E48" s="43" t="s">
        <v>523</v>
      </c>
      <c r="F48" s="19" t="s">
        <v>30</v>
      </c>
      <c r="G48" s="28">
        <f t="shared" si="6"/>
        <v>3</v>
      </c>
      <c r="H48" s="38"/>
      <c r="I48" s="30"/>
      <c r="J48" s="1"/>
      <c r="K48" s="1"/>
      <c r="L48" s="1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4.25" customHeight="1">
      <c r="A49" s="25"/>
      <c r="B49" s="25"/>
      <c r="C49" s="25"/>
      <c r="D49" s="25"/>
      <c r="E49" s="25"/>
      <c r="F49" s="25"/>
      <c r="G49" s="28"/>
      <c r="H49" s="1"/>
      <c r="I49" s="1"/>
      <c r="J49" s="1"/>
      <c r="K49" s="1"/>
      <c r="L49" s="1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4.25" customHeight="1">
      <c r="A50" s="39">
        <v>6</v>
      </c>
      <c r="B50" s="39" t="s">
        <v>303</v>
      </c>
      <c r="C50" s="41" t="s">
        <v>304</v>
      </c>
      <c r="D50" s="17" t="s">
        <v>524</v>
      </c>
      <c r="E50" s="43" t="s">
        <v>525</v>
      </c>
      <c r="F50" s="19" t="s">
        <v>30</v>
      </c>
      <c r="G50" s="28">
        <f t="shared" ref="G50:G58" si="7">IF(F50=$H$13,$I$13,IF(F50=$H$14,$I$14,$I$15))</f>
        <v>3</v>
      </c>
      <c r="H50" s="1"/>
      <c r="I50" s="1"/>
      <c r="J50" s="1"/>
      <c r="K50" s="1"/>
      <c r="L50" s="1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4.25" customHeight="1">
      <c r="A51" s="46"/>
      <c r="B51" s="46"/>
      <c r="C51" s="41" t="s">
        <v>307</v>
      </c>
      <c r="D51" s="17" t="s">
        <v>526</v>
      </c>
      <c r="E51" s="43" t="s">
        <v>527</v>
      </c>
      <c r="F51" s="19" t="s">
        <v>30</v>
      </c>
      <c r="G51" s="28">
        <f t="shared" si="7"/>
        <v>3</v>
      </c>
      <c r="H51" s="1"/>
      <c r="I51" s="1"/>
      <c r="J51" s="1"/>
      <c r="K51" s="1"/>
      <c r="L51" s="1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4.25" customHeight="1">
      <c r="A52" s="46"/>
      <c r="B52" s="46"/>
      <c r="C52" s="41" t="s">
        <v>311</v>
      </c>
      <c r="D52" s="17" t="s">
        <v>528</v>
      </c>
      <c r="E52" s="43" t="s">
        <v>529</v>
      </c>
      <c r="F52" s="19" t="s">
        <v>30</v>
      </c>
      <c r="G52" s="28">
        <f t="shared" si="7"/>
        <v>3</v>
      </c>
      <c r="H52" s="1"/>
      <c r="I52" s="1"/>
      <c r="J52" s="1"/>
      <c r="K52" s="1"/>
      <c r="L52" s="1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14.25" customHeight="1">
      <c r="A53" s="46"/>
      <c r="B53" s="46"/>
      <c r="C53" s="41" t="s">
        <v>314</v>
      </c>
      <c r="D53" s="17" t="s">
        <v>530</v>
      </c>
      <c r="E53" s="43" t="s">
        <v>531</v>
      </c>
      <c r="F53" s="19" t="s">
        <v>30</v>
      </c>
      <c r="G53" s="28">
        <f t="shared" si="7"/>
        <v>3</v>
      </c>
      <c r="H53" s="38"/>
      <c r="I53" s="30"/>
      <c r="J53" s="1"/>
      <c r="K53" s="1"/>
      <c r="L53" s="1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4.25" customHeight="1">
      <c r="A54" s="46"/>
      <c r="B54" s="46"/>
      <c r="C54" s="41" t="s">
        <v>318</v>
      </c>
      <c r="D54" s="17" t="s">
        <v>532</v>
      </c>
      <c r="E54" s="43" t="s">
        <v>533</v>
      </c>
      <c r="F54" s="19" t="s">
        <v>30</v>
      </c>
      <c r="G54" s="28">
        <f t="shared" si="7"/>
        <v>3</v>
      </c>
      <c r="H54" s="1"/>
      <c r="I54" s="1"/>
      <c r="J54" s="1"/>
      <c r="K54" s="1"/>
      <c r="L54" s="1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4.25" customHeight="1">
      <c r="A55" s="46"/>
      <c r="B55" s="46"/>
      <c r="C55" s="41" t="s">
        <v>321</v>
      </c>
      <c r="D55" s="17" t="s">
        <v>534</v>
      </c>
      <c r="E55" s="43" t="s">
        <v>535</v>
      </c>
      <c r="F55" s="19" t="s">
        <v>30</v>
      </c>
      <c r="G55" s="28">
        <f t="shared" si="7"/>
        <v>3</v>
      </c>
      <c r="H55" s="1"/>
      <c r="I55" s="1"/>
      <c r="J55" s="1"/>
      <c r="K55" s="1"/>
      <c r="L55" s="1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4.25" customHeight="1">
      <c r="A56" s="46"/>
      <c r="B56" s="46"/>
      <c r="C56" s="41" t="s">
        <v>324</v>
      </c>
      <c r="D56" s="17" t="s">
        <v>536</v>
      </c>
      <c r="E56" s="43" t="s">
        <v>537</v>
      </c>
      <c r="F56" s="19" t="s">
        <v>30</v>
      </c>
      <c r="G56" s="28">
        <f t="shared" si="7"/>
        <v>3</v>
      </c>
      <c r="H56" s="1"/>
      <c r="I56" s="1"/>
      <c r="J56" s="1"/>
      <c r="K56" s="1"/>
      <c r="L56" s="1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4.25" customHeight="1">
      <c r="A57" s="46"/>
      <c r="B57" s="46"/>
      <c r="C57" s="41" t="s">
        <v>327</v>
      </c>
      <c r="D57" s="17" t="s">
        <v>538</v>
      </c>
      <c r="E57" s="43" t="s">
        <v>539</v>
      </c>
      <c r="F57" s="19" t="s">
        <v>30</v>
      </c>
      <c r="G57" s="28">
        <f t="shared" si="7"/>
        <v>3</v>
      </c>
      <c r="H57" s="1"/>
      <c r="I57" s="1"/>
      <c r="J57" s="1"/>
      <c r="K57" s="1"/>
      <c r="L57" s="1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39.75" customHeight="1">
      <c r="A58" s="46"/>
      <c r="B58" s="46"/>
      <c r="C58" s="41" t="s">
        <v>330</v>
      </c>
      <c r="D58" s="66" t="s">
        <v>540</v>
      </c>
      <c r="E58" s="67" t="s">
        <v>541</v>
      </c>
      <c r="F58" s="19" t="s">
        <v>30</v>
      </c>
      <c r="G58" s="28">
        <f t="shared" si="7"/>
        <v>3</v>
      </c>
      <c r="H58" s="38"/>
      <c r="I58" s="30"/>
      <c r="J58" s="1"/>
      <c r="K58" s="1"/>
      <c r="L58" s="1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</sheetData>
  <mergeCells count="1">
    <mergeCell ref="A1:C1"/>
  </mergeCells>
  <conditionalFormatting sqref="F2:F13">
    <cfRule type="containsText" dxfId="5" priority="1" operator="containsText" text="Yes">
      <formula>NOT(ISERROR(SEARCH(("Yes"),(F2))))</formula>
    </cfRule>
  </conditionalFormatting>
  <conditionalFormatting sqref="F15:F20">
    <cfRule type="containsText" dxfId="4" priority="2" operator="containsText" text="Yes">
      <formula>NOT(ISERROR(SEARCH(("Yes"),(F15))))</formula>
    </cfRule>
  </conditionalFormatting>
  <conditionalFormatting sqref="F22:F33">
    <cfRule type="containsText" dxfId="3" priority="3" operator="containsText" text="Yes">
      <formula>NOT(ISERROR(SEARCH(("Yes"),(F22))))</formula>
    </cfRule>
  </conditionalFormatting>
  <conditionalFormatting sqref="F35:F37">
    <cfRule type="containsText" dxfId="2" priority="4" operator="containsText" text="Yes">
      <formula>NOT(ISERROR(SEARCH(("Yes"),(F35))))</formula>
    </cfRule>
  </conditionalFormatting>
  <conditionalFormatting sqref="F39:F48">
    <cfRule type="containsText" dxfId="1" priority="5" operator="containsText" text="Yes">
      <formula>NOT(ISERROR(SEARCH(("Yes"),(F39))))</formula>
    </cfRule>
  </conditionalFormatting>
  <conditionalFormatting sqref="F50:F58">
    <cfRule type="containsText" dxfId="0" priority="6" operator="containsText" text="Yes">
      <formula>NOT(ISERROR(SEARCH(("Yes"),(F50))))</formula>
    </cfRule>
  </conditionalFormatting>
  <dataValidations count="3">
    <dataValidation type="list" allowBlank="1" showErrorMessage="1" sqref="F4:F5 F23:F31 F19 F16" xr:uid="{00000000-0002-0000-0500-000000000000}">
      <formula1>$H$8:$H$10</formula1>
    </dataValidation>
    <dataValidation type="list" allowBlank="1" showErrorMessage="1" sqref="F22 F50:F58 F39:F48 F37 F35 F32:F33" xr:uid="{00000000-0002-0000-0500-000001000000}">
      <formula1>$H$13:$H$15</formula1>
    </dataValidation>
    <dataValidation type="list" allowBlank="1" showErrorMessage="1" sqref="F2:F3 F36 F20 F17:F18 F15 F6:F13" xr:uid="{00000000-0002-0000-0500-000002000000}">
      <formula1>$H$2:$H$4</formula1>
    </dataValidation>
  </dataValidations>
  <pageMargins left="0.7" right="0.7" top="0.75" bottom="0.75" header="0" footer="0"/>
  <pageSetup paperSize="9" orientation="portrait"/>
  <headerFooter>
    <oddFooter>&amp;R#000000C2 - Safaricom Internal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Hazard</vt:lpstr>
      <vt:lpstr>Exposure</vt:lpstr>
      <vt:lpstr>Sensitivity</vt:lpstr>
      <vt:lpstr>Adaptive 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2026-02-17T10:49:44Z</dcterms:created>
  <dcterms:modified xsi:type="dcterms:W3CDTF">2026-02-17T10:56:54Z</dcterms:modified>
</cp:coreProperties>
</file>