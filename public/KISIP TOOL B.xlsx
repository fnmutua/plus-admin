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Instructions" sheetId="2" r:id="rId6"/>
    <sheet state="visible" name="Hazard" sheetId="3" r:id="rId7"/>
    <sheet state="visible" name="Exposure" sheetId="4" r:id="rId8"/>
    <sheet state="visible" name="Sensitivity" sheetId="5" r:id="rId9"/>
    <sheet state="visible" name="Adaptive Capacity" sheetId="6" r:id="rId10"/>
    <sheet state="visible" name="RVAT_Output" sheetId="7" r:id="rId11"/>
    <sheet state="visible" name="Response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tc={0bc51683-9cd4-468f-931b-2898827ecf06}</author>
    <author>tc={3efef5ef-f407-4b6b-abbd-c1c9f15e3371}</author>
    <author>tc={3fa85728-fa8e-4bac-b275-e68295dde33f}</author>
    <author>tc={49fb8c0d-c475-4a71-bf97-ca855960d97c}</author>
    <author>tc={95176bdf-ee19-4b3f-9e35-977da9658a61}</author>
    <author>tc={a66edc97-a719-48a8-a3e7-85d9eae769a9}</author>
    <author>tc={bd376a5a-b04d-49e6-bae2-23923be495b8}</author>
    <author>tc={e3c6fb57-30f2-488c-822c-996d56ede151}</author>
    <author>tc={ec35c53f-4f67-41d5-a2ba-f1073758f4f8}</author>
  </authors>
  <commentList>
    <comment authorId="0" xr:uid="{0bc51683-9cd4-468f-931b-2898827ecf06}" ref="D3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1" xr:uid="{3efef5ef-f407-4b6b-abbd-c1c9f15e3371}" ref="D4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2" xr:uid="{3fa85728-fa8e-4bac-b275-e68295dde33f}" ref="D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Earthquakes/volcanic activities
</t>
      </text>
    </comment>
    <comment authorId="3" xr:uid="{49fb8c0d-c475-4a71-bf97-ca855960d97c}" ref="D1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4" xr:uid="{95176bdf-ee19-4b3f-9e35-977da9658a61}" ref="D1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5" xr:uid="{a66edc97-a719-48a8-a3e7-85d9eae769a9}" ref="D1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6" xr:uid="{bd376a5a-b04d-49e6-bae2-23923be495b8}" ref="D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7" xr:uid="{e3c6fb57-30f2-488c-822c-996d56ede151}" ref="D3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8" xr:uid="{ec35c53f-4f67-41d5-a2ba-f1073758f4f8}" ref="C4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Use Inadiquacy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tc={0c60581f-b5f6-4acb-a3f8-c218e45d0fd3}</author>
    <author>tc={2d632ad8-ccd5-407d-8c7a-f38d8092d38c}</author>
    <author>tc={3869fe41-e9e5-4d94-ad12-b1a6600266c7}</author>
    <author>tc={400a93a6-6a11-46c8-bb2d-6a1de2e4b79c}</author>
    <author>tc={4765fd20-08f1-4538-ae30-67e8db2d911e}</author>
    <author>tc={5690d6ec-38e8-4289-aaf1-d21efc74dbd4}</author>
    <author>tc={58b95338-7feb-42ed-8859-475e7990ef9f}</author>
    <author>tc={62e7ccbb-3ee9-4778-adb4-df5def16348e}</author>
    <author>tc={6cabe3cd-55b7-4af6-a21d-6678701cc355}</author>
    <author>tc={728a257a-ba98-4f5a-8e3e-d45815583b60}</author>
    <author>tc={8254b632-88a0-455e-84e5-70b9b429b6cc}</author>
    <author>tc={94ee87f9-3a7f-4b14-bd43-792efb041b03}</author>
    <author>tc={97259ebb-fdb8-43c7-a64a-7b8fc9a943c3}</author>
    <author>tc={9c95b6a7-61b8-4011-927b-12f1a34dc8a3}</author>
    <author>tc={9ea660ca-1cba-45fb-b535-6313943a5bc6}</author>
    <author>tc={b2098cf7-b172-487b-bf38-a341e04352b7}</author>
    <author>tc={b8528bf3-b237-490d-8ce4-42de0ee41980}</author>
    <author>tc={bdd61599-0239-45e1-adfd-588a13edd5ca}</author>
    <author>tc={bece3f18-8381-4559-af7c-87b09f15af78}</author>
    <author>tc={d3500ff3-f625-41f7-8b87-8f7b32ca1d27}</author>
    <author>tc={d3fbf13e-a1e2-4062-b65c-1e89a346df44}</author>
    <author>tc={d884d678-e242-44a8-82ec-16cdfb5c996f}</author>
    <author>tc={d92c9245-1ba6-4de9-802c-8fc4e7dbd2af}</author>
    <author>tc={ef8c7410-b31e-44f0-9380-405cb6d59d70}</author>
    <author>tc={f8692375-f644-432a-9f96-327b59f4feba}</author>
  </authors>
  <commentList>
    <comment authorId="0" xr:uid="{0c60581f-b5f6-4acb-a3f8-c218e45d0fd3}" ref="D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 xr:uid="{2d632ad8-ccd5-407d-8c7a-f38d8092d38c}" ref="D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2" xr:uid="{3869fe41-e9e5-4d94-ad12-b1a6600266c7}" ref="D6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3" xr:uid="{400a93a6-6a11-46c8-bb2d-6a1de2e4b79c}" ref="D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4" xr:uid="{4765fd20-08f1-4538-ae30-67e8db2d911e}" ref="D3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5" xr:uid="{5690d6ec-38e8-4289-aaf1-d21efc74dbd4}" ref="D6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6" xr:uid="{58b95338-7feb-42ed-8859-475e7990ef9f}" ref="D4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7" xr:uid="{62e7ccbb-3ee9-4778-adb4-df5def16348e}" ref="D5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8" xr:uid="{6cabe3cd-55b7-4af6-a21d-6678701cc355}" ref="D3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9" xr:uid="{728a257a-ba98-4f5a-8e3e-d45815583b60}" ref="D2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10" xr:uid="{8254b632-88a0-455e-84e5-70b9b429b6cc}" ref="D6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11" xr:uid="{94ee87f9-3a7f-4b14-bd43-792efb041b03}" ref="D2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12" xr:uid="{97259ebb-fdb8-43c7-a64a-7b8fc9a943c3}" ref="D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13" xr:uid="{9c95b6a7-61b8-4011-927b-12f1a34dc8a3}" ref="D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14" xr:uid="{9ea660ca-1cba-45fb-b535-6313943a5bc6}" ref="D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15" xr:uid="{b2098cf7-b172-487b-bf38-a341e04352b7}" ref="D6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16" xr:uid="{b8528bf3-b237-490d-8ce4-42de0ee41980}" ref="D6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17" xr:uid="{bdd61599-0239-45e1-adfd-588a13edd5ca}" ref="D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18" xr:uid="{bece3f18-8381-4559-af7c-87b09f15af78}" ref="C48">
      <text>
        <t xml:space="preserve">[Threaded comment]
 Your version of Excel allows you to read this threaded comment; however, any edits to it will get removed if the file is opened in a newer version of Excel. Learn more: https://go.microsoft.com/fwlink/?linkid=870924
Comment:
	User
Ecology and Biodiversity System
</t>
      </text>
    </comment>
    <comment authorId="19" xr:uid="{d3500ff3-f625-41f7-8b87-8f7b32ca1d27}" ref="D5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20" xr:uid="{d3fbf13e-a1e2-4062-b65c-1e89a346df44}" ref="D2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21" xr:uid="{d884d678-e242-44a8-82ec-16cdfb5c996f}" ref="D6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22" xr:uid="{d92c9245-1ba6-4de9-802c-8fc4e7dbd2af}" ref="D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23" xr:uid="{ef8c7410-b31e-44f0-9380-405cb6d59d70}" ref="D6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24" xr:uid="{f8692375-f644-432a-9f96-327b59f4feba}" ref="D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tc={1b749de8-6ab0-49f9-8ca9-52e0a12a1509}</author>
    <author>tc={2dc891c4-5ccf-4feb-a36f-ae6b05e18ea6}</author>
    <author>tc={3bde22dc-fba4-41ec-ad15-aa0bccc477e4}</author>
    <author>tc={4a2c8ee4-2a6b-4f32-a073-413a622c99e8}</author>
    <author>tc={5d6e1353-9924-4e94-9f2f-fcf7919c3978}</author>
    <author>tc={5ec0ee56-b584-4007-844b-96698e5cc4c7}</author>
    <author>tc={683b3a62-6313-49d5-b4f4-3d8b26489608}</author>
    <author>tc={849635c0-1860-42f0-a879-ad0bab67917f}</author>
    <author>tc={957150f9-8803-4fb4-a1b5-9b5309077b81}</author>
    <author>tc={9b44c26f-d067-40a4-bfa7-7acc795dc050}</author>
    <author>tc={9b59197d-efaa-4adc-a65c-f5ac007791b6}</author>
    <author>tc={a2f84f22-29e2-49fc-8d06-73a7f1eb3d73}</author>
    <author>tc={a8b77517-008f-4f38-9a20-3c630d9414b9}</author>
    <author>tc={b079b2f0-ac8f-460e-977f-772dd644ae20}</author>
    <author>tc={b0a239d4-0813-4ed6-8d8f-2290e3d41525}</author>
    <author>tc={bd01e5f8-e677-4528-a916-9fb90411f4e5}</author>
    <author>tc={cae59f8c-bd1a-4138-9d11-5c8a1dcd22b9}</author>
    <author>tc={ce4b3989-faab-4fb2-9e86-0aaf377b9fbe}</author>
    <author>tc={e25d25be-0599-43a5-ba92-2e6f7c66fdba}</author>
    <author>tc={e2eb3c6c-a604-4893-b258-be286ef214d0}</author>
    <author>tc={e70e6dce-f433-4472-bc8d-35cb21cde949}</author>
    <author>tc={e8a975a0-880c-48ad-a8c9-5a6f4822d91d}</author>
    <author>tc={ed113e6f-baae-48a3-bf9b-48255e9aef04}</author>
    <author>tc={ffd8a8b5-3987-441f-a1f0-66b542370a34}</author>
  </authors>
  <commentList>
    <comment authorId="0" xr:uid="{1b749de8-6ab0-49f9-8ca9-52e0a12a1509}" ref="D6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1" xr:uid="{2dc891c4-5ccf-4feb-a36f-ae6b05e18ea6}" ref="D5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2" xr:uid="{3bde22dc-fba4-41ec-ad15-aa0bccc477e4}" ref="D6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3" xr:uid="{4a2c8ee4-2a6b-4f32-a073-413a622c99e8}" ref="D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4" xr:uid="{5d6e1353-9924-4e94-9f2f-fcf7919c3978}" ref="D4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5" xr:uid="{5ec0ee56-b584-4007-844b-96698e5cc4c7}" ref="D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6" xr:uid="{683b3a62-6313-49d5-b4f4-3d8b26489608}" ref="D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7" xr:uid="{849635c0-1860-42f0-a879-ad0bab67917f}" ref="D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8" xr:uid="{957150f9-8803-4fb4-a1b5-9b5309077b81}" ref="D2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9" xr:uid="{9b44c26f-d067-40a4-bfa7-7acc795dc050}" ref="D3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10" xr:uid="{9b59197d-efaa-4adc-a65c-f5ac007791b6}" ref="D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11" xr:uid="{a2f84f22-29e2-49fc-8d06-73a7f1eb3d73}" ref="D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2" xr:uid="{a8b77517-008f-4f38-9a20-3c630d9414b9}" ref="D6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13" xr:uid="{b079b2f0-ac8f-460e-977f-772dd644ae20}" ref="D6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14" xr:uid="{b0a239d4-0813-4ed6-8d8f-2290e3d41525}" ref="D6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15" xr:uid="{bd01e5f8-e677-4528-a916-9fb90411f4e5}" ref="D2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16" xr:uid="{cae59f8c-bd1a-4138-9d11-5c8a1dcd22b9}" ref="D3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17" xr:uid="{ce4b3989-faab-4fb2-9e86-0aaf377b9fbe}" ref="D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18" xr:uid="{e25d25be-0599-43a5-ba92-2e6f7c66fdba}" ref="D6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19" xr:uid="{e2eb3c6c-a604-4893-b258-be286ef214d0}" ref="D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20" xr:uid="{e70e6dce-f433-4472-bc8d-35cb21cde949}" ref="D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21" xr:uid="{e8a975a0-880c-48ad-a8c9-5a6f4822d91d}" ref="D5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22" xr:uid="{ed113e6f-baae-48a3-bf9b-48255e9aef04}" ref="D2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23" xr:uid="{ffd8a8b5-3987-441f-a1f0-66b542370a34}" ref="D6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tc={33fb97d7-cfd0-4e94-8b07-54257560a5f8}</author>
    <author>tc={3428bf68-4ab2-490c-9276-9b5cea2b85aa}</author>
    <author>tc={426dedc9-6e76-4f71-ae5c-1bcd33215a23}</author>
    <author>tc={44c6d616-d694-4403-a9b7-d2bb07849b95}</author>
    <author>tc={4597677e-5137-438c-abe8-bccac3f6a914}</author>
    <author>tc={46f293d9-0d9f-42ba-af6b-a4b6d34b976e}</author>
    <author>tc={47dd61ad-2a91-49be-af97-5d3d867bdd2b}</author>
    <author>tc={5510f5fb-92a9-4f44-a6c4-16eb287fb4f2}</author>
    <author>tc={6ea3f5f5-8fac-493e-a699-e228e61915f7}</author>
    <author>tc={6f36fbb7-88b9-451e-9f97-c14a4f2bcb27}</author>
    <author>tc={8e11584c-ceb8-4a97-9197-a76ef8517d26}</author>
    <author>tc={92ebb325-363f-4436-a436-6404dd91ff49}</author>
    <author>tc={948adb7e-72d3-4774-9a30-1de7b1d873ce}</author>
    <author>tc={988bbc1f-35cd-4ef4-ab11-8ac5cdf76330}</author>
    <author>tc={99864397-3ce9-48e7-97b8-e7f458665f38}</author>
    <author>tc={b1363afe-4c55-43f0-aa39-d67d996a4582}</author>
    <author>tc={b3cc66c9-9af5-4a61-b2ed-8d289240759f}</author>
    <author>tc={d929d542-bf4d-4ce7-94c0-bcaa9e1c1a81}</author>
    <author>tc={dc2bbde8-fb54-4286-936e-617c27aa37bc}</author>
    <author>tc={e022c45f-986e-4f1f-bdee-702185ea65a0}</author>
    <author>tc={e515b8c2-875d-45da-b523-ae68f17c2f63}</author>
    <author>tc={e8140a9f-4eb7-4501-845b-d7dc16fe061f}</author>
    <author>tc={ef03389a-124d-49cc-a8aa-29a174289161}</author>
    <author>tc={f87b8b0b-8cab-4548-b12f-1c855cabb3a4}</author>
  </authors>
  <commentList>
    <comment authorId="0" xr:uid="{33fb97d7-cfd0-4e94-8b07-54257560a5f8}" ref="D6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1" xr:uid="{3428bf68-4ab2-490c-9276-9b5cea2b85aa}" ref="D6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2" xr:uid="{426dedc9-6e76-4f71-ae5c-1bcd33215a23}" ref="D2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3" xr:uid="{44c6d616-d694-4403-a9b7-d2bb07849b95}" ref="D2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4" xr:uid="{4597677e-5137-438c-abe8-bccac3f6a914}" ref="D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5" xr:uid="{46f293d9-0d9f-42ba-af6b-a4b6d34b976e}" ref="D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6" xr:uid="{47dd61ad-2a91-49be-af97-5d3d867bdd2b}" ref="D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7" xr:uid="{5510f5fb-92a9-4f44-a6c4-16eb287fb4f2}" ref="D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8" xr:uid="{6ea3f5f5-8fac-493e-a699-e228e61915f7}" ref="D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9" xr:uid="{6f36fbb7-88b9-451e-9f97-c14a4f2bcb27}" ref="D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10" xr:uid="{8e11584c-ceb8-4a97-9197-a76ef8517d26}" ref="D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11" xr:uid="{92ebb325-363f-4436-a436-6404dd91ff49}" ref="D6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12" xr:uid="{948adb7e-72d3-4774-9a30-1de7b1d873ce}" ref="D5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13" xr:uid="{988bbc1f-35cd-4ef4-ab11-8ac5cdf76330}" ref="D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14" xr:uid="{99864397-3ce9-48e7-97b8-e7f458665f38}" ref="D5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15" xr:uid="{b1363afe-4c55-43f0-aa39-d67d996a4582}" ref="D3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16" xr:uid="{b3cc66c9-9af5-4a61-b2ed-8d289240759f}" ref="D6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17" xr:uid="{d929d542-bf4d-4ce7-94c0-bcaa9e1c1a81}" ref="D6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18" xr:uid="{dc2bbde8-fb54-4286-936e-617c27aa37bc}" ref="D3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19" xr:uid="{e022c45f-986e-4f1f-bdee-702185ea65a0}" ref="D2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20" xr:uid="{e515b8c2-875d-45da-b523-ae68f17c2f63}" ref="D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21" xr:uid="{e8140a9f-4eb7-4501-845b-d7dc16fe061f}" ref="D6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22" xr:uid="{ef03389a-124d-49cc-a8aa-29a174289161}" ref="D4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23" xr:uid="{f87b8b0b-8cab-4548-b12f-1c855cabb3a4}" ref="D6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tc={00cebf59-3a01-4c47-96f0-ffdbccc03b2a}</author>
    <author>tc={00d7db59-b751-4a00-9dd0-f9305afd519b}</author>
    <author>tc={016bd9e5-c3f2-4663-b6e8-cbb21b5f9415}</author>
    <author>tc={02018a63-a8ea-4345-aa25-3e2a6b93823c}</author>
    <author>tc={02430213-6198-4936-aba9-2bf7e84f9da6}</author>
    <author>tc={030c8006-224f-43f9-b8b8-8df92a429370}</author>
    <author>tc={033c1c2e-fc28-4291-a66b-b62dd5b3c903}</author>
    <author>tc={055607f8-c22f-40bc-817b-dd590d91bd7e}</author>
    <author>tc={05a31232-b2b8-4d10-8c20-8968bd1e0998}</author>
    <author>tc={06e44f7d-d8c5-49fb-b171-86d0af80f4ab}</author>
    <author>tc={07734759-c000-4dba-bfac-30eb490eecf0}</author>
    <author>tc={07d05027-1cf0-4c7c-bebc-4d2179510e9a}</author>
    <author>tc={08a2456b-cde5-4be2-9b93-5eb81c0bdcf3}</author>
    <author>tc={0ae8c3d2-decd-4f53-83c6-7e6b730fa701}</author>
    <author>tc={0af85529-72c7-4fc8-be1a-d5ae5bab9559}</author>
    <author>tc={0fcd47b9-eef0-48d6-88a7-110790c23c60}</author>
    <author>tc={1224cf37-19c9-4042-98bf-909a00b7da71}</author>
    <author>tc={1537fc64-171f-4df0-b8a0-66497412d225}</author>
    <author>tc={159de93b-b5ac-44e4-94fa-7e33880597b1}</author>
    <author>tc={19498c82-d9dc-495d-9404-dba116b4e053}</author>
    <author>tc={1a563f4d-857c-4d00-95a3-d03b022f9362}</author>
    <author>tc={1a5b6654-b508-4dd4-9bff-097b0162ab3f}</author>
    <author>tc={1b2e4614-04e4-4c3a-bdf5-363bb02a7f3e}</author>
    <author>tc={1bbd6d42-c94d-4c92-a29d-18d49ceaccf4}</author>
    <author>tc={1bc307e6-0f07-434a-91a4-7510de4b38fe}</author>
    <author>tc={1ce1cb56-44db-42c1-90fb-e04a84a8f4c5}</author>
    <author>tc={1db12b8c-4bc8-4033-8468-27e94f3c0650}</author>
    <author>tc={1e914997-3c29-40c6-9329-17646ed5088a}</author>
    <author>tc={1fefbd64-9235-4518-b6eb-f6a44abc906a}</author>
    <author>tc={2014f556-1309-435e-9187-7c90e8a77a48}</author>
    <author>tc={239f7faa-e1f2-4356-b5fd-882105684c22}</author>
    <author>tc={29f92e56-3d30-4377-a940-8ebe3925d79a}</author>
    <author>tc={2b91bbbc-e07b-4596-af0a-83a9a843cce9}</author>
    <author>tc={2c44c4a6-c364-479d-a330-0f61390431d5}</author>
    <author>tc={3041ea03-5456-4fea-9451-3b5a79544612}</author>
    <author>tc={3185d395-e856-41cc-b09a-0b5d60dada33}</author>
    <author>tc={321519f7-b1b0-4678-83a7-9287e84ce137}</author>
    <author>tc={32f2fbbc-755e-418f-9fe1-186d0ef3dc6a}</author>
    <author>tc={34387d34-b42e-439c-ad5c-5a0daa5efea1}</author>
    <author>tc={345ee8e9-fdab-4463-974c-a2b2ffd75226}</author>
    <author>tc={388b6fd8-be52-405b-8a24-d4a8d7aca464}</author>
    <author>tc={38c96e4a-c5bd-4b44-8710-0f9221fa9ad0}</author>
    <author>tc={39c397a8-efcc-4afe-a8ec-8f7e698b2881}</author>
    <author>tc={3bc5f4f7-b186-4660-b4db-8ad2f705e919}</author>
    <author>tc={3f126714-7b7b-45ae-b442-f7f8495f3961}</author>
    <author>tc={3f5e2c31-cf2f-4ec0-84fd-2d684e9f965f}</author>
    <author>tc={40c5994f-404a-4dfc-a45b-ca4a56a06b0e}</author>
    <author>tc={41b2c78b-b3d3-4fa7-a88a-33e89b020915}</author>
    <author>tc={43b23fbb-2954-43d9-b291-e6bdadd877bd}</author>
    <author>tc={46b6629b-1c2b-4f08-ad40-c1d0f5c5d71a}</author>
    <author>tc={4c91c0e6-ed35-47bf-a762-98dc6520394e}</author>
    <author>tc={4f9074cf-e52f-43de-910b-09d9af4868fb}</author>
    <author>tc={525812a3-7c32-4044-af98-206e305726ef}</author>
    <author>tc={532cd904-eb69-4a8e-9694-f65a6bdbde69}</author>
    <author>tc={536460e6-9fc7-4a0f-9282-d47448da598d}</author>
    <author>tc={551757c2-2e55-4eca-9b4b-6ab4e3b21a19}</author>
    <author>tc={55a80526-761e-42d2-9a9e-2813923d08c8}</author>
    <author>tc={57605e66-6bcb-44d3-8a89-9f776ce614c4}</author>
    <author>tc={57f51b1f-980e-47a4-8e3e-0aba7f1a4055}</author>
    <author>tc={58175a29-d0d1-4455-850e-5d44bed8f1ae}</author>
    <author>tc={5912df3c-f215-467f-9b7e-40f6d1d671c2}</author>
    <author>tc={5b1e5c9d-9860-4971-ba2a-60a6520a7f12}</author>
    <author>tc={5b31ddcb-6c75-484a-bf92-b09f1f280b26}</author>
    <author>tc={5c147176-e4bd-4e2e-b935-b4368b8b25e4}</author>
    <author>tc={5d00310f-009d-4283-b6f0-c254c8de521e}</author>
    <author>tc={5f4c5793-9af8-4840-b404-0867c082d2ea}</author>
    <author>tc={60c4759c-382f-4207-a2df-f353c60ab10f}</author>
    <author>tc={60d35bf0-fdc4-446f-b35e-11a0d086b5ec}</author>
    <author>tc={630ee89c-4d49-43a2-b8cf-d3e9d4d19df0}</author>
    <author>tc={6481a576-df9d-42ec-8158-3c59e84f5e74}</author>
    <author>tc={64960b9a-4475-4c97-a4cf-c0b22a3b8d79}</author>
    <author>tc={677aa9e4-1643-453c-85cb-eead3de608d3}</author>
    <author>tc={67bad9eb-39f9-4233-af83-2b8f4a385ad0}</author>
    <author>tc={67c1a1fa-59ff-45f9-a940-317e23146940}</author>
    <author>tc={6c62d4ff-7c44-4985-9b09-c83d8186f4c2}</author>
    <author>tc={6f2c6d35-faa3-40c7-ae76-514e9988acb4}</author>
    <author>tc={78e0f484-e467-4f1f-aea6-3ffb1ad54a47}</author>
    <author>tc={79d6b771-2f3e-449c-9f04-dcdc74adba00}</author>
    <author>tc={7c0719dd-a41d-46a2-a485-b9b896e582c4}</author>
    <author>tc={7c882e8f-17e7-48dc-a915-1d0f47ca4db1}</author>
    <author>tc={7eb52b6f-4ced-46f2-af6b-ecd25f99b89e}</author>
    <author>tc={805bfcb4-080a-4b9b-a002-a20145b4a38e}</author>
    <author>tc={80de2f0f-6dc5-40b0-8307-07b96d51793c}</author>
    <author>tc={84d761ab-acf2-47e4-8077-f67dd993175f}</author>
    <author>tc={850b1fc2-eb04-4479-8ded-3d46c9cd6270}</author>
    <author>tc={86b79e4e-18b1-4214-8383-531ac14f86ac}</author>
    <author>tc={87138a82-c37b-4e9e-8d92-908a7c44b4f1}</author>
    <author>tc={877a0ae1-f42f-4476-8a71-331dcba91f0c}</author>
    <author>tc={87eeb30a-4fcf-4a08-9592-498f126a6677}</author>
    <author>tc={9494164f-9891-4f07-89c0-37d21aff3e21}</author>
    <author>tc={97aa4b52-ba3e-423c-976c-b11d061ef1b7}</author>
    <author>tc={987d998c-a040-43f8-8246-e872bc5ed387}</author>
    <author>tc={9cdd68cd-7f46-4223-b3ff-91da90177845}</author>
    <author>tc={9dded937-24c7-4399-a524-cf2629f755c3}</author>
    <author>tc={a03b7f8d-a126-4c89-97d7-09f9991088ce}</author>
    <author>tc={a11704e6-0b8a-42b6-9c91-f6ebfe828ce5}</author>
    <author>tc={a196577e-a68a-40fe-be4d-a04e0f313a43}</author>
    <author>tc={a3192568-12e7-4421-9e2a-de02d0ab7d76}</author>
    <author>tc={a6e4ddf3-f811-4134-a0ce-f295259cefe7}</author>
    <author>tc={a757cbd8-63c3-4197-acdc-f322d010cdb9}</author>
    <author>tc={a8feb763-56a0-4979-a49b-cf8059fe167f}</author>
    <author>tc={aeb4e49b-8187-4efc-b95d-35b5360f8edd}</author>
    <author>tc={b30680ee-cebd-435f-9d1f-ca4a26f80772}</author>
    <author>tc={b45456a8-3405-40e3-8913-fc3abaa94dab}</author>
    <author>tc={b535ece3-1335-4b81-9e2d-07b24c9b98d2}</author>
    <author>tc={b690a260-a5f0-409a-8255-ab98d82cea67}</author>
    <author>tc={bb801125-ad1f-4c9d-ba1e-992d8722a74f}</author>
    <author>tc={bd023458-30c2-4383-93cd-552cb3720412}</author>
    <author>tc={bf9ad552-c462-4a4e-8aae-aecd32fdc4e8}</author>
    <author>tc={c88f86e7-546f-4edb-bb2f-9003c27587d9}</author>
    <author>tc={c8931699-2689-468e-be51-65f675132765}</author>
    <author>tc={c9c90ddd-a2ba-41fe-88e9-8381b2a260dc}</author>
    <author>tc={cbb1be76-4a9d-405f-96aa-dacb1aa6de5c}</author>
    <author>tc={d3cb3ece-313b-4297-9639-c79c66a0d4b7}</author>
    <author>tc={d87d1d47-a7e1-4787-9950-9db1f0b81555}</author>
    <author>tc={daf3d624-8fb4-450c-8953-a941973b699b}</author>
    <author>tc={dbeceeeb-9d6b-4998-ac6c-0ef8b471678d}</author>
    <author>tc={dd1eba1a-240c-4167-ac15-69198fd9f62f}</author>
    <author>tc={de1cc355-3766-4b00-a7c8-7fa649021b95}</author>
    <author>tc={dfa5cbc8-a094-406d-be5a-240e3b97ea12}</author>
    <author>tc={e2b4d822-c911-495e-9d95-345e9dd271b5}</author>
    <author>tc={e65fb707-3f68-4229-b41b-8c035ae1bc76}</author>
    <author>tc={ea208c92-8466-4cdb-af7f-733fb3280a97}</author>
    <author>tc={ecfc6f94-6026-4a54-9671-3ec54abe8661}</author>
    <author>tc={edd80e69-bfa9-4430-b79b-1ff856bf2ad3}</author>
    <author>tc={ef2f436b-6cc7-4832-a600-ed2a360201b8}</author>
    <author>tc={ef432bec-e00f-4a84-94cb-c8fdffa3fc93}</author>
    <author>tc={f0f90313-4520-40ec-94c4-10e195723b75}</author>
    <author>tc={fa6f11e2-9978-43f5-9934-c4266ffefa83}</author>
    <author>tc={fcc655c1-8a93-4ac1-8350-bb704fb5bfb0}</author>
    <author>tc={ff3d0301-073a-4a7b-a6c3-42aacc2a4c21}</author>
  </authors>
  <commentList>
    <comment authorId="0" xr:uid="{00cebf59-3a01-4c47-96f0-ffdbccc03b2a}" ref="I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1" xr:uid="{00d7db59-b751-4a00-9dd0-f9305afd519b}" ref="AA8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2" xr:uid="{016bd9e5-c3f2-4663-b6e8-cbb21b5f9415}" ref="D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3" xr:uid="{02018a63-a8ea-4345-aa25-3e2a6b93823c}" ref="D4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4" xr:uid="{02430213-6198-4936-aba9-2bf7e84f9da6}" ref="Z7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5" xr:uid="{030c8006-224f-43f9-b8b8-8df92a429370}" ref="Y1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6" xr:uid="{033c1c2e-fc28-4291-a66b-b62dd5b3c903}" ref="D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7" xr:uid="{055607f8-c22f-40bc-817b-dd590d91bd7e}" ref="I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8" xr:uid="{05a31232-b2b8-4d10-8c20-8968bd1e0998}" ref="AA7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9" xr:uid="{06e44f7d-d8c5-49fb-b171-86d0af80f4ab}" ref="Y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10" xr:uid="{07734759-c000-4dba-bfac-30eb490eecf0}" ref="S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1" xr:uid="{07d05027-1cf0-4c7c-bebc-4d2179510e9a}" ref="L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12" xr:uid="{08a2456b-cde5-4be2-9b93-5eb81c0bdcf3}" ref="P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13" xr:uid="{0ae8c3d2-decd-4f53-83c6-7e6b730fa701}" ref="Z1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14" xr:uid="{0af85529-72c7-4fc8-be1a-d5ae5bab9559}" ref="F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15" xr:uid="{0fcd47b9-eef0-48d6-88a7-110790c23c60}" ref="G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16" xr:uid="{1224cf37-19c9-4042-98bf-909a00b7da71}" ref="AA1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17" xr:uid="{1537fc64-171f-4df0-b8a0-66497412d225}" ref="Y8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18" xr:uid="{159de93b-b5ac-44e4-94fa-7e33880597b1}" ref="AA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19" xr:uid="{19498c82-d9dc-495d-9404-dba116b4e053}" ref="Z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20" xr:uid="{1a563f4d-857c-4d00-95a3-d03b022f9362}" ref="G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21" xr:uid="{1a5b6654-b508-4dd4-9bff-097b0162ab3f}" ref="Z14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22" xr:uid="{1b2e4614-04e4-4c3a-bdf5-363bb02a7f3e}" ref="P11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Ecology, biodiversity and settlement realm
</t>
      </text>
    </comment>
    <comment authorId="23" xr:uid="{1bbd6d42-c94d-4c92-a29d-18d49ceaccf4}" ref="X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24" xr:uid="{1bc307e6-0f07-434a-91a4-7510de4b38fe}" ref="S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25" xr:uid="{1ce1cb56-44db-42c1-90fb-e04a84a8f4c5}" ref="F9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26" xr:uid="{1db12b8c-4bc8-4033-8468-27e94f3c0650}" ref="AA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27" xr:uid="{1e914997-3c29-40c6-9329-17646ed5088a}" ref="D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28" xr:uid="{1fefbd64-9235-4518-b6eb-f6a44abc906a}" ref="L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29" xr:uid="{2014f556-1309-435e-9187-7c90e8a77a48}" ref="W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30" xr:uid="{239f7faa-e1f2-4356-b5fd-882105684c22}" ref="AB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31" xr:uid="{29f92e56-3d30-4377-a940-8ebe3925d79a}" ref="G7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32" xr:uid="{2b91bbbc-e07b-4596-af0a-83a9a843cce9}" ref="L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33" xr:uid="{2c44c4a6-c364-479d-a330-0f61390431d5}" ref="D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34" xr:uid="{3041ea03-5456-4fea-9451-3b5a79544612}" ref="AA1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35" xr:uid="{3185d395-e856-41cc-b09a-0b5d60dada33}" ref="X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36" xr:uid="{321519f7-b1b0-4678-83a7-9287e84ce137}" ref="AA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37" xr:uid="{32f2fbbc-755e-418f-9fe1-186d0ef3dc6a}" ref="D3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38" xr:uid="{34387d34-b42e-439c-ad5c-5a0daa5efea1}" ref="D3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39" xr:uid="{345ee8e9-fdab-4463-974c-a2b2ffd75226}" ref="D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40" xr:uid="{388b6fd8-be52-405b-8a24-d4a8d7aca464}" ref="P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41" xr:uid="{38c96e4a-c5bd-4b44-8710-0f9221fa9ad0}" ref="Y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42" xr:uid="{39c397a8-efcc-4afe-a8ec-8f7e698b2881}" ref="Y11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43" xr:uid="{3bc5f4f7-b186-4660-b4db-8ad2f705e919}" ref="AA7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44" xr:uid="{3f126714-7b7b-45ae-b442-f7f8495f3961}" ref="Z1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45" xr:uid="{3f5e2c31-cf2f-4ec0-84fd-2d684e9f965f}" ref="W9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46" xr:uid="{40c5994f-404a-4dfc-a45b-ca4a56a06b0e}" ref="L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47" xr:uid="{41b2c78b-b3d3-4fa7-a88a-33e89b020915}" ref="L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48" xr:uid="{43b23fbb-2954-43d9-b291-e6bdadd877bd}" ref="AA8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49" xr:uid="{46b6629b-1c2b-4f08-ad40-c1d0f5c5d71a}" ref="G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50" xr:uid="{4c91c0e6-ed35-47bf-a762-98dc6520394e}" ref="D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51" xr:uid="{4f9074cf-e52f-43de-910b-09d9af4868fb}" ref="Z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52" xr:uid="{525812a3-7c32-4044-af98-206e305726ef}" ref="Y7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53" xr:uid="{532cd904-eb69-4a8e-9694-f65a6bdbde69}" ref="P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54" xr:uid="{536460e6-9fc7-4a0f-9282-d47448da598d}" ref="Z1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55" xr:uid="{551757c2-2e55-4eca-9b4b-6ab4e3b21a19}" ref="D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56" xr:uid="{55a80526-761e-42d2-9a9e-2813923d08c8}" ref="F1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57" xr:uid="{57605e66-6bcb-44d3-8a89-9f776ce614c4}" ref="I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58" xr:uid="{57f51b1f-980e-47a4-8e3e-0aba7f1a4055}" ref="W1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59" xr:uid="{58175a29-d0d1-4455-850e-5d44bed8f1ae}" ref="AB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60" xr:uid="{5912df3c-f215-467f-9b7e-40f6d1d671c2}" ref="S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61" xr:uid="{5b1e5c9d-9860-4971-ba2a-60a6520a7f12}" ref="AA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62" xr:uid="{5b31ddcb-6c75-484a-bf92-b09f1f280b26}" ref="I1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63" xr:uid="{5c147176-e4bd-4e2e-b935-b4368b8b25e4}" ref="G1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64" xr:uid="{5d00310f-009d-4283-b6f0-c254c8de521e}" ref="F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65" xr:uid="{5f4c5793-9af8-4840-b404-0867c082d2ea}" ref="L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66" xr:uid="{60c4759c-382f-4207-a2df-f353c60ab10f}" ref="F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67" xr:uid="{60d35bf0-fdc4-446f-b35e-11a0d086b5ec}" ref="AA11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68" xr:uid="{630ee89c-4d49-43a2-b8cf-d3e9d4d19df0}" ref="D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69" xr:uid="{6481a576-df9d-42ec-8158-3c59e84f5e74}" ref="X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70" xr:uid="{64960b9a-4475-4c97-a4cf-c0b22a3b8d79}" ref="AA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71" xr:uid="{677aa9e4-1643-453c-85cb-eead3de608d3}" ref="L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72" xr:uid="{67bad9eb-39f9-4233-af83-2b8f4a385ad0}" ref="L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73" xr:uid="{67c1a1fa-59ff-45f9-a940-317e23146940}" ref="W7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74" xr:uid="{6c62d4ff-7c44-4985-9b09-c83d8186f4c2}" ref="AB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75" xr:uid="{6f2c6d35-faa3-40c7-ae76-514e9988acb4}" ref="Y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76" xr:uid="{78e0f484-e467-4f1f-aea6-3ffb1ad54a47}" ref="G8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77" xr:uid="{79d6b771-2f3e-449c-9f04-dcdc74adba00}" ref="AA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78" xr:uid="{7c0719dd-a41d-46a2-a485-b9b896e582c4}" ref="M4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Earthquakes/volcanic activities
</t>
      </text>
    </comment>
    <comment authorId="79" xr:uid="{7c882e8f-17e7-48dc-a915-1d0f47ca4db1}" ref="Z9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80" xr:uid="{7eb52b6f-4ced-46f2-af6b-ecd25f99b89e}" ref="AB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81" xr:uid="{805bfcb4-080a-4b9b-a002-a20145b4a38e}" ref="L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82" xr:uid="{80de2f0f-6dc5-40b0-8307-07b96d51793c}" ref="L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83" xr:uid="{84d761ab-acf2-47e4-8077-f67dd993175f}" ref="W1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84" xr:uid="{850b1fc2-eb04-4479-8ded-3d46c9cd6270}" ref="Z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85" xr:uid="{86b79e4e-18b1-4214-8383-531ac14f86ac}" ref="AA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86" xr:uid="{87138a82-c37b-4e9e-8d92-908a7c44b4f1}" ref="AA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87" xr:uid="{877a0ae1-f42f-4476-8a71-331dcba91f0c}" ref="D4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88" xr:uid="{87eeb30a-4fcf-4a08-9592-498f126a6677}" ref="I1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89" xr:uid="{9494164f-9891-4f07-89c0-37d21aff3e21}" ref="Z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90" xr:uid="{97aa4b52-ba3e-423c-976c-b11d061ef1b7}" ref="D3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91" xr:uid="{987d998c-a040-43f8-8246-e872bc5ed387}" ref="G5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92" xr:uid="{9cdd68cd-7f46-4223-b3ff-91da90177845}" ref="F12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93" xr:uid="{9dded937-24c7-4399-a524-cf2629f755c3}" ref="G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94" xr:uid="{a03b7f8d-a126-4c89-97d7-09f9991088ce}" ref="AA5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95" xr:uid="{a11704e6-0b8a-42b6-9c91-f6ebfe828ce5}" ref="I12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96" xr:uid="{a196577e-a68a-40fe-be4d-a04e0f313a43}" ref="X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97" xr:uid="{a3192568-12e7-4421-9e2a-de02d0ab7d76}" ref="Z8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98" xr:uid="{a6e4ddf3-f811-4134-a0ce-f295259cefe7}" ref="AA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99" xr:uid="{a757cbd8-63c3-4197-acdc-f322d010cdb9}" ref="G11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100" xr:uid="{a8feb763-56a0-4979-a49b-cf8059fe167f}" ref="Y5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101" xr:uid="{aeb4e49b-8187-4efc-b95d-35b5360f8edd}" ref="Y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102" xr:uid="{b30680ee-cebd-435f-9d1f-ca4a26f80772}" ref="S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03" xr:uid="{b45456a8-3405-40e3-8913-fc3abaa94dab}" ref="P10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Ecology, biodiversity and settlement realm
</t>
      </text>
    </comment>
    <comment authorId="104" xr:uid="{b535ece3-1335-4b81-9e2d-07b24c9b98d2}" ref="I7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105" xr:uid="{b690a260-a5f0-409a-8255-ab98d82cea67}" ref="D3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106" xr:uid="{bb801125-ad1f-4c9d-ba1e-992d8722a74f}" ref="Z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107" xr:uid="{bd023458-30c2-4383-93cd-552cb3720412}" ref="F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108" xr:uid="{bf9ad552-c462-4a4e-8aae-aecd32fdc4e8}" ref="AA14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109" xr:uid="{c88f86e7-546f-4edb-bb2f-9003c27587d9}" ref="I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110" xr:uid="{c8931699-2689-468e-be51-65f675132765}" ref="P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111" xr:uid="{c9c90ddd-a2ba-41fe-88e9-8381b2a260dc}" ref="D4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Applicability or Frequency
</t>
      </text>
    </comment>
    <comment authorId="112" xr:uid="{cbb1be76-4a9d-405f-96aa-dacb1aa6de5c}" ref="Z7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113" xr:uid="{d3cb3ece-313b-4297-9639-c79c66a0d4b7}" ref="I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114" xr:uid="{d87d1d47-a7e1-4787-9950-9db1f0b81555}" ref="Y7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115" xr:uid="{daf3d624-8fb4-450c-8953-a941973b699b}" ref="AA11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116" xr:uid="{dbeceeeb-9d6b-4998-ac6c-0ef8b471678d}" ref="F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117" xr:uid="{dd1eba1a-240c-4167-ac15-69198fd9f62f}" ref="AB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118" xr:uid="{de1cc355-3766-4b00-a7c8-7fa649021b95}" ref="X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119" xr:uid="{dfa5cbc8-a094-406d-be5a-240e3b97ea12}" ref="P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120" xr:uid="{e2b4d822-c911-495e-9d95-345e9dd271b5}" ref="Z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121" xr:uid="{e65fb707-3f68-4229-b41b-8c035ae1bc76}" ref="S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22" xr:uid="{ea208c92-8466-4cdb-af7f-733fb3280a97}" ref="F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123" xr:uid="{ecfc6f94-6026-4a54-9671-3ec54abe8661}" ref="Z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124" xr:uid="{edd80e69-bfa9-4430-b79b-1ff856bf2ad3}" ref="I9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125" xr:uid="{ef2f436b-6cc7-4832-a600-ed2a360201b8}" ref="D1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126" xr:uid="{ef432bec-e00f-4a84-94cb-c8fdffa3fc93}" ref="G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127" xr:uid="{f0f90313-4520-40ec-94c4-10e195723b75}" ref="AA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128" xr:uid="{fa6f11e2-9978-43f5-9934-c4266ffefa83}" ref="D1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129" xr:uid="{fcc655c1-8a93-4ac1-8350-bb704fb5bfb0}" ref="P13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Ecology, biodiversity and settlement realm
</t>
      </text>
    </comment>
    <comment authorId="130" xr:uid="{ff3d0301-073a-4a7b-a6c3-42aacc2a4c21}" ref="F7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tc={001d6def-345d-41d4-8a25-7b3cfba17148}</author>
    <author>tc={03e5d218-03a4-4fa6-a94a-813c567cbb53}</author>
    <author>tc={054d8d7b-d61b-4dfc-a34c-d542a1ca3cf7}</author>
    <author>tc={072b6bda-6cea-4f72-a00a-90e60605f4bb}</author>
    <author>tc={0aba59ae-6b21-41a8-b529-2bb3db089732}</author>
    <author>tc={0e4935bb-df6d-4cd0-a25b-4504d0481eb3}</author>
    <author>tc={10225b50-0a88-41ba-8725-f92b06cf74f5}</author>
    <author>tc={1c86d451-6f00-4084-956d-08b964ed0d2c}</author>
    <author>tc={1d3961ec-09bb-4f9f-afc4-9ed9e69badbe}</author>
    <author>tc={1d8bb28c-9fe6-4783-944a-b6412782f658}</author>
    <author>tc={21b994ef-ca86-450a-b314-bd815c8419bb}</author>
    <author>tc={21d376da-db7b-4edf-88bd-2da4e94be4a3}</author>
    <author>tc={2cf4f0e7-d3f0-4838-b26a-314ae171e63f}</author>
    <author>tc={2d6deb4b-5606-42d7-9abd-c15328f8683b}</author>
    <author>tc={2e57ef2e-ac43-4b08-bc69-9480983d1c2d}</author>
    <author>tc={2fd42362-7b17-4fa6-a822-bce10a8d16ae}</author>
    <author>tc={327cea64-cdd6-4603-951c-a7efd54a5b12}</author>
    <author>tc={3482fcbb-bfdd-4a84-b1fc-7e281ac207ea}</author>
    <author>tc={35bdaf51-f342-46b0-9ca7-d941c47d950e}</author>
    <author>tc={3f1d468e-60ed-44e1-949e-a952d037e1b6}</author>
    <author>tc={439e43e6-c315-4aca-8007-36c72029aeec}</author>
    <author>tc={47bcf272-17ef-40a1-b42e-d25b45e19c46}</author>
    <author>tc={4e62ba5a-0d40-4048-bf17-bf78f297cdee}</author>
    <author>tc={504104ca-04ed-40bc-bd16-fa6d0f192090}</author>
    <author>tc={50467406-c9c5-48b1-8fb4-033258ee8d33}</author>
    <author>tc={51a0bd49-fc04-40a9-93dc-c6580c58d96a}</author>
    <author>tc={56e9ff81-4fc4-4ccb-bc2e-e69b6edea0b9}</author>
    <author>tc={576250c6-0b50-4aef-8f87-6178a7115ed4}</author>
    <author>tc={5a844197-db1a-43b0-9236-f60262adc84f}</author>
    <author>tc={5dc4ef03-b3d1-40fe-9811-fb832a1450b0}</author>
    <author>tc={5ddb640b-a8f4-4646-8d68-41c61b308568}</author>
    <author>tc={60927e4a-25b9-4d24-ac67-198f469e54ab}</author>
    <author>tc={66bfc6d6-ab73-4d0e-a0cd-94dc073ced26}</author>
    <author>tc={6ac70a1d-13ff-4493-8c24-1b3dc7beb9db}</author>
    <author>tc={73063e88-36ff-4cc6-963c-93b4211ae261}</author>
    <author>tc={75f31647-962c-4b94-96bd-c4aaf8cc132d}</author>
    <author>tc={7676b475-e3fb-4678-9647-f56c689233bf}</author>
    <author>tc={7e910980-8de9-4df6-b033-b8a14d9aae1d}</author>
    <author>tc={7fbe65d1-1f69-45dd-8a8e-bfaaf5df59e6}</author>
    <author>tc={83d767ca-07c2-4bdf-9f34-f8aadab13075}</author>
    <author>tc={83dccafd-b4dd-4709-b19d-624915ece2cc}</author>
    <author>tc={88260e84-5c84-45b6-93ce-9b331ed852ae}</author>
    <author>tc={8b3488ee-08e6-4a6b-8b2f-39537d5da394}</author>
    <author>tc={8e2a6713-c616-4d95-8c5d-ccf8538ba709}</author>
    <author>tc={9006e602-c14d-48f6-a891-756faf2dacd1}</author>
    <author>tc={9bdd5d13-181b-4698-ab89-d7c4f07f2a8d}</author>
    <author>tc={9cd571d7-6f42-415c-8b94-b10dc15206ce}</author>
    <author>tc={a16e1190-d912-4a73-abfc-c10b21b2819f}</author>
    <author>tc={a35e8191-012f-490e-a770-1788a923d844}</author>
    <author>tc={ae35986e-8704-40d2-b48b-5512596f0e41}</author>
    <author>tc={b5bb1700-0cc1-40a8-aae9-e289e8559a01}</author>
    <author>tc={b5ceba74-9ee7-48e9-91e1-a3709d2067bc}</author>
    <author>tc={b64de722-ed49-496a-ac71-9af5f2e96626}</author>
    <author>tc={bdf8b0f9-153b-4c5a-9971-3051b4e310d7}</author>
    <author>tc={c157e6fe-a204-442d-9892-f54f88262edd}</author>
    <author>tc={c40936d2-3b01-4ca5-8b74-6ecbd556a738}</author>
    <author>tc={c77b8ea3-1608-4342-8d4f-a7cdedd2384e}</author>
    <author>tc={c8636315-e032-4594-9063-cedc866cc029}</author>
    <author>tc={ca59a3a8-c621-4fd8-8119-435af30a9b4b}</author>
    <author>tc={cbd95974-1653-4752-9c9a-f1c76626569b}</author>
    <author>tc={cfd41f03-7787-4e7c-be2d-3ac04ec6abcb}</author>
    <author>tc={d36d57d2-7d74-43f6-99f3-f017a396f9f1}</author>
    <author>tc={d6fe3d50-fc93-4a40-9afc-49eba626fd21}</author>
    <author>tc={e3bfd2f8-f990-4785-bcc9-1ced4ddb01bc}</author>
    <author>tc={e44960ed-b8ba-4b49-ad1e-2b43dcd369fd}</author>
    <author>tc={eed0ef58-2fdc-4cc2-8469-b12de7f46e06}</author>
    <author>tc={f697dd7d-4e34-43db-bba3-70f6158d109a}</author>
    <author>tc={f85fef35-a115-4c75-a34e-45933e46116c}</author>
    <author>tc={faaa74f2-eaaf-4fd7-9565-eeef7ffebc3a}</author>
    <author>tc={fc0ed1be-a3b4-43d1-8edb-b1dceae340d9}</author>
    <author>tc={fd562298-55fd-4e1f-a95b-b5e7afe89fad}</author>
    <author>tc={fe2f2e25-f22f-412f-be9e-f675c01fc2e6}</author>
    <author>tc={fe80178d-dbe8-4940-81f4-1a6764978a98}</author>
  </authors>
  <commentList>
    <comment authorId="0" xr:uid="{001d6def-345d-41d4-8a25-7b3cfba17148}" ref="I1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1" xr:uid="{03e5d218-03a4-4fa6-a94a-813c567cbb53}" ref="C9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2" xr:uid="{054d8d7b-d61b-4dfc-a34c-d542a1ca3cf7}" ref="C6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3" xr:uid="{072b6bda-6cea-4f72-a00a-90e60605f4bb}" ref="C7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4" xr:uid="{0aba59ae-6b21-41a8-b529-2bb3db089732}" ref="Z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5" xr:uid="{0e4935bb-df6d-4cd0-a25b-4504d0481eb3}" ref="AA2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6" xr:uid="{10225b50-0a88-41ba-8725-f92b06cf74f5}" ref="G1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7" xr:uid="{1c86d451-6f00-4084-956d-08b964ed0d2c}" ref="L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8" xr:uid="{1d3961ec-09bb-4f9f-afc4-9ed9e69badbe}" ref="C8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9" xr:uid="{1d8bb28c-9fe6-4783-944a-b6412782f658}" ref="C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10" xr:uid="{21b994ef-ca86-450a-b314-bd815c8419bb}" ref="AB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11" xr:uid="{21d376da-db7b-4edf-88bd-2da4e94be4a3}" ref="F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12" xr:uid="{2cf4f0e7-d3f0-4838-b26a-314ae171e63f}" ref="I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vegetation
</t>
      </text>
    </comment>
    <comment authorId="13" xr:uid="{2d6deb4b-5606-42d7-9abd-c15328f8683b}" ref="D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14" xr:uid="{2e57ef2e-ac43-4b08-bc69-9480983d1c2d}" ref="F1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15" xr:uid="{2fd42362-7b17-4fa6-a822-bce10a8d16ae}" ref="L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16" xr:uid="{327cea64-cdd6-4603-951c-a7efd54a5b12}" ref="S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17" xr:uid="{3482fcbb-bfdd-4a84-b1fc-7e281ac207ea}" ref="Y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18" xr:uid="{35bdaf51-f342-46b0-9ca7-d941c47d950e}" ref="C4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19" xr:uid="{3f1d468e-60ed-44e1-949e-a952d037e1b6}" ref="D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20" xr:uid="{439e43e6-c315-4aca-8007-36c72029aeec}" ref="Z1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21" xr:uid="{47bcf272-17ef-40a1-b42e-d25b45e19c46}" ref="G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22" xr:uid="{4e62ba5a-0d40-4048-bf17-bf78f297cdee}" ref="L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23" xr:uid="{504104ca-04ed-40bc-bd16-fa6d0f192090}" ref="F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24" xr:uid="{50467406-c9c5-48b1-8fb4-033258ee8d33}" ref="C6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Storm water drainage
</t>
      </text>
    </comment>
    <comment authorId="25" xr:uid="{51a0bd49-fc04-40a9-93dc-c6580c58d96a}" ref="AA1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 to finance / insurance
</t>
      </text>
    </comment>
    <comment authorId="26" xr:uid="{56e9ff81-4fc4-4ccb-bc2e-e69b6edea0b9}" ref="AA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27" xr:uid="{576250c6-0b50-4aef-8f87-6178a7115ed4}" ref="C5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28" xr:uid="{5a844197-db1a-43b0-9236-f60262adc84f}" ref="C5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29" xr:uid="{5dc4ef03-b3d1-40fe-9811-fb832a1450b0}" ref="Z1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30" xr:uid="{5ddb640b-a8f4-4646-8d68-41c61b308568}" ref="Y1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31" xr:uid="{60927e4a-25b9-4d24-ac67-198f469e54ab}" ref="Z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32" xr:uid="{66bfc6d6-ab73-4d0e-a0cd-94dc073ced26}" ref="Y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33" xr:uid="{6ac70a1d-13ff-4493-8c24-1b3dc7beb9db}" ref="AA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34" xr:uid="{73063e88-36ff-4cc6-963c-93b4211ae261}" ref="S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Liquid waste management
</t>
      </text>
    </comment>
    <comment authorId="35" xr:uid="{75f31647-962c-4b94-96bd-c4aaf8cc132d}" ref="L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Resources / resources planning
</t>
      </text>
    </comment>
    <comment authorId="36" xr:uid="{7676b475-e3fb-4678-9647-f56c689233bf}" ref="C7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37" xr:uid="{7e910980-8de9-4df6-b033-b8a14d9aae1d}" ref="P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38" xr:uid="{7fbe65d1-1f69-45dd-8a8e-bfaaf5df59e6}" ref="C8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39" xr:uid="{83d767ca-07c2-4bdf-9f34-f8aadab13075}" ref="C9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40" xr:uid="{83dccafd-b4dd-4709-b19d-624915ece2cc}" ref="Y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41" xr:uid="{88260e84-5c84-45b6-93ce-9b331ed852ae}" ref="AA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42" xr:uid="{8b3488ee-08e6-4a6b-8b2f-39537d5da394}" ref="D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Borne / vector borne / heat born diseases
</t>
      </text>
    </comment>
    <comment authorId="43" xr:uid="{8e2a6713-c616-4d95-8c5d-ccf8538ba709}" ref="C9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44" xr:uid="{9006e602-c14d-48f6-a891-756faf2dacd1}" ref="C8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Awareness and information
</t>
      </text>
    </comment>
    <comment authorId="45" xr:uid="{9bdd5d13-181b-4698-ab89-d7c4f07f2a8d}" ref="P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Ecology, biodiversity and settlement realm
</t>
      </text>
    </comment>
    <comment authorId="46" xr:uid="{9cd571d7-6f42-415c-8b94-b10dc15206ce}" ref="D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47" xr:uid="{a16e1190-d912-4a73-abfc-c10b21b2819f}" ref="C5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Solid waste management
</t>
      </text>
    </comment>
    <comment authorId="48" xr:uid="{a35e8191-012f-490e-a770-1788a923d844}" ref="AA2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49" xr:uid="{ae35986e-8704-40d2-b48b-5512596f0e41}" ref="Z2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50" xr:uid="{b5bb1700-0cc1-40a8-aae9-e289e8559a01}" ref="X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51" xr:uid="{b5ceba74-9ee7-48e9-91e1-a3709d2067bc}" ref="Z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response
</t>
      </text>
    </comment>
    <comment authorId="52" xr:uid="{b64de722-ed49-496a-ac71-9af5f2e96626}" ref="C5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53" xr:uid="{bdf8b0f9-153b-4c5a-9971-3051b4e310d7}" ref="G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54" xr:uid="{c157e6fe-a204-442d-9892-f54f88262edd}" ref="C4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Water for irrigation/and other domestic uses
</t>
      </text>
    </comment>
    <comment authorId="55" xr:uid="{c40936d2-3b01-4ca5-8b74-6ecbd556a738}" ref="C8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Early warning system or mechanism
</t>
      </text>
    </comment>
    <comment authorId="56" xr:uid="{c77b8ea3-1608-4342-8d4f-a7cdedd2384e}" ref="I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57" xr:uid="{c8636315-e032-4594-9063-cedc866cc029}" ref="G1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Safety/Land use planning and control
</t>
      </text>
    </comment>
    <comment authorId="58" xr:uid="{ca59a3a8-c621-4fd8-8119-435af30a9b4b}" ref="F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Land cover and permeability
</t>
      </text>
    </comment>
    <comment authorId="59" xr:uid="{cbd95974-1653-4752-9c9a-f1c76626569b}" ref="C6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Potable water treatment
</t>
      </text>
    </comment>
    <comment authorId="60" xr:uid="{cfd41f03-7787-4e7c-be2d-3ac04ec6abcb}" ref="W1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61" xr:uid="{d36d57d2-7d74-43f6-99f3-f017a396f9f1}" ref="C8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Ecosystem functionalyty / Riparian reserves
</t>
      </text>
    </comment>
    <comment authorId="62" xr:uid="{d6fe3d50-fc93-4a40-9afc-49eba626fd21}" ref="C90">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63" xr:uid="{e3bfd2f8-f990-4785-bcc9-1ced4ddb01bc}" ref="AA2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healthy environment
</t>
      </text>
    </comment>
    <comment authorId="64" xr:uid="{e44960ed-b8ba-4b49-ad1e-2b43dcd369fd}" ref="AB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Maintenance
</t>
      </text>
    </comment>
    <comment authorId="65" xr:uid="{eed0ef58-2fdc-4cc2-8469-b12de7f46e06}" ref="W2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Natural water bodies
</t>
      </text>
    </comment>
    <comment authorId="66" xr:uid="{f697dd7d-4e34-43db-bba3-70f6158d109a}" ref="C8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 authorId="67" xr:uid="{f85fef35-a115-4c75-a34e-45933e46116c}" ref="P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Health facilities operations
</t>
      </text>
    </comment>
    <comment authorId="68" xr:uid="{faaa74f2-eaaf-4fd7-9565-eeef7ffebc3a}" ref="AA1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Roads and transport/mobility
</t>
      </text>
    </comment>
    <comment authorId="69" xr:uid="{fc0ed1be-a3b4-43d1-8edb-b1dceae340d9}" ref="X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Disaster preparedness
</t>
      </text>
    </comment>
    <comment authorId="70" xr:uid="{fd562298-55fd-4e1f-a95b-b5e7afe89fad}" ref="C9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Public finance / recovery grants
</t>
      </text>
    </comment>
    <comment authorId="71" xr:uid="{fe2f2e25-f22f-412f-be9e-f675c01fc2e6}" ref="C5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Access to health services
</t>
      </text>
    </comment>
    <comment authorId="72" xr:uid="{fe80178d-dbe8-4940-81f4-1a6764978a98}" ref="I16">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Engagement county-community
</t>
      </text>
    </comment>
  </commentList>
</comments>
</file>

<file path=xl/sharedStrings.xml><?xml version="1.0" encoding="utf-8"?>
<sst xmlns="http://schemas.openxmlformats.org/spreadsheetml/2006/main" count="1420" uniqueCount="803">
  <si>
    <t>Climate Risk and Vulnerability Assessment Tool: Communities and Infrastructure Projects</t>
  </si>
  <si>
    <t>Creating Climate Resilient Communities and Infrastructure</t>
  </si>
  <si>
    <t>Project Name:</t>
  </si>
  <si>
    <t>Enter here</t>
  </si>
  <si>
    <t>Project Lead:</t>
  </si>
  <si>
    <t>Project Location:</t>
  </si>
  <si>
    <t>Name of Assessor:</t>
  </si>
  <si>
    <t>Project Code:</t>
  </si>
  <si>
    <t>No. of Beneficiaries:</t>
  </si>
  <si>
    <t>This diagram shows that hazards lead to exposure, which, when combined with sensitivity, determines the vulnerability of a system. Adaptive capacity acts as a protective factor, influencing vulnerability and the overall level of risk</t>
  </si>
  <si>
    <t>AIM:</t>
  </si>
  <si>
    <t xml:space="preserve">The objective of the tool is to evaluate the climate risk and vulnerability of communities. The tool assesses how current climate hazards (such as temperature, Precipitation, droughts and floods) impact the broader community. Based on the prevailing risk and vulnerability, the tool explores potential interventions that will improve climate resilience. 
This tool is focused on assessing the current risk and vulnerability levels for communities. In addition to the assets lens, gender, green infrastructure and the socio-ecological benefits that it provides, is also explored. 
The tool also uses the updated Intergovernmental Panel on Climate Change (IPCC) methodology, as discussed in detail in the section below.
</t>
  </si>
  <si>
    <t>FRAMEWORK:</t>
  </si>
  <si>
    <t xml:space="preserve">In line with the Fifth Assessment Report (AR5) by the  Intergovernmental Panel on Climate Change (IPCC), the tool includes the following aspects: </t>
  </si>
  <si>
    <t xml:space="preserve">• </t>
  </si>
  <si>
    <r>
      <rPr>
        <rFont val="Calibri"/>
        <b/>
        <color theme="1"/>
        <sz val="14.0"/>
      </rPr>
      <t>Hazard:</t>
    </r>
    <r>
      <rPr>
        <rFont val="Calibri"/>
        <color theme="1"/>
        <sz val="14.0"/>
      </rPr>
      <t xml:space="preserve"> the occurrence or potential occurrence of a climate-related event (such as rainfall or temperature) and/or a natural or human-induced impact (such as flood or droughts), that has or may cause harm, injury, damage or the loss of a system, species or asset. 
</t>
    </r>
    <r>
      <rPr>
        <rFont val="Calibri"/>
        <b/>
        <color theme="1"/>
        <sz val="14.0"/>
      </rPr>
      <t>Exposure:</t>
    </r>
    <r>
      <rPr>
        <rFont val="Calibri"/>
        <color theme="1"/>
        <sz val="14.0"/>
      </rPr>
      <t xml:space="preserve"> the degree to which a system, species or asset is ‘exposed’, due to its location or presence in a place or setting that is or could be impacted by a climate-related hazard. 
</t>
    </r>
    <r>
      <rPr>
        <rFont val="Calibri"/>
        <b/>
        <color theme="1"/>
        <sz val="14.0"/>
      </rPr>
      <t>Sensitivity:</t>
    </r>
    <r>
      <rPr>
        <rFont val="Calibri"/>
        <color theme="1"/>
        <sz val="14.0"/>
      </rPr>
      <t xml:space="preserve"> the susceptibility of a system, species or asset to climate-related impacts, or the degree to which system, species or asset is or can be directly or indirectly impacted by a climate-related hazard. 
</t>
    </r>
    <r>
      <rPr>
        <rFont val="Calibri"/>
        <b/>
        <color theme="1"/>
        <sz val="14.0"/>
      </rPr>
      <t>Adaptive Capacity:</t>
    </r>
    <r>
      <rPr>
        <rFont val="Calibri"/>
        <color theme="1"/>
        <sz val="14.0"/>
      </rPr>
      <t xml:space="preserve"> the proven or perceived ability of a system, species or asset to respond to existing or potential climate-related impacts and adjust to damage, so as to cope with consequences and take advantage of opportunities. 
</t>
    </r>
    <r>
      <rPr>
        <rFont val="Calibri"/>
        <b/>
        <color theme="1"/>
        <sz val="14.0"/>
      </rPr>
      <t>Vulnerability:</t>
    </r>
    <r>
      <rPr>
        <rFont val="Calibri"/>
        <color theme="1"/>
        <sz val="14.0"/>
      </rPr>
      <t xml:space="preserve"> the inclination of a system, species or asset to be impacted by climate-related hazards, encompassing its sensitivity and its ability to cope or adapt to climate-related impacts. 
</t>
    </r>
    <r>
      <rPr>
        <rFont val="Calibri"/>
        <b/>
        <color theme="1"/>
        <sz val="14.0"/>
      </rPr>
      <t xml:space="preserve">Risk: </t>
    </r>
    <r>
      <rPr>
        <rFont val="Calibri"/>
        <color theme="1"/>
        <sz val="14.0"/>
      </rPr>
      <t>refers to the potential for (and the likelihood of) adverse climate-related impacts on a system, species or asset, resulting from the interaction of vulnerability, exposure, and hazard.</t>
    </r>
  </si>
  <si>
    <t xml:space="preserve">The tool relies on several questions that assess hazard, exposure, sensitivity and adaptive capacity.  As shown above, the responses to these categories, will enable an assessment of risk and vulnerability will be assessed. Based on the prevalent risk and vulnerability, the tool explores potential response measures that will improve climate resilience by either decreasing sensitivity or increasing adaptive capacity. In addition, whenever possible, measures to decrease exposure will be explored. </t>
  </si>
  <si>
    <t>HOW TO USE THIS TOOL:</t>
  </si>
  <si>
    <t xml:space="preserve">The grey rectangular boxes enable the user to explore through the tool. The boxes will either lead the user to a different place in the same rectanglar tab, or to a new rectanglar tab. Therefore, please click on any grey box to navigate and to complete the tool. 
The user is required to answer the questions provided under the "Hazard" rectanglar tab, "Exposure" rectanglar tab, "Sensitivity" rectanglar tab, as well as the "Adaptive Capacity" rectanglar tab. The user can access these rectanglar tabs by clicking on the "Hazard", "Exposure", "Sensitivity", and the "Adaptive Capacity" boxes. In these rectanglar tabs, questions are provided for "Hazard", "Exposure", "Sensitivity", and "Adaptive Capacity". 
The "Output" rectanglar tab leads the user to the "RVAT" rectanglar tab, where the answer to each question are analysed using the framework, assessed and graphed. Specifically, the tool provides outputs for "Vulnerability" and "Risk".  Based on the “Risk” output, which incorporates “vulnerability”, the tool provides response options. These can be accessed by clicking on the "Responses" rectanglar tab at the top of your screen, or by clicking the "Responses" rectanglar tab.
</t>
  </si>
  <si>
    <t>USEFUL RESOURCES:</t>
  </si>
  <si>
    <t>Below is a source to help answer some of the questions:</t>
  </si>
  <si>
    <r>
      <rPr>
        <rFont val="Calibri"/>
        <b/>
        <color theme="1"/>
        <sz val="14.0"/>
      </rPr>
      <t xml:space="preserve">WRI - Aqueduct Water Risk Atlas. </t>
    </r>
    <r>
      <rPr>
        <rFont val="Calibri"/>
        <color theme="1"/>
        <sz val="14.0"/>
      </rPr>
      <t xml:space="preserve">Link: </t>
    </r>
  </si>
  <si>
    <t xml:space="preserve">http://www.wri.org/resources/maps/aqueduct-water-risk-atlas </t>
  </si>
  <si>
    <t>ABBREVIATIONS USED</t>
  </si>
  <si>
    <r>
      <rPr>
        <rFont val="Calibri"/>
        <b/>
        <color theme="1"/>
        <sz val="12.0"/>
      </rPr>
      <t xml:space="preserve">1. LUI=Land Use Inadiquacy 2. WFI/WFDU=Water for irrigation/Water for domestic use 3. ATF/I=Access to finance/insurance 4. SLUP &amp; C=Safety land use planning and control 5. SWM=Solid waste management 6. LWM=Liquid waste management 6. ATHS=Access to health services 7. ATHE=Access to healthy environment 8. SWD=Storm water drainage 9. PWT=Portable water treatment  10. R &amp; T=Road and transport 11. LC &amp;P=Land cover and permeability 12. NV=Natural Vegetation  13. NWB=Natural water bodies 14. EF=Ecosystem functionality 15. EWS=Early warning systems 16. A &amp; I=Awareness and information  17. EC=Engagement with county community 18. R/RP= Resource/resources planning 19. HFO=Health facilities operations 20. DP=Disaster preparedness 21. DR=Disaster responce 22. PFR=Public finance/recovery grands 23. PFM=Public finanace/maintenance   </t>
    </r>
    <r>
      <rPr>
        <rFont val="Calibri"/>
        <b/>
        <color rgb="FF002060"/>
        <sz val="12.0"/>
      </rPr>
      <t>NB: All abbreviations have their full meaning in the comments section.</t>
    </r>
  </si>
  <si>
    <t>NOTE: 
1. This tool has been developed using MS Excel 2019, and therefore, any verions before 2019 may have limited funcitonality. 
2. As this tool uses several macros to enable functionality, the user is required to click on the "Enable macros" button when prompted. 
3. To ensure the usability of the tool is maintained, please avoid deleting any rows and columns.  As the functionality of the tool is maximised with coding, any modifications of the spreadsheets will render it useless. 
4. The tool has default data that depics an ideal informal settlement, amend where applicable only.</t>
  </si>
  <si>
    <t xml:space="preserve">Developed for KISIP by: </t>
  </si>
  <si>
    <t xml:space="preserve">NOTE: ONCE YOU CLICK THIS BUTTON YOU CANNOT UNDO YOUR ACTIONS </t>
  </si>
  <si>
    <t>CURRENT HAZARDS</t>
  </si>
  <si>
    <t>No Selection Done!</t>
  </si>
  <si>
    <t/>
  </si>
  <si>
    <t>Hazard</t>
  </si>
  <si>
    <t xml:space="preserve">Question </t>
  </si>
  <si>
    <t>Comments/Description</t>
  </si>
  <si>
    <t>Answer?</t>
  </si>
  <si>
    <t>Add Note On Each Answer</t>
  </si>
  <si>
    <t>Rating?</t>
  </si>
  <si>
    <t>List 1</t>
  </si>
  <si>
    <t>yes/no is bad</t>
  </si>
  <si>
    <t>Temperature</t>
  </si>
  <si>
    <t>App or Freq</t>
  </si>
  <si>
    <t>Are extreme temperatures frequentlly experienced in the settlement?</t>
  </si>
  <si>
    <t>During the year (across seasons), is temperature higher/lower than usual?</t>
  </si>
  <si>
    <t>Yes, lower than usual</t>
  </si>
  <si>
    <t>Yes, higher than usual</t>
  </si>
  <si>
    <t>Intensity</t>
  </si>
  <si>
    <t>Are the tempereture intensities increasing?</t>
  </si>
  <si>
    <t>Over multiple years (i.e. trend), is temperature higher/lower than usual?</t>
  </si>
  <si>
    <t>No, not really</t>
  </si>
  <si>
    <t>Impact</t>
  </si>
  <si>
    <t>Are there effects on community members being attributed to extreme temperature?</t>
  </si>
  <si>
    <t>How often do you experience heat-related effects e.g. heat-related stress, heat srokes, effects on elderly?</t>
  </si>
  <si>
    <t>No</t>
  </si>
  <si>
    <t xml:space="preserve">Intense Precipitation </t>
  </si>
  <si>
    <t>Are heavy rainfall events prevalent in this settlement?</t>
  </si>
  <si>
    <t>During the year (across seasons), is rainfall higher/lower than usual?</t>
  </si>
  <si>
    <t>List 2</t>
  </si>
  <si>
    <t>yes is bad</t>
  </si>
  <si>
    <t>Are rainfall intensities and/or durations increasing?</t>
  </si>
  <si>
    <t>Over multiple years (i.e. trend), is rainfall higher/lower than usual?</t>
  </si>
  <si>
    <t>Yes</t>
  </si>
  <si>
    <t xml:space="preserve">Are there significant effects on the community being attributed to extreme rainfalls? </t>
  </si>
  <si>
    <t>Are there rainfall effects, example, destruction of crops, houses and normal daily activities?</t>
  </si>
  <si>
    <t>Sometimes</t>
  </si>
  <si>
    <t>Droughts</t>
  </si>
  <si>
    <t>Are droughts frequently experienced in the area?</t>
  </si>
  <si>
    <t>Do you often experience droughts?</t>
  </si>
  <si>
    <t>Timing</t>
  </si>
  <si>
    <t>If droughts do occur, do they occur at the same time of the year?</t>
  </si>
  <si>
    <t>Is the timing of droughts consistent?</t>
  </si>
  <si>
    <t>List 3</t>
  </si>
  <si>
    <t>If droughts do occur, is the extent and intensity of the drought changing?</t>
  </si>
  <si>
    <t>Are droughts getting worse or better?</t>
  </si>
  <si>
    <t>No change</t>
  </si>
  <si>
    <t>Often</t>
  </si>
  <si>
    <t xml:space="preserve">Are there significant effects on the community being attributed to droughts? </t>
  </si>
  <si>
    <t>Is the population affected  by droughts, example daily activities, livihood?</t>
  </si>
  <si>
    <t>Not applicable</t>
  </si>
  <si>
    <t>Flooding</t>
  </si>
  <si>
    <t>Are seasonal floods prevalent in in the settlement?</t>
  </si>
  <si>
    <t>Do you often experience rain floods</t>
  </si>
  <si>
    <t>If seasonal floods do occur, do they occur at the same time of the year?</t>
  </si>
  <si>
    <t>Is the timing of rain floods consistent?</t>
  </si>
  <si>
    <t>List 4</t>
  </si>
  <si>
    <t>If floods do occur, is the intensity icreasing?</t>
  </si>
  <si>
    <t>Are rain floods getting worse (more impact/intensity) or better (less impact/intensity)?</t>
  </si>
  <si>
    <t>Yes, but less than 4 days</t>
  </si>
  <si>
    <t>Yes, but more</t>
  </si>
  <si>
    <t>Extent</t>
  </si>
  <si>
    <t>If floods do occur, is the spatial extent increasing ?</t>
  </si>
  <si>
    <t>Less than half</t>
  </si>
  <si>
    <t xml:space="preserve">Are there significant effects on the community being attributed to seasonal floods? </t>
  </si>
  <si>
    <t>Is the population affected by rain floods?</t>
  </si>
  <si>
    <t>Yes, but less</t>
  </si>
  <si>
    <t>Flash Floods</t>
  </si>
  <si>
    <t>Are flash floods prevalent in the settlement?</t>
  </si>
  <si>
    <t>Do you often experience flash floods?</t>
  </si>
  <si>
    <t>List 5</t>
  </si>
  <si>
    <t>No is bad</t>
  </si>
  <si>
    <t>If flash floods do occur, do they occur at the same time of the year?</t>
  </si>
  <si>
    <t>Is the timing of flash floods consistent?</t>
  </si>
  <si>
    <t>If flash floods do occur, is the intensity of the flash floods changing?</t>
  </si>
  <si>
    <t>Are flash floods getting worse (more impact/intensity) or better (less impact/intensity)?</t>
  </si>
  <si>
    <t>If flash floods do occur, is the extent of the flash floods changing?</t>
  </si>
  <si>
    <t xml:space="preserve">Are there significant effects on the community being attributed to flash floods? </t>
  </si>
  <si>
    <t>Is the population affected by flash floods?</t>
  </si>
  <si>
    <t>List 6</t>
  </si>
  <si>
    <t>3 is bad</t>
  </si>
  <si>
    <t>Storms &amp; Upper Winds</t>
  </si>
  <si>
    <t>Are there frequent storm events experienced in the settlement?</t>
  </si>
  <si>
    <t>During the year (across seasons), is storms/cyclones higher/lower than usual?</t>
  </si>
  <si>
    <t>Combination of all the three</t>
  </si>
  <si>
    <t>Is there increase in frequency and intensity of storms being noted in the settlement?</t>
  </si>
  <si>
    <t>Over multiple years (i.e. trend), is storms/cyclones higher/lower than usual?</t>
  </si>
  <si>
    <t>Combination of two</t>
  </si>
  <si>
    <t>Are there significant effects on the community being attributed to storms?</t>
  </si>
  <si>
    <t>Are there storms/cyclones effects, example, destruction of crops, houses and normal daily activities?</t>
  </si>
  <si>
    <t>Only one</t>
  </si>
  <si>
    <t>Pollution</t>
  </si>
  <si>
    <t>Is there pollution experienced in the settlement for land, water or soil?</t>
  </si>
  <si>
    <t>Is there pollution to land, soil and water or combination of two or all?</t>
  </si>
  <si>
    <t>For the selected above, is there an increase of this pollution being noted in the settlement?</t>
  </si>
  <si>
    <t>Is the polution aspect increasing or decreasing?</t>
  </si>
  <si>
    <t>Decrease</t>
  </si>
  <si>
    <t>List 7</t>
  </si>
  <si>
    <t>Are there significant effects on the community being attributed to this pollution?</t>
  </si>
  <si>
    <t>Are you impacted by pollution that affects daily activities of the population?</t>
  </si>
  <si>
    <t>Increase</t>
  </si>
  <si>
    <t>LUI</t>
  </si>
  <si>
    <t>Applicability</t>
  </si>
  <si>
    <t>Is there inadequate use of land in sensitive or risky zones?</t>
  </si>
  <si>
    <t>Are there unstable soils, high ground water tables, wetland within the settlement?</t>
  </si>
  <si>
    <t>Are significant impacts on people attributed to settling in inadequate or risky areas?</t>
  </si>
  <si>
    <t xml:space="preserve">Are adverse imacts directly related to risk zones </t>
  </si>
  <si>
    <t>Sensitization</t>
  </si>
  <si>
    <t>Are people settld in sensitive and risky areas aware of the dangers involved in settling there?</t>
  </si>
  <si>
    <t>Do the settlers know the dangers and precautions?</t>
  </si>
  <si>
    <t>List 8</t>
  </si>
  <si>
    <t>Other Factors</t>
  </si>
  <si>
    <t xml:space="preserve">Fire/wildfires </t>
  </si>
  <si>
    <t>How frequent are there fires/wild fires experienced in the area that adversely affect the community?</t>
  </si>
  <si>
    <t>Is the population impacted by fire in and around your area?</t>
  </si>
  <si>
    <t>Maybe</t>
  </si>
  <si>
    <t xml:space="preserve">Lightning </t>
  </si>
  <si>
    <t>How frequent is there lightning experienced in the area that adversely affects the community?</t>
  </si>
  <si>
    <t>Is the population impacted by lightening in and around your area?</t>
  </si>
  <si>
    <t>Snow</t>
  </si>
  <si>
    <t>How frequent is are there hailstorms experienced in the area that adversely affect the community?</t>
  </si>
  <si>
    <t>Is the population impacted by snowfall in and around your area?</t>
  </si>
  <si>
    <t>Hail</t>
  </si>
  <si>
    <t>How frequent is are there snowfalls experienced in the area that adversely affect the community?</t>
  </si>
  <si>
    <t>Is the population impacted by hail in and around your area?</t>
  </si>
  <si>
    <t>EA or VA</t>
  </si>
  <si>
    <t>How frequent is there earthquakes/volcanic activities experienced in the area that adversely affect the community?</t>
  </si>
  <si>
    <t>Is the population impacted by earthquakes/volcanic activities  in and around your area?</t>
  </si>
  <si>
    <t>List 9</t>
  </si>
  <si>
    <t>Soil Extraction</t>
  </si>
  <si>
    <t>Are there considerable amounts of soil being extracted in particular locations of the area (e.g. fo brick making etc)?</t>
  </si>
  <si>
    <t>Consider extraction for building,road construction etc.</t>
  </si>
  <si>
    <t>Deforestation</t>
  </si>
  <si>
    <t>Is there considerable deforestation taking place in the area/the proximity of the area?</t>
  </si>
  <si>
    <t>Tree cutting for energy source, construction etc</t>
  </si>
  <si>
    <t>Yes, between 4 days to 14 days</t>
  </si>
  <si>
    <t>Ubarnization</t>
  </si>
  <si>
    <t>Is there significant urbanisatiotn taking place in the area?</t>
  </si>
  <si>
    <t>Increasing the built up area and impermeable surfaces ?</t>
  </si>
  <si>
    <t>Yes, at  least 14 days</t>
  </si>
  <si>
    <t>List 10</t>
  </si>
  <si>
    <t>Whole is bad</t>
  </si>
  <si>
    <t>Entirely</t>
  </si>
  <si>
    <t>About half</t>
  </si>
  <si>
    <t>CURRENT EXPOSURE</t>
  </si>
  <si>
    <t>No Selecton Done!</t>
  </si>
  <si>
    <t>Exposure</t>
  </si>
  <si>
    <t>Livelihoods</t>
  </si>
  <si>
    <t>Food Security</t>
  </si>
  <si>
    <t>Do the actual climatic conditions noticeably impact the food production output?</t>
  </si>
  <si>
    <t>Consider food security at different at different times of the year (i.e. rainy season)?</t>
  </si>
  <si>
    <t>Not noticed</t>
  </si>
  <si>
    <t>Severely and often</t>
  </si>
  <si>
    <t>Grazing/Farm Land</t>
  </si>
  <si>
    <t xml:space="preserve">Is grazing land and / or farmland affected by the climate and / or inadequate land use </t>
  </si>
  <si>
    <t xml:space="preserve">Consider continued availability of sufficient gras for grazing  </t>
  </si>
  <si>
    <t>Severely and not often</t>
  </si>
  <si>
    <t>Crops</t>
  </si>
  <si>
    <t>Are crops adversely impacted by the climate, e.g. by drought, hale, landslides, flooding etc?</t>
  </si>
  <si>
    <t xml:space="preserve">Consider protection of crops in view of climate and weather related events </t>
  </si>
  <si>
    <t>Livestock</t>
  </si>
  <si>
    <t>Is livestock adversely impacted by the changing climate and severe weather events or by environmental pollution?</t>
  </si>
  <si>
    <t xml:space="preserve">Consider capability to maintain health and safety  of livestock </t>
  </si>
  <si>
    <t>Fishstock</t>
  </si>
  <si>
    <t>Is fishstock depleting by the changing climate and severe weather events, ocean warming or environmental pollution?</t>
  </si>
  <si>
    <t>Consider health and continued availability of fishstock</t>
  </si>
  <si>
    <t>Local commerce</t>
  </si>
  <si>
    <t>Are floods/extreme temperatures/water shortages noticeably affecting business success?</t>
  </si>
  <si>
    <t xml:space="preserve">Consider resilience of SME's </t>
  </si>
  <si>
    <t xml:space="preserve">Gender </t>
  </si>
  <si>
    <t>Are men and women equally adversely impacted (if impacted at all) by the challenges resulting from changing climate?</t>
  </si>
  <si>
    <t>Consider effects of changung climate on gender based activity</t>
  </si>
  <si>
    <t>Equally affected</t>
  </si>
  <si>
    <t xml:space="preserve">Conviviality </t>
  </si>
  <si>
    <t>Are peace and conviviality adversely impacted due to the challenges resulting from changing climate?</t>
  </si>
  <si>
    <t xml:space="preserve">Consider peace in the community </t>
  </si>
  <si>
    <t>Women more affected</t>
  </si>
  <si>
    <t xml:space="preserve">Education </t>
  </si>
  <si>
    <t>Is there any effeects on the regularity of education cthat result from changing climate and severe weather evants?</t>
  </si>
  <si>
    <t xml:space="preserve">Consider continued access to education independent from climate and weather events </t>
  </si>
  <si>
    <t>No change noticed</t>
  </si>
  <si>
    <t>Men more affected</t>
  </si>
  <si>
    <t>WFI/WFDU</t>
  </si>
  <si>
    <t>Is water availability for uses other than human consumption adversely affected by changing climate and sevee weather events?</t>
  </si>
  <si>
    <t xml:space="preserve">Consider access to water for household uses and irrigation </t>
  </si>
  <si>
    <t>ATF/I</t>
  </si>
  <si>
    <t>Is household financial demand increasing due to the challenges resulting fom changing climate and severe weather events?</t>
  </si>
  <si>
    <t xml:space="preserve">Consider changing financial needs due to climate and weather events </t>
  </si>
  <si>
    <t>Not Noticed</t>
  </si>
  <si>
    <t>Highly  is bad</t>
  </si>
  <si>
    <t>Disaster Events</t>
  </si>
  <si>
    <t>Have climate related and extreme weather events caused disasters/emergencies that affected the community before</t>
  </si>
  <si>
    <t>This includes impacts from temperature, rainfall, droughts and/or floods</t>
  </si>
  <si>
    <t>Regularity highly affected</t>
  </si>
  <si>
    <t xml:space="preserve"> </t>
  </si>
  <si>
    <t>Regularity not often disrupted</t>
  </si>
  <si>
    <t>Health &amp; Safety</t>
  </si>
  <si>
    <t>Borne Diseases</t>
  </si>
  <si>
    <t>Have climate related events and conditions affected larger portions of the community with diseases?</t>
  </si>
  <si>
    <t>Water-borne diseases include typhoid fever, cholera, leptospirosis and hepatitis A; Vector diseases include malaria, dengue fever, yellow fever, and West Nile Fever</t>
  </si>
  <si>
    <t>SLUP&amp;C</t>
  </si>
  <si>
    <t>Have climate related events increased risky conditions for large portions of the community based on their location ?</t>
  </si>
  <si>
    <t xml:space="preserve">Consider changes to the safety of housing locations </t>
  </si>
  <si>
    <t>SWM</t>
  </si>
  <si>
    <t>Is solid waste dumped in uncontrolled manner and locations ?</t>
  </si>
  <si>
    <t>Consider inconsiderate depositing of solid waste in the public real, inside drainages, manholes, etc</t>
  </si>
  <si>
    <t>Negligible</t>
  </si>
  <si>
    <t>Largely  is bad</t>
  </si>
  <si>
    <t>LWM</t>
  </si>
  <si>
    <t>Is liquid waste deposited in uncontrolled manner and locations ?</t>
  </si>
  <si>
    <t>Consider grey water discharge and open defecatio in the public realm</t>
  </si>
  <si>
    <t>Largely affected</t>
  </si>
  <si>
    <t>ATHS</t>
  </si>
  <si>
    <t>Are there adequate health services accessible within the location and to every household?</t>
  </si>
  <si>
    <t xml:space="preserve">Consider accessibility, staffing, and quality of health facilities and services </t>
  </si>
  <si>
    <t>Not much affected</t>
  </si>
  <si>
    <t>ATHE</t>
  </si>
  <si>
    <t>Is the general settlement environment (air, water, soil, etc) perceived as healthy and intact?</t>
  </si>
  <si>
    <t>Consider perceived cleanliness of air, water and soils, and any measurements of pollution as available</t>
  </si>
  <si>
    <t>Assets and Utilities</t>
  </si>
  <si>
    <t>Housing</t>
  </si>
  <si>
    <t xml:space="preserve">Are climate related events affecting the safety of homes </t>
  </si>
  <si>
    <t xml:space="preserve">Consider changes to the safety of housing structures </t>
  </si>
  <si>
    <t xml:space="preserve">Public facilities </t>
  </si>
  <si>
    <t>Are public community facilities impacted by climate hazards</t>
  </si>
  <si>
    <t xml:space="preserve">This includes critical facilities, particularly health facilities, schools and essential community services </t>
  </si>
  <si>
    <t>SWD</t>
  </si>
  <si>
    <t>Is there absence of functional constructed storm water drainage channels?</t>
  </si>
  <si>
    <t xml:space="preserve">This refers to constructed drainages and natural or constructed infiltration areas </t>
  </si>
  <si>
    <t>Predominantly</t>
  </si>
  <si>
    <t xml:space="preserve">Sanitary facilities </t>
  </si>
  <si>
    <t>Are pit latrines and / or open defecation the primary sanitation mode?</t>
  </si>
  <si>
    <t>This is specific to household sanitation</t>
  </si>
  <si>
    <t>Partially</t>
  </si>
  <si>
    <t xml:space="preserve">Sewer lines </t>
  </si>
  <si>
    <t>Are sewers absent, dysfunctional, exposed to floods, or households not connected?</t>
  </si>
  <si>
    <t>This refers to the functionality of sewer lines, if any</t>
  </si>
  <si>
    <t>Power lines/supply</t>
  </si>
  <si>
    <t xml:space="preserve">Is power supply infrastructure exposed to extreme weather events (overhead power lines, location in flood plains etc), or located underground nearby soil extraction areas </t>
  </si>
  <si>
    <t>This refers to the design and location of power lines to judge its resiliency</t>
  </si>
  <si>
    <t xml:space="preserve">Energy for HH use </t>
  </si>
  <si>
    <t xml:space="preserve">Is there access to electricity at HH level </t>
  </si>
  <si>
    <t xml:space="preserve">This refers to the prevalent use of charcoal and wood </t>
  </si>
  <si>
    <t xml:space="preserve">Water pipes </t>
  </si>
  <si>
    <t>Are there (functional) water pipes in the settlement ?</t>
  </si>
  <si>
    <t xml:space="preserve">This is about availability of piped water supply network </t>
  </si>
  <si>
    <t>PWT</t>
  </si>
  <si>
    <t>Have functionality or reliability of potable water treatment facilities serving the area been impacted by climate hazards?</t>
  </si>
  <si>
    <t xml:space="preserve">Consider location and protection of water storage of any </t>
  </si>
  <si>
    <t>Water Storage</t>
  </si>
  <si>
    <t xml:space="preserve">Is water storage safely located and protected or is water storage impacted by climate events? </t>
  </si>
  <si>
    <t>Consider location and protection of water teatment facilities relevant to the water supply of the area</t>
  </si>
  <si>
    <t>R &amp; T</t>
  </si>
  <si>
    <t xml:space="preserve">Are accessibility / mobility compromised during extreme weather events and roads and transport infrastructure impacted by floods, land slides, high temperaturs, or other climate-induced events? </t>
  </si>
  <si>
    <t xml:space="preserve">Consider all weather access to households and critical facilities </t>
  </si>
  <si>
    <t xml:space="preserve">Communication </t>
  </si>
  <si>
    <t xml:space="preserve">Is communication infrastructure in the settlement (fiber optic cables, wireless hotspots, etc) safely located and protected, if any </t>
  </si>
  <si>
    <t xml:space="preserve">Consider location and protection of critical commuication infrastructure </t>
  </si>
  <si>
    <t>Clay  is bad</t>
  </si>
  <si>
    <t>Clay</t>
  </si>
  <si>
    <t xml:space="preserve">Potable water </t>
  </si>
  <si>
    <t>Access</t>
  </si>
  <si>
    <t>Is potable water accessible at all times, or scarcities often being faced?</t>
  </si>
  <si>
    <t>This refers to water needed for drinking, its safety and quantity</t>
  </si>
  <si>
    <t>Sand</t>
  </si>
  <si>
    <t xml:space="preserve">Scarcities </t>
  </si>
  <si>
    <t>is potable water access impacted by severe climate related events, e.g. flooding, drought?</t>
  </si>
  <si>
    <t>Loam</t>
  </si>
  <si>
    <t>Quality</t>
  </si>
  <si>
    <t>Is the quality of the potable water accessible to the community adequate</t>
  </si>
  <si>
    <t>Yes is bad</t>
  </si>
  <si>
    <t>EBS</t>
  </si>
  <si>
    <t xml:space="preserve">Soil </t>
  </si>
  <si>
    <t xml:space="preserve">Is the commuity settling on sandy or clayey soils? </t>
  </si>
  <si>
    <t xml:space="preserve">Both types of soils pose risks depending on the topography ad weather events </t>
  </si>
  <si>
    <t>LC &amp; P</t>
  </si>
  <si>
    <t>Are there adequate natural areas where water infiltration is enabled, and the amounts of surface runoff that is not infiltrating and not increasing?</t>
  </si>
  <si>
    <t xml:space="preserve">Consider natural infiltration areas and capacities </t>
  </si>
  <si>
    <t>NV</t>
  </si>
  <si>
    <t>Is there mature natural vegetation in the area and is the vegetative cover well conserved to not reduce ?</t>
  </si>
  <si>
    <t xml:space="preserve">Consider noticeable changes to vegetative cover </t>
  </si>
  <si>
    <t xml:space="preserve">Wetland </t>
  </si>
  <si>
    <t>Are natural wetlands being respected and kept clean and unbuilt/preserved, and not disturbed by inadequate uses?</t>
  </si>
  <si>
    <t>Consider maintained functionality of wetlands</t>
  </si>
  <si>
    <t>Biodiversity</t>
  </si>
  <si>
    <t>Are there green corridors allowing uncostrained passege of wild animals outside of the settlement?</t>
  </si>
  <si>
    <t>Consider noticeable changes to biodiversity</t>
  </si>
  <si>
    <t>Largely is bad</t>
  </si>
  <si>
    <t>NWB</t>
  </si>
  <si>
    <t>Is the settlement located in proximity to a water body and do households settle within the riperian corridor?</t>
  </si>
  <si>
    <t xml:space="preserve">Consider respect to the natural seasonal changes of the water body </t>
  </si>
  <si>
    <t>Largely</t>
  </si>
  <si>
    <t>Sea</t>
  </si>
  <si>
    <t>Is the sea level increasing?</t>
  </si>
  <si>
    <t>Consider noticeable changes to sea level</t>
  </si>
  <si>
    <t>Unknown</t>
  </si>
  <si>
    <t>EF</t>
  </si>
  <si>
    <t>Is inadequate land use causing environmental and land degradation? Is there risk of environmental contamination from release of hazardous substances during extreme weather events</t>
  </si>
  <si>
    <t xml:space="preserve">Consider unmitigated release of hazardous substances </t>
  </si>
  <si>
    <t xml:space="preserve">Land use </t>
  </si>
  <si>
    <t xml:space="preserve">Is construction taking place in hazardous / risky areas or are land use sensitivities respected </t>
  </si>
  <si>
    <t xml:space="preserve">Consider respect to risk areas </t>
  </si>
  <si>
    <t>Topography</t>
  </si>
  <si>
    <t>Is the settlement located on steep terrain?</t>
  </si>
  <si>
    <t>Usually is bad</t>
  </si>
  <si>
    <t>Usually</t>
  </si>
  <si>
    <t>Institutions</t>
  </si>
  <si>
    <t>EWS</t>
  </si>
  <si>
    <t xml:space="preserve">Is there a functional early warning system/mechanim/arrangement to warn the community about disaster risks? </t>
  </si>
  <si>
    <t xml:space="preserve">Consider EWS, evacuation plans and awareess </t>
  </si>
  <si>
    <t>A &amp; I</t>
  </si>
  <si>
    <t>Are extreme weather events affeecting the communities by surprise?</t>
  </si>
  <si>
    <t xml:space="preserve">Consider access to weather information and warning </t>
  </si>
  <si>
    <t>Never</t>
  </si>
  <si>
    <t>EC</t>
  </si>
  <si>
    <t>Is there regular interaction between the community and the county government?</t>
  </si>
  <si>
    <t xml:space="preserve">Consider communication mechanisms and frequencies </t>
  </si>
  <si>
    <t>R/RP</t>
  </si>
  <si>
    <t>Is the community considered in county governance and finances budgeted to ensure public responsibilities of the county in the settlement location?</t>
  </si>
  <si>
    <t xml:space="preserve">Consider reflection of priorities in CIDP's </t>
  </si>
  <si>
    <t>List 11</t>
  </si>
  <si>
    <t>HFO</t>
  </si>
  <si>
    <t>Are there adequate health facilities, with adequate personell, equipment and materials ?</t>
  </si>
  <si>
    <t xml:space="preserve">Consider access to health facilities and adequate sevices </t>
  </si>
  <si>
    <t>DP</t>
  </si>
  <si>
    <t>Are the locations of all critical infrastructure identified and measures in place to protect it?</t>
  </si>
  <si>
    <t xml:space="preserve">Consider DRM plans, evacuation plans and awareness </t>
  </si>
  <si>
    <t>DR</t>
  </si>
  <si>
    <t>Are disaster response measures planned and budgeted for and food, water and hygiene predispositioned?</t>
  </si>
  <si>
    <t xml:space="preserve">Consider DRM plans and budgets </t>
  </si>
  <si>
    <t>PFR</t>
  </si>
  <si>
    <t>Are recovey finances budgeted for?</t>
  </si>
  <si>
    <t xml:space="preserve">Consider recovery budgets </t>
  </si>
  <si>
    <t>PFM</t>
  </si>
  <si>
    <t>Is maintenance and repair of public infrastructures institutionalised and are the responsibilities clear?</t>
  </si>
  <si>
    <t xml:space="preserve">Consider functionality of maintenance </t>
  </si>
  <si>
    <t>List 12</t>
  </si>
  <si>
    <t>s</t>
  </si>
  <si>
    <t>CURRENT SENSITIVITY</t>
  </si>
  <si>
    <t>Sensitivity</t>
  </si>
  <si>
    <t>Are access and cost of food changing with extreme weather events?</t>
  </si>
  <si>
    <t xml:space="preserve">Is grazing land getting scarcer or more distant </t>
  </si>
  <si>
    <t>Consider availability of pasture to feed livestock</t>
  </si>
  <si>
    <t xml:space="preserve">Are most households dependent on subsistance farming (crops) for food (not buying)? </t>
  </si>
  <si>
    <t>Consider dependency on subsistence agriculture for majority of households</t>
  </si>
  <si>
    <t>Low Dependancy</t>
  </si>
  <si>
    <t xml:space="preserve">Are most households dependent on own livestock for food (not buying)? </t>
  </si>
  <si>
    <t>Consider dependency on own livestock keeping for majority of households</t>
  </si>
  <si>
    <t xml:space="preserve">Are most households dependent on fishing for food (not buying)? </t>
  </si>
  <si>
    <t>Consider dependency on fishing for majority of households</t>
  </si>
  <si>
    <t>Are extreme weather events interrupting secure livelihood, business and incomes for large portions of the communityand lead to economically precarious situations ?</t>
  </si>
  <si>
    <t>Consider dependency on economic activities that are sensitive to climate hazards and severe weather</t>
  </si>
  <si>
    <t>Are women highly dependent on undertaking business inside the settlement?</t>
  </si>
  <si>
    <t>Consider location of the income generaing activity and sensitivity to climae related hazard</t>
  </si>
  <si>
    <t>Most Residents Concerned</t>
  </si>
  <si>
    <t>Do resource scarcities that result from cilmate related events or conditions frequently lead to conflicts within the community/or with other communities?</t>
  </si>
  <si>
    <t xml:space="preserve">Consider conflict and dispute raised due to climate related hazards </t>
  </si>
  <si>
    <t>Half Residents Concerned</t>
  </si>
  <si>
    <t xml:space="preserve">Are large percentages of children frequently unable to reach/attend school due to climate related and severe weather events? </t>
  </si>
  <si>
    <t xml:space="preserve">Consider dependency of education services on climate conditions </t>
  </si>
  <si>
    <t>Are there water scarcities often being faced that negatively impact farming, livestock keeping and business?</t>
  </si>
  <si>
    <t xml:space="preserve">Consider dependency of access to water on climate conditions </t>
  </si>
  <si>
    <t>Does the community have access to financial services, health insurance and disaster risk insurance?</t>
  </si>
  <si>
    <t xml:space="preserve">Consider financial buffers for periods of interrupted income or effects on health </t>
  </si>
  <si>
    <t>Almost Nobody Has</t>
  </si>
  <si>
    <t>Severe  is bad</t>
  </si>
  <si>
    <t>How would the impact of climate related disaster be rated, if it were to occur ?</t>
  </si>
  <si>
    <t>Severe Problem</t>
  </si>
  <si>
    <t>Still Okay</t>
  </si>
  <si>
    <t>Are health incidences increasing and may be related to the impact of changing extreme weather events?</t>
  </si>
  <si>
    <t xml:space="preserve">Compare in relation to the past </t>
  </si>
  <si>
    <t>Few Residents Concerned</t>
  </si>
  <si>
    <t>Are safety incidences increasing and may be related to the impact of changes of extreme weather events?</t>
  </si>
  <si>
    <t>Is solid waste adequately managed, and unmanaged waste is not increasing the adverse impacts of severe weather events ?</t>
  </si>
  <si>
    <t xml:space="preserve">Consider mitigation efforts for solid waste not to block drainages and water infiltraion capacities </t>
  </si>
  <si>
    <t>Is untreated waste water released into the environment from industries or domestic uses ?</t>
  </si>
  <si>
    <t>Consider floodwaters mobilizing faecal sludges and other pollutants</t>
  </si>
  <si>
    <t>Most Residents Have</t>
  </si>
  <si>
    <t>Are health services inaccessible or dysfunctional during climate related and severe weather events?</t>
  </si>
  <si>
    <t xml:space="preserve">Consider uninterrupted health services </t>
  </si>
  <si>
    <t>Half Residents Have</t>
  </si>
  <si>
    <t xml:space="preserve">Are there common sources of pollution that originate from human activity? </t>
  </si>
  <si>
    <t>Consider prevalence of use of biomass for cooking, waste burning and indoor use of pesticides, and industrial pollution</t>
  </si>
  <si>
    <t>Are foundations stable, walls protected from moisture and roof fixtures adequate?</t>
  </si>
  <si>
    <t xml:space="preserve">Consider protection of biult structures </t>
  </si>
  <si>
    <t>Are public facilities inaccessible or dysfunctional due to climate related and severe weather events?</t>
  </si>
  <si>
    <t xml:space="preserve">Consider all weather accessibility and operations of public services </t>
  </si>
  <si>
    <t>Are drainages under-dimensioned or incomplete?</t>
  </si>
  <si>
    <t xml:space="preserve">Consider drainage overflows or faulty outlet designs </t>
  </si>
  <si>
    <t>Are sanitation facilities often submerged in water and feaces carried by flood and storm water ?</t>
  </si>
  <si>
    <t>Are there sewer lines existing, which are however under-dimensioned (overflowing) or stagnant (e.g. from water shortage)?</t>
  </si>
  <si>
    <t>Assess functionality of sewers if any</t>
  </si>
  <si>
    <t>is energy supply regularly impacted / interrupted in relation to extreme weather events?</t>
  </si>
  <si>
    <t>Consider reliability of power supply from grid</t>
  </si>
  <si>
    <t>Do most HHs depend on biomass for cooking</t>
  </si>
  <si>
    <t>Consider household connections and reliability of supply</t>
  </si>
  <si>
    <t>are water pipes functional during and after extreme weather events?</t>
  </si>
  <si>
    <t>Consider resiliency of water pipes network</t>
  </si>
  <si>
    <t>is water treatment of piped water ensured at all times ?</t>
  </si>
  <si>
    <t xml:space="preserve">Consider safety of piped water </t>
  </si>
  <si>
    <t>Moderate</t>
  </si>
  <si>
    <t xml:space="preserve">Does the community rely on water storage infrastructure </t>
  </si>
  <si>
    <t xml:space="preserve">Consider use of water storage to bridge unreliable supply </t>
  </si>
  <si>
    <t>Is there a high density of road network ?</t>
  </si>
  <si>
    <t xml:space="preserve">Assess proportion of roads network and potentilly destabilized soils </t>
  </si>
  <si>
    <t>is communication reliability an issue during/after extreme weather events ?</t>
  </si>
  <si>
    <t xml:space="preserve">Consider reliability of communication networks </t>
  </si>
  <si>
    <t>is access to water impacted by changing climate and extreme weather events?</t>
  </si>
  <si>
    <t xml:space="preserve">This refers to water for drinking </t>
  </si>
  <si>
    <t>is water supply regularly impacted / interrupted in relation to extreme weather events?</t>
  </si>
  <si>
    <t>Not Applicable</t>
  </si>
  <si>
    <t>is water quality impacted by changing climate and extreme weather events?</t>
  </si>
  <si>
    <t>Are there erosion and/or frequent landslides taking place?</t>
  </si>
  <si>
    <t xml:space="preserve">This refers to soil instabilities </t>
  </si>
  <si>
    <t xml:space="preserve">Are large areas burnt deliberately or from disasters (changes infiltration capacity of soil) </t>
  </si>
  <si>
    <t xml:space="preserve">This looks into future risks of reduced infiltration capacities </t>
  </si>
  <si>
    <t>Is there deforestation/land clearing taking place</t>
  </si>
  <si>
    <t xml:space="preserve">This looks into future risks of soil destabilisation, loss of vegetative cover, and effects of increasing temperatures </t>
  </si>
  <si>
    <t>is the wetland water level often unbalanced (dryer or wetter than usual)</t>
  </si>
  <si>
    <t>Consider observed imbalance</t>
  </si>
  <si>
    <t>Is inadequate land use causing loss of biodiversity and/or loss of environmentally protected land?</t>
  </si>
  <si>
    <t>Consider observations</t>
  </si>
  <si>
    <t xml:space="preserve">Do intense rains cause flooding from the nearly water bodies? Do households settle within riperian corridors </t>
  </si>
  <si>
    <t xml:space="preserve">Consider changing river courses </t>
  </si>
  <si>
    <t>Are housing and livelihood depending on a stable sea level ?</t>
  </si>
  <si>
    <t>Consider location of settlement in relation to sea level</t>
  </si>
  <si>
    <t xml:space="preserve">Is environmental contamination from waste and effluents (e.g water bodies) intensifying due to extreme weather events </t>
  </si>
  <si>
    <t xml:space="preserve">Consider carrying of wastes due to increasing flood levels </t>
  </si>
  <si>
    <t>Is heat increasing and windflow declining within the built up area?</t>
  </si>
  <si>
    <t>Consider heat and wind flow</t>
  </si>
  <si>
    <t xml:space="preserve">Are there low lying settlement areas that flood for a long time because the water cannot drain off, or located within flow paths of storm water </t>
  </si>
  <si>
    <t xml:space="preserve">Consider effect of topography in relation to the settlement location </t>
  </si>
  <si>
    <t>Is there a mechansim that provides location based real time information/data to trigger early warning needs?</t>
  </si>
  <si>
    <t xml:space="preserve">This inquires about ease of access to real time weather data and related warnings </t>
  </si>
  <si>
    <t>Are the county and the community regularly engaging with each other to ensure risk and vulnerability reduction?</t>
  </si>
  <si>
    <t>This inquires about the interaction between the county and the community</t>
  </si>
  <si>
    <t>Is the community aware of the role of the ecosystem in reducing flood hazards though natural infiltration, heat islands through vegetatation cover, destruction through wind blockage, food security etc....</t>
  </si>
  <si>
    <t>This inquires about climate risk awareness among the community members</t>
  </si>
  <si>
    <t>Are there budgeted ressources effectively directed toward the planned activities to benefit the settlement ?</t>
  </si>
  <si>
    <t xml:space="preserve">This inquires about budget execution </t>
  </si>
  <si>
    <t>Are the health services functional and accessible during severe climate and weather evants?</t>
  </si>
  <si>
    <t xml:space="preserve">Tis targets functionality of health facilities as critical facilties </t>
  </si>
  <si>
    <t>Can residents access evacuation centers or alternative shelter if needed and have safe evacuation routes been identified ?</t>
  </si>
  <si>
    <t>Can residents access aid and assistance in case of disaster if needed ?</t>
  </si>
  <si>
    <t>Is disbursement for recovery funds clear and effective?</t>
  </si>
  <si>
    <t>Is maintenance and repair of public infrastructures budgeted for and the disbursement meachnism is clear?</t>
  </si>
  <si>
    <t>This is a verificaiton of budgeting at County level</t>
  </si>
  <si>
    <t>CURRENT ADAPTIVE CAPACITY</t>
  </si>
  <si>
    <t>Adaptive Capacity</t>
  </si>
  <si>
    <t>no is bad</t>
  </si>
  <si>
    <t>Are there adequate areas formally available to practice urban agriculture</t>
  </si>
  <si>
    <t xml:space="preserve">Consider provisions in LPLUDP's and Community Development Plans </t>
  </si>
  <si>
    <t xml:space="preserve">Are there adequate areas formally available for grazing </t>
  </si>
  <si>
    <t>Are there mechanims to diversify crops, share unaffected crops and farming locations, and store harvest to protect it?</t>
  </si>
  <si>
    <t xml:space="preserve">Consider crop protection from weather events and capacity to diversify crops </t>
  </si>
  <si>
    <t>Are there adequate areas identofied and mechanisms to timely rescue and relocate animals to minimise imact from hazards</t>
  </si>
  <si>
    <t xml:space="preserve">Consider provisions in LPLUDP's, Community Development Plans and Evacuation Plans </t>
  </si>
  <si>
    <t>Are there meachnisms that prevent overfishing (monitoring, net size regulations…) and support fishermen with alternatives, such as fish farming</t>
  </si>
  <si>
    <t xml:space="preserve">Are there diverse economic opportunities in the area? </t>
  </si>
  <si>
    <t xml:space="preserve">Consider mixed uses opportunities and access to small business units </t>
  </si>
  <si>
    <t>Are there mechanisms to ensure privacy, safety and access to reproductve health care for women at all times?</t>
  </si>
  <si>
    <t xml:space="preserve">Consider access to health care services and DRM plans </t>
  </si>
  <si>
    <t>Is there a mechanism to mitigate disputes over diminuished resources before escalation?</t>
  </si>
  <si>
    <t xml:space="preserve">Consider activities and capacities of SEC's, GRC's, Environmental and Land Courts (ELC), and public awareness and information </t>
  </si>
  <si>
    <t>Are there mechanisms for children to receive education at all times?</t>
  </si>
  <si>
    <t>Consider access to education, DRM plans, and provisions to ensure protection of schools from hazards</t>
  </si>
  <si>
    <t>Are there provisions to harvest and store rain and surface water for irrigation during dry periods?</t>
  </si>
  <si>
    <t xml:space="preserve">Consider rain and surface water harvesting and storage available to subsistence farmers </t>
  </si>
  <si>
    <t>Are most households health insured and insured for cases of disaster ?</t>
  </si>
  <si>
    <t xml:space="preserve">Consider rate of health insurance and provisions to help accsess disaster insurance </t>
  </si>
  <si>
    <t>no  is bad</t>
  </si>
  <si>
    <t>Is the community aware of the evacuation routes and evacuation centers, and trained for cases of disaster?</t>
  </si>
  <si>
    <t xml:space="preserve">Consider availability and awareness of evacuaiotn plans and response mechanisms </t>
  </si>
  <si>
    <t>Are communities supported to protect and keep healthy during climate related hazards or extreme weather events?</t>
  </si>
  <si>
    <t xml:space="preserve">Consider provisions in Community Development Plans, budgets and awareness and information </t>
  </si>
  <si>
    <t>Is land use planning and enforcement functional and awareness raised about areas at risk?</t>
  </si>
  <si>
    <t xml:space="preserve">Consider public awareness of hazardous zones </t>
  </si>
  <si>
    <t>Is there effective solid waste management ?</t>
  </si>
  <si>
    <t xml:space="preserve">Consider SWM plans and functionality of SWM  </t>
  </si>
  <si>
    <t>Is there adequate sanitation that is not vulnerable to severe weather events ?</t>
  </si>
  <si>
    <t xml:space="preserve">Sanitation solutions respond to the hydrological conditions and are resilient </t>
  </si>
  <si>
    <t>Is there a mechanism that maintains or immediately recovers access to health services when adversely affected ?</t>
  </si>
  <si>
    <t>Consider DRM plans, evacuaiton plans, and disaster response times and recovery budgets</t>
  </si>
  <si>
    <t>Is the county holding industrial polluters accountable ?</t>
  </si>
  <si>
    <t xml:space="preserve">Consider enforcement of environmental regulatioons </t>
  </si>
  <si>
    <t>Is there access to a reinstatement program or mechanism for damaged or lost shelter for affected community members ?</t>
  </si>
  <si>
    <t>Consider access to finance for home recovery after disaster</t>
  </si>
  <si>
    <t>Is here a mechanism that maintains or immediately recovers access to critical public services when adversely affected ?</t>
  </si>
  <si>
    <t>Consider immediate recovery of critical infrastucture</t>
  </si>
  <si>
    <t>Are storm water flows fully planned and managed from source up to outlet/for the whole watershed/including use of natural infiltration?</t>
  </si>
  <si>
    <t xml:space="preserve">Consider storm water management planning based on location based hydrological assessment </t>
  </si>
  <si>
    <t>Are sanitary facilities adequate and properly designed in respect of ground water protection?</t>
  </si>
  <si>
    <t xml:space="preserve">This is specific to household sanitation; consider techncial assistance to ensure adequacy </t>
  </si>
  <si>
    <t>Are sewers properly designed in respect of ground water protection and fit for the local situaiton (and capability to connect)?</t>
  </si>
  <si>
    <t xml:space="preserve">Consider adequate infrastucture planning based on location based hydrological assessment </t>
  </si>
  <si>
    <t>Are there means to continously maintain the functionality of the most critical services and to provide access to energy, such as hospitals?</t>
  </si>
  <si>
    <t>Are there programs that facilitate access to alternative, green and renewable sources of energy for lighting and cooking ?</t>
  </si>
  <si>
    <t>Consider grid and solar kits</t>
  </si>
  <si>
    <t>Are water pipes properly planned and the layout and access points fit for the local situation?</t>
  </si>
  <si>
    <t>Is the relevant water treatment facility protected from hazards by the provider?</t>
  </si>
  <si>
    <t xml:space="preserve">Consider infrastructure protection measures </t>
  </si>
  <si>
    <t>Is water storage available, protected from hazards ?</t>
  </si>
  <si>
    <t xml:space="preserve">Consider availability of water storage and its protetcton </t>
  </si>
  <si>
    <t>Is the settlement accessible in all weather conditions (access to/and within)?</t>
  </si>
  <si>
    <t>Is access to communication ensured in all weather conditions ?</t>
  </si>
  <si>
    <t>Are there provisions to ensure access to water in the case of emergencies/scarcities?</t>
  </si>
  <si>
    <t xml:space="preserve">This includes prepositioning of water for drinking </t>
  </si>
  <si>
    <t>Are there provisions to ensure sufficient quantities of water in dry seasons / during interruted water supply ?</t>
  </si>
  <si>
    <t>Are there provisions to ensure drinking water quality ?</t>
  </si>
  <si>
    <t xml:space="preserve">Are geological assessments provenly considered in land use planning and engineeing designs? </t>
  </si>
  <si>
    <t xml:space="preserve">Consider adequate planning and design based on location based assessment </t>
  </si>
  <si>
    <t>Is sufficient permeability considered in the settlement plans as part of storm water management and infiltration ?</t>
  </si>
  <si>
    <t xml:space="preserve">Consider areas that allow for infiltration </t>
  </si>
  <si>
    <t>Is sufficient vegetation considered in the settlement plans as part of mitigation of extreme heat?</t>
  </si>
  <si>
    <t xml:space="preserve">Consider vegetative cover </t>
  </si>
  <si>
    <t>Are wetlands considred as part of the settlement plans and enforcement to maintain their natural functionality?</t>
  </si>
  <si>
    <t xml:space="preserve">Consider respect to wetland areas </t>
  </si>
  <si>
    <t>Are areas for undisturbed habitat/nisting/ and migrational routes respected as part of the settlement plans for conservation purposes and to mitigate human wildlife conflict ?</t>
  </si>
  <si>
    <t xml:space="preserve">Consider respect to natural habitat </t>
  </si>
  <si>
    <t>Is the river bed and flood plain of the nearby water body respected and/or springs protected from pollution?</t>
  </si>
  <si>
    <t xml:space="preserve">Consider respect to natural water flows </t>
  </si>
  <si>
    <t>Is the sea and tidal movements respected in the settlement plans ?</t>
  </si>
  <si>
    <t>Consider respect to tidal flows</t>
  </si>
  <si>
    <t>Are there environmnetal awareness programs conducted, and industrial polluters held responsible?</t>
  </si>
  <si>
    <t xml:space="preserve">Consider awareness for environmental regulations </t>
  </si>
  <si>
    <t>Are land use planning and enforcement by the local government effective and discourage settlement on inadequate land / in risky areas, and is the public aware of the importance in disaster risk reduction?</t>
  </si>
  <si>
    <t xml:space="preserve">Consider respect to hazardous areas and awareness </t>
  </si>
  <si>
    <t xml:space="preserve">Are there vegetative soil stabilisation measures combined with adaptive road network planning and storm water management planning? </t>
  </si>
  <si>
    <t xml:space="preserve">Consider erosion control measures </t>
  </si>
  <si>
    <t xml:space="preserve">Is there an Early Warning System with SOP's, responsibilities assigned and the community trained to respond in cases if emergency? </t>
  </si>
  <si>
    <t xml:space="preserve">Consider existence of plan and awareness of its content </t>
  </si>
  <si>
    <t>Is access to climate related information and understanding facilitated, such as warnings of weather events?</t>
  </si>
  <si>
    <t xml:space="preserve">Consider climate change awareness </t>
  </si>
  <si>
    <t>Does the local government effectively communicate to the community during disasters (is there a mechanism)?</t>
  </si>
  <si>
    <t xml:space="preserve">Consider evacuatio plans and disaster response mechanims </t>
  </si>
  <si>
    <t>Is there an established ressource planning and budgeting process at county level which is transparent to the community ?</t>
  </si>
  <si>
    <t xml:space="preserve">Consider participatory CIDP pocess and budgeting </t>
  </si>
  <si>
    <t xml:space="preserve">Is there a mechanism to ensure accessibility and functionaility of health services at all times (including access to water, electricity, food and personnell)? </t>
  </si>
  <si>
    <t xml:space="preserve">Consider maintained access to water, electricity, personnel and supplies </t>
  </si>
  <si>
    <t xml:space="preserve">Are there DRM plans, evacuation plans and evaculation centers for cases of disaster, and the neccessary supplies predispositioned? </t>
  </si>
  <si>
    <t xml:space="preserve">Consider availability and awareness </t>
  </si>
  <si>
    <t>Is there a mechanism to quickly mobilise disaster response staff and budget in case of emergency?</t>
  </si>
  <si>
    <t xml:space="preserve">Consider responsibilities and equipment </t>
  </si>
  <si>
    <t>Does the local government have the capacity and finance to quickly respond to disasters and access resources for disaster recovery in case of emergency?</t>
  </si>
  <si>
    <t xml:space="preserve">Consider access to funds in emergency situations </t>
  </si>
  <si>
    <t>Does the local government have the capacity and finance to manage and maintain / reinstate damaged infrastructure, and is infrastructue maintenance institutionalised?</t>
  </si>
  <si>
    <t>Consider access to funds for repairs</t>
  </si>
  <si>
    <t>To view a synthesis of all the responses, click on the tabs below:</t>
  </si>
  <si>
    <t>To view the output of the risk and vulnerability assessment, click on the tabs below:</t>
  </si>
  <si>
    <t>+</t>
  </si>
  <si>
    <t>HAZARD</t>
  </si>
  <si>
    <t>CURRENT</t>
  </si>
  <si>
    <t xml:space="preserve">     The table below illustrates the current climate hazards</t>
  </si>
  <si>
    <t xml:space="preserve">     The graph below illustrates the current climate hazards</t>
  </si>
  <si>
    <t>Legend:</t>
  </si>
  <si>
    <t>Low</t>
  </si>
  <si>
    <t>Medium</t>
  </si>
  <si>
    <t>High</t>
  </si>
  <si>
    <t>EXPOSURE</t>
  </si>
  <si>
    <t xml:space="preserve">     The graph below illustrates the current levels of exposure</t>
  </si>
  <si>
    <t xml:space="preserve">     The table below illustrates the current levels of exposure</t>
  </si>
  <si>
    <t>SENSITIVITY</t>
  </si>
  <si>
    <t xml:space="preserve">     The graph below illustrates the current levels of sensitivity</t>
  </si>
  <si>
    <t xml:space="preserve">     The table below illustrates the current levels of sensitivity</t>
  </si>
  <si>
    <t>ADAPTIVE CAPACITY</t>
  </si>
  <si>
    <t xml:space="preserve">     The graph below illustrates the current adaptive capacity</t>
  </si>
  <si>
    <t xml:space="preserve">     The table below illustrates the current adaptive capacity</t>
  </si>
  <si>
    <t>Good</t>
  </si>
  <si>
    <t>Ave</t>
  </si>
  <si>
    <t>Poor</t>
  </si>
  <si>
    <t>VULNERABILITY</t>
  </si>
  <si>
    <t xml:space="preserve">     The table below illustrates the current vulnerability - viewed by the same categories as 'sensitivity'</t>
  </si>
  <si>
    <t xml:space="preserve">     The graph below illustrates the current levels of vulnerability</t>
  </si>
  <si>
    <t xml:space="preserve">     and 'adaptive capacity'</t>
  </si>
  <si>
    <t xml:space="preserve">     The table below illustrates the current vulnerability - viewed by the same categories as 'exposure'</t>
  </si>
  <si>
    <t xml:space="preserve">     The table below illustrates the current levels of vulnerability in more detail</t>
  </si>
  <si>
    <t>RISK</t>
  </si>
  <si>
    <t xml:space="preserve">     The table below illustrates the current levels of risk, by category</t>
  </si>
  <si>
    <t xml:space="preserve">     The figure below illustrates the current levels of risk, by category</t>
  </si>
  <si>
    <t xml:space="preserve">     The table below illustrates the current levels of risk</t>
  </si>
  <si>
    <t xml:space="preserve">     The figure below illustrates the current levels of risk</t>
  </si>
  <si>
    <t>HAZARDS - CURRENT</t>
  </si>
  <si>
    <t>Current Hazard</t>
  </si>
  <si>
    <t>Vulnurability 1</t>
  </si>
  <si>
    <t>Current Risk</t>
  </si>
  <si>
    <t>Current Vulnarability</t>
  </si>
  <si>
    <t>Med</t>
  </si>
  <si>
    <t>N/A</t>
  </si>
  <si>
    <t>Vulnurability 2</t>
  </si>
  <si>
    <t>Vulnurability 3</t>
  </si>
  <si>
    <t>Risk 1</t>
  </si>
  <si>
    <t>Risk 2</t>
  </si>
  <si>
    <t>Low risk is good</t>
  </si>
  <si>
    <t>CURRENT VULNURABILITY</t>
  </si>
  <si>
    <t>CURRENT VULNERABILITY</t>
  </si>
  <si>
    <t>Hazard/Exposure/Risk</t>
  </si>
  <si>
    <t>Ave Split</t>
  </si>
  <si>
    <t>Average</t>
  </si>
  <si>
    <t>Vulnerability</t>
  </si>
  <si>
    <t>Vulnurability</t>
  </si>
  <si>
    <t>Vuln</t>
  </si>
  <si>
    <t>Risk</t>
  </si>
  <si>
    <t>Current Vulnurability</t>
  </si>
  <si>
    <t>Low AC # is bad</t>
  </si>
  <si>
    <t>Bottom</t>
  </si>
  <si>
    <t>3EEw x</t>
  </si>
  <si>
    <t>low Vul is good</t>
  </si>
  <si>
    <t>Top</t>
  </si>
  <si>
    <t>low Risk is good</t>
  </si>
  <si>
    <t>low</t>
  </si>
  <si>
    <t>med</t>
  </si>
  <si>
    <t>VULN</t>
  </si>
  <si>
    <t>Current Vulnerability</t>
  </si>
  <si>
    <t>Average:</t>
  </si>
  <si>
    <t>CURRENT RISK</t>
  </si>
  <si>
    <t>According to the vulnerability and risk assessment, the following areas can be rated as high:</t>
  </si>
  <si>
    <t>In more detail:</t>
  </si>
  <si>
    <t>To view the responses required for each of the current and future high risk and high vulnerability areas, please click on this tab. This tab should also be clicked after any changes are made to the questionnaire. Once the tab has been clicked, please scroll below.</t>
  </si>
  <si>
    <t>CATEGORIES</t>
  </si>
  <si>
    <t>IN ORDER TO REDUCE VULNERABILITY AND RISK, YOU WOULD NEED TO IMPLEMENT THE FOLLOWING RESPONSE ACTIONS:</t>
  </si>
  <si>
    <t>.</t>
  </si>
  <si>
    <r>
      <rPr>
        <rFont val="Calibri"/>
        <b/>
        <color theme="1"/>
        <sz val="12.0"/>
        <u/>
      </rPr>
      <t>PLANNING</t>
    </r>
    <r>
      <rPr>
        <rFont val="Calibri"/>
        <b/>
        <color theme="1"/>
        <sz val="12.0"/>
      </rPr>
      <t xml:space="preserve">
</t>
    </r>
    <r>
      <rPr>
        <rFont val="Calibri"/>
        <color theme="1"/>
        <sz val="10.0"/>
      </rPr>
      <t>• Foresee adequate areas formally available to practice subsistence agriculture and keep livestock
• Plan for land uses and accompanying programs that support diversification of livelihoods 
• Plan construction of abattoirs 
• Mitigate land use conversion of fertile soils, and assign appropriate sites for settlement growth</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</si>
  <si>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</si>
  <si>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adequate areas formally available to practice subsistence agriculture, grazing areas, and livestock keeping
• Plan storage facilities in commercial areas and markets
• For settlements at risk of drought and extreme temperature, develop a mechanism to help stabilize livestock prizes and create markets for sale of livestock 
• Plan one-stop-centres for farmers
`
</t>
    </r>
  </si>
  <si>
    <r>
      <rPr>
        <rFont val="Calibri"/>
        <b/>
        <color theme="1"/>
        <sz val="12.0"/>
        <u/>
      </rPr>
      <t>PLANNING</t>
    </r>
    <r>
      <rPr>
        <rFont val="Calibri"/>
        <b/>
        <color theme="1"/>
        <sz val="12.0"/>
      </rPr>
      <t xml:space="preserve">
</t>
    </r>
    <r>
      <rPr>
        <rFont val="Calibri"/>
        <color theme="1"/>
        <sz val="10.0"/>
      </rPr>
      <t xml:space="preserve">•  Foresee adequate areas formally available to practice subsistence agriculture, and grazing where this is part of livelihood of the community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</si>
  <si>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</si>
  <si>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</si>
  <si>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Foresee adequate areas formally available to practice subsistence agriculture
• Identify risk zones and mark risky areas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</si>
  <si>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</si>
  <si>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a program to facilitate access to crop storage (MF) and water storage for irrigation
•  Program to improve / reinstate soil quality
`
</t>
    </r>
  </si>
  <si>
    <r>
      <rPr>
        <rFont val="Calibri"/>
        <b/>
        <color theme="1"/>
        <sz val="12.0"/>
        <u/>
      </rPr>
      <t>PLANNING</t>
    </r>
    <r>
      <rPr>
        <rFont val="Calibri"/>
        <b/>
        <color theme="1"/>
        <sz val="12.0"/>
      </rPr>
      <t xml:space="preserve">
</t>
    </r>
    <r>
      <rPr>
        <rFont val="Calibri"/>
        <color theme="1"/>
        <sz val="10.0"/>
      </rPr>
      <t xml:space="preserve">• Identify risk zones and mark risky areas 
• Foresee adequate areas for livestock keeping if applicable; in arid regions facilitate nomadic animal husbandry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</si>
  <si>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</si>
  <si>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a program to facilitate access to water storage for livestock 
• Consider incentives for nomadic animal husbandry in arid regions, in combination with respective land use planning
`
</t>
    </r>
  </si>
  <si>
    <r>
      <rPr>
        <rFont val="Calibri"/>
        <b/>
        <color theme="1"/>
        <sz val="12.0"/>
        <u/>
      </rPr>
      <t>PLANNING</t>
    </r>
    <r>
      <rPr>
        <rFont val="Calibri"/>
        <b/>
        <color theme="1"/>
        <sz val="12.0"/>
      </rPr>
      <t xml:space="preserve">
</t>
    </r>
    <r>
      <rPr>
        <rFont val="Calibri"/>
        <color theme="1"/>
        <sz val="10.0"/>
      </rPr>
      <t xml:space="preserve">• Identify risk zones and mark risky areas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</si>
  <si>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</si>
  <si>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</si>
  <si>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Identify location-based opportunities for LED, including in the low carbon economy; Facilitate diverse economic opportunities by allowing small business unit sizes, plan for mixed use areas; 
• Identify risk zones and mark risky areas 
• Consider safe conditions for economic growth in land use and infrastructure planning 
• Facilitate diverse economic opportunities by allowing small business unit sizes, plan for mixed use areas;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</si>
  <si>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</si>
  <si>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</si>
  <si>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Adopt gender-responsive planning processes 
• Ensure reflection of climate risk- and gender- responsive investments
• Identify gender vulnerabilities as part of the strengthened existing conditions assessment 
• Design safe spaces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</si>
  <si>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Respond to gender-based needs in designs of infrastructures 
• Design safe facilities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</si>
  <si>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Respond to gender-differentiated needs in designs of public facilities and programs 
• Integrate gender in all County decision-making processes
• Ensure that programs for access to micro finance -, skills development or access to health care, are gender sensitive
• avail critical facilities during disasters considering gender-differentiated needs.
`
</t>
    </r>
  </si>
  <si>
    <r>
      <rPr>
        <rFont val="Calibri"/>
        <b/>
        <color theme="1"/>
        <sz val="12.0"/>
        <u/>
      </rPr>
      <t>PLANNING</t>
    </r>
    <r>
      <rPr>
        <rFont val="Calibri"/>
        <b/>
        <color theme="1"/>
        <sz val="12.0"/>
      </rPr>
      <t xml:space="preserve">
</t>
    </r>
    <r>
      <rPr>
        <rFont val="Calibri"/>
        <color theme="1"/>
        <sz val="10.0"/>
      </rPr>
      <t xml:space="preserve">• Foresee adequate grazing and farming areas for the population size 
• Foresee well-designed, well accessible, and safe public spaces even if small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</si>
  <si>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Integrate public lighting and shading in public space</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</si>
  <si>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Create awareness about the potential triggers that may cause climate related conflict and how to mitigate disputes before they escalate
• Identify causes of dispute and plan for program for dispute resolution
`
</t>
    </r>
  </si>
  <si>
    <r>
      <rPr>
        <rFont val="Calibri"/>
        <b/>
        <color theme="1"/>
        <sz val="12.0"/>
        <u/>
      </rPr>
      <t>PLANNING</t>
    </r>
    <r>
      <rPr>
        <rFont val="Calibri"/>
        <b/>
        <color theme="1"/>
        <sz val="12.0"/>
      </rPr>
      <t xml:space="preserve">
</t>
    </r>
    <r>
      <rPr>
        <rFont val="Calibri"/>
        <color theme="1"/>
        <sz val="10.0"/>
      </rPr>
      <t xml:space="preserve">• Make provisions to protect schools from severe weather events and make accessible at all times
• place schools in safe and well accessible locations, where newly planned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</si>
  <si>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protective measures that ensure resiliency (adequate drainage, infiltration)</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</si>
  <si>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Ensure access to water, sanitation and school feeding services at school
•  Ensure access to water and electricity, and budget for and equip with generators and water tanks
• Prepare mechanism that will preposition books and writing material and develop a mechanism for their distribution in case of disaster 
• As part of the SOPs, prepare a mechanism for safe evacuation of teachers and children 
• Prepare a mechanism with the County that will ensure access to always water and sanitation services at school
`
</t>
    </r>
  </si>
  <si>
    <r>
      <rPr>
        <rFont val="Calibri"/>
        <b/>
        <color theme="1"/>
        <sz val="12.0"/>
        <u/>
      </rPr>
      <t>PLANNING</t>
    </r>
    <r>
      <rPr>
        <rFont val="Calibri"/>
        <b/>
        <color theme="1"/>
        <sz val="12.0"/>
      </rPr>
      <t xml:space="preserve">
</t>
    </r>
    <r>
      <rPr>
        <rFont val="Calibri"/>
        <color theme="1"/>
        <sz val="10.0"/>
      </rPr>
      <t>• Where the climate risk is drought, undertake hydrological study as part of existing conditions analysis</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</si>
  <si>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boreholes in low lying areas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</si>
  <si>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a program to facilitate access to water storage 
• Identify and promote local resilient crops for subsistence farming 
• Foresee desalination measures on irrigated land in drought prone regions (drainage) to maintain soil fertility
•  Develop rotational irrigation system with all farming community members 
• Consider feasibility of desalination plant in arid, coastal regions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</si>
  <si>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</si>
  <si>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</si>
  <si>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Facilitate and promote enrolment in disaster insurance program 
• Prepare a mechanism for cash for asset programs and / or cash for work programs
• Prepare a mechanism to ensure access to finance, e.g. for SME’s and farmers to bridge interim income losses 
• Prepare a mechanism for access to finance for women’s groups  
`
</t>
    </r>
  </si>
  <si>
    <r>
      <rPr>
        <rFont val="Calibri"/>
        <b/>
        <color theme="1"/>
        <sz val="12.0"/>
        <u/>
      </rPr>
      <t>PLANNING</t>
    </r>
    <r>
      <rPr>
        <rFont val="Calibri"/>
        <b/>
        <color theme="1"/>
        <sz val="12.0"/>
      </rPr>
      <t xml:space="preserve">
• Plan water retention ponds 
• Plan for ecosystem restoration projects 
</t>
    </r>
    <r>
      <rPr>
        <rFont val="Calibri"/>
        <b/>
        <color theme="1"/>
        <sz val="10.0"/>
      </rPr>
      <t xml:space="preserve">
`
</t>
    </r>
  </si>
  <si>
    <r>
      <rPr>
        <rFont val="Calibri"/>
        <b/>
        <color theme="1"/>
        <sz val="12.0"/>
        <u/>
      </rPr>
      <t>DESIGNS</t>
    </r>
    <r>
      <rPr>
        <rFont val="Calibri"/>
        <b/>
        <color theme="1"/>
        <sz val="12.0"/>
      </rPr>
      <t xml:space="preserve">
</t>
    </r>
    <r>
      <rPr>
        <rFont val="Calibri"/>
        <color theme="1"/>
        <sz val="10.0"/>
      </rPr>
      <t xml:space="preserve">
`
</t>
    </r>
  </si>
  <si>
    <r>
      <rPr>
        <rFont val="Calibri"/>
        <b/>
        <color theme="1"/>
        <sz val="12.0"/>
        <u/>
      </rPr>
      <t xml:space="preserve">COMMUNITY DEVELOPMENT PLANS
• </t>
    </r>
    <r>
      <rPr>
        <rFont val="Calibri"/>
        <b/>
        <color theme="1"/>
        <sz val="12.0"/>
      </rPr>
      <t>Plan for storm water collection at public facilities, markets etc</t>
    </r>
    <r>
      <rPr>
        <rFont val="Calibri"/>
        <b/>
        <color theme="1"/>
        <sz val="12.0"/>
        <u/>
      </rPr>
      <t xml:space="preserve">
</t>
    </r>
    <r>
      <rPr>
        <rFont val="Calibri"/>
        <color theme="1"/>
        <sz val="10.0"/>
      </rPr>
      <t xml:space="preserve">• For Community Disaster Risk Management Plans (CDRMP), the following content should at least be addressed:  
1. Early warning system and communication
2. Awareness and information 
3. Actors
4. Critical infrastructure 
5. Evacuation and evacuation shelter 
6. Health services 
7. Food security
8. Maintained education 
9. Maintained livelihood/
10. HH income
• There shall be an Evacuation Plan for the community including Standard Operational Procedures (SOPs) elaborated, which includes:
Evacuation routes, Identified mapped critical assets / o Measures proposed to safeguard the critical assets (and to plan for their implementation, Identified evacuation shelter, Actors with assigned responsibilities / Awareness and information programs
`
</t>
    </r>
  </si>
  <si>
    <t>`</t>
  </si>
  <si>
    <r>
      <rPr>
        <rFont val="Calibri"/>
        <b/>
        <color theme="1"/>
        <sz val="12.0"/>
        <u/>
      </rPr>
      <t>COMMUNITY DEVELOPMENT PLANS</t>
    </r>
    <r>
      <rPr>
        <rFont val="Calibri"/>
        <b/>
        <color theme="1"/>
        <sz val="12.0"/>
      </rPr>
      <t xml:space="preserve">
</t>
    </r>
    <r>
      <rPr>
        <rFont val="Calibri"/>
        <color theme="1"/>
        <sz val="10.0"/>
      </rPr>
      <t xml:space="preserve">• Foresee reinstatement and enhancement of vegetative cover 
• Foresee measures with the objective of improving water quality of rivers, where applicable (awareness and information)
• Foresee promotion of rainwater harvesting through awareness campaigns and facilitation of access to finance for rainwater storage and private households 
• Foresee accompanying programs that facilitate micro finance for access to water tanks that will contribute to securing access to water during dry periods 
• Establish programs that provides advice on private improvement to homes to reduce climate vulnerabilities at individual household level
• Foresee sufficient number of water extraction points for maximum extraction for every identified water source to not exceed natural recharge
• Foresee provisions to ensure availability of sufficient quantities of water in dry seasons and during interrupted water supply by installing sufficient water storage and ensure timely filling in conjunction with the water authorities 
• foresee water and rainwater tanks for public facilities managed under the Counties
• foresee sunshades and tree planting of indigenous species
• increased number of boreholes 
• ground water recharge measures
• Protection measures for ground water extraction points from pollution 
Consider different responses depending on gender and age 
`
</t>
    </r>
  </si>
  <si>
    <r>
      <rPr>
        <rFont val="Calibri"/>
        <b/>
        <color theme="1"/>
        <sz val="12.0"/>
        <u/>
      </rPr>
      <t>PLANNING</t>
    </r>
    <r>
      <rPr>
        <rFont val="Calibri"/>
        <b/>
        <color theme="1"/>
        <sz val="12.0"/>
      </rPr>
      <t xml:space="preserve">
</t>
    </r>
    <r>
      <rPr>
        <rFont val="Calibri"/>
        <color theme="1"/>
        <sz val="9.0"/>
      </rPr>
      <t xml:space="preserve">• Identify risk zones and mark risky areas 
• Where the hazard risk is intense precipitation and floods, ensure that sanitary facilities are located outside of floodplains, flash flood pathways, and completely above ground water table 
• Undertake careful siting of industries to prevent vulnerability to air pollution in consideration of wind directions 
• Require natural permeable areas in support of storm water infiltration and in response to storm water flow paths 
• Where the hazard risk is intense precipitation and floods sanitary facilities must be located outside of floodplains, flash flood pathways, and be completely above ground water table 
• foresee investment in ecosystem restoration, development of ecosystem services, afforestation and agroforestry.
• Improve soil properties and vegetative cover through measures in support of grazing, groundwater rechange
• Rebuild natural protective features, such as vegetative cover and specifically mangrove forests in coastal areas 
• Identify risk zones and mark risky areas for their further exclusion from building development/urbanisation and address in intense consultative process (for guidelines see 3.1.3)
• ensure all weather access to health facilities within a safe location and standard distance from any point in the settlement, and consider universal accessibilities for all, regardless of gender, age, social group, ability etc.
• identify appropriate sanitation system to be supported in conjunction with water availabilities for stocktaking by design consultants and advise on the risk of foreseeing a sewer system if identified as unfeasible 
• Identify and map out high-risk zones within the settlement 
• Identify the affected households
• Identify interventions that may reduce the risk, such as increasing vegetative cover, increasing infiltration areas etc
• Identify options of physical correction in the private realm and train residents </t>
    </r>
    <r>
      <rPr>
        <rFont val="Calibri"/>
        <color theme="1"/>
        <sz val="10.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</si>
  <si>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Maximize natural infiltration area, increase vegetative cover, assess feasibility of storm water retention depending on the site and location, verify options of improving natural embankment stabilization
• There shall be no siting of new roads in wetlands and flood prone zones 
• Vegetative soil stabilization measures shall be adopted in conjunction with road network planning and storm water management planning 
• Road designs must provenly ensure that any new paved areas and roadways do not cause an unacceptable rise in groundwater on adjacent sites, especially in areas with high ground water tables.  
• Plan for slopes to be well covered with deep rooted vegetation
• Ensure adequate road surface drainage measures to move water off the road surface rapidly and prevent the accumulation of water.
• Take measures to ensure immediate pulling back of marginally unstable or failing sliver fill slopes.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</si>
  <si>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</si>
  <si>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The SWM plan must align with the LPLUDP and the below aspects coordinated with the planning process and content.
• Location of landfill, waste collection points and waste collection and transportation routes
• Landfill locations must consider the surface topography, subsurface and hydrogeological conditions
• Landfills must not be sited o on land used for a water supply system;/o within a flood area, flood plain, or wetland;/o within dam failure;/o in any location that could cause water contamination, including the water of a lake, reservoir, or pond/o within a subsistence agriculture area;/o above an underground mine;/o above a fault;/o above a salt bed;/o near other geologic features which could compromise structural integrity;/o within an area of volcanic hazard.
• Landfills locations must exceed a distance of  o 400 m from residential, commercial and public buildings;/o 1,000 m from a river bank;/o 400 m from a water source;/o 300 m from a park, monument, recreation area, ecologically significant area, farmland area, or in “prime”, “unique”, or of “government wide importance” area;/o 400 m from a burial site;/o 3,000 m from an airport runway;
• Assign safe areas to animal husbandry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</si>
  <si>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Existing landfills/waste disposal sites that will be used as part of the SWM scheme must be screened for climate impacts. The result must be presented as part of the SWM plan report.</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</si>
  <si>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Sensitization program on avoid – reuse – recycle for reduction of landfill amounts 
• Separation of organic matter to divert organic matter from landfills and promote composting 
• Plan for composting, or bio digester system to recover methane from organic waste as energy source, where feasible and in combination with livestock faming
• Include planning for composting trainings 
• Include program to provide separate bins to enable waste separation 
• Keep bridge channels cleared and free of excessive debris.
• Keep culverts in good condition, free of debris, and with version prevention measures installed.
• Respect the below guidelines for waste collection points:
Separate and sufficiently large bins must be foreseen to enable waste separation; Waste separation and recycling activities shall be co-located; Waste collection points must be located away from direct runoff zone of a river or stream; Consider green finance incentives to incentivise waste separation through separate bins (to be integrated with the SWM plans)
`
</t>
    </r>
  </si>
  <si>
    <t>p8</t>
  </si>
  <si>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</si>
  <si>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In areas with shallow water table use elevated composting toilets
• For decentralised sewage treatment solutions, consider low energy options such as reed beds, if feasible, and solutions with anaerobic digestion with capture and reuse of the methane
• Foresee provisions to treat grey water before release into the environment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</si>
  <si>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There shall be solutions provided that help treat grey water from households to mitigate clogging from soap and grease and thus amplification of risk of flooding, by maintaining the natural infiltration capacity of soil 
• For any pit latrines located in flood plains, plan for their eventual replacement (e.g. elevated ecosan toilets, or relocation outside of the flood plain)
• Consider green finance incentives to incentivise on-site wastewater treatment to the Kenya discharge standards
• Integrate investment in bio-centres in the settlements for energy sources from animal and human organic wastes and faeces
`
</t>
    </r>
  </si>
  <si>
    <r>
      <rPr>
        <rFont val="Calibri"/>
        <b/>
        <color theme="1"/>
        <sz val="12.0"/>
        <u/>
      </rPr>
      <t>PLANNING</t>
    </r>
    <r>
      <rPr>
        <rFont val="Calibri"/>
        <b/>
        <color theme="1"/>
        <sz val="12.0"/>
      </rPr>
      <t xml:space="preserve">
</t>
    </r>
    <r>
      <rPr>
        <rFont val="Calibri"/>
        <color theme="1"/>
        <sz val="10.0"/>
      </rPr>
      <t xml:space="preserve">• Foresee siting of health facilities in safe locations </t>
    </r>
    <r>
      <rPr>
        <rFont val="Calibri"/>
        <b/>
        <color theme="1"/>
        <sz val="12.0"/>
      </rPr>
      <t xml:space="preserve">
</t>
    </r>
    <r>
      <rPr>
        <rFont val="Calibri"/>
        <color theme="1"/>
        <sz val="12.0"/>
      </rPr>
      <t>Consider different needs depending on gender, age and abilities</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</si>
  <si>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protective measures that ensure resiliency of the facilities (adequate drainage, infiltration, access to water and electricity, budget for and equip with generators and water tanks, etc)</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</si>
  <si>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Plan for measures that protect the health facilities from identified flash flood flow paths and hydrological conditions during flood and intense precipitation 
• Budget for sufficient personnel, equipment and resources for the local health facilities 
• Train community members in first aid
• Help ensuring enrolment in national health insurance fund (NHIF)
Consider different needs depending on gender, age and abilities
`
</t>
    </r>
  </si>
  <si>
    <r>
      <rPr>
        <rFont val="Calibri"/>
        <b/>
        <color theme="1"/>
        <sz val="12.0"/>
        <u/>
      </rPr>
      <t>PLANNING</t>
    </r>
    <r>
      <rPr>
        <rFont val="Calibri"/>
        <b/>
        <color theme="1"/>
        <sz val="12.0"/>
      </rPr>
      <t xml:space="preserve">
</t>
    </r>
    <r>
      <rPr>
        <rFont val="Calibri"/>
        <color theme="1"/>
        <sz val="10.0"/>
      </rPr>
      <t>• Integrate nature and adapt to natural conditions features, and reinstate where applicable</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</si>
  <si>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Plan for measures to safeguard groundwater, landfill sites and sewage treatment sites to control pollution 
• Comply with the objectives of minimizing GHG minimization in the whole value chain of the works 
• Mitigate soil, water and crops pollution from sewer/pit overflows and other hazardous materials
• Line landfills and waste collection points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</si>
  <si>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Plan for measures to safeguard pit latrines and septic tanks from overflow and spilling of faeces into the environment 
• For any pit latrines located in flood plains, plan for their eventual replacement (e.g. elevated ecosan toilets, or relocation outside of the flood plain)
• Undertake awareness, information and enforcement options of environmental regulations to sensitize, audit and make accountable large-scale industries on illegal pollution and discharges into the environment/water bodies
• Awareness, information and enforcement shall also include environmental regulations, particularly with the help of National and County governments, to sensitize and audit large scale industries on illegal pollution and discharges into the environment/water bodies.
• Facilitate finance programs for upgrading of industrial technologies to mitigate pollution 
• Foresee sensibilization, awareness programs coupled with identification and servicing of safe settlement sites 
• Consider investment in sites and services projects where feasible 
• Initiate / facilitate micro finance programs that encourage replacement of domestic and commercial use of high emission fuels
`
</t>
    </r>
  </si>
  <si>
    <r>
      <rPr>
        <rFont val="Calibri"/>
        <b/>
        <color theme="1"/>
        <sz val="12.0"/>
        <u/>
      </rPr>
      <t>PLANNING</t>
    </r>
    <r>
      <rPr>
        <rFont val="Calibri"/>
        <b/>
        <color theme="1"/>
        <sz val="12.0"/>
      </rPr>
      <t xml:space="preserve">
</t>
    </r>
    <r>
      <rPr>
        <rFont val="Calibri"/>
        <color theme="1"/>
        <sz val="10.0"/>
      </rPr>
      <t xml:space="preserve">• Safeguard critical assets and utilities part of the planning process
• Locate any new critical assets and utilities outside of high-risk zones
• Ensure minimum accessibility of the settlement accessible in all weather conditions (access to/and within) for emergency vehicles and public transport; 
</t>
    </r>
    <r>
      <rPr>
        <rFont val="Calibri"/>
        <b/>
        <color theme="1"/>
        <sz val="12.0"/>
      </rPr>
      <t xml:space="preserve">
</t>
    </r>
    <r>
      <rPr>
        <rFont val="Calibri"/>
        <color theme="1"/>
        <sz val="10.0"/>
      </rPr>
      <t xml:space="preserve">
`
</t>
    </r>
  </si>
  <si>
    <r>
      <rPr>
        <rFont val="Calibri"/>
        <b/>
        <color theme="1"/>
        <sz val="12.0"/>
        <u/>
      </rPr>
      <t>DESIGNS</t>
    </r>
    <r>
      <rPr>
        <rFont val="Calibri"/>
        <color theme="1"/>
        <sz val="12.0"/>
      </rPr>
      <t xml:space="preserve">
N/A to KISIP</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</si>
  <si>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Establish programs that provide advice to private improvement to homes to reduce climate vulnerabilities at individual household level 
• Consider green finance incentives to incentivise climate change mitigation measures in private investment on residential and commercial buildings, for example: 
Use of reflective roofing for reduction of heat island effect; On-site wastewater treatment to the Kenya discharge standards; For new construction, incentivised building design that minimizes heat gain and facilitates good natural ventilation with layouts that utilizes prevailing wind conditions to ensure cross ventilation
• Create awareness and disseminate information on green building and building appliances
Consider different needs depending on gender, age and abilities
`
</t>
    </r>
  </si>
  <si>
    <r>
      <rPr>
        <rFont val="Calibri"/>
        <b/>
        <color theme="1"/>
        <sz val="12.0"/>
        <u/>
      </rPr>
      <t>PLANNING</t>
    </r>
    <r>
      <rPr>
        <rFont val="Calibri"/>
        <b/>
        <color theme="1"/>
        <sz val="12.0"/>
      </rPr>
      <t xml:space="preserve">
</t>
    </r>
    <r>
      <rPr>
        <rFont val="Calibri"/>
        <color theme="1"/>
        <sz val="10.0"/>
      </rPr>
      <t xml:space="preserve">• Map out hazardous areas and the effected households, and address risk and vulnerability reduction as part of the planning process through various means; consider flash flood flow paths in conjunction with clayey soils as risk areas 
• Ensure safe location 
• Ensure all weather access and universal accessibility 
• foresee water and rainwater tanks for public facilities not to be settled 
• Ensure storm water flows are fully planned and managed from source up to outlet;
• Ensure minimum accessibility of the facility accessible in all weather conditions (access to/and within) for emergency vehicles and public transport;
• Foresee natural infiltration areas within the plans and designs by foreseeing open space ponds and ecological basins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</si>
  <si>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Assess storm water flow path 
• Maximize natural infiltration area, increase vegetative cover, assess feasibility of storm water retention depending on the site and location, verify options of improving natural embankment stabilization 
• Treat as an integral part within storm water management planning process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</si>
  <si>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In areas at risk of drought foresee rain water storages for public facilities managed under the Counties
• In areas with intense precipitation, combine infiltration measures with rain water collection
Consider different responses depending on gender, age and abilities
`
</t>
    </r>
  </si>
  <si>
    <r>
      <rPr>
        <rFont val="Calibri"/>
        <b/>
        <color theme="1"/>
        <sz val="12.0"/>
        <u/>
      </rPr>
      <t>PLANNING</t>
    </r>
    <r>
      <rPr>
        <rFont val="Calibri"/>
        <b/>
        <color theme="1"/>
        <sz val="12.0"/>
      </rPr>
      <t xml:space="preserve">
</t>
    </r>
    <r>
      <rPr>
        <rFont val="Calibri"/>
        <color theme="1"/>
        <sz val="9.0"/>
      </rPr>
      <t xml:space="preserve">• The plans must consider existing land uses and surface characteristics, and those planned with the new agreed interventions.  In addition, a plan shall be provided showing future expansion requirements in conjunction with the entire LPLUDP and CDP where available, including such changes that will not yet be implemented under KISIP2. 
• The analysis method and choice of parameters and other inputs must be replicable, including flood frequencies and flow velocities 
• The resiliency of the design shall be proven, for example by calculating a variety of scenarios and by comparing with results from nearby locations if possible 
• The reports and plans must be provided to enable the evaluation committee to reproduce the results, including all input values and methods of modelling
• In areas at risk of flooding and intense precipitation, LPLUDP’s must provenly consider and reflect the results of geological and hydrological assessments. 
• consider flash flood flow paths in conjunction with clayey soils as risk areas not to be settled 
• Ensure storm water flows are fully planned and managed from source up to outlet 
• Foresee natural infiltration areas within the plans and designs by foreseeing open space ponds and ecological basins 
• In areas with intense precipitation: Combine infiltration measures with rain water collection; Preserve natural vegetation and other areas that filter runoff and reduce erosion 
• Where drainages are introduced, they must be fully planned and addressed from source up to outlet; there should be natural infiltration areas foreseen within the plans and designs by foreseeing open space ponds and ecological basins; </t>
    </r>
    <r>
      <rPr>
        <rFont val="Calibri"/>
        <color theme="1"/>
        <sz val="10.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</si>
  <si>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9.0"/>
      </rPr>
      <t>• For drainage construction, ensure use of locally available material and such masonry to reduce or eliminate demand on base material.
• Storm water designs must consider drainage outlets and their surroundings and demonstratedly identify the optimum design parameters
• Adopt nature-based solutions that protect and restore ecosystems and increase resiliency, denitrify surface runoff, making use of on-site natural features; 
• Maximize the opportunities for natural infiltration and manage stormwater runoff instead of managing storm water at source and draining it into sewers. 
• Foresee reinstatement of a hydrologic regime of catchments shall be by means of infiltrating, filtering, storing, evaporating, and detaining runoff close to its source. 
o The climate resilient scheme shall design permeable surfaces wherever possible.
o Practical examples of green infrastructure include bioswales, permeable pavement, green roofs, rainwater tanks and public parks.
• When designing transportation drainage systems, the designs must be based on assessment of: potential flooding caused by changes in water surface profiles, disturbance of the river system upstream or downstream of the intervention, changes in lateral flow distributions, changes in velocity or direction of flow, need for conveyance and disposal of excess runoff, need for channel linings to prevent erosion.
• The designs supporting storm water management must consider: The existing land uses and surface characteristics, and those planned with the interventions, The runoff from all existing adjacent areas, The drainage outlets and their surroundings and demonstratedly identify the optimum design parameters, The future planned road upgrading measures, including change of surfaces, and any increase of impervious cover, which will influence increases storm water volume and velocity, Maximization of natural infiltration areas within the plans and designs by foreseeing open space ponds and ecological basins, Stream modification, such as realignment or relocation must not be permitted. 
• Where modifications have taken place in the past, natural conditions shall be reinstated as far as feasible as part of the LPLUDP proposal. The planning and design measures shall target enhanced water quality standards, measures that will mitigate heavy debris discharge and riverbank erosion and protect fish and wildlife resources.</t>
    </r>
    <r>
      <rPr>
        <rFont val="Calibri"/>
        <color theme="1"/>
        <sz val="10.0"/>
      </rPr>
      <t xml:space="preserve">
</t>
    </r>
    <r>
      <rPr>
        <rFont val="Calibri"/>
        <color rgb="FFFF3F3F"/>
        <sz val="10.0"/>
      </rPr>
      <t>• Assume an annual exceedance probability (AEP) of at least 70 % in storm water management planning and designs;
• Where there are large areas of paved surfaces, impermeable soils and steep slopes, retention ponds shall be used.</t>
    </r>
    <r>
      <rPr>
        <rFont val="Calibri"/>
        <color theme="1"/>
        <sz val="10.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</si>
  <si>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measures that denitrify surface runoff
• Foresee measures that prevent debris to enter into natural water bodies and ground water
</t>
    </r>
    <r>
      <rPr>
        <rFont val="Calibri"/>
        <color rgb="FFFF3F3F"/>
        <sz val="10.0"/>
      </rPr>
      <t xml:space="preserve">• Incentivize plot level water harvesting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</si>
  <si>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Leachate fields and soakaways must not be placed in areas with regular high rainfall
• Pit latrines must be completely above the water table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</si>
  <si>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Where the hazard risk is intense precipitation and floods, sanitary facilities must not be sited within floodplains, flash flood pathways, and completely above ground water table (Sanitation facilities, sewer lines, waste water treatment sites including septic tanks, pit latrines and soil absorption systems for effluent must not be located in flood plains and areas where the water table is higher than 2 m below ground)
• The design of sanitation facilities must respect ground water protection by being located outside of floodplains, flash flood pathways, and completely above ground water table; and by being located at least 100 m away from ground water extraction points; relocate any pit latrines that are at risk of submerging in flood plains; 
• In areas with shallow water table use elevated composting toilets
Consider different needs depending on gender, age and abilities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</si>
  <si>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Promote domestic grey water treatment solutions to mitigate soil clogging and amplified risk of flooding and to ensure natural soil infiltration capacity
• Promote plant based domestic/or decentral or grey-water treatment system (mini reed bed) Low-cost greywater treatment for households
Consider different responses depending on gender, age and abilities
`
</t>
    </r>
  </si>
  <si>
    <r>
      <rPr>
        <rFont val="Calibri"/>
        <b/>
        <color theme="1"/>
        <sz val="12.0"/>
        <u/>
      </rPr>
      <t>PLANNING</t>
    </r>
    <r>
      <rPr>
        <rFont val="Calibri"/>
        <b/>
        <color theme="1"/>
        <sz val="12.0"/>
      </rPr>
      <t xml:space="preserve">
</t>
    </r>
    <r>
      <rPr>
        <rFont val="Calibri"/>
        <color theme="1"/>
        <sz val="10.0"/>
      </rPr>
      <t xml:space="preserve">• Ensure minimum distance of 15 m of any sewer line to potable water exit points; ensure horizontal separation of water mains and sewers, with sewers always located below water mains
• Siting of new sewer lines and other infrastructure in floodplains must be avoided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</si>
  <si>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Minimum distance of 15 m of any sewer line to potable water exit points must be ensured
• Horizontal separation of water mains and sewers must be ensured, with sewers always located below water mains
• Ensure fully adapted design of sewers based on a demand study (identifying all sewerage intakes) and water supply study and consultations with water board; evidence of the demand study shall be provided; possibly do not plan for sewer lines in areas at risk of drought and where there are water scarcities 
• In areas with high groundwater table, or in flood prone conditions, conventional gravity sewers must not be used
• Where the hazard risk is drought, sewers must be designed to achieve self-cleaning velocity a peak flow, and sufficiency of water supply to the connected toilets must be ensured, or use of sewers be reconsidered and alternative sanitation solutions be prioritized  
• If sewer connection is not feasible or viable, foresee harvesting energy from methane from human and animal faeces where feasible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</si>
  <si>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</si>
  <si>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In areas at risk of storms consider underground power supply where feasible, however not in floodplains</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</si>
  <si>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Foresee safety measures against electric shock
Public lighting
• For street lighting elements, ensure its longevity to reduce LED waste that is currently not recyclable and to reduce the negative environmental impact in sourcing the rare minerals in solar panels, where solar lamps are planned  
• For poles, ensure use of timber from sustainable commercial forestry in the design specifications 
• Apply solar power options, or from grid, where known to be generated from a green mix (which is the case in Kenya with 80% geothermal/ hydro/ wind)
• Plan for low street lights instead of flood lights at least in settlements that are located in proximity to natural areas to minimize disturbance of wildlife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</si>
  <si>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lightning conductors on public buildings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</si>
  <si>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</si>
  <si>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</si>
  <si>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Create awareness and disseminate information on green building and building appliances 
o Include program aspect that promotes natural or artificial ventilation, lighting, and solar heat gains in the applicable regions 
o Include program aspect that promotes use of renewable energies  
o Promote green appliances for domestic use, e.g. by providing access to green (micro-)finance 
o Foresee measures to reduce demand on charcoal to preserve indigenous forests.
• Consider green finance incentives to incentivise climate change mitigation measures in private investment on residential and commercial buildings, for example: 
o Roof installation for solar thermal or solar PV appliances (e.g. with points to be gained per total exposed roof area)
o Use of reflective roofing for reduction of heat island effect
o Off-grid renewable energy generation 
o Use of low wattage (energy saving) light bulbs
o Use of eco jiko to reduce demand on charcoal. Eco jiko can also apply other domestic wastes for energy generation (heat), among other 
o For new construction, incentivised building design that minimizes heat gain and facilitates good natural ventilation with layouts that utilizes prevailing wind conditions to ensure cross ventilation
`
</t>
    </r>
  </si>
  <si>
    <r>
      <rPr>
        <rFont val="Calibri"/>
        <b/>
        <color theme="1"/>
        <sz val="12.0"/>
        <u/>
      </rPr>
      <t>PLANNING</t>
    </r>
    <r>
      <rPr>
        <rFont val="Calibri"/>
        <b/>
        <color theme="1"/>
        <sz val="12.0"/>
      </rPr>
      <t xml:space="preserve">
</t>
    </r>
    <r>
      <rPr>
        <rFont val="Calibri"/>
        <color theme="1"/>
        <sz val="10.0"/>
      </rPr>
      <t xml:space="preserve">• Design for a resilient water supply system by making provisions for water supply and delivery; water quality; and water quality, based on a thorough existing conditions assessment as well as demand study.
• Siting of underground water pipes shall not be in unstable soils 
• Siting of water pipes in flood plains must be avoided
• Siting of water pipes near soil extraction sites must be avoided
• The water supply planning shall be watershed based and use gravity flows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</si>
  <si>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In areas prone to drought, water pipes need protection against breakage or must be sited above ground, depending on feasibility study
• Any design must respond to the water availability besides demand, and make provisions accordingly. 
• Closely engage and confirm the designs with the local water boards and present confirmed solutions regarding water supply capacity requirements 
• Take into account integration with water demand for the case where sewerage systems are proposed as part of the design and equally confirm with the responsible authority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</si>
  <si>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awareness campaigns against vandalism, and public protection measures
• Siting of water pipes in flood plains must be avoided. 
• Siting of water access points in flood plains must not be undertaken. 
• Take measures to prevent sedimentation
• Create vegetative barriers to prevent debris from flushing onto water bodies 
• Take measures to prevent spilling of water on unstable slopes from leaking pipes or other causes
• Foresee measures to prevent pollution of fresh water bodies and water extraction points from debris / floatsome and effluent discharge associated with storm and wind surges
• Prevent water pollution from debris / floatsome and effluent discharge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</si>
  <si>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</si>
  <si>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Plan for measures to safeguard groundwater, landfill sites and sewage treatment sites to control pollution</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</si>
  <si>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potable water exit points must be safeguarded from pollution and destruction
`
</t>
    </r>
  </si>
  <si>
    <r>
      <rPr>
        <rFont val="Calibri"/>
        <b/>
        <color theme="1"/>
        <sz val="12.0"/>
        <u/>
      </rPr>
      <t>PLANNING</t>
    </r>
    <r>
      <rPr>
        <rFont val="Calibri"/>
        <b/>
        <color theme="1"/>
        <sz val="12.0"/>
      </rPr>
      <t xml:space="preserve">
</t>
    </r>
    <r>
      <rPr>
        <rFont val="Calibri"/>
        <color theme="1"/>
        <sz val="10.0"/>
      </rPr>
      <t xml:space="preserve">• In areas with intense precipitation, combine infiltration measures with rain water collection; 
• Consider use of swales for natural water storage ponds where feasible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</si>
  <si>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Consider feasibility of combining storm water evacuation with water harvesting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</si>
  <si>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storages for water and food in markets and commercial areas
• Foresee micro finance program that enables access to water tanks for private households and SMEs
• Foresee water tanks on public facilities
`
</t>
    </r>
  </si>
  <si>
    <r>
      <rPr>
        <rFont val="Calibri"/>
        <b/>
        <color theme="1"/>
        <sz val="12.0"/>
        <u/>
      </rPr>
      <t>PLANNING</t>
    </r>
    <r>
      <rPr>
        <rFont val="Calibri"/>
        <b/>
        <color theme="1"/>
        <sz val="12.0"/>
      </rPr>
      <t xml:space="preserve">
</t>
    </r>
    <r>
      <rPr>
        <rFont val="Calibri"/>
        <color theme="1"/>
        <sz val="10.0"/>
      </rPr>
      <t xml:space="preserve">• Ensure minimum accessibility of the settlement accessible in all weather conditions (access to/and within) for emergency vehicles and public transport; in areas with high temperature fluctuations avoid road construction and embankments on steep slopes; avoid major infrastructure construction and road network increase on clayey soils and hilly terrain 
• Natural ecosystems must be considered when planning for the objectives of transportation, mobility and commerce, and maximize the natural habitat forming processes while achieving hydraulic goals, such as flow routing, floodplain connectivity. 
• There shall be consideration of minimum accessibility of the settlement accessible in all weather conditions (access to/and within) for emergency vehicles and public transport; in heat prone areas, do not foresee asphalt paving; in areas with high temperature fluctuations avoid road construction and embankments on steep slopes; avoid major infrastructure construction and road network increase on clayey soils and hilly terrain 
• Plan for good and safe walkability and prioritize pedestrian movements within the settlement over vehicular movement. 
• Public and non-motorized modes of transport must be facilitated and prioritized 
• All year access to the settlement must demonstratedly be ensured, based on the existing conditions assessment that includes hazard risks 
• No new roads or road upgrading must be foreseen on/in saturated soils, highly erodible soils, slopes steeper than 60o riparian corridors and flood plains upslope from flood plains in narrow canyons
• Road upgrading must be planned in a way to minimize/ avoid cutting down of trees in the road corridor.
• Combine vegetative soil stabilization measures with adaptive road network planning and storm water management planning; minimize road network density; minimize road network on steep terrain 
• Natural systems must be considered when planning for the objectives of transportation, mobility and commerce, and maximize the natural habitat forming processes while achieving hydraulic goals, such as flow routing, floodplain connectivity. 
• Plan for good and safe walkability and prioritize pedestrian movements within the settlement over vehicular movement. There shall be adequate consideration of the need of safe and demand-oriented Non-Motorized Transport (NMT) 
o Promote walking and cycling though urban design and sufficient area and safety provisions
• Program public transport service points with County.
• All year access to the settlement must demonstratedly be ensured, based on the existing conditions assessment that includes hazard risks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</si>
  <si>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Geological assessments must be provenly considered, and the dependency of engineered infrastructures on embankments and retaining walls shall be minimized
• Where new roads and / or road paving is introduced penetration of increasing motorized traffic and transport into the settlements is likely, and must be combined with speed control and promotion of public and non-motorized modes of transport. 
o Aspects of traffic congestions, parking problems, delivery problems, speeding must demonstratedly be addressed. 
• Where new roads and / or road paving is foreseen, the changed traffic demand caused by the intervention must be considered in the designs, including also demand for parking and goods delivery zones. 
• Where new roads and / or road paving is foreseen, there must demonstratedly be consideration of pedestrian safety measures, including but not limited to speed bumps, safe road crossings near schools, safe play areas, wide footpaths, etc. 
• Adapted road standard design shall not allow for all functions within smaller road widths, instead reduction of road functions in small road widths (in small road reserves, the number of road lanes cannot fulfil standard)
• Road siting must demonstrably consider the hydrological and topographical conditions and siting of new roads in wetlands and flood prone zones must be avoided. 
• Road designs must provenly consider hydro-morphological alterations and future pressures from other newly planned infrastructure and other changes, which may impact the status of surface waters.
• Road designs must provenly ensure that any new paved areas and roadways do not cause an unacceptable rise in groundwater on adjacent sites, especially in areas with high ground water tables. 
• Specify road pavement options that can be implemented through labour intensive methods
• Use cobble stone where feasible (for purposes of safety, LED and reduced embedded GHG emission)
• Apply such technologies and methods, which can easily be repaired by local people/ SME’s
• For asphalt concrete paving, where not to be avoided, use warm and cold mix technologies (i.e. asphalt concreting production at considerably reduced temperatures)
• Select materials and technologies that allow for reuse and recycling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</si>
  <si>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Tree lining of roads and public transportation hubs shall be foreseen
• Public transportation hubs shall be shaded
• Promote walking and cycling though urban design and sufficient area and safety provisions
• Program public transport service points with County
• Foresee (access to) road maintenance budget and inspections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</si>
  <si>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</si>
  <si>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Protective and mitigating measures due to the risk of increased resistance in extreme temperatures causing decrease of efficiency and performance of power lines
• Protective measures responding to possible ground shrink-ages causing damages to underground utilities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</si>
  <si>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Provide access to online platform to access climate risk data 
• For emergency cases, foresee resilient communication tool that helps coordinate essential communication during disaster risk, in case of ITC system disruption 
`
</t>
    </r>
  </si>
  <si>
    <r>
      <rPr>
        <rFont val="Calibri"/>
        <b/>
        <color theme="1"/>
        <sz val="12.0"/>
        <u/>
      </rPr>
      <t>PLANNING</t>
    </r>
    <r>
      <rPr>
        <rFont val="Calibri"/>
        <b/>
        <color theme="1"/>
        <sz val="12.0"/>
      </rPr>
      <t xml:space="preserve">
</t>
    </r>
    <r>
      <rPr>
        <rFont val="Calibri"/>
        <color theme="1"/>
        <sz val="10.0"/>
      </rPr>
      <t>• The Consultant shall demonstratedly address resiliency of the water supply system by making provisions for water supply / delivery; water quality; and water quality, based on a thorough existing conditions assessment as well as demand study. 
• The water supply planning shall be watershed based and use gravity flows
• Siting of water pipes in flood plains must be avoided. 
• Siting of water access points in flood plains shall not be undertaken. 
Consider different needs depending on gender, age and abilities</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</si>
  <si>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Design for a resilient water supply system by making provisions for water supply and delivery; water quality; and water quality, based on a thorough existing conditions assessment as well as demand study
• Any design must respond to the water availability besides demand and make provisions accordingly. 
• Plan boreholes at minimum distance of 100 m from sources of pollution
• The Consultant shall closely engage and confirm the designs with the local water boards and present agreement on the plan and water supply capacity requirements with conformed solutions.  
• Designs must consider the local water pressures. 
• Foresee sufficient number of water extraction points for maximum extraction for every identified water source to not exceed natural recharge
• Foresee provisions to ensure availability of sufficient quantities of water in dry seasons and during interrupted water supply by installing sufficient water storage and ensure timely filling in conjunction with the water authorities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</si>
  <si>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There shall be use of solar powered pumps for extraction of borehole water
• The location of water access points, despite respecting environmental conditions and restrictions to the siting of water access points, must also provenly be gender sensitive and responsive. 
• Foresee promotion of rainwater harvesting through awareness campaigns and facilitation of access to finance for rainwater storage and private households 
• Foresee accompanying programs that facilitate micro finance for access to water tanks that will contribute to securing access to water during dry periods
Consider different needs depending on gender, age and abilities
`
</t>
    </r>
  </si>
  <si>
    <r>
      <rPr>
        <rFont val="Calibri"/>
        <b/>
        <color theme="1"/>
        <sz val="12.0"/>
        <u/>
      </rPr>
      <t>PLANNING</t>
    </r>
    <r>
      <rPr>
        <rFont val="Calibri"/>
        <b/>
        <color theme="1"/>
        <sz val="12.0"/>
      </rPr>
      <t xml:space="preserve">
</t>
    </r>
    <r>
      <rPr>
        <rFont val="Calibri"/>
        <color theme="1"/>
        <sz val="10.0"/>
      </rPr>
      <t>• determine enough water extraction points for maximum extraction for every identified water source to not exceed natural recharge</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</si>
  <si>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The Consultant shall take into account integration with water demand for the case where sewerage systems are proposed as part of the design and confirm with the responsible authority equally.</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</si>
  <si>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The optimum size of water tanks for households to install to cover large portions of dry periods shall be calculated (which should be communicated through awareness programs, and access facilitated though micro finance programs)
`
</t>
    </r>
  </si>
  <si>
    <r>
      <rPr>
        <rFont val="Calibri"/>
        <b/>
        <color theme="1"/>
        <sz val="12.0"/>
        <u/>
      </rPr>
      <t>PLANNING</t>
    </r>
    <r>
      <rPr>
        <rFont val="Calibri"/>
        <b/>
        <color theme="1"/>
        <sz val="12.0"/>
      </rPr>
      <t xml:space="preserve">
</t>
    </r>
    <r>
      <rPr>
        <rFont val="Calibri"/>
        <color theme="1"/>
        <sz val="10.0"/>
      </rPr>
      <t xml:space="preserve">• Land uses and facilities that may pollute ground water must be adequately distant 
• Locate potentially polluting land uses in adequate distance from fresh water bodies and water extraction points, considering main wind directions 
• Protect fresh water bodies and water extraction points from potential sources of effluent discharges associated storm and wind surges
• Protect ground water extraction points from pollution 
• Address the cause of pollution as a priority intervention Take measures to prevent sedimentation
• Create vegetative barriers to prevent debris from flushing onto water bodies 
• Verify types of agricultural uses and practices in relation to potential sources of pollution, and address water pollution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</si>
  <si>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</si>
  <si>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measures to prevent pollution of fresh water bodies and water extraction points from debris / floatsome and effluent discharge associated with storm and wind surges
• Prevent water pollution from debris / floatsome and effluent discharge
`
</t>
    </r>
  </si>
  <si>
    <r>
      <rPr>
        <rFont val="Calibri"/>
        <b/>
        <color theme="1"/>
        <sz val="12.0"/>
        <u/>
      </rPr>
      <t>PLANNING</t>
    </r>
    <r>
      <rPr>
        <rFont val="Calibri"/>
        <b/>
        <color theme="1"/>
        <sz val="12.0"/>
      </rPr>
      <t xml:space="preserve">
</t>
    </r>
    <r>
      <rPr>
        <rFont val="Calibri"/>
        <color theme="1"/>
        <sz val="10.0"/>
      </rPr>
      <t xml:space="preserve">• Do not allow settlement expansion in steep terrain with clayey and sandy soils
avoid major infrastructure construction and road network increase on clayey soils and hilly terrain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</si>
  <si>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natural erosion control measures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</si>
  <si>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Create awareness about importance of avoiding grey water release into environment as part of flood prevention and importance of maintaining infiltration capacity 
• Create awareness of risks associated with different types of soils 
• Foresee soil improvement and restoration programs especially in areas prone to drought and food insecurity 
`
</t>
    </r>
  </si>
  <si>
    <r>
      <rPr>
        <rFont val="Calibri"/>
        <b/>
        <color theme="1"/>
        <sz val="12.0"/>
        <u/>
      </rPr>
      <t>PLANNING</t>
    </r>
    <r>
      <rPr>
        <rFont val="Calibri"/>
        <b/>
        <color theme="1"/>
        <sz val="12.0"/>
      </rPr>
      <t xml:space="preserve">
</t>
    </r>
    <r>
      <rPr>
        <rFont val="Calibri"/>
        <color theme="1"/>
        <sz val="10.0"/>
      </rPr>
      <t xml:space="preserve">• Require adequate percentage and distribution of vegetative ground cover and closed canopy to mitigate extreme heat; 
• Road upgrading must be planned in a way to minimize/ avoid cutting down of trees in the road corridor
• There shall be nature-based solutions with respect to natural ecosystems, storm water flow path and ground water and soil conditions.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</si>
  <si>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Adopt natura based design solutions, such as bioswales, ponds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</si>
  <si>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Loss of vegetation cover is actively minimized/ prevented 
• Protect forests and woodlands
• Increase tree cover 
• Promote upkeep of grazing areas
</t>
    </r>
    <r>
      <rPr>
        <rFont val="Calibri"/>
        <color rgb="FFFF3F3F"/>
        <sz val="10.0"/>
      </rPr>
      <t xml:space="preserve">• Reinstate vegetative cover 
• Rebuild mangrove forests in coastal areas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</si>
  <si>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Ensure protection of forested areas as part of the planning process 
• Foresee reinstatement and enhancement of vegetative cover 
• Ensure protection of forested areas as part of the planning process, by means of land use planning, and supported by regulatory measures and physical means (green fences, barriers, etc…)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</si>
  <si>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Adopt natura based design solutions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</si>
  <si>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In coastal locations, consider including a mangrove nursery project where feasible (which could contribute to LED)
• In areas prone to extreme temperature and drought, foresee tree planting of indigenous species
• Actively prevent deforestation
`
</t>
    </r>
  </si>
  <si>
    <r>
      <rPr>
        <rFont val="Calibri"/>
        <b/>
        <color theme="1"/>
        <sz val="12.0"/>
        <u/>
      </rPr>
      <t>PLANNING</t>
    </r>
    <r>
      <rPr>
        <rFont val="Calibri"/>
        <b/>
        <color theme="1"/>
        <sz val="12.0"/>
      </rPr>
      <t xml:space="preserve">
</t>
    </r>
    <r>
      <rPr>
        <rFont val="Calibri"/>
        <color theme="1"/>
        <sz val="10.0"/>
      </rPr>
      <t xml:space="preserve">• Integrate natural wetlands in land use planning and ensure their safeguarding 
• Protect and reinstate if applicable any wetland areas and foresee enforcement measures to maintain their natural functionality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</si>
  <si>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Surface areas that wash into storm drains clean must be free from animal dung, toxic chemicals, fertilizers and motor oil
• Use only native plant species when foreseeing plants in and near wetlands
• Foresee slope stabilizing measures with native wetland vegetation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</si>
  <si>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Protect functionality of wetlands 
• Promote functionality of mangrove ecosystems
• Undertake awareness, information and enforcement options of environmental regulations to sensitize, audit and make accountable large-scale industries on illegal pollution and discharges 
• Include wetland maintenance and regular solid waste removal as part of SWM plans 
• Foresee sediment removal from wetlands (infrequent)
`
</t>
    </r>
  </si>
  <si>
    <r>
      <rPr>
        <rFont val="Calibri"/>
        <b/>
        <color theme="1"/>
        <sz val="12.0"/>
        <u/>
      </rPr>
      <t>PLANNING</t>
    </r>
    <r>
      <rPr>
        <rFont val="Calibri"/>
        <b/>
        <color theme="1"/>
        <sz val="12.0"/>
      </rPr>
      <t xml:space="preserve">
</t>
    </r>
    <r>
      <rPr>
        <rFont val="Calibri"/>
        <color theme="1"/>
        <sz val="10.0"/>
      </rPr>
      <t xml:space="preserve">• Ensure respect to areas for undisturbed habitat/nisting/and migrational routes for conservation purposes and to mitigate human wildlife conflict 
• Support connectivity of natural unbuilt areas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</si>
  <si>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</si>
  <si>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
</t>
    </r>
  </si>
  <si>
    <r>
      <rPr>
        <rFont val="Calibri"/>
        <b/>
        <color theme="1"/>
        <sz val="12.0"/>
        <u/>
      </rPr>
      <t>PLANNING</t>
    </r>
    <r>
      <rPr>
        <rFont val="Calibri"/>
        <b/>
        <color theme="1"/>
        <sz val="12.0"/>
      </rPr>
      <t xml:space="preserve">
</t>
    </r>
    <r>
      <rPr>
        <rFont val="Calibri"/>
        <color theme="1"/>
        <sz val="10.0"/>
      </rPr>
      <t xml:space="preserve">• Support denitrification of rivers by consideration at the planning and design stages
• Ensure respect to the river bed and flood plain of any nearby water bodies; ensure protection of ground water ad springs from pollution through adequate siting and distancing of land uses and facilities that may adversely impact water quality 
• Ensure respect to the river bed and flood plain of any nearby water bodies; ensure protection of ground water ad springs from pollution through adequate siting and distancing of land uses and facilities that may adversely impact water quality 
• Stream modification, such as realignment or relocation must not be permitted. Where such modifications have taken place in the past, natural conditions shall be reinstated as far as feasible as part of the LPLUDP proposal.
• Preserve critical ecosystems, include ecosystem reinstatement measures where applicable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</si>
  <si>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Integrate nature-based solutions as biofilters for denitrification of surface runoff, subsurface and ground water</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</si>
  <si>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measures with the objective of improving water quality of rivers
`
</t>
    </r>
  </si>
  <si>
    <r>
      <rPr>
        <rFont val="Calibri"/>
        <b/>
        <color theme="1"/>
        <sz val="12.0"/>
        <u/>
      </rPr>
      <t>PLANNING</t>
    </r>
    <r>
      <rPr>
        <rFont val="Calibri"/>
        <b/>
        <color theme="1"/>
        <sz val="12.0"/>
      </rPr>
      <t xml:space="preserve">
</t>
    </r>
    <r>
      <rPr>
        <rFont val="Calibri"/>
        <color theme="1"/>
        <sz val="10.0"/>
      </rPr>
      <t xml:space="preserve">• Ensure respect to sea and tidal movements and undertake land use siting accordingly 
• Avoid inappropriate development in vulnerable coastal areas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</si>
  <si>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</si>
  <si>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Undertake awareness programs on respecting the seashore, and preventing pollution
`
</t>
    </r>
  </si>
  <si>
    <r>
      <rPr>
        <rFont val="Calibri"/>
        <b/>
        <color theme="1"/>
        <sz val="12.0"/>
        <u/>
      </rPr>
      <t>PLANNING</t>
    </r>
    <r>
      <rPr>
        <rFont val="Calibri"/>
        <b/>
        <color theme="1"/>
        <sz val="12.0"/>
      </rPr>
      <t xml:space="preserve">
</t>
    </r>
    <r>
      <rPr>
        <rFont val="Calibri"/>
        <color theme="1"/>
        <sz val="10.0"/>
      </rPr>
      <t xml:space="preserve">• Protect and reinstate if applicable any wetland areas and foresee enforcement measures to maintain their natural functionality
• Preserve critical ecosystems, include ecosystem reinstatement measures where applicable 
• Restore / protect riparian zones from inadequate land use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</si>
  <si>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Respect storm water flow paths, flood plains and natural ecosystems when designing infrastructure</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</si>
  <si>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measures with the objective of improving water quality of rivers, where applicable (awareness and information)
</t>
    </r>
    <r>
      <rPr>
        <rFont val="Calibri"/>
        <color rgb="FFFF3F3F"/>
        <sz val="10.0"/>
      </rPr>
      <t xml:space="preserve">• Foresee investment in ecosystem restoration 
• Consider soil restoration projects where applicable and feasible  
• Facilitate finance programs for upgrading of industrial technologies to mitigate pollution 
`
</t>
    </r>
  </si>
  <si>
    <r>
      <rPr>
        <rFont val="Calibri"/>
        <b/>
        <color theme="1"/>
        <sz val="12.0"/>
        <u/>
      </rPr>
      <t>PLANNING</t>
    </r>
    <r>
      <rPr>
        <rFont val="Calibri"/>
        <b/>
        <color theme="1"/>
        <sz val="12.0"/>
      </rPr>
      <t xml:space="preserve">
</t>
    </r>
    <r>
      <rPr>
        <rFont val="Calibri"/>
        <color theme="1"/>
        <sz val="10.0"/>
      </rPr>
      <t xml:space="preserve">• Require natural permeable areas in support of storm water infiltration and in response to storm water flow paths 
• Avoid inappropriate development in vulnerable coastal areas 
• ensure land use planning and enforcement that discourages settling on inadequate land / risky areas; avoid inappropriate development in areas at risk of flooding. Where the development is necessary, ensure its safety without increasing flood risk elsewhere; 
• minimize road network density
• In line with the National policy (National CC Action Plan), it must be ensured that consideration of the following is evident in the elaboration of the LPLUDP’s:
• Forest land must be protected / Degraded landscapes should be restored / Terrestrial and inland water conservation areas must be respected  / Dispersal areas and migratory pathways must be respected / Water catchment areas must be conserved  
• As part of both vulnerability reduction and climate change mitigation efforts, the LPLUDP’s shall further integrate demonstrated consideration that, as applicable:  
functionality of wetlands actively is protected / Functionality of mangroves is actively promoted / Restoration of riparian zones is promoted / Deforestation is actively prevented / o Loss of vegetation cover is actively /minimized/ prevented / Tree cover is increased / o Upkeep of grazing areas is promoted.
• ensure land use planning and enforcement that discourages settling on inadequate land / risky areas
• Address the cause of pollution as a priority intervention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</si>
  <si>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Respect land use plans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</si>
  <si>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Undertake awareness and information about land use sensitivities, hazardous areas and location based hazard risks and zones which must not be settled on for public health and safety, and environmental reasons
`
</t>
    </r>
  </si>
  <si>
    <r>
      <rPr>
        <rFont val="Calibri"/>
        <b/>
        <color theme="1"/>
        <sz val="12.0"/>
        <u/>
      </rPr>
      <t>PLANNING</t>
    </r>
    <r>
      <rPr>
        <rFont val="Calibri"/>
        <b/>
        <color theme="1"/>
        <sz val="12.0"/>
      </rPr>
      <t xml:space="preserve">
</t>
    </r>
    <r>
      <rPr>
        <rFont val="Calibri"/>
        <color theme="1"/>
        <sz val="10.0"/>
      </rPr>
      <t xml:space="preserve">• Combine vegetative soil stabilization measures with adaptive road network planning and storm water management planning; 
• minimize road network density; minimize road network on steep terrain 
• Major road network increase shall be avoided on clayey soils and steep slopes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</si>
  <si>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avoid road construction and embankments on steep slopes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</si>
  <si>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Undertake awareness and information campaigns to prevent construction on steep slopes
• Undertake information campaigns on safe construction
`
</t>
    </r>
  </si>
  <si>
    <r>
      <rPr>
        <rFont val="Calibri"/>
        <b/>
        <color theme="1"/>
        <sz val="12.0"/>
        <u/>
      </rPr>
      <t>PLANNING</t>
    </r>
    <r>
      <rPr>
        <rFont val="Calibri"/>
        <b/>
        <color theme="1"/>
        <sz val="12.0"/>
      </rPr>
      <t xml:space="preserve">
</t>
    </r>
    <r>
      <rPr>
        <rFont val="Calibri"/>
        <color theme="1"/>
        <sz val="10.0"/>
      </rPr>
      <t xml:space="preserve">• Ensure registration of all households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</si>
  <si>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</si>
  <si>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Institutionalise an early warning system
• Establish a method of availing climate data (rainfall precipitation, desertification) to transmit timely warnings to the community 
• The Consultant should elaborate an Evacuation Plan for the community including Standard Operational Procedures (SOPs). 
• An Evacuation Plan must include: o Evacuation routes / o Identified mapped critical assets /o Measures proposed to safeguard the critical assets (and to plan for their implementation)/o Identified evacuation shelter /o Actors with assigned responsibilities.
`
</t>
    </r>
  </si>
  <si>
    <r>
      <rPr>
        <rFont val="Calibri"/>
        <b/>
        <color theme="1"/>
        <sz val="12.0"/>
        <u/>
      </rPr>
      <t>PLANNING</t>
    </r>
    <r>
      <rPr>
        <rFont val="Calibri"/>
        <b/>
        <color theme="1"/>
        <sz val="12.0"/>
      </rPr>
      <t xml:space="preserve">
</t>
    </r>
    <r>
      <rPr>
        <rFont val="Calibri"/>
        <color theme="1"/>
        <sz val="10.0"/>
      </rPr>
      <t xml:space="preserve">• Before stat of planning, explain KISIP process chart on implementation processes, focal points and contacts, roles and responsibilities in the processes, details of the plan and design elaboration processes, opportunities for the communities to voice their concerns and needs, expectations from SEC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</si>
  <si>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Create awareness about importance of infrastructure maintenance to sustain its functionality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</si>
  <si>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The plan shall establish how awareness and knowledge of the warning system and of SOPs will be created among all community members 
• Train SEC's as ToT, and plan for awareness and information campaigns for communities on 
• understanding about the effects of climate change and severe weather events on the community in general 
• understanding of the identified location-based risks relevant to the settlement where the SEC is established, along with the aspects that amplify the risks and vulnerabilities
• linkage between the residents’ vulnerabilities and effects on critical assets and facilities, and behavioural aspects such as waste dumping and building within stormwater pathways  
• awareness about unhabitable zones and ecosystems that must not be disturbed, the reasons for this, and ways of sensitizing residents and assisting them as part of KISIP program interventions 
• intense training about the implementation of DRM plans/ evacuation plans once available, for SEC to become ToT
• opportunities of GHG reductions in the private domestic and business realm, and programs supporting access to finance once available as part of CDP’s
Consider different needs and way of accessing information depending on gender, age and abilities
`
</t>
    </r>
  </si>
  <si>
    <r>
      <rPr>
        <rFont val="Calibri"/>
        <b/>
        <color theme="1"/>
        <sz val="12.0"/>
        <u/>
      </rPr>
      <t>PLANNING</t>
    </r>
    <r>
      <rPr>
        <rFont val="Calibri"/>
        <b/>
        <color theme="1"/>
        <sz val="12.0"/>
      </rPr>
      <t xml:space="preserve">
</t>
    </r>
    <r>
      <rPr>
        <rFont val="Calibri"/>
        <color theme="1"/>
        <sz val="10.0"/>
      </rPr>
      <t xml:space="preserve">• County to support us of tool A and B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</si>
  <si>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xml:space="preserve">• County to support use of Tool C 
• County to collect information of maintenance requirements for the planned infrastructure interventions, and cost projections of the maintenance costs and type of requirements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</si>
  <si>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Plan awareness and information programs on: 
• KISIP processes, Effects of climate change and severe weather events on the community, identified location-based risks relevant to the settlement, unhabitable zones and ecosystems that must not be disturbed, access to early warning information and functioning of the system, DRM Plans and evacuation plans, access to climate related information, opportunities of GHG reductions, Knowledge on crop diversification, risk of overfishing, causes of pollution, causes of health risks and vulnerabilities
• Provide opportunity to follow up on maintenance budget in the County budget 
• Create PPP in SWM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</si>
  <si>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</si>
  <si>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</si>
  <si>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The locations of all critical infrastructure (especially health facilities, schools, evacuation centres, water and sanitation, settlement access roads, water treatment facilities, etc must be clearly identified.
`
</t>
    </r>
  </si>
  <si>
    <r>
      <rPr>
        <rFont val="Calibri"/>
        <b/>
        <color theme="1"/>
        <sz val="12.0"/>
        <u/>
      </rPr>
      <t>PLANNING</t>
    </r>
    <r>
      <rPr>
        <rFont val="Calibri"/>
        <b/>
        <color theme="1"/>
        <sz val="12.0"/>
      </rPr>
      <t xml:space="preserve">
</t>
    </r>
    <r>
      <rPr>
        <rFont val="Calibri"/>
        <color theme="1"/>
        <sz val="10.0"/>
      </rPr>
      <t xml:space="preserve">• Protect health facilities from hazards by placing in safe locations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</si>
  <si>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protective measures for health facilities that ensure their resiliency (adequate drainage, infiltration)</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</si>
  <si>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protective measures that ensure access to water and electricity, budget for and equip with generators and water tanks, etc
`
</t>
    </r>
  </si>
  <si>
    <r>
      <rPr>
        <rFont val="Calibri"/>
        <b/>
        <color theme="1"/>
        <sz val="12.0"/>
        <u/>
      </rPr>
      <t>DESIGNS</t>
    </r>
    <r>
      <rPr>
        <rFont val="Calibri"/>
        <b/>
        <color theme="1"/>
        <sz val="12.0"/>
      </rPr>
      <t xml:space="preserve">
</t>
    </r>
    <r>
      <rPr>
        <rFont val="Calibri"/>
        <color theme="1"/>
        <sz val="10.0"/>
      </rPr>
      <t xml:space="preserve">• Plan for measures (e.g. levees and dykes) that protect the critical infrastructures from identified flash flood flow paths and hydrological conditions during flood and intense precipitation 
• Plan for measures to safeguard groundwater, landfill sites and sewage treatment sites to control pollution 
• Plan for measures to safeguard pit latrines and septic tanks from overflow and spilling of faeces into the environment (environmental and public health subject)
`
</t>
    </r>
  </si>
  <si>
    <r>
      <rPr>
        <rFont val="Calibri"/>
        <b/>
        <color theme="1"/>
        <sz val="12.0"/>
        <u/>
      </rPr>
      <t>COMMUNITY DEVELOPMENT PLANS</t>
    </r>
    <r>
      <rPr>
        <rFont val="Calibri"/>
        <b/>
        <color theme="1"/>
        <sz val="12.0"/>
      </rPr>
      <t xml:space="preserve">
</t>
    </r>
    <r>
      <rPr>
        <rFont val="Calibri"/>
        <color theme="1"/>
        <sz val="10.0"/>
      </rPr>
      <t xml:space="preserve">• Identify safe evacuation routes that are not at risk of flooding, and include in the Evacuation Plan 
• Raise awareness and inform all community members about the locations for evacuation shelter and evacuation routes
• Determine evacuation facilities in safe locations and include in the Evacuation Plan; For settlements at risk of flood or flash flood hazard and intense precipitation, the location must be elevated, with access to water and sanitation, well ventilated/ For settlements at risk of drought and extreme temperature, there must be access to water and sanitation at the location, the facility shall be well ventilated, and have reflective roofing
• Plan for the prepositioning of tents and camp management in situ
• In addition, for settlements at risk of drought, plan for tents and camp management in migration destinations
• Develop a mechanism that will be used to provide prepositioned emergency medicine/first aid kits/ dignity kits
• For settlements at risk of flood or flash flood hazard and intense precipitation, predisposition cholera medication 
• For settlements at risk of drought and extreme temperature, predisposition dehydration and malnutrition treatment. 
• Pre-identify persons trained in first aid/ensure training of SEC and community members  
• Develop a mechanism that will be used to provide information for access to health care in cases of disaster and prepare such information 
• Develop a mechanism that will make accessible psycho-social support in cases of disaster 
• Pre-identify and create awareness of safe spaces for women and children 
• Develop a mechanism that will install hospital referral system for cases of disaster 
• Predetermine a mechanism and predisposition the equipment for rescue from flood waters
• Help ensuring enrolment in national health insurance fund (NHIF)
Consider different responses depending on gender, age and abilities (refer to Table C-2)
`
</t>
    </r>
  </si>
  <si>
    <r>
      <rPr>
        <rFont val="Calibri"/>
        <b/>
        <color theme="1"/>
        <sz val="12.0"/>
        <u/>
      </rPr>
      <t>PLANNING</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</si>
  <si>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</si>
  <si>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Foresee mechanism that immediately reinstates accessibility of relevant critical facilities during extreme weather events; 
• Foresee emergency responses, e.g. emergency care for patients in potentially affected hospitals
• Foresee mechanism to immediately control effects of severe weather events and disaster onto water and the environment (such as effluent of hazardous substances) 
• Budget for provision of evacuation shelter, health services, food, education, maintained livelihood, access to finance in case of disaster 
• Foresee training of community members in disaster response and first aid
Consider different needs depending on gender, age and abilities (refer to Table C-2)
`
</t>
    </r>
  </si>
  <si>
    <r>
      <rPr>
        <rFont val="Calibri"/>
        <b/>
        <color theme="1"/>
        <sz val="12.0"/>
        <u/>
      </rPr>
      <t>PLANNING</t>
    </r>
    <r>
      <rPr>
        <rFont val="Calibri"/>
        <b/>
        <color theme="1"/>
        <sz val="12.0"/>
      </rPr>
      <t xml:space="preserve">
</t>
    </r>
    <r>
      <rPr>
        <rFont val="Calibri"/>
        <color theme="1"/>
        <sz val="10.0"/>
      </rPr>
      <t xml:space="preserve">• Identify options for access to adaptation funding for necessitated relocations from high risk areas and for reinstalment assistance </t>
    </r>
    <r>
      <rPr>
        <rFont val="Calibri"/>
        <b/>
        <color theme="1"/>
        <sz val="12.0"/>
      </rPr>
      <t xml:space="preserve">
</t>
    </r>
    <r>
      <rPr>
        <rFont val="Calibri"/>
        <color theme="1"/>
        <sz val="10.0"/>
      </rPr>
      <t>Consider different needs depending on gender, age and abilities</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</si>
  <si>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Foresee adequate areas formally available to practice subsistence agriculture and keep livestock
• Plan for land uses and accompanying programs that support diversification of livelihoods 
• Plan construction of abattoirs 
• Mitigate land use conversion of fertile soils, and assign appropriate sites for settlement growth</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</si>
  <si>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Develop a mechanism to ensure quick repair of access roads to markets and commercial areas 
• Foresee disaster recovery funding as part of County budget
• Identify external sources and funding opportunities for disaster and climate adaptation funding 
• Advocate for making disaster risk insurances for households and SME’s accessible and affordable under loss and damage budgets
Consider different needs depending on gender, age and abilities
`
</t>
    </r>
  </si>
  <si>
    <r>
      <rPr>
        <rFont val="Calibri"/>
        <b/>
        <color theme="1"/>
        <sz val="12.0"/>
        <u/>
      </rPr>
      <t>PLANNING</t>
    </r>
    <r>
      <rPr>
        <rFont val="Calibri"/>
        <b/>
        <color theme="1"/>
        <sz val="12.0"/>
      </rPr>
      <t xml:space="preserve">
</t>
    </r>
    <r>
      <rPr>
        <rFont val="Calibri"/>
        <color theme="1"/>
        <sz val="10.0"/>
      </rPr>
      <t>• County to consider budget for ecosystem restoration</t>
    </r>
    <r>
      <rPr>
        <rFont val="Calibri"/>
        <b/>
        <color theme="1"/>
        <sz val="12.0"/>
      </rPr>
      <t xml:space="preserve">
</t>
    </r>
    <r>
      <rPr>
        <rFont val="Calibri"/>
        <color theme="1"/>
        <sz val="10.0"/>
      </rPr>
      <t xml:space="preserve">
`
</t>
    </r>
  </si>
  <si>
    <r>
      <rPr>
        <rFont val="Calibri"/>
        <b/>
        <color theme="1"/>
        <sz val="12.0"/>
        <u/>
      </rPr>
      <t>DESIGNS</t>
    </r>
    <r>
      <rPr>
        <rFont val="Calibri"/>
        <b/>
        <color theme="1"/>
        <sz val="12.0"/>
      </rPr>
      <t xml:space="preserve">
</t>
    </r>
    <r>
      <rPr>
        <rFont val="Calibri"/>
        <color theme="1"/>
        <sz val="10.0"/>
      </rPr>
      <t>• County to collect information of maintenance requirements for the planned infrastructure interventions, and cost projections of the maintenance costs and type of requirements</t>
    </r>
    <r>
      <rPr>
        <rFont val="Calibri"/>
        <b/>
        <color theme="1"/>
        <sz val="12.0"/>
      </rPr>
      <t xml:space="preserve">
</t>
    </r>
    <r>
      <rPr>
        <rFont val="Calibri"/>
        <color theme="1"/>
        <sz val="10.0"/>
      </rPr>
      <t xml:space="preserve">
`
</t>
    </r>
  </si>
  <si>
    <r>
      <rPr>
        <rFont val="Calibri"/>
        <b/>
        <color theme="1"/>
        <sz val="12.0"/>
        <u/>
      </rPr>
      <t>COMMUNITY DEVELOPMENT PLANS</t>
    </r>
    <r>
      <rPr>
        <rFont val="Calibri"/>
        <b/>
        <color theme="1"/>
        <sz val="12.0"/>
      </rPr>
      <t xml:space="preserve">
</t>
    </r>
    <r>
      <rPr>
        <rFont val="Calibri"/>
        <color theme="1"/>
        <sz val="10.0"/>
      </rPr>
      <t xml:space="preserve">• Establish PPPs in maintenance and solid waste management 
• Consider cross-subsidization of waste removal fees for vulnerable households 
• Consider increase of maintenance costs for roads in areas facing extreme heat and drought, and in areas frequently facing flooding, if not adopting resilient designs 
• Plan for regular inspection of critical infrastructures facing extreme weather conditions to maintain their safety
• Undertake awareness and information campaign on not littering, not to dispose waste in uncontrolled manner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</si>
</sst>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6">
    <font>
      <sz val="11.0"/>
      <color theme="1"/>
      <name val="Calibri"/>
      <scheme val="minor"/>
    </font>
    <font>
      <sz val="11.0"/>
      <color theme="1"/>
      <name val="Calibri"/>
    </font>
    <font>
      <b/>
      <sz val="24.0"/>
      <color rgb="FF002060"/>
      <name val="Calibri"/>
    </font>
    <font/>
    <font>
      <b/>
      <sz val="18.0"/>
      <color rgb="FF002060"/>
      <name val="Calibri"/>
    </font>
    <font>
      <b/>
      <sz val="15.0"/>
      <color rgb="FF002060"/>
      <name val="Calibri"/>
    </font>
    <font>
      <sz val="15.0"/>
      <color theme="1"/>
      <name val="Calibri"/>
    </font>
    <font>
      <i/>
      <sz val="15.0"/>
      <color rgb="FF7F7F7F"/>
      <name val="Calibri"/>
    </font>
    <font>
      <sz val="12.0"/>
      <color theme="1"/>
      <name val="Arial Black"/>
    </font>
    <font>
      <b/>
      <sz val="14.0"/>
      <color rgb="FF1F4E79"/>
      <name val="Calibri"/>
    </font>
    <font>
      <b/>
      <u/>
      <sz val="14.0"/>
      <color rgb="FF002060"/>
      <name val="Calibri"/>
    </font>
    <font>
      <sz val="14.0"/>
      <color theme="1"/>
      <name val="Calibri"/>
    </font>
    <font>
      <u/>
      <sz val="14.0"/>
      <color theme="1"/>
      <name val="Calibri"/>
    </font>
    <font>
      <b/>
      <sz val="12.0"/>
      <color theme="1"/>
      <name val="Calibri"/>
    </font>
    <font>
      <b/>
      <i/>
      <sz val="14.0"/>
      <color theme="1"/>
      <name val="Calibri"/>
    </font>
    <font>
      <i/>
      <sz val="14.0"/>
      <color theme="1"/>
      <name val="Calibri"/>
    </font>
    <font>
      <sz val="11.0"/>
      <color theme="0"/>
      <name val="Calibri"/>
    </font>
    <font>
      <sz val="8.0"/>
      <color theme="0"/>
      <name val="Arial Black"/>
    </font>
    <font>
      <sz val="10.0"/>
      <color theme="0"/>
      <name val="Calibri"/>
    </font>
    <font>
      <b/>
      <sz val="11.0"/>
      <color rgb="FFC00000"/>
      <name val="Calibri"/>
    </font>
    <font>
      <b/>
      <sz val="16.0"/>
      <color theme="0"/>
      <name val="Calibri"/>
    </font>
    <font>
      <b/>
      <i/>
      <sz val="8.0"/>
      <color theme="0"/>
      <name val="Arial Black"/>
    </font>
    <font>
      <b/>
      <sz val="11.0"/>
      <color theme="0"/>
      <name val="Calibri"/>
    </font>
    <font>
      <b/>
      <i/>
      <sz val="11.0"/>
      <color rgb="FFFF0000"/>
      <name val="Calibri"/>
    </font>
    <font>
      <b/>
      <sz val="8.0"/>
      <color theme="0"/>
      <name val="Arial Black"/>
    </font>
    <font>
      <sz val="9.0"/>
      <color theme="0"/>
      <name val="Calibri"/>
    </font>
    <font>
      <sz val="8.0"/>
      <color theme="1"/>
      <name val="Calibri"/>
    </font>
    <font>
      <b/>
      <sz val="8.0"/>
      <color theme="1"/>
      <name val="Calibri"/>
    </font>
    <font>
      <sz val="9.0"/>
      <color rgb="FFBFBFBF"/>
      <name val="Calibri"/>
    </font>
    <font>
      <sz val="11.0"/>
      <color rgb="FFBFBFBF"/>
      <name val="Calibri"/>
    </font>
    <font>
      <b/>
      <i/>
      <sz val="11.0"/>
      <color theme="0"/>
      <name val="Calibri"/>
    </font>
    <font>
      <sz val="8.0"/>
      <color rgb="FF0070C0"/>
      <name val="Calibri"/>
    </font>
    <font>
      <b/>
      <sz val="9.0"/>
      <color theme="1"/>
      <name val="Calibri"/>
    </font>
    <font>
      <b/>
      <i/>
      <sz val="8.0"/>
      <color rgb="FFBFBFBF"/>
      <name val="Calibri"/>
    </font>
    <font>
      <sz val="9.0"/>
      <color theme="1"/>
      <name val="Calibri"/>
    </font>
    <font>
      <sz val="8.0"/>
      <color rgb="FFBFBFBF"/>
      <name val="Calibri"/>
    </font>
    <font>
      <sz val="11.0"/>
      <color rgb="FFFF0000"/>
      <name val="Calibri"/>
    </font>
    <font>
      <sz val="10.0"/>
      <color theme="1"/>
      <name val="Calibri"/>
    </font>
    <font>
      <b/>
      <sz val="11.0"/>
      <color theme="1"/>
      <name val="Calibri"/>
    </font>
    <font>
      <sz val="9.0"/>
      <color rgb="FFFF0000"/>
      <name val="Calibri"/>
    </font>
    <font>
      <sz val="8.0"/>
      <color rgb="FFFF0000"/>
      <name val="Calibri"/>
    </font>
    <font>
      <sz val="10.0"/>
      <color rgb="FFFF0000"/>
      <name val="Calibri"/>
    </font>
    <font>
      <sz val="11.0"/>
      <color rgb="FF00B050"/>
      <name val="Calibri"/>
    </font>
    <font>
      <sz val="8.0"/>
      <color theme="0"/>
      <name val="Calibri"/>
    </font>
    <font>
      <b/>
      <i/>
      <sz val="8.0"/>
      <color rgb="FFA5A5A5"/>
      <name val="Calibri"/>
    </font>
    <font>
      <b/>
      <sz val="18.0"/>
      <color rgb="FF1F3864"/>
      <name val="Calibri"/>
    </font>
    <font>
      <b/>
      <sz val="18.0"/>
      <color theme="1"/>
      <name val="Calibri"/>
    </font>
    <font>
      <b/>
      <sz val="16.0"/>
      <color rgb="FFC00000"/>
      <name val="Calibri"/>
    </font>
    <font>
      <b/>
      <sz val="14.0"/>
      <color rgb="FF1F3864"/>
      <name val="Calibri"/>
    </font>
    <font>
      <sz val="12.0"/>
      <color theme="1"/>
      <name val="Calibri"/>
    </font>
    <font>
      <b/>
      <sz val="10.0"/>
      <color theme="1"/>
      <name val="Calibri"/>
    </font>
    <font>
      <b/>
      <sz val="11.0"/>
      <color rgb="FFFF0000"/>
      <name val="Calibri"/>
    </font>
    <font>
      <i/>
      <sz val="11.0"/>
      <color rgb="FF7F7F7F"/>
      <name val="Calibri"/>
    </font>
    <font>
      <sz val="11.0"/>
      <color rgb="FFA5A5A5"/>
      <name val="Calibri"/>
    </font>
    <font>
      <i/>
      <sz val="11.0"/>
      <color theme="1"/>
      <name val="Calibri"/>
    </font>
    <font>
      <color theme="1"/>
      <name val="Calibri"/>
      <scheme val="minor"/>
    </font>
    <font>
      <sz val="11.0"/>
      <color rgb="FFC00000"/>
      <name val="Calibri"/>
    </font>
    <font>
      <sz val="16.0"/>
      <color theme="1"/>
      <name val="Calibri"/>
    </font>
    <font>
      <b/>
      <sz val="16.0"/>
      <color rgb="FF1F3864"/>
      <name val="Calibri"/>
    </font>
    <font>
      <b/>
      <sz val="17.0"/>
      <color theme="0"/>
      <name val="Calibri"/>
    </font>
    <font>
      <b/>
      <sz val="18.0"/>
      <color theme="0"/>
      <name val="Calibri"/>
    </font>
    <font>
      <sz val="16.0"/>
      <color theme="0"/>
      <name val="Calibri"/>
    </font>
    <font>
      <b/>
      <sz val="14.0"/>
      <color theme="0"/>
      <name val="Calibri"/>
    </font>
    <font>
      <i/>
      <u/>
      <sz val="9.0"/>
      <color theme="0"/>
      <name val="Calibri"/>
    </font>
    <font>
      <sz val="11.0"/>
      <color rgb="FF9CC2E5"/>
      <name val="Calibri"/>
    </font>
    <font>
      <b/>
      <u/>
      <sz val="12.0"/>
      <color theme="1"/>
      <name val="Calibri"/>
    </font>
  </fonts>
  <fills count="27">
    <fill>
      <patternFill patternType="none"/>
    </fill>
    <fill>
      <patternFill patternType="lightGray"/>
    </fill>
    <fill>
      <patternFill patternType="solid">
        <fgColor theme="0"/>
        <bgColor theme="0"/>
      </patternFill>
    </fill>
    <fill>
      <patternFill patternType="solid">
        <fgColor rgb="FF1F3864"/>
        <bgColor rgb="FF1F3864"/>
      </patternFill>
    </fill>
    <fill>
      <patternFill patternType="solid">
        <fgColor rgb="FFBDD6EE"/>
        <bgColor rgb="FFBDD6EE"/>
      </patternFill>
    </fill>
    <fill>
      <patternFill patternType="solid">
        <fgColor rgb="FFDEEAF6"/>
        <bgColor rgb="FFDEEAF6"/>
      </patternFill>
    </fill>
    <fill>
      <patternFill patternType="solid">
        <fgColor rgb="FFF2F2F2"/>
        <bgColor rgb="FFF2F2F2"/>
      </patternFill>
    </fill>
    <fill>
      <patternFill patternType="solid">
        <fgColor rgb="FF002060"/>
        <bgColor rgb="FF002060"/>
      </patternFill>
    </fill>
    <fill>
      <patternFill patternType="solid">
        <fgColor rgb="FFC9DBFF"/>
        <bgColor rgb="FFC9DBFF"/>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00000"/>
        <bgColor rgb="FFC00000"/>
      </patternFill>
    </fill>
    <fill>
      <patternFill patternType="solid">
        <fgColor rgb="FF7030A0"/>
        <bgColor rgb="FF7030A0"/>
      </patternFill>
    </fill>
    <fill>
      <patternFill patternType="solid">
        <fgColor rgb="FF1E4E79"/>
        <bgColor rgb="FF1E4E79"/>
      </patternFill>
    </fill>
    <fill>
      <patternFill patternType="solid">
        <fgColor rgb="FF44546A"/>
        <bgColor rgb="FF44546A"/>
      </patternFill>
    </fill>
    <fill>
      <patternFill patternType="solid">
        <fgColor rgb="FFFFFFCC"/>
        <bgColor rgb="FFFFFFCC"/>
      </patternFill>
    </fill>
    <fill>
      <patternFill patternType="solid">
        <fgColor theme="9"/>
        <bgColor theme="9"/>
      </patternFill>
    </fill>
    <fill>
      <patternFill patternType="solid">
        <fgColor rgb="FFA5A5A5"/>
        <bgColor rgb="FFA5A5A5"/>
      </patternFill>
    </fill>
    <fill>
      <patternFill patternType="solid">
        <fgColor rgb="FFFFCCCC"/>
        <bgColor rgb="FFFFCCCC"/>
      </patternFill>
    </fill>
    <fill>
      <patternFill patternType="solid">
        <fgColor rgb="FFCCFFFF"/>
        <bgColor rgb="FFCCFFFF"/>
      </patternFill>
    </fill>
    <fill>
      <patternFill patternType="solid">
        <fgColor rgb="FFFF9999"/>
        <bgColor rgb="FFFF9999"/>
      </patternFill>
    </fill>
    <fill>
      <patternFill patternType="solid">
        <fgColor rgb="FFD0CECE"/>
        <bgColor rgb="FFD0CECE"/>
      </patternFill>
    </fill>
    <fill>
      <patternFill patternType="solid">
        <fgColor theme="4"/>
        <bgColor theme="4"/>
      </patternFill>
    </fill>
    <fill>
      <patternFill patternType="solid">
        <fgColor theme="5"/>
        <bgColor theme="5"/>
      </patternFill>
    </fill>
    <fill>
      <patternFill patternType="solid">
        <fgColor rgb="FFD8D8D8"/>
        <bgColor rgb="FFD8D8D8"/>
      </patternFill>
    </fill>
    <fill>
      <patternFill patternType="solid">
        <fgColor rgb="FF9CC2E5"/>
        <bgColor rgb="FF9CC2E5"/>
      </patternFill>
    </fill>
  </fills>
  <borders count="106">
    <border/>
    <border>
      <left/>
      <right/>
      <top/>
      <bottom/>
    </border>
    <border>
      <left/>
      <top/>
      <bottom/>
    </border>
    <border>
      <top/>
      <bottom/>
    </border>
    <border>
      <right/>
      <top/>
      <bottom/>
    </border>
    <border>
      <left style="thin">
        <color rgb="FFD8D8D8"/>
      </left>
      <right/>
      <top style="thin">
        <color rgb="FFD8D8D8"/>
      </top>
      <bottom/>
    </border>
    <border>
      <left/>
      <right/>
      <top style="thin">
        <color rgb="FFD8D8D8"/>
      </top>
      <bottom/>
    </border>
    <border>
      <left/>
      <right style="thin">
        <color rgb="FFD8D8D8"/>
      </right>
      <top style="thin">
        <color rgb="FFD8D8D8"/>
      </top>
      <bottom/>
    </border>
    <border>
      <left style="thin">
        <color rgb="FFD8D8D8"/>
      </left>
      <right/>
      <top/>
      <bottom/>
    </border>
    <border>
      <right style="thin">
        <color rgb="FFD8D8D8"/>
      </right>
      <top/>
      <bottom/>
    </border>
    <border>
      <left style="thin">
        <color rgb="FFD8D8D8"/>
      </left>
      <right/>
      <top/>
      <bottom style="thin">
        <color rgb="FFD8D8D8"/>
      </bottom>
    </border>
    <border>
      <left/>
      <right/>
      <top/>
      <bottom style="thin">
        <color rgb="FFD8D8D8"/>
      </bottom>
    </border>
    <border>
      <left/>
      <right style="thin">
        <color rgb="FFD8D8D8"/>
      </right>
      <top/>
      <bottom style="thin">
        <color rgb="FFD8D8D8"/>
      </bottom>
    </border>
    <border>
      <left/>
      <top/>
    </border>
    <border>
      <top/>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theme="1"/>
      </left>
      <right style="thin">
        <color theme="1"/>
      </right>
      <top style="thin">
        <color theme="1"/>
      </top>
      <bottom style="thin">
        <color theme="1"/>
      </bottom>
    </border>
    <border>
      <left style="thin">
        <color theme="0"/>
      </left>
      <right/>
      <top style="thin">
        <color theme="0"/>
      </top>
      <bottom style="thin">
        <color theme="0"/>
      </bottom>
    </border>
    <border>
      <left style="thick">
        <color theme="0"/>
      </left>
      <top style="thick">
        <color theme="0"/>
      </top>
      <bottom style="thick">
        <color theme="0"/>
      </bottom>
    </border>
    <border>
      <top style="thick">
        <color theme="0"/>
      </top>
      <bottom style="thick">
        <color theme="0"/>
      </bottom>
    </border>
    <border>
      <right style="thick">
        <color theme="0"/>
      </right>
      <top style="thick">
        <color theme="0"/>
      </top>
      <bottom style="thick">
        <color theme="0"/>
      </bottom>
    </border>
    <border>
      <left style="thick">
        <color theme="0"/>
      </left>
      <right style="thick">
        <color theme="0"/>
      </right>
      <top style="thick">
        <color theme="0"/>
      </top>
      <bottom style="thick">
        <color theme="0"/>
      </bottom>
    </border>
    <border>
      <left style="thin">
        <color theme="0"/>
      </left>
      <right style="thin">
        <color theme="0"/>
      </right>
      <top style="thin">
        <color theme="0"/>
      </top>
      <bottom style="thin">
        <color theme="0"/>
      </bottom>
    </border>
    <border>
      <left/>
      <right style="thin">
        <color theme="0"/>
      </right>
      <top/>
      <bottom/>
    </border>
    <border>
      <left style="medium">
        <color theme="0"/>
      </left>
      <top style="medium">
        <color theme="0"/>
      </top>
      <bottom style="medium">
        <color theme="0"/>
      </bottom>
    </border>
    <border>
      <right style="medium">
        <color theme="0"/>
      </right>
      <top style="medium">
        <color theme="0"/>
      </top>
      <bottom style="medium">
        <color theme="0"/>
      </bottom>
    </border>
    <border>
      <top style="medium">
        <color theme="0"/>
      </top>
      <bottom style="medium">
        <color theme="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top style="thin">
        <color rgb="FF000000"/>
      </top>
    </border>
    <border>
      <left style="thin">
        <color rgb="FF000000"/>
      </left>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ttom style="thin">
        <color theme="1"/>
      </bottom>
    </border>
    <border>
      <right style="thin">
        <color theme="1"/>
      </right>
      <top style="thin">
        <color rgb="FF000000"/>
      </top>
      <bottom style="thin">
        <color theme="1"/>
      </bottom>
    </border>
    <border>
      <top style="thin">
        <color theme="1"/>
      </top>
      <bottom style="thin">
        <color theme="1"/>
      </bottom>
    </border>
    <border>
      <right style="thin">
        <color theme="1"/>
      </right>
      <top style="thin">
        <color theme="1"/>
      </top>
      <bottom style="thin">
        <color theme="1"/>
      </bottom>
    </border>
    <border>
      <right style="thin">
        <color theme="1"/>
      </right>
      <top style="thin">
        <color rgb="FF000000"/>
      </top>
    </border>
    <border>
      <right style="thin">
        <color rgb="FF000000"/>
      </right>
      <top style="thin">
        <color rgb="FF000000"/>
      </top>
    </border>
    <border>
      <left style="medium">
        <color theme="0"/>
      </left>
      <right/>
      <top style="medium">
        <color theme="0"/>
      </top>
      <bottom style="medium">
        <color theme="0"/>
      </bottom>
    </border>
    <border>
      <left/>
      <right/>
      <top style="medium">
        <color theme="0"/>
      </top>
      <bottom style="medium">
        <color theme="0"/>
      </bottom>
    </border>
    <border>
      <left/>
      <right style="medium">
        <color theme="0"/>
      </right>
      <top style="medium">
        <color theme="0"/>
      </top>
      <bottom style="medium">
        <color theme="0"/>
      </bottom>
    </border>
    <border>
      <top style="medium">
        <color theme="0"/>
      </top>
    </border>
    <border>
      <bottom style="thin">
        <color rgb="FF000000"/>
      </bottom>
    </border>
    <border>
      <top style="medium">
        <color theme="0"/>
      </top>
      <bottom style="thin">
        <color rgb="FF000000"/>
      </bottom>
    </border>
    <border>
      <left/>
      <top style="thin">
        <color rgb="FF000000"/>
      </top>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left style="thin">
        <color theme="1"/>
      </left>
      <right style="thin">
        <color theme="1"/>
      </right>
      <bottom style="thin">
        <color theme="1"/>
      </bottom>
    </border>
    <border>
      <left style="thin">
        <color rgb="FF000000"/>
      </left>
      <right style="thin">
        <color rgb="FF000000"/>
      </right>
    </border>
    <border>
      <left style="thin">
        <color theme="1"/>
      </left>
      <right style="thin">
        <color theme="1"/>
      </right>
      <top style="thin">
        <color theme="1"/>
      </top>
    </border>
    <border>
      <left style="thin">
        <color rgb="FF000000"/>
      </left>
      <right style="thin">
        <color rgb="FF000000"/>
      </right>
      <bottom style="thin">
        <color rgb="FF000000"/>
      </bottom>
    </border>
    <border>
      <left style="thin">
        <color theme="1"/>
      </left>
      <right/>
      <top style="thin">
        <color theme="1"/>
      </top>
      <bottom style="thin">
        <color theme="1"/>
      </bottom>
    </border>
    <border>
      <left/>
      <right style="thin">
        <color theme="1"/>
      </right>
      <top style="thin">
        <color theme="1"/>
      </top>
      <bottom style="thin">
        <color theme="1"/>
      </bottom>
    </border>
    <border>
      <left/>
      <top/>
      <bottom style="medium">
        <color theme="0"/>
      </bottom>
    </border>
    <border>
      <top/>
      <bottom style="medium">
        <color theme="0"/>
      </bottom>
    </border>
    <border>
      <right/>
      <top/>
      <bottom style="medium">
        <color theme="0"/>
      </bottom>
    </border>
    <border>
      <left style="medium">
        <color theme="1"/>
      </left>
      <top style="medium">
        <color theme="1"/>
      </top>
    </border>
    <border>
      <top style="medium">
        <color theme="1"/>
      </top>
    </border>
    <border>
      <right style="medium">
        <color theme="1"/>
      </right>
      <top style="medium">
        <color theme="1"/>
      </top>
    </border>
    <border>
      <left style="medium">
        <color theme="1"/>
      </left>
      <top style="medium">
        <color theme="1"/>
      </top>
      <bottom style="thin">
        <color rgb="FF000000"/>
      </bottom>
    </border>
    <border>
      <top style="medium">
        <color theme="1"/>
      </top>
      <bottom style="thin">
        <color rgb="FF000000"/>
      </bottom>
    </border>
    <border>
      <right style="medium">
        <color theme="1"/>
      </right>
      <top style="medium">
        <color theme="1"/>
      </top>
      <bottom style="thin">
        <color rgb="FF000000"/>
      </bottom>
    </border>
    <border>
      <left style="medium">
        <color theme="1"/>
      </left>
      <top style="medium">
        <color theme="1"/>
      </top>
      <bottom/>
    </border>
    <border>
      <top style="medium">
        <color theme="1"/>
      </top>
      <bottom/>
    </border>
    <border>
      <right style="medium">
        <color theme="1"/>
      </right>
      <top style="medium">
        <color theme="1"/>
      </top>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top style="thin">
        <color rgb="FF000000"/>
      </top>
      <bottom style="medium">
        <color theme="1"/>
      </bottom>
    </border>
    <border>
      <top style="thin">
        <color rgb="FF000000"/>
      </top>
      <bottom style="medium">
        <color theme="1"/>
      </bottom>
    </border>
    <border>
      <right style="medium">
        <color theme="1"/>
      </right>
      <top style="thin">
        <color rgb="FF000000"/>
      </top>
      <bottom style="medium">
        <color theme="1"/>
      </bottom>
    </border>
    <border>
      <left style="medium">
        <color theme="1"/>
      </left>
      <right/>
      <top style="medium">
        <color theme="1"/>
      </top>
      <bottom/>
    </border>
    <border>
      <left/>
      <right/>
      <top style="medium">
        <color theme="1"/>
      </top>
      <bottom/>
    </border>
    <border>
      <left/>
      <right style="medium">
        <color theme="1"/>
      </right>
      <top style="medium">
        <color theme="1"/>
      </top>
      <bottom/>
    </border>
    <border>
      <left style="medium">
        <color theme="1"/>
      </left>
      <right/>
      <top style="medium">
        <color theme="1"/>
      </top>
      <bottom style="thin">
        <color rgb="FF000000"/>
      </bottom>
    </border>
    <border>
      <left/>
      <right/>
      <top style="medium">
        <color theme="1"/>
      </top>
      <bottom style="thin">
        <color rgb="FF000000"/>
      </bottom>
    </border>
    <border>
      <left/>
      <right style="medium">
        <color theme="1"/>
      </right>
      <top style="medium">
        <color theme="1"/>
      </top>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thin">
        <color rgb="FF000000"/>
      </left>
      <top style="medium">
        <color theme="1"/>
      </top>
      <bottom style="medium">
        <color theme="1"/>
      </bottom>
    </border>
    <border>
      <left style="medium">
        <color theme="1"/>
      </left>
      <right/>
      <top style="medium">
        <color theme="1"/>
      </top>
      <bottom style="medium">
        <color theme="1"/>
      </bottom>
    </border>
    <border>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428">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1" fillId="2" fontId="4" numFmtId="0" xfId="0" applyAlignment="1" applyBorder="1" applyFont="1">
      <alignment vertical="top"/>
    </xf>
    <xf borderId="1" fillId="2" fontId="2" numFmtId="0" xfId="0" applyAlignment="1" applyBorder="1" applyFont="1">
      <alignment shrinkToFit="0" vertical="center" wrapText="1"/>
    </xf>
    <xf borderId="2" fillId="2" fontId="4" numFmtId="0" xfId="0" applyAlignment="1" applyBorder="1" applyFont="1">
      <alignment horizontal="center" shrinkToFit="0" vertical="center" wrapText="1"/>
    </xf>
    <xf borderId="1" fillId="2" fontId="4" numFmtId="0" xfId="0" applyAlignment="1" applyBorder="1" applyFont="1">
      <alignment shrinkToFit="0" vertical="center" wrapText="1"/>
    </xf>
    <xf borderId="1" fillId="2" fontId="5" numFmtId="0" xfId="0" applyAlignment="1" applyBorder="1" applyFont="1">
      <alignment vertical="top"/>
    </xf>
    <xf borderId="5" fillId="2" fontId="5" numFmtId="0" xfId="0" applyAlignment="1" applyBorder="1" applyFont="1">
      <alignment shrinkToFit="0" vertical="center" wrapText="1"/>
    </xf>
    <xf borderId="6" fillId="2" fontId="5" numFmtId="0" xfId="0" applyAlignment="1" applyBorder="1" applyFont="1">
      <alignment shrinkToFit="0" vertical="center" wrapText="1"/>
    </xf>
    <xf borderId="7" fillId="2" fontId="5" numFmtId="0" xfId="0" applyAlignment="1" applyBorder="1" applyFont="1">
      <alignment shrinkToFit="0" vertical="center" wrapText="1"/>
    </xf>
    <xf borderId="1" fillId="2" fontId="5" numFmtId="0" xfId="0" applyAlignment="1" applyBorder="1" applyFont="1">
      <alignment shrinkToFit="0" vertical="center" wrapText="1"/>
    </xf>
    <xf borderId="8" fillId="2" fontId="5" numFmtId="0" xfId="0" applyAlignment="1" applyBorder="1" applyFont="1">
      <alignment shrinkToFit="0" vertical="center" wrapText="1"/>
    </xf>
    <xf borderId="1" fillId="2" fontId="6" numFmtId="0" xfId="0" applyBorder="1" applyFont="1"/>
    <xf borderId="1" fillId="2" fontId="5" numFmtId="0" xfId="0" applyAlignment="1" applyBorder="1" applyFont="1">
      <alignment horizontal="right" vertical="center"/>
    </xf>
    <xf borderId="2" fillId="2" fontId="7" numFmtId="0" xfId="0" applyAlignment="1" applyBorder="1" applyFont="1">
      <alignment horizontal="left" shrinkToFit="0" vertical="center" wrapText="1"/>
    </xf>
    <xf borderId="9" fillId="0" fontId="3" numFmtId="0" xfId="0" applyBorder="1" applyFont="1"/>
    <xf borderId="8" fillId="2" fontId="6" numFmtId="0" xfId="0" applyAlignment="1" applyBorder="1" applyFont="1">
      <alignment vertical="center"/>
    </xf>
    <xf borderId="10" fillId="2" fontId="5" numFmtId="0" xfId="0" applyAlignment="1" applyBorder="1" applyFont="1">
      <alignment shrinkToFit="0" vertical="center" wrapText="1"/>
    </xf>
    <xf borderId="11" fillId="2" fontId="5" numFmtId="0" xfId="0" applyAlignment="1" applyBorder="1" applyFont="1">
      <alignment vertical="center"/>
    </xf>
    <xf borderId="11" fillId="2" fontId="5" numFmtId="0" xfId="0" applyAlignment="1" applyBorder="1" applyFont="1">
      <alignment shrinkToFit="0" vertical="center" wrapText="1"/>
    </xf>
    <xf borderId="12" fillId="2" fontId="5" numFmtId="0" xfId="0" applyAlignment="1" applyBorder="1" applyFont="1">
      <alignment shrinkToFit="0" vertical="center" wrapText="1"/>
    </xf>
    <xf borderId="1" fillId="2" fontId="4" numFmtId="0" xfId="0" applyAlignment="1" applyBorder="1" applyFont="1">
      <alignment horizontal="center" vertical="top"/>
    </xf>
    <xf borderId="13" fillId="2" fontId="8" numFmtId="0" xfId="0" applyAlignment="1" applyBorder="1" applyFont="1">
      <alignment horizontal="left" shrinkToFit="0" vertical="center"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13" fillId="2" fontId="1" numFmtId="0" xfId="0" applyAlignment="1" applyBorder="1" applyFont="1">
      <alignment horizontal="center"/>
    </xf>
    <xf borderId="1" fillId="2" fontId="8" numFmtId="0" xfId="0" applyAlignment="1" applyBorder="1" applyFont="1">
      <alignment horizontal="left" shrinkToFit="0" vertical="center" wrapText="1"/>
    </xf>
    <xf borderId="0" fillId="0" fontId="9" numFmtId="0" xfId="0" applyAlignment="1" applyFont="1">
      <alignment horizontal="center" vertical="center"/>
    </xf>
    <xf borderId="0" fillId="0" fontId="1" numFmtId="0" xfId="0" applyFont="1"/>
    <xf borderId="1" fillId="2" fontId="10" numFmtId="0" xfId="0" applyBorder="1" applyFont="1"/>
    <xf borderId="1" fillId="2" fontId="11" numFmtId="0" xfId="0" applyBorder="1" applyFont="1"/>
    <xf borderId="13" fillId="2" fontId="11" numFmtId="0" xfId="0" applyAlignment="1" applyBorder="1" applyFont="1">
      <alignment shrinkToFit="0" vertical="top" wrapText="1"/>
    </xf>
    <xf borderId="2" fillId="2" fontId="11" numFmtId="0" xfId="0" applyAlignment="1" applyBorder="1" applyFont="1">
      <alignment horizontal="left" vertical="top"/>
    </xf>
    <xf borderId="1" fillId="2" fontId="11" numFmtId="0" xfId="0" applyAlignment="1" applyBorder="1" applyFont="1">
      <alignment horizontal="center" shrinkToFit="0" vertical="center" wrapText="1"/>
    </xf>
    <xf borderId="13" fillId="2" fontId="11" numFmtId="0" xfId="0" applyAlignment="1" applyBorder="1" applyFont="1">
      <alignment horizontal="left" shrinkToFit="0" vertical="top" wrapText="1"/>
    </xf>
    <xf borderId="1" fillId="2" fontId="11" numFmtId="0" xfId="0" applyAlignment="1" applyBorder="1" applyFont="1">
      <alignment horizontal="center" vertical="top"/>
    </xf>
    <xf borderId="1" fillId="2" fontId="11" numFmtId="0" xfId="0" applyAlignment="1" applyBorder="1" applyFont="1">
      <alignment horizontal="left" vertical="top"/>
    </xf>
    <xf borderId="1" fillId="2" fontId="11" numFmtId="0" xfId="0" applyAlignment="1" applyBorder="1" applyFont="1">
      <alignment vertical="center"/>
    </xf>
    <xf borderId="1" fillId="2" fontId="12" numFmtId="0" xfId="0" applyAlignment="1" applyBorder="1" applyFont="1">
      <alignment vertical="center"/>
    </xf>
    <xf borderId="1" fillId="2" fontId="11" numFmtId="0" xfId="0" applyAlignment="1" applyBorder="1" applyFont="1">
      <alignment shrinkToFit="0" vertical="center" wrapText="1"/>
    </xf>
    <xf borderId="1" fillId="2" fontId="11" numFmtId="0" xfId="0" applyAlignment="1" applyBorder="1" applyFont="1">
      <alignment shrinkToFit="0" vertical="top" wrapText="1"/>
    </xf>
    <xf borderId="2" fillId="2" fontId="11" numFmtId="0" xfId="0" applyAlignment="1" applyBorder="1" applyFont="1">
      <alignment horizontal="left" shrinkToFit="0" vertical="top" wrapText="1"/>
    </xf>
    <xf borderId="1" fillId="2" fontId="11" numFmtId="0" xfId="0" applyAlignment="1" applyBorder="1" applyFont="1">
      <alignment horizontal="left" shrinkToFit="0" vertical="top" wrapText="1"/>
    </xf>
    <xf borderId="13" fillId="2" fontId="13" numFmtId="0" xfId="0" applyAlignment="1" applyBorder="1" applyFont="1">
      <alignment horizontal="left" shrinkToFit="0" vertical="top" wrapText="1"/>
    </xf>
    <xf borderId="13" fillId="2" fontId="14" numFmtId="0" xfId="0" applyAlignment="1" applyBorder="1" applyFont="1">
      <alignment horizontal="left" shrinkToFit="0" vertical="top" wrapText="1"/>
    </xf>
    <xf borderId="1" fillId="2" fontId="14" numFmtId="0" xfId="0" applyAlignment="1" applyBorder="1" applyFont="1">
      <alignment horizontal="left" shrinkToFit="0" vertical="top" wrapText="1"/>
    </xf>
    <xf borderId="1" fillId="2" fontId="1" numFmtId="0" xfId="0" applyAlignment="1" applyBorder="1" applyFont="1">
      <alignment vertical="top"/>
    </xf>
    <xf borderId="1" fillId="2" fontId="15" numFmtId="0" xfId="0" applyAlignment="1" applyBorder="1" applyFont="1">
      <alignment horizontal="right" vertical="top"/>
    </xf>
    <xf borderId="1" fillId="2" fontId="16" numFmtId="0" xfId="0" applyBorder="1" applyFont="1"/>
    <xf borderId="0" fillId="0" fontId="17" numFmtId="0" xfId="0" applyFont="1"/>
    <xf borderId="0" fillId="0" fontId="16" numFmtId="0" xfId="0" applyFont="1"/>
    <xf borderId="1" fillId="2" fontId="16" numFmtId="0" xfId="0" applyAlignment="1" applyBorder="1" applyFont="1">
      <alignment shrinkToFit="0" vertical="center" wrapText="1"/>
    </xf>
    <xf borderId="1" fillId="2" fontId="1" numFmtId="0" xfId="0" applyAlignment="1" applyBorder="1" applyFont="1">
      <alignment shrinkToFit="0" vertical="center" wrapText="1"/>
    </xf>
    <xf borderId="0" fillId="0" fontId="17" numFmtId="0" xfId="0" applyAlignment="1" applyFont="1">
      <alignment shrinkToFit="0" vertical="center" wrapText="1"/>
    </xf>
    <xf borderId="0" fillId="0" fontId="16" numFmtId="0" xfId="0" applyAlignment="1" applyFont="1">
      <alignment shrinkToFit="0" vertical="center" wrapText="1"/>
    </xf>
    <xf borderId="0" fillId="0" fontId="18" numFmtId="0" xfId="0" applyAlignment="1" applyFont="1">
      <alignment shrinkToFit="0" vertical="center" wrapText="1"/>
    </xf>
    <xf borderId="1" fillId="2" fontId="19" numFmtId="0" xfId="0" applyAlignment="1" applyBorder="1" applyFont="1">
      <alignment horizontal="right" vertical="top"/>
    </xf>
    <xf borderId="2" fillId="3" fontId="20" numFmtId="0" xfId="0" applyAlignment="1" applyBorder="1" applyFill="1" applyFont="1">
      <alignment horizontal="left" vertical="center"/>
    </xf>
    <xf borderId="1" fillId="3" fontId="1" numFmtId="0" xfId="0" applyAlignment="1" applyBorder="1" applyFont="1">
      <alignment shrinkToFit="0" vertical="center" wrapText="1"/>
    </xf>
    <xf borderId="0" fillId="0" fontId="21" numFmtId="0" xfId="0" applyFont="1"/>
    <xf borderId="21" fillId="3" fontId="22" numFmtId="0" xfId="0" applyAlignment="1" applyBorder="1" applyFont="1">
      <alignment horizontal="left" vertical="center"/>
    </xf>
    <xf borderId="22" fillId="0" fontId="3" numFmtId="0" xfId="0" applyBorder="1" applyFont="1"/>
    <xf borderId="23" fillId="0" fontId="3" numFmtId="0" xfId="0" applyBorder="1" applyFont="1"/>
    <xf borderId="24" fillId="3" fontId="22" numFmtId="0" xfId="0" applyAlignment="1" applyBorder="1" applyFont="1">
      <alignment horizontal="left" vertical="center"/>
    </xf>
    <xf borderId="25" fillId="3" fontId="22" numFmtId="0" xfId="0" applyAlignment="1" applyBorder="1" applyFont="1">
      <alignment vertical="center"/>
    </xf>
    <xf borderId="1" fillId="2" fontId="23" numFmtId="0" xfId="0" applyAlignment="1" applyBorder="1" applyFont="1">
      <alignment horizontal="left" shrinkToFit="0" vertical="center" wrapText="1"/>
    </xf>
    <xf borderId="0" fillId="0" fontId="17" numFmtId="0" xfId="0" applyAlignment="1" applyFont="1">
      <alignment horizontal="center" shrinkToFit="0" vertical="center" wrapText="1"/>
    </xf>
    <xf borderId="0" fillId="0" fontId="24" numFmtId="0" xfId="0" applyAlignment="1" applyFont="1">
      <alignment shrinkToFit="0" vertical="center" wrapText="1"/>
    </xf>
    <xf borderId="0" fillId="0" fontId="17" numFmtId="0" xfId="0" applyAlignment="1" applyFont="1">
      <alignment horizontal="right" shrinkToFit="0" vertical="center" wrapText="1"/>
    </xf>
    <xf borderId="1" fillId="2" fontId="25" numFmtId="0" xfId="0" applyAlignment="1" applyBorder="1" applyFont="1">
      <alignment horizontal="right" shrinkToFit="0" vertical="center" wrapText="1"/>
    </xf>
    <xf borderId="26" fillId="4" fontId="26" numFmtId="0" xfId="0" applyAlignment="1" applyBorder="1" applyFill="1" applyFont="1">
      <alignment vertical="center"/>
    </xf>
    <xf borderId="27" fillId="4" fontId="26" numFmtId="0" xfId="0" applyAlignment="1" applyBorder="1" applyFont="1">
      <alignment vertical="center"/>
    </xf>
    <xf borderId="25" fillId="4" fontId="26" numFmtId="0" xfId="0" applyAlignment="1" applyBorder="1" applyFont="1">
      <alignment vertical="center"/>
    </xf>
    <xf borderId="25" fillId="5" fontId="26" numFmtId="0" xfId="0" applyAlignment="1" applyBorder="1" applyFill="1" applyFont="1">
      <alignment shrinkToFit="0" vertical="center" wrapText="1"/>
    </xf>
    <xf borderId="25" fillId="6" fontId="26" numFmtId="0" xfId="0" applyAlignment="1" applyBorder="1" applyFill="1" applyFont="1">
      <alignment vertical="center"/>
    </xf>
    <xf borderId="25" fillId="0" fontId="27" numFmtId="0" xfId="0" applyAlignment="1" applyBorder="1" applyFont="1">
      <alignment shrinkToFit="0" vertical="center" wrapText="1"/>
    </xf>
    <xf borderId="1" fillId="2" fontId="28" numFmtId="0" xfId="0" applyBorder="1" applyFont="1"/>
    <xf borderId="28" fillId="4" fontId="26" numFmtId="0" xfId="0" applyAlignment="1" applyBorder="1" applyFont="1">
      <alignment vertical="center"/>
    </xf>
    <xf borderId="29" fillId="4" fontId="26" numFmtId="0" xfId="0" applyAlignment="1" applyBorder="1" applyFont="1">
      <alignment vertical="center"/>
    </xf>
    <xf borderId="30" fillId="4" fontId="26" numFmtId="0" xfId="0" applyAlignment="1" applyBorder="1" applyFont="1">
      <alignment vertical="center"/>
    </xf>
    <xf borderId="31" fillId="4" fontId="26" numFmtId="0" xfId="0" applyAlignment="1" applyBorder="1" applyFont="1">
      <alignment vertical="center"/>
    </xf>
    <xf borderId="1" fillId="7" fontId="26" numFmtId="0" xfId="0" applyAlignment="1" applyBorder="1" applyFill="1" applyFont="1">
      <alignment shrinkToFit="0" vertical="center" wrapText="1"/>
    </xf>
    <xf borderId="1" fillId="2" fontId="25" numFmtId="0" xfId="0" applyAlignment="1" applyBorder="1" applyFont="1">
      <alignment horizontal="center" shrinkToFit="0" vertical="center" wrapText="1"/>
    </xf>
    <xf borderId="0" fillId="0" fontId="24" numFmtId="0" xfId="0" applyAlignment="1" applyFont="1">
      <alignment vertical="center"/>
    </xf>
    <xf borderId="1" fillId="2" fontId="16" numFmtId="0" xfId="0" applyAlignment="1" applyBorder="1" applyFont="1">
      <alignment horizontal="center" shrinkToFit="0" vertical="center" wrapText="1"/>
    </xf>
    <xf borderId="1" fillId="2" fontId="1" numFmtId="0" xfId="0" applyAlignment="1" applyBorder="1" applyFont="1">
      <alignment vertical="center"/>
    </xf>
    <xf borderId="1" fillId="2" fontId="16" numFmtId="0" xfId="0" applyAlignment="1" applyBorder="1" applyFont="1">
      <alignment horizontal="right" shrinkToFit="0" vertical="center" wrapText="1"/>
    </xf>
    <xf borderId="0" fillId="0" fontId="16" numFmtId="0" xfId="0" applyAlignment="1" applyFont="1">
      <alignment horizontal="center" shrinkToFit="0" vertical="center" wrapText="1"/>
    </xf>
    <xf borderId="0" fillId="0" fontId="1" numFmtId="0" xfId="0" applyAlignment="1" applyFont="1">
      <alignment vertical="center"/>
    </xf>
    <xf borderId="0" fillId="0" fontId="1" numFmtId="0" xfId="0" applyAlignment="1" applyFont="1">
      <alignment shrinkToFit="0" vertical="center" wrapText="1"/>
    </xf>
    <xf borderId="1" fillId="2" fontId="29" numFmtId="0" xfId="0" applyBorder="1" applyFont="1"/>
    <xf borderId="1" fillId="2" fontId="29" numFmtId="0" xfId="0" applyAlignment="1" applyBorder="1" applyFont="1">
      <alignment shrinkToFit="0" vertical="center" wrapText="1"/>
    </xf>
    <xf borderId="1" fillId="2" fontId="18" numFmtId="0" xfId="0" applyAlignment="1" applyBorder="1" applyFont="1">
      <alignment shrinkToFit="0" vertical="center" wrapText="1"/>
    </xf>
    <xf borderId="1" fillId="2" fontId="30" numFmtId="0" xfId="0" applyBorder="1" applyFont="1"/>
    <xf borderId="32" fillId="3" fontId="22" numFmtId="0" xfId="0" applyAlignment="1" applyBorder="1" applyFont="1">
      <alignment horizontal="left" vertical="center"/>
    </xf>
    <xf borderId="1" fillId="2" fontId="22" numFmtId="0" xfId="0" applyAlignment="1" applyBorder="1" applyFont="1">
      <alignment shrinkToFit="0" vertical="center" wrapText="1"/>
    </xf>
    <xf borderId="26" fillId="4" fontId="26" numFmtId="0" xfId="0" applyAlignment="1" applyBorder="1" applyFont="1">
      <alignment shrinkToFit="0" vertical="center" wrapText="1"/>
    </xf>
    <xf borderId="27" fillId="4" fontId="26" numFmtId="0" xfId="0" applyAlignment="1" applyBorder="1" applyFont="1">
      <alignment horizontal="left" shrinkToFit="0" vertical="center" wrapText="1"/>
    </xf>
    <xf borderId="25" fillId="4" fontId="26" numFmtId="0" xfId="0" applyAlignment="1" applyBorder="1" applyFont="1">
      <alignment shrinkToFit="0" vertical="center" wrapText="1"/>
    </xf>
    <xf borderId="31" fillId="5" fontId="26" numFmtId="0" xfId="0" applyAlignment="1" applyBorder="1" applyFont="1">
      <alignment shrinkToFit="0" vertical="center" wrapText="1"/>
    </xf>
    <xf borderId="25" fillId="6" fontId="31" numFmtId="0" xfId="0" applyAlignment="1" applyBorder="1" applyFont="1">
      <alignment shrinkToFit="0" vertical="center" wrapText="1"/>
    </xf>
    <xf borderId="25" fillId="0" fontId="32" numFmtId="0" xfId="0" applyAlignment="1" applyBorder="1" applyFont="1">
      <alignment shrinkToFit="0" vertical="center" wrapText="1"/>
    </xf>
    <xf borderId="1" fillId="2" fontId="33" numFmtId="0" xfId="0" applyAlignment="1" applyBorder="1" applyFont="1">
      <alignment shrinkToFit="0" wrapText="1"/>
    </xf>
    <xf borderId="28" fillId="4" fontId="26" numFmtId="0" xfId="0" applyAlignment="1" applyBorder="1" applyFont="1">
      <alignment shrinkToFit="0" vertical="center" wrapText="1"/>
    </xf>
    <xf borderId="29" fillId="4" fontId="26" numFmtId="0" xfId="0" applyAlignment="1" applyBorder="1" applyFont="1">
      <alignment horizontal="center" shrinkToFit="0" vertical="center" wrapText="1"/>
    </xf>
    <xf borderId="30" fillId="4" fontId="26" numFmtId="0" xfId="0" applyAlignment="1" applyBorder="1" applyFont="1">
      <alignment shrinkToFit="0" vertical="center" wrapText="1"/>
    </xf>
    <xf borderId="31" fillId="4" fontId="26" numFmtId="0" xfId="0" applyAlignment="1" applyBorder="1" applyFont="1">
      <alignment shrinkToFit="0" vertical="center" wrapText="1"/>
    </xf>
    <xf borderId="25" fillId="6" fontId="26" numFmtId="0" xfId="0" applyAlignment="1" applyBorder="1" applyFont="1">
      <alignment shrinkToFit="0" vertical="center" wrapText="1"/>
    </xf>
    <xf borderId="1" fillId="7" fontId="34" numFmtId="0" xfId="0" applyAlignment="1" applyBorder="1" applyFont="1">
      <alignment shrinkToFit="0" vertical="center" wrapText="1"/>
    </xf>
    <xf borderId="1" fillId="2" fontId="35" numFmtId="0" xfId="0" applyAlignment="1" applyBorder="1" applyFont="1">
      <alignment shrinkToFit="0" vertical="center" wrapText="1"/>
    </xf>
    <xf borderId="1" fillId="2" fontId="16" numFmtId="0" xfId="0" applyAlignment="1" applyBorder="1" applyFont="1">
      <alignment vertical="center"/>
    </xf>
    <xf borderId="1" fillId="2" fontId="36" numFmtId="0" xfId="0" applyBorder="1" applyFont="1"/>
    <xf borderId="1" fillId="2" fontId="36" numFmtId="0" xfId="0" applyAlignment="1" applyBorder="1" applyFont="1">
      <alignment shrinkToFit="0" vertical="center" wrapText="1"/>
    </xf>
    <xf borderId="0" fillId="0" fontId="37" numFmtId="0" xfId="0" applyAlignment="1" applyFont="1">
      <alignment shrinkToFit="0" vertical="center" wrapText="1"/>
    </xf>
    <xf borderId="1" fillId="2" fontId="23" numFmtId="0" xfId="0" applyBorder="1" applyFont="1"/>
    <xf borderId="0" fillId="0" fontId="36" numFmtId="0" xfId="0" applyAlignment="1" applyFont="1">
      <alignment shrinkToFit="0" vertical="center" wrapText="1"/>
    </xf>
    <xf borderId="0" fillId="0" fontId="23" numFmtId="0" xfId="0" applyFont="1"/>
    <xf borderId="0" fillId="0" fontId="36" numFmtId="0" xfId="0" applyAlignment="1" applyFont="1">
      <alignment horizontal="center" shrinkToFit="0" vertical="center" wrapText="1"/>
    </xf>
    <xf borderId="0" fillId="0" fontId="38" numFmtId="0" xfId="0" applyAlignment="1" applyFont="1">
      <alignment shrinkToFit="0" vertical="center" wrapText="1"/>
    </xf>
    <xf borderId="0" fillId="0" fontId="36" numFmtId="0" xfId="0" applyAlignment="1" applyFont="1">
      <alignment horizontal="right" shrinkToFit="0" vertical="center" wrapText="1"/>
    </xf>
    <xf borderId="1" fillId="2" fontId="39" numFmtId="0" xfId="0" applyAlignment="1" applyBorder="1" applyFont="1">
      <alignment horizontal="right" shrinkToFit="0" vertical="center" wrapText="1"/>
    </xf>
    <xf borderId="30" fillId="4" fontId="40" numFmtId="0" xfId="0" applyAlignment="1" applyBorder="1" applyFont="1">
      <alignment shrinkToFit="0" vertical="center" wrapText="1"/>
    </xf>
    <xf borderId="31" fillId="4" fontId="40" numFmtId="0" xfId="0" applyAlignment="1" applyBorder="1" applyFont="1">
      <alignment shrinkToFit="0" vertical="center" wrapText="1"/>
    </xf>
    <xf borderId="0" fillId="0" fontId="41" numFmtId="0" xfId="0" applyAlignment="1" applyFont="1">
      <alignment shrinkToFit="0" vertical="center" wrapText="1"/>
    </xf>
    <xf borderId="0" fillId="0" fontId="42" numFmtId="0" xfId="0" applyAlignment="1" applyFont="1">
      <alignment horizontal="right" shrinkToFit="0" vertical="center" wrapText="1"/>
    </xf>
    <xf borderId="1" fillId="2" fontId="23" numFmtId="0" xfId="0" applyAlignment="1" applyBorder="1" applyFont="1">
      <alignment shrinkToFit="0" vertical="center" wrapText="1"/>
    </xf>
    <xf borderId="1" fillId="2" fontId="43" numFmtId="0" xfId="0" applyAlignment="1" applyBorder="1" applyFont="1">
      <alignment horizontal="right" shrinkToFit="0" vertical="center" wrapText="1"/>
    </xf>
    <xf borderId="1" fillId="2" fontId="40" numFmtId="0" xfId="0" applyAlignment="1" applyBorder="1" applyFont="1">
      <alignment horizontal="right" shrinkToFit="0" vertical="center" wrapText="1"/>
    </xf>
    <xf borderId="28" fillId="4" fontId="40" numFmtId="0" xfId="0" applyAlignment="1" applyBorder="1" applyFont="1">
      <alignment shrinkToFit="0" vertical="center" wrapText="1"/>
    </xf>
    <xf borderId="29" fillId="4" fontId="40" numFmtId="0" xfId="0" applyAlignment="1" applyBorder="1" applyFont="1">
      <alignment horizontal="center" shrinkToFit="0" vertical="center" wrapText="1"/>
    </xf>
    <xf borderId="1" fillId="2" fontId="44" numFmtId="0" xfId="0" applyAlignment="1" applyBorder="1" applyFont="1">
      <alignment shrinkToFit="0" wrapText="1"/>
    </xf>
    <xf borderId="1" fillId="2" fontId="43" numFmtId="0" xfId="0" applyAlignment="1" applyBorder="1" applyFont="1">
      <alignment shrinkToFit="0" vertical="center" wrapText="1"/>
    </xf>
    <xf borderId="27" fillId="5" fontId="26" numFmtId="0" xfId="0" applyAlignment="1" applyBorder="1" applyFont="1">
      <alignment shrinkToFit="0" vertical="center" wrapText="1"/>
    </xf>
    <xf borderId="27" fillId="6" fontId="31" numFmtId="0" xfId="0" applyAlignment="1" applyBorder="1" applyFont="1">
      <alignment shrinkToFit="0" vertical="center" wrapText="1"/>
    </xf>
    <xf borderId="1" fillId="7" fontId="1" numFmtId="0" xfId="0" applyBorder="1" applyFont="1"/>
    <xf borderId="1" fillId="2" fontId="38" numFmtId="0" xfId="0" applyBorder="1" applyFont="1"/>
    <xf borderId="1" fillId="2" fontId="45" numFmtId="0" xfId="0" applyAlignment="1" applyBorder="1" applyFont="1">
      <alignment vertical="center"/>
    </xf>
    <xf borderId="1" fillId="7" fontId="34" numFmtId="0" xfId="0" applyBorder="1" applyFont="1"/>
    <xf borderId="1" fillId="8" fontId="46" numFmtId="0" xfId="0" applyAlignment="1" applyBorder="1" applyFill="1" applyFont="1">
      <alignment vertical="center"/>
    </xf>
    <xf borderId="1" fillId="8" fontId="38" numFmtId="0" xfId="0" applyAlignment="1" applyBorder="1" applyFont="1">
      <alignment vertical="center"/>
    </xf>
    <xf borderId="1" fillId="2" fontId="47" numFmtId="0" xfId="0" applyAlignment="1" applyBorder="1" applyFont="1">
      <alignment vertical="center"/>
    </xf>
    <xf borderId="1" fillId="2" fontId="48" numFmtId="0" xfId="0" applyAlignment="1" applyBorder="1" applyFont="1">
      <alignment vertical="center"/>
    </xf>
    <xf borderId="1" fillId="2" fontId="38" numFmtId="0" xfId="0" applyAlignment="1" applyBorder="1" applyFont="1">
      <alignment vertical="center"/>
    </xf>
    <xf borderId="33" fillId="2" fontId="13" numFmtId="0" xfId="0" applyAlignment="1" applyBorder="1" applyFont="1">
      <alignment horizontal="right" vertical="center"/>
    </xf>
    <xf borderId="34" fillId="0" fontId="49" numFmtId="0" xfId="0" applyAlignment="1" applyBorder="1" applyFont="1">
      <alignment horizontal="center" vertical="center"/>
    </xf>
    <xf borderId="35" fillId="0" fontId="3" numFmtId="0" xfId="0" applyBorder="1" applyFont="1"/>
    <xf borderId="36" fillId="0" fontId="3" numFmtId="0" xfId="0" applyBorder="1" applyFont="1"/>
    <xf borderId="34" fillId="0" fontId="49" numFmtId="0" xfId="0" applyAlignment="1" applyBorder="1" applyFont="1">
      <alignment horizontal="center" shrinkToFit="0" vertical="center" wrapText="1"/>
    </xf>
    <xf borderId="37" fillId="0" fontId="49" numFmtId="0" xfId="0" applyAlignment="1" applyBorder="1" applyFont="1">
      <alignment vertical="center"/>
    </xf>
    <xf borderId="1" fillId="2" fontId="38" numFmtId="0" xfId="0" applyAlignment="1" applyBorder="1" applyFont="1">
      <alignment horizontal="center"/>
    </xf>
    <xf borderId="38" fillId="9" fontId="1" numFmtId="0" xfId="0" applyBorder="1" applyFill="1" applyFont="1"/>
    <xf borderId="38" fillId="10" fontId="1" numFmtId="0" xfId="0" applyBorder="1" applyFill="1" applyFont="1"/>
    <xf borderId="38" fillId="11" fontId="1" numFmtId="0" xfId="0" applyBorder="1" applyFill="1" applyFont="1"/>
    <xf borderId="39" fillId="2" fontId="1" numFmtId="0" xfId="0" applyBorder="1" applyFont="1"/>
    <xf borderId="0" fillId="0" fontId="38" numFmtId="0" xfId="0" applyAlignment="1" applyFont="1">
      <alignment vertical="center"/>
    </xf>
    <xf borderId="0" fillId="0" fontId="13" numFmtId="0" xfId="0" applyAlignment="1" applyFont="1">
      <alignment horizontal="left"/>
    </xf>
    <xf borderId="37" fillId="0" fontId="13" numFmtId="0" xfId="0" applyAlignment="1" applyBorder="1" applyFont="1">
      <alignment horizontal="center" vertical="center"/>
    </xf>
    <xf borderId="34" fillId="0" fontId="13" numFmtId="0" xfId="0" applyAlignment="1" applyBorder="1" applyFont="1">
      <alignment horizontal="center" vertical="center"/>
    </xf>
    <xf borderId="0" fillId="0" fontId="38" numFmtId="0" xfId="0" applyAlignment="1" applyFont="1">
      <alignment horizontal="center"/>
    </xf>
    <xf borderId="38" fillId="0" fontId="1" numFmtId="0" xfId="0" applyBorder="1" applyFont="1"/>
    <xf borderId="1" fillId="9" fontId="42" numFmtId="0" xfId="0" applyBorder="1" applyFont="1"/>
    <xf borderId="1" fillId="3" fontId="1" numFmtId="0" xfId="0" applyBorder="1" applyFont="1"/>
    <xf borderId="1" fillId="2" fontId="38" numFmtId="0" xfId="0" applyAlignment="1" applyBorder="1" applyFont="1">
      <alignment horizontal="right" vertical="center"/>
    </xf>
    <xf borderId="40" fillId="0" fontId="50" numFmtId="0" xfId="0" applyAlignment="1" applyBorder="1" applyFont="1">
      <alignment horizontal="center" shrinkToFit="0" vertical="center" wrapText="1"/>
    </xf>
    <xf borderId="41" fillId="0" fontId="3" numFmtId="0" xfId="0" applyBorder="1" applyFont="1"/>
    <xf borderId="42" fillId="0" fontId="3" numFmtId="0" xfId="0" applyBorder="1" applyFont="1"/>
    <xf borderId="1" fillId="2" fontId="51" numFmtId="0" xfId="0" applyBorder="1" applyFont="1"/>
    <xf borderId="1" fillId="2" fontId="38" numFmtId="0" xfId="0" applyAlignment="1" applyBorder="1" applyFont="1">
      <alignment horizontal="right"/>
    </xf>
    <xf borderId="25" fillId="0" fontId="1" numFmtId="0" xfId="0" applyAlignment="1" applyBorder="1" applyFont="1">
      <alignment horizontal="left" vertical="center"/>
    </xf>
    <xf borderId="21" fillId="0" fontId="1" numFmtId="0" xfId="0" applyAlignment="1" applyBorder="1" applyFont="1">
      <alignment horizontal="center"/>
    </xf>
    <xf borderId="43" fillId="0" fontId="3" numFmtId="0" xfId="0" applyBorder="1" applyFont="1"/>
    <xf borderId="22" fillId="0" fontId="1" numFmtId="0" xfId="0" applyAlignment="1" applyBorder="1" applyFont="1">
      <alignment horizontal="center"/>
    </xf>
    <xf borderId="44" fillId="3" fontId="22" numFmtId="0" xfId="0" applyAlignment="1" applyBorder="1" applyFont="1">
      <alignment horizontal="left" vertical="center"/>
    </xf>
    <xf borderId="45" fillId="3" fontId="22" numFmtId="0" xfId="0" applyAlignment="1" applyBorder="1" applyFont="1">
      <alignment horizontal="left" vertical="center"/>
    </xf>
    <xf borderId="26" fillId="3" fontId="22" numFmtId="0" xfId="0" applyAlignment="1" applyBorder="1" applyFont="1">
      <alignment horizontal="left" vertical="center"/>
    </xf>
    <xf borderId="46" fillId="3" fontId="22" numFmtId="0" xfId="0" applyAlignment="1" applyBorder="1" applyFont="1">
      <alignment horizontal="left" vertical="center"/>
    </xf>
    <xf borderId="25" fillId="3" fontId="22" numFmtId="0" xfId="0" applyAlignment="1" applyBorder="1" applyFont="1">
      <alignment horizontal="left" vertical="center"/>
    </xf>
    <xf borderId="45" fillId="12" fontId="22" numFmtId="0" xfId="0" applyAlignment="1" applyBorder="1" applyFill="1" applyFont="1">
      <alignment horizontal="left" vertical="center"/>
    </xf>
    <xf borderId="24" fillId="12" fontId="22" numFmtId="0" xfId="0" applyAlignment="1" applyBorder="1" applyFont="1">
      <alignment horizontal="left" vertical="center"/>
    </xf>
    <xf borderId="0" fillId="0" fontId="22" numFmtId="0" xfId="0" applyAlignment="1" applyFont="1">
      <alignment horizontal="left" vertical="center"/>
    </xf>
    <xf borderId="1" fillId="13" fontId="22" numFmtId="0" xfId="0" applyAlignment="1" applyBorder="1" applyFill="1" applyFont="1">
      <alignment horizontal="left" vertical="center"/>
    </xf>
    <xf borderId="26" fillId="4" fontId="1" numFmtId="0" xfId="0" applyAlignment="1" applyBorder="1" applyFont="1">
      <alignment vertical="center"/>
    </xf>
    <xf borderId="27" fillId="4" fontId="1" numFmtId="0" xfId="0" applyAlignment="1" applyBorder="1" applyFont="1">
      <alignment vertical="center"/>
    </xf>
    <xf borderId="25" fillId="4" fontId="1" numFmtId="0" xfId="0" applyAlignment="1" applyBorder="1" applyFont="1">
      <alignment vertical="center"/>
    </xf>
    <xf borderId="44" fillId="2" fontId="29" numFmtId="0" xfId="0" applyAlignment="1" applyBorder="1" applyFont="1">
      <alignment vertical="center"/>
    </xf>
    <xf borderId="46" fillId="4" fontId="1" numFmtId="0" xfId="0" applyAlignment="1" applyBorder="1" applyFont="1">
      <alignment vertical="center"/>
    </xf>
    <xf borderId="1" fillId="2" fontId="52" numFmtId="0" xfId="0" applyBorder="1" applyFont="1"/>
    <xf borderId="1" fillId="2" fontId="53" numFmtId="0" xfId="0" applyBorder="1" applyFont="1"/>
    <xf borderId="25" fillId="0" fontId="1" numFmtId="0" xfId="0" applyAlignment="1" applyBorder="1" applyFont="1">
      <alignment vertical="center"/>
    </xf>
    <xf borderId="25" fillId="0" fontId="52" numFmtId="0" xfId="0" applyBorder="1" applyFont="1"/>
    <xf borderId="25" fillId="0" fontId="54" numFmtId="0" xfId="0" applyBorder="1" applyFont="1"/>
    <xf borderId="25" fillId="0" fontId="53" numFmtId="0" xfId="0" applyBorder="1" applyFont="1"/>
    <xf borderId="28" fillId="4" fontId="1" numFmtId="0" xfId="0" applyAlignment="1" applyBorder="1" applyFont="1">
      <alignment vertical="center"/>
    </xf>
    <xf borderId="30" fillId="4" fontId="1" numFmtId="0" xfId="0" applyAlignment="1" applyBorder="1" applyFont="1">
      <alignment vertical="center"/>
    </xf>
    <xf borderId="45" fillId="2" fontId="38" numFmtId="0" xfId="0" applyAlignment="1" applyBorder="1" applyFont="1">
      <alignment shrinkToFit="0" vertical="top" wrapText="1"/>
    </xf>
    <xf borderId="47" fillId="0" fontId="1" numFmtId="0" xfId="0" applyAlignment="1" applyBorder="1" applyFont="1">
      <alignment vertical="center"/>
    </xf>
    <xf borderId="22" fillId="0" fontId="1" numFmtId="0" xfId="0" applyAlignment="1" applyBorder="1" applyFont="1">
      <alignment vertical="center"/>
    </xf>
    <xf borderId="45" fillId="2" fontId="29" numFmtId="0" xfId="0" applyAlignment="1" applyBorder="1" applyFont="1">
      <alignment vertical="center"/>
    </xf>
    <xf borderId="0" fillId="0" fontId="52" numFmtId="0" xfId="0" applyFont="1"/>
    <xf borderId="21" fillId="0" fontId="1" numFmtId="0" xfId="0" applyAlignment="1" applyBorder="1" applyFont="1">
      <alignment horizontal="center" vertical="center"/>
    </xf>
    <xf borderId="25" fillId="0" fontId="1" numFmtId="0" xfId="0" applyBorder="1" applyFont="1"/>
    <xf borderId="1" fillId="2" fontId="38" numFmtId="0" xfId="0" applyAlignment="1" applyBorder="1" applyFont="1">
      <alignment shrinkToFit="0" vertical="top" wrapText="1"/>
    </xf>
    <xf borderId="1" fillId="2" fontId="32" numFmtId="0" xfId="0" applyAlignment="1" applyBorder="1" applyFont="1">
      <alignment horizontal="left"/>
    </xf>
    <xf borderId="1" fillId="2" fontId="1" numFmtId="0" xfId="0" applyAlignment="1" applyBorder="1" applyFont="1">
      <alignment horizontal="left"/>
    </xf>
    <xf borderId="25" fillId="2" fontId="1" numFmtId="0" xfId="0" applyAlignment="1" applyBorder="1" applyFont="1">
      <alignment horizontal="left"/>
    </xf>
    <xf borderId="25" fillId="2" fontId="29" numFmtId="0" xfId="0" applyAlignment="1" applyBorder="1" applyFont="1">
      <alignment vertical="center"/>
    </xf>
    <xf borderId="48" fillId="0" fontId="1" numFmtId="0" xfId="0" applyAlignment="1" applyBorder="1" applyFont="1">
      <alignment vertical="center"/>
    </xf>
    <xf borderId="0" fillId="0" fontId="53" numFmtId="0" xfId="0" applyFont="1"/>
    <xf borderId="25" fillId="12" fontId="22" numFmtId="0" xfId="0" applyAlignment="1" applyBorder="1" applyFont="1">
      <alignment horizontal="left" vertical="center"/>
    </xf>
    <xf borderId="25" fillId="0" fontId="22" numFmtId="0" xfId="0" applyAlignment="1" applyBorder="1" applyFont="1">
      <alignment horizontal="left" vertical="center"/>
    </xf>
    <xf borderId="44" fillId="13" fontId="22" numFmtId="0" xfId="0" applyAlignment="1" applyBorder="1" applyFont="1">
      <alignment horizontal="left" vertical="center"/>
    </xf>
    <xf borderId="24" fillId="13" fontId="22" numFmtId="0" xfId="0" applyAlignment="1" applyBorder="1" applyFont="1">
      <alignment horizontal="left" vertical="center"/>
    </xf>
    <xf borderId="25" fillId="8" fontId="1" numFmtId="0" xfId="0" applyBorder="1" applyFont="1"/>
    <xf borderId="31" fillId="4" fontId="1" numFmtId="0" xfId="0" applyAlignment="1" applyBorder="1" applyFont="1">
      <alignment vertical="center"/>
    </xf>
    <xf borderId="1" fillId="14" fontId="51" numFmtId="0" xfId="0" applyAlignment="1" applyBorder="1" applyFill="1" applyFont="1">
      <alignment horizontal="left"/>
    </xf>
    <xf borderId="1" fillId="15" fontId="1" numFmtId="0" xfId="0" applyAlignment="1" applyBorder="1" applyFill="1" applyFont="1">
      <alignment horizontal="right"/>
    </xf>
    <xf borderId="2" fillId="15" fontId="1" numFmtId="0" xfId="0" applyAlignment="1" applyBorder="1" applyFont="1">
      <alignment horizontal="center"/>
    </xf>
    <xf borderId="1" fillId="15" fontId="1" numFmtId="0" xfId="0" applyBorder="1" applyFont="1"/>
    <xf borderId="25" fillId="16" fontId="1" numFmtId="0" xfId="0" applyAlignment="1" applyBorder="1" applyFill="1" applyFont="1">
      <alignment horizontal="left"/>
    </xf>
    <xf borderId="25" fillId="16" fontId="1" numFmtId="0" xfId="0" applyBorder="1" applyFont="1"/>
    <xf borderId="21" fillId="16" fontId="1" numFmtId="0" xfId="0" applyBorder="1" applyFont="1"/>
    <xf borderId="21" fillId="16" fontId="1" numFmtId="0" xfId="0" applyAlignment="1" applyBorder="1" applyFont="1">
      <alignment horizontal="center"/>
    </xf>
    <xf borderId="1" fillId="4" fontId="1" numFmtId="0" xfId="0" applyAlignment="1" applyBorder="1" applyFont="1">
      <alignment vertical="center"/>
    </xf>
    <xf borderId="33" fillId="17" fontId="1" numFmtId="0" xfId="0" applyBorder="1" applyFill="1" applyFont="1"/>
    <xf borderId="33" fillId="10" fontId="1" numFmtId="0" xfId="0" applyBorder="1" applyFont="1"/>
    <xf borderId="25" fillId="16" fontId="1" numFmtId="0" xfId="0" applyAlignment="1" applyBorder="1" applyFont="1">
      <alignment horizontal="center"/>
    </xf>
    <xf borderId="24" fillId="2" fontId="29" numFmtId="0" xfId="0" applyAlignment="1" applyBorder="1" applyFont="1">
      <alignment vertical="center"/>
    </xf>
    <xf borderId="33" fillId="11" fontId="1" numFmtId="0" xfId="0" applyBorder="1" applyFont="1"/>
    <xf borderId="1" fillId="16" fontId="1" numFmtId="0" xfId="0" applyBorder="1" applyFont="1"/>
    <xf borderId="1" fillId="18" fontId="1" numFmtId="0" xfId="0" applyBorder="1" applyFill="1" applyFont="1"/>
    <xf borderId="0" fillId="0" fontId="38" numFmtId="0" xfId="0" applyAlignment="1" applyFont="1">
      <alignment shrinkToFit="0" vertical="top" wrapText="1"/>
    </xf>
    <xf borderId="25" fillId="19" fontId="1" numFmtId="0" xfId="0" applyAlignment="1" applyBorder="1" applyFill="1" applyFont="1">
      <alignment horizontal="left"/>
    </xf>
    <xf borderId="25" fillId="19" fontId="1" numFmtId="0" xfId="0" applyBorder="1" applyFont="1"/>
    <xf borderId="21" fillId="19" fontId="1" numFmtId="0" xfId="0" applyBorder="1" applyFont="1"/>
    <xf borderId="21" fillId="19" fontId="1" numFmtId="0" xfId="0" applyAlignment="1" applyBorder="1" applyFont="1">
      <alignment horizontal="center"/>
    </xf>
    <xf borderId="25" fillId="19" fontId="1" numFmtId="0" xfId="0" applyAlignment="1" applyBorder="1" applyFont="1">
      <alignment horizontal="center"/>
    </xf>
    <xf borderId="1" fillId="19" fontId="1" numFmtId="0" xfId="0" applyBorder="1" applyFont="1"/>
    <xf borderId="29" fillId="4" fontId="1" numFmtId="0" xfId="0" applyAlignment="1" applyBorder="1" applyFont="1">
      <alignment vertical="center"/>
    </xf>
    <xf borderId="27" fillId="19" fontId="1" numFmtId="0" xfId="0" applyAlignment="1" applyBorder="1" applyFont="1">
      <alignment horizontal="left"/>
    </xf>
    <xf borderId="27" fillId="19" fontId="1" numFmtId="0" xfId="0" applyBorder="1" applyFont="1"/>
    <xf borderId="49" fillId="19" fontId="1" numFmtId="0" xfId="0" applyBorder="1" applyFont="1"/>
    <xf borderId="50" fillId="0" fontId="3" numFmtId="0" xfId="0" applyBorder="1" applyFont="1"/>
    <xf borderId="51" fillId="0" fontId="3" numFmtId="0" xfId="0" applyBorder="1" applyFont="1"/>
    <xf borderId="49" fillId="19" fontId="1" numFmtId="0" xfId="0" applyAlignment="1" applyBorder="1" applyFont="1">
      <alignment horizontal="center"/>
    </xf>
    <xf borderId="27" fillId="19" fontId="1" numFmtId="0" xfId="0" applyAlignment="1" applyBorder="1" applyFont="1">
      <alignment horizontal="center"/>
    </xf>
    <xf borderId="1" fillId="2" fontId="1" numFmtId="0" xfId="0" applyAlignment="1" applyBorder="1" applyFont="1">
      <alignment horizontal="right"/>
    </xf>
    <xf borderId="0" fillId="0" fontId="1" numFmtId="0" xfId="0" applyAlignment="1" applyFont="1">
      <alignment horizontal="center"/>
    </xf>
    <xf borderId="25" fillId="20" fontId="1" numFmtId="0" xfId="0" applyAlignment="1" applyBorder="1" applyFill="1" applyFont="1">
      <alignment horizontal="left"/>
    </xf>
    <xf borderId="25" fillId="20" fontId="1" numFmtId="0" xfId="0" applyBorder="1" applyFont="1"/>
    <xf borderId="21" fillId="20" fontId="1" numFmtId="0" xfId="0" applyBorder="1" applyFont="1"/>
    <xf borderId="0" fillId="0" fontId="1" numFmtId="0" xfId="0" applyAlignment="1" applyFont="1">
      <alignment horizontal="left" vertical="center"/>
    </xf>
    <xf borderId="21" fillId="20" fontId="1" numFmtId="0" xfId="0" applyAlignment="1" applyBorder="1" applyFont="1">
      <alignment horizontal="center"/>
    </xf>
    <xf borderId="0" fillId="0" fontId="1" numFmtId="0" xfId="0" applyAlignment="1" applyFont="1">
      <alignment horizontal="center" vertical="center"/>
    </xf>
    <xf borderId="0" fillId="0" fontId="38" numFmtId="0" xfId="0" applyAlignment="1" applyFont="1">
      <alignment vertical="top"/>
    </xf>
    <xf borderId="25" fillId="20" fontId="1" numFmtId="0" xfId="0" applyAlignment="1" applyBorder="1" applyFont="1">
      <alignment horizontal="center"/>
    </xf>
    <xf borderId="1" fillId="20" fontId="1" numFmtId="0" xfId="0" applyBorder="1" applyFont="1"/>
    <xf borderId="1" fillId="2" fontId="32" numFmtId="0" xfId="0" applyBorder="1" applyFont="1"/>
    <xf borderId="0" fillId="0" fontId="52" numFmtId="0" xfId="0" applyAlignment="1" applyFont="1">
      <alignment horizontal="center"/>
    </xf>
    <xf borderId="21" fillId="21" fontId="1" numFmtId="0" xfId="0" applyAlignment="1" applyBorder="1" applyFill="1" applyFont="1">
      <alignment horizontal="center"/>
    </xf>
    <xf borderId="1" fillId="21" fontId="51" numFmtId="0" xfId="0" applyAlignment="1" applyBorder="1" applyFont="1">
      <alignment horizontal="left" vertical="center"/>
    </xf>
    <xf borderId="1" fillId="21" fontId="1" numFmtId="0" xfId="0" applyBorder="1" applyFont="1"/>
    <xf borderId="1" fillId="21" fontId="1" numFmtId="0" xfId="0" applyAlignment="1" applyBorder="1" applyFont="1">
      <alignment vertical="center"/>
    </xf>
    <xf borderId="46" fillId="2" fontId="1" numFmtId="0" xfId="0" applyAlignment="1" applyBorder="1" applyFont="1">
      <alignment horizontal="right"/>
    </xf>
    <xf borderId="46" fillId="2" fontId="1" numFmtId="0" xfId="0" applyBorder="1" applyFont="1"/>
    <xf borderId="1" fillId="2" fontId="32" numFmtId="0" xfId="0" applyAlignment="1" applyBorder="1" applyFont="1">
      <alignment horizontal="right"/>
    </xf>
    <xf borderId="52" fillId="0" fontId="52" numFmtId="0" xfId="0" applyAlignment="1" applyBorder="1" applyFont="1">
      <alignment horizontal="center"/>
    </xf>
    <xf borderId="52" fillId="0" fontId="3" numFmtId="0" xfId="0" applyBorder="1" applyFont="1"/>
    <xf borderId="53" fillId="0" fontId="3" numFmtId="0" xfId="0" applyBorder="1" applyFont="1"/>
    <xf borderId="54" fillId="0" fontId="52" numFmtId="0" xfId="0" applyAlignment="1" applyBorder="1" applyFont="1">
      <alignment horizontal="center"/>
    </xf>
    <xf borderId="54" fillId="0" fontId="3" numFmtId="0" xfId="0" applyBorder="1" applyFont="1"/>
    <xf borderId="55" fillId="0" fontId="3" numFmtId="0" xfId="0" applyBorder="1" applyFont="1"/>
    <xf borderId="38" fillId="17" fontId="1" numFmtId="0" xfId="0" applyBorder="1" applyFont="1"/>
    <xf borderId="47" fillId="0" fontId="52" numFmtId="0" xfId="0" applyAlignment="1" applyBorder="1" applyFont="1">
      <alignment horizontal="center"/>
    </xf>
    <xf borderId="47" fillId="0" fontId="3" numFmtId="0" xfId="0" applyBorder="1" applyFont="1"/>
    <xf borderId="56" fillId="0" fontId="3" numFmtId="0" xfId="0" applyBorder="1" applyFont="1"/>
    <xf borderId="47" fillId="0" fontId="1" numFmtId="0" xfId="0" applyAlignment="1" applyBorder="1" applyFont="1">
      <alignment horizontal="center"/>
    </xf>
    <xf borderId="57" fillId="0" fontId="3" numFmtId="0" xfId="0" applyBorder="1" applyFont="1"/>
    <xf borderId="0" fillId="0" fontId="1" numFmtId="0" xfId="0" applyAlignment="1" applyFont="1">
      <alignment horizontal="right"/>
    </xf>
    <xf borderId="0" fillId="0" fontId="32" numFmtId="0" xfId="0" applyAlignment="1" applyFont="1">
      <alignment horizontal="left"/>
    </xf>
    <xf borderId="2" fillId="2" fontId="52" numFmtId="0" xfId="0" applyAlignment="1" applyBorder="1" applyFont="1">
      <alignment horizontal="center"/>
    </xf>
    <xf borderId="1" fillId="2" fontId="52" numFmtId="0" xfId="0" applyAlignment="1" applyBorder="1" applyFont="1">
      <alignment horizontal="center"/>
    </xf>
    <xf borderId="1" fillId="2" fontId="51" numFmtId="0" xfId="0" applyAlignment="1" applyBorder="1" applyFont="1">
      <alignment horizontal="left" vertical="center"/>
    </xf>
    <xf borderId="1" fillId="22" fontId="1" numFmtId="0" xfId="0" applyBorder="1" applyFill="1" applyFont="1"/>
    <xf borderId="58" fillId="3" fontId="20" numFmtId="0" xfId="0" applyAlignment="1" applyBorder="1" applyFont="1">
      <alignment vertical="center"/>
    </xf>
    <xf borderId="59" fillId="3" fontId="1" numFmtId="0" xfId="0" applyAlignment="1" applyBorder="1" applyFont="1">
      <alignment shrinkToFit="0" vertical="center" wrapText="1"/>
    </xf>
    <xf borderId="60" fillId="3" fontId="1" numFmtId="0" xfId="0" applyAlignment="1" applyBorder="1" applyFont="1">
      <alignment shrinkToFit="0" vertical="center" wrapText="1"/>
    </xf>
    <xf borderId="59" fillId="7" fontId="1" numFmtId="0" xfId="0" applyAlignment="1" applyBorder="1" applyFont="1">
      <alignment shrinkToFit="0" vertical="center" wrapText="1"/>
    </xf>
    <xf borderId="42" fillId="0" fontId="1" numFmtId="0" xfId="0" applyAlignment="1" applyBorder="1" applyFont="1">
      <alignment shrinkToFit="0" vertical="center" wrapText="1"/>
    </xf>
    <xf borderId="41" fillId="0" fontId="1" numFmtId="0" xfId="0" applyAlignment="1" applyBorder="1" applyFont="1">
      <alignment shrinkToFit="0" vertical="center" wrapText="1"/>
    </xf>
    <xf borderId="40" fillId="0" fontId="20" numFmtId="0" xfId="0" applyAlignment="1" applyBorder="1" applyFont="1">
      <alignment vertical="center"/>
    </xf>
    <xf borderId="61" fillId="0" fontId="1" numFmtId="0" xfId="0" applyAlignment="1" applyBorder="1" applyFont="1">
      <alignment shrinkToFit="0" vertical="center" wrapText="1"/>
    </xf>
    <xf borderId="0" fillId="0" fontId="16" numFmtId="0" xfId="0" applyAlignment="1" applyFont="1">
      <alignment horizontal="right"/>
    </xf>
    <xf borderId="44" fillId="23" fontId="38" numFmtId="0" xfId="0" applyAlignment="1" applyBorder="1" applyFill="1" applyFont="1">
      <alignment horizontal="left"/>
    </xf>
    <xf borderId="45" fillId="23" fontId="38" numFmtId="0" xfId="0" applyAlignment="1" applyBorder="1" applyFont="1">
      <alignment horizontal="left"/>
    </xf>
    <xf borderId="24" fillId="23" fontId="38" numFmtId="0" xfId="0" applyAlignment="1" applyBorder="1" applyFont="1">
      <alignment horizontal="left"/>
    </xf>
    <xf borderId="21" fillId="23" fontId="38" numFmtId="0" xfId="0" applyAlignment="1" applyBorder="1" applyFont="1">
      <alignment horizontal="center"/>
    </xf>
    <xf borderId="61" fillId="0" fontId="1" numFmtId="0" xfId="0" applyAlignment="1" applyBorder="1" applyFont="1">
      <alignment vertical="center"/>
    </xf>
    <xf borderId="62" fillId="0" fontId="1" numFmtId="0" xfId="0" applyAlignment="1" applyBorder="1" applyFont="1">
      <alignment vertical="center"/>
    </xf>
    <xf borderId="63" fillId="0" fontId="1" numFmtId="2" xfId="0" applyAlignment="1" applyBorder="1" applyFont="1" applyNumberFormat="1">
      <alignment vertical="center"/>
    </xf>
    <xf borderId="63" fillId="0" fontId="52" numFmtId="0" xfId="0" applyAlignment="1" applyBorder="1" applyFont="1">
      <alignment vertical="center"/>
    </xf>
    <xf borderId="25" fillId="2" fontId="1" numFmtId="0" xfId="0" applyBorder="1" applyFont="1"/>
    <xf borderId="25" fillId="2" fontId="38" numFmtId="0" xfId="0" applyAlignment="1" applyBorder="1" applyFont="1">
      <alignment horizontal="center"/>
    </xf>
    <xf borderId="25" fillId="3" fontId="22" numFmtId="0" xfId="0" applyAlignment="1" applyBorder="1" applyFont="1">
      <alignment horizontal="right" vertical="center"/>
    </xf>
    <xf borderId="21" fillId="0" fontId="22" numFmtId="0" xfId="0" applyAlignment="1" applyBorder="1" applyFont="1">
      <alignment vertical="center"/>
    </xf>
    <xf borderId="64" fillId="3" fontId="22" numFmtId="0" xfId="0" applyAlignment="1" applyBorder="1" applyFont="1">
      <alignment horizontal="center" vertical="center"/>
    </xf>
    <xf borderId="24" fillId="3" fontId="22" numFmtId="0" xfId="0" applyAlignment="1" applyBorder="1" applyFont="1">
      <alignment horizontal="center" vertical="center"/>
    </xf>
    <xf borderId="65" fillId="0" fontId="1" numFmtId="0" xfId="0" applyAlignment="1" applyBorder="1" applyFont="1">
      <alignment vertical="center"/>
    </xf>
    <xf borderId="25" fillId="2" fontId="1" numFmtId="2" xfId="0" applyAlignment="1" applyBorder="1" applyFont="1" applyNumberFormat="1">
      <alignment horizontal="center"/>
    </xf>
    <xf borderId="25" fillId="2" fontId="1" numFmtId="0" xfId="0" applyAlignment="1" applyBorder="1" applyFont="1">
      <alignment horizontal="center"/>
    </xf>
    <xf borderId="25" fillId="2" fontId="1" numFmtId="0" xfId="0" applyAlignment="1" applyBorder="1" applyFont="1">
      <alignment vertical="center"/>
    </xf>
    <xf borderId="27" fillId="2" fontId="1" numFmtId="2" xfId="0" applyAlignment="1" applyBorder="1" applyFont="1" applyNumberFormat="1">
      <alignment vertical="center"/>
    </xf>
    <xf borderId="27" fillId="4" fontId="1" numFmtId="0" xfId="0" applyAlignment="1" applyBorder="1" applyFont="1">
      <alignment horizontal="left" vertical="center"/>
    </xf>
    <xf borderId="27" fillId="2" fontId="1" numFmtId="164" xfId="0" applyAlignment="1" applyBorder="1" applyFont="1" applyNumberFormat="1">
      <alignment vertical="center"/>
    </xf>
    <xf borderId="66" fillId="0" fontId="1" numFmtId="0" xfId="0" applyAlignment="1" applyBorder="1" applyFont="1">
      <alignment vertical="center"/>
    </xf>
    <xf borderId="25" fillId="2" fontId="1" numFmtId="2" xfId="0" applyAlignment="1" applyBorder="1" applyFont="1" applyNumberFormat="1">
      <alignment vertical="center"/>
    </xf>
    <xf borderId="67" fillId="0" fontId="1" numFmtId="0" xfId="0" applyAlignment="1" applyBorder="1" applyFont="1">
      <alignment vertical="center"/>
    </xf>
    <xf borderId="68" fillId="0" fontId="1" numFmtId="2" xfId="0" applyAlignment="1" applyBorder="1" applyFont="1" applyNumberFormat="1">
      <alignment vertical="center"/>
    </xf>
    <xf borderId="0" fillId="0" fontId="52" numFmtId="0" xfId="0" applyAlignment="1" applyFont="1">
      <alignment vertical="center"/>
    </xf>
    <xf borderId="29" fillId="2" fontId="1" numFmtId="0" xfId="0" applyAlignment="1" applyBorder="1" applyFont="1">
      <alignment vertical="center"/>
    </xf>
    <xf borderId="29" fillId="4" fontId="1" numFmtId="0" xfId="0" applyAlignment="1" applyBorder="1" applyFont="1">
      <alignment horizontal="center" vertical="center"/>
    </xf>
    <xf borderId="29" fillId="4" fontId="1" numFmtId="0" xfId="0" applyAlignment="1" applyBorder="1" applyFont="1">
      <alignment horizontal="left" vertical="center"/>
    </xf>
    <xf borderId="69" fillId="0" fontId="1" numFmtId="0" xfId="0" applyAlignment="1" applyBorder="1" applyFont="1">
      <alignment horizontal="center" vertical="center"/>
    </xf>
    <xf borderId="32" fillId="0" fontId="1" numFmtId="2" xfId="0" applyAlignment="1" applyBorder="1" applyFont="1" applyNumberFormat="1">
      <alignment vertical="center"/>
    </xf>
    <xf borderId="31" fillId="2" fontId="1" numFmtId="0" xfId="0" applyAlignment="1" applyBorder="1" applyFont="1">
      <alignment vertical="center"/>
    </xf>
    <xf borderId="69" fillId="0" fontId="1" numFmtId="0" xfId="0" applyAlignment="1" applyBorder="1" applyFont="1">
      <alignment vertical="center"/>
    </xf>
    <xf borderId="21" fillId="0" fontId="1" numFmtId="0" xfId="0" applyAlignment="1" applyBorder="1" applyFont="1">
      <alignment vertical="center"/>
    </xf>
    <xf borderId="70" fillId="0" fontId="1" numFmtId="2" xfId="0" applyAlignment="1" applyBorder="1" applyFont="1" applyNumberFormat="1">
      <alignment vertical="center"/>
    </xf>
    <xf borderId="45" fillId="2" fontId="1" numFmtId="0" xfId="0" applyAlignment="1" applyBorder="1" applyFont="1">
      <alignment vertical="center"/>
    </xf>
    <xf borderId="45" fillId="2" fontId="1" numFmtId="0" xfId="0" applyAlignment="1" applyBorder="1" applyFont="1">
      <alignment shrinkToFit="0" vertical="center" wrapText="1"/>
    </xf>
    <xf borderId="69" fillId="0" fontId="1" numFmtId="0" xfId="0" applyBorder="1" applyFont="1"/>
    <xf borderId="25" fillId="4" fontId="1" numFmtId="0" xfId="0" applyAlignment="1" applyBorder="1" applyFont="1">
      <alignment shrinkToFit="0" vertical="center" wrapText="1"/>
    </xf>
    <xf borderId="47" fillId="0" fontId="1" numFmtId="2" xfId="0" applyAlignment="1" applyBorder="1" applyFont="1" applyNumberFormat="1">
      <alignment vertical="center"/>
    </xf>
    <xf borderId="25" fillId="0" fontId="1" numFmtId="2" xfId="0" applyBorder="1" applyFont="1" applyNumberFormat="1"/>
    <xf borderId="71" fillId="0" fontId="1" numFmtId="0" xfId="0" applyAlignment="1" applyBorder="1" applyFont="1">
      <alignment vertical="center"/>
    </xf>
    <xf borderId="0" fillId="0" fontId="55" numFmtId="0" xfId="0" applyFont="1"/>
    <xf borderId="44" fillId="24" fontId="38" numFmtId="0" xfId="0" applyAlignment="1" applyBorder="1" applyFill="1" applyFont="1">
      <alignment horizontal="left"/>
    </xf>
    <xf borderId="45" fillId="24" fontId="38" numFmtId="0" xfId="0" applyAlignment="1" applyBorder="1" applyFont="1">
      <alignment horizontal="center"/>
    </xf>
    <xf borderId="24" fillId="24" fontId="38" numFmtId="0" xfId="0" applyAlignment="1" applyBorder="1" applyFont="1">
      <alignment horizontal="center"/>
    </xf>
    <xf borderId="22" fillId="0" fontId="1" numFmtId="0" xfId="0" applyAlignment="1" applyBorder="1" applyFont="1">
      <alignment horizontal="left" vertical="center"/>
    </xf>
    <xf borderId="45" fillId="2" fontId="1" numFmtId="2" xfId="0" applyAlignment="1" applyBorder="1" applyFont="1" applyNumberFormat="1">
      <alignment vertical="center"/>
    </xf>
    <xf borderId="25" fillId="2" fontId="26" numFmtId="2" xfId="0" applyAlignment="1" applyBorder="1" applyFont="1" applyNumberFormat="1">
      <alignment horizontal="center" vertical="center"/>
    </xf>
    <xf borderId="1" fillId="2" fontId="26" numFmtId="0" xfId="0" applyBorder="1" applyFont="1"/>
    <xf borderId="0" fillId="0" fontId="1" numFmtId="2" xfId="0" applyFont="1" applyNumberFormat="1"/>
    <xf borderId="31" fillId="4" fontId="1" numFmtId="0" xfId="0" applyAlignment="1" applyBorder="1" applyFont="1">
      <alignment horizontal="left" vertical="center"/>
    </xf>
    <xf borderId="21" fillId="12" fontId="38" numFmtId="0" xfId="0" applyAlignment="1" applyBorder="1" applyFont="1">
      <alignment horizontal="left"/>
    </xf>
    <xf borderId="44" fillId="2" fontId="1" numFmtId="0" xfId="0" applyAlignment="1" applyBorder="1" applyFont="1">
      <alignment vertical="center"/>
    </xf>
    <xf borderId="25" fillId="2" fontId="26" numFmtId="0" xfId="0" applyAlignment="1" applyBorder="1" applyFont="1">
      <alignment horizontal="center"/>
    </xf>
    <xf borderId="0" fillId="0" fontId="1" numFmtId="2" xfId="0" applyAlignment="1" applyFont="1" applyNumberFormat="1">
      <alignment vertical="center"/>
    </xf>
    <xf borderId="0" fillId="0" fontId="19" numFmtId="0" xfId="0" applyFont="1"/>
    <xf borderId="0" fillId="0" fontId="56" numFmtId="0" xfId="0" applyAlignment="1" applyFont="1">
      <alignment horizontal="center"/>
    </xf>
    <xf borderId="0" fillId="0" fontId="1" numFmtId="2" xfId="0" applyAlignment="1" applyFont="1" applyNumberFormat="1">
      <alignment horizontal="center"/>
    </xf>
    <xf borderId="31" fillId="2" fontId="1" numFmtId="0" xfId="0" applyAlignment="1" applyBorder="1" applyFont="1">
      <alignment shrinkToFit="0" vertical="center" wrapText="1"/>
    </xf>
    <xf borderId="43" fillId="0" fontId="1" numFmtId="0" xfId="0" applyBorder="1" applyFont="1"/>
    <xf borderId="45" fillId="2" fontId="1" numFmtId="0" xfId="0" applyBorder="1" applyFont="1"/>
    <xf borderId="0" fillId="0" fontId="20" numFmtId="0" xfId="0" applyAlignment="1" applyFont="1">
      <alignment vertical="center"/>
    </xf>
    <xf borderId="72" fillId="22" fontId="1" numFmtId="0" xfId="0" applyBorder="1" applyFont="1"/>
    <xf borderId="73" fillId="22" fontId="1" numFmtId="0" xfId="0" applyAlignment="1" applyBorder="1" applyFont="1">
      <alignment horizontal="right" vertical="center"/>
    </xf>
    <xf borderId="24" fillId="2" fontId="1" numFmtId="2" xfId="0" applyAlignment="1" applyBorder="1" applyFont="1" applyNumberFormat="1">
      <alignment vertical="center"/>
    </xf>
    <xf borderId="1" fillId="2" fontId="1" numFmtId="2" xfId="0" applyBorder="1" applyFont="1" applyNumberFormat="1"/>
    <xf borderId="32" fillId="0" fontId="1" numFmtId="2" xfId="0" applyBorder="1" applyFont="1" applyNumberFormat="1"/>
    <xf borderId="0" fillId="0" fontId="1" numFmtId="2" xfId="0" applyAlignment="1" applyFont="1" applyNumberFormat="1">
      <alignment horizontal="center" vertical="center"/>
    </xf>
    <xf borderId="1" fillId="2" fontId="45" numFmtId="0" xfId="0" applyBorder="1" applyFont="1"/>
    <xf borderId="1" fillId="2" fontId="57" numFmtId="0" xfId="0" applyBorder="1" applyFont="1"/>
    <xf borderId="0" fillId="0" fontId="57" numFmtId="0" xfId="0" applyFont="1"/>
    <xf borderId="2" fillId="4" fontId="58" numFmtId="0" xfId="0" applyAlignment="1" applyBorder="1" applyFont="1">
      <alignment horizontal="center" vertical="center"/>
    </xf>
    <xf borderId="40" fillId="25" fontId="50" numFmtId="0" xfId="0" applyAlignment="1" applyBorder="1" applyFill="1" applyFont="1">
      <alignment horizontal="center" shrinkToFit="0" vertical="center" wrapText="1"/>
    </xf>
    <xf borderId="74" fillId="2" fontId="48" numFmtId="0" xfId="0" applyAlignment="1" applyBorder="1" applyFont="1">
      <alignment horizontal="center" vertical="center"/>
    </xf>
    <xf borderId="75" fillId="0" fontId="3" numFmtId="0" xfId="0" applyBorder="1" applyFont="1"/>
    <xf borderId="76" fillId="0" fontId="3" numFmtId="0" xfId="0" applyBorder="1" applyFont="1"/>
    <xf borderId="37" fillId="25" fontId="13" numFmtId="0" xfId="0" applyAlignment="1" applyBorder="1" applyFont="1">
      <alignment horizontal="center" vertical="center"/>
    </xf>
    <xf borderId="34" fillId="25" fontId="13" numFmtId="0" xfId="0" applyAlignment="1" applyBorder="1" applyFont="1">
      <alignment horizontal="center" vertical="center"/>
    </xf>
    <xf borderId="13" fillId="3" fontId="59" numFmtId="0" xfId="0" applyAlignment="1" applyBorder="1" applyFont="1">
      <alignment horizontal="left" shrinkToFit="0" vertical="center" wrapText="1"/>
    </xf>
    <xf borderId="1" fillId="3" fontId="60" numFmtId="0" xfId="0" applyAlignment="1" applyBorder="1" applyFont="1">
      <alignment vertical="center"/>
    </xf>
    <xf borderId="1" fillId="3" fontId="60" numFmtId="0" xfId="0" applyAlignment="1" applyBorder="1" applyFont="1">
      <alignment horizontal="left" vertical="center"/>
    </xf>
    <xf borderId="77" fillId="3" fontId="20" numFmtId="0" xfId="0" applyAlignment="1" applyBorder="1" applyFont="1">
      <alignment horizontal="left" vertical="center"/>
    </xf>
    <xf borderId="78" fillId="0" fontId="3" numFmtId="0" xfId="0" applyBorder="1" applyFont="1"/>
    <xf borderId="79" fillId="0" fontId="3" numFmtId="0" xfId="0" applyBorder="1" applyFont="1"/>
    <xf borderId="80" fillId="3" fontId="20" numFmtId="0" xfId="0" applyAlignment="1" applyBorder="1" applyFont="1">
      <alignment horizontal="center" shrinkToFit="0" vertical="center" wrapText="1"/>
    </xf>
    <xf borderId="81" fillId="0" fontId="3" numFmtId="0" xfId="0" applyBorder="1" applyFont="1"/>
    <xf borderId="82" fillId="0" fontId="3" numFmtId="0" xfId="0" applyBorder="1" applyFont="1"/>
    <xf borderId="83" fillId="3" fontId="20" numFmtId="0" xfId="0" applyAlignment="1" applyBorder="1" applyFont="1">
      <alignment horizontal="center" shrinkToFit="0" vertical="center" wrapText="1"/>
    </xf>
    <xf borderId="84" fillId="0" fontId="3" numFmtId="0" xfId="0" applyBorder="1" applyFont="1"/>
    <xf borderId="85" fillId="0" fontId="3" numFmtId="0" xfId="0" applyBorder="1" applyFont="1"/>
    <xf borderId="1" fillId="2" fontId="61" numFmtId="0" xfId="0" applyBorder="1" applyFont="1"/>
    <xf borderId="77" fillId="3" fontId="20" numFmtId="0" xfId="0" applyAlignment="1" applyBorder="1" applyFont="1">
      <alignment horizontal="left" shrinkToFit="0" vertical="center" wrapText="1"/>
    </xf>
    <xf borderId="86" fillId="0" fontId="3" numFmtId="0" xfId="0" applyBorder="1" applyFont="1"/>
    <xf borderId="87" fillId="0" fontId="3" numFmtId="0" xfId="0" applyBorder="1" applyFont="1"/>
    <xf borderId="88" fillId="0" fontId="3" numFmtId="0" xfId="0" applyBorder="1" applyFont="1"/>
    <xf borderId="89" fillId="3" fontId="62" numFmtId="0" xfId="0" applyAlignment="1" applyBorder="1" applyFont="1">
      <alignment horizontal="center" shrinkToFit="0" vertical="center" wrapText="1"/>
    </xf>
    <xf borderId="90" fillId="0" fontId="3" numFmtId="0" xfId="0" applyBorder="1" applyFont="1"/>
    <xf borderId="91" fillId="0" fontId="3" numFmtId="0" xfId="0" applyBorder="1" applyFont="1"/>
    <xf borderId="1" fillId="2" fontId="25" numFmtId="0" xfId="0" applyBorder="1" applyFont="1"/>
    <xf borderId="92" fillId="26" fontId="38" numFmtId="0" xfId="0" applyAlignment="1" applyBorder="1" applyFill="1" applyFont="1">
      <alignment horizontal="left" vertical="center"/>
    </xf>
    <xf borderId="93" fillId="26" fontId="1" numFmtId="0" xfId="0" applyBorder="1" applyFont="1"/>
    <xf borderId="94" fillId="26" fontId="1" numFmtId="0" xfId="0" applyBorder="1" applyFont="1"/>
    <xf borderId="92" fillId="26" fontId="1" numFmtId="0" xfId="0" applyBorder="1" applyFont="1"/>
    <xf borderId="1" fillId="2" fontId="63" numFmtId="0" xfId="0" applyBorder="1" applyFont="1"/>
    <xf borderId="92" fillId="26" fontId="64" numFmtId="0" xfId="0" applyBorder="1" applyFont="1"/>
    <xf borderId="1" fillId="2" fontId="37" numFmtId="0" xfId="0" applyBorder="1" applyFont="1"/>
    <xf borderId="95" fillId="5" fontId="50" numFmtId="0" xfId="0" applyAlignment="1" applyBorder="1" applyFont="1">
      <alignment horizontal="left" vertical="center"/>
    </xf>
    <xf borderId="96" fillId="5" fontId="38" numFmtId="0" xfId="0" applyAlignment="1" applyBorder="1" applyFont="1">
      <alignment shrinkToFit="0" vertical="center" wrapText="1"/>
    </xf>
    <xf borderId="97" fillId="5" fontId="1" numFmtId="0" xfId="0" applyAlignment="1" applyBorder="1" applyFont="1">
      <alignment vertical="center"/>
    </xf>
    <xf borderId="98" fillId="0" fontId="50" numFmtId="0" xfId="0" applyAlignment="1" applyBorder="1" applyFont="1">
      <alignment horizontal="center" vertical="center"/>
    </xf>
    <xf borderId="99" fillId="0" fontId="3" numFmtId="0" xfId="0" applyBorder="1" applyFont="1"/>
    <xf borderId="100" fillId="0" fontId="3" numFmtId="0" xfId="0" applyBorder="1" applyFont="1"/>
    <xf borderId="98" fillId="0" fontId="38" numFmtId="0" xfId="0" applyAlignment="1" applyBorder="1" applyFont="1">
      <alignment horizontal="center" vertical="center"/>
    </xf>
    <xf borderId="21" fillId="2" fontId="37" numFmtId="0" xfId="0" applyAlignment="1" applyBorder="1" applyFont="1">
      <alignment horizontal="left" shrinkToFit="0" vertical="top" wrapText="1"/>
    </xf>
    <xf borderId="101" fillId="2" fontId="37" numFmtId="0" xfId="0" applyAlignment="1" applyBorder="1" applyFont="1">
      <alignment horizontal="left" shrinkToFit="0" vertical="top" wrapText="1"/>
    </xf>
    <xf borderId="1" fillId="2" fontId="1" numFmtId="0" xfId="0" applyAlignment="1" applyBorder="1" applyFont="1">
      <alignment horizontal="left" vertical="top"/>
    </xf>
    <xf borderId="21" fillId="2" fontId="50" numFmtId="0" xfId="0" applyAlignment="1" applyBorder="1" applyFont="1">
      <alignment horizontal="left" shrinkToFit="0" vertical="top" wrapText="1"/>
    </xf>
    <xf borderId="102" fillId="26" fontId="64" numFmtId="0" xfId="0" applyAlignment="1" applyBorder="1" applyFont="1">
      <alignment vertical="top"/>
    </xf>
    <xf borderId="93" fillId="26" fontId="1" numFmtId="0" xfId="0" applyAlignment="1" applyBorder="1" applyFont="1">
      <alignment vertical="top"/>
    </xf>
    <xf borderId="94" fillId="26" fontId="1" numFmtId="0" xfId="0" applyAlignment="1" applyBorder="1" applyFont="1">
      <alignment vertical="top"/>
    </xf>
    <xf borderId="21" fillId="2" fontId="65" numFmtId="0" xfId="0" applyAlignment="1" applyBorder="1" applyFont="1">
      <alignment horizontal="left" shrinkToFit="0" vertical="top" wrapText="1"/>
    </xf>
    <xf borderId="1" fillId="11" fontId="1" numFmtId="0" xfId="0" applyAlignment="1" applyBorder="1" applyFont="1">
      <alignment horizontal="center"/>
    </xf>
    <xf borderId="1" fillId="10" fontId="1" numFmtId="0" xfId="0" applyBorder="1" applyFont="1"/>
    <xf borderId="103" fillId="15" fontId="1" numFmtId="0" xfId="0" applyAlignment="1" applyBorder="1" applyFont="1">
      <alignment horizontal="center"/>
    </xf>
    <xf borderId="104" fillId="0" fontId="3" numFmtId="0" xfId="0" applyBorder="1" applyFont="1"/>
    <xf borderId="105" fillId="0" fontId="3" numFmtId="0" xfId="0" applyBorder="1" applyFont="1"/>
    <xf borderId="1" fillId="16" fontId="1" numFmtId="0" xfId="0" applyAlignment="1" applyBorder="1" applyFont="1">
      <alignment horizontal="center"/>
    </xf>
  </cellXfs>
  <cellStyles count="1">
    <cellStyle xfId="0" name="Normal" builtinId="0"/>
  </cellStyles>
  <dxfs count="4">
    <dxf>
      <font/>
      <fill>
        <patternFill patternType="solid">
          <fgColor rgb="FF00B050"/>
          <bgColor rgb="FF00B050"/>
        </patternFill>
      </fill>
      <border/>
    </dxf>
    <dxf>
      <font/>
      <fill>
        <patternFill patternType="solid">
          <fgColor rgb="FFFFC000"/>
          <bgColor rgb="FFFFC000"/>
        </patternFill>
      </fill>
      <border/>
    </dxf>
    <dxf>
      <font/>
      <fill>
        <patternFill patternType="solid">
          <fgColor rgb="FFFF0000"/>
          <bgColor rgb="FFFF0000"/>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6630674327854194"/>
        </c:manualLayout>
      </c:layout>
      <c:barChart>
        <c:barDir val="col"/>
        <c:ser>
          <c:idx val="0"/>
          <c:order val="0"/>
          <c:spPr>
            <a:solidFill>
              <a:schemeClr val="accent1"/>
            </a:solidFill>
            <a:ln cmpd="sng">
              <a:solidFill>
                <a:srgbClr val="000000"/>
              </a:solidFill>
            </a:ln>
          </c:spPr>
          <c:cat>
            <c:strRef>
              <c:f>RVAT_Output!$X$338:$X$382</c:f>
            </c:strRef>
          </c:cat>
          <c:val>
            <c:numRef>
              <c:f>RVAT_Output!$Y$338:$Y$382</c:f>
              <c:numCache/>
            </c:numRef>
          </c:val>
        </c:ser>
        <c:ser>
          <c:idx val="1"/>
          <c:order val="1"/>
          <c:cat>
            <c:strRef>
              <c:f>RVAT_Output!$X$338:$X$382</c:f>
            </c:strRef>
          </c:cat>
          <c:val>
            <c:numRef>
              <c:f>RVAT_Output!$Z$338:$Z$382</c:f>
              <c:numCache/>
            </c:numRef>
          </c:val>
        </c:ser>
        <c:axId val="1167502583"/>
        <c:axId val="413121321"/>
      </c:barChart>
      <c:catAx>
        <c:axId val="1167502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413121321"/>
      </c:catAx>
      <c:valAx>
        <c:axId val="413121321"/>
        <c:scaling>
          <c:orientation val="minMax"/>
          <c:max val="3.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67502583"/>
        <c:majorUnit val="1.0"/>
      </c:valAx>
    </c:plotArea>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324786910197869"/>
        </c:manualLayout>
      </c:layout>
      <c:barChart>
        <c:barDir val="col"/>
        <c:ser>
          <c:idx val="0"/>
          <c:order val="0"/>
          <c:spPr>
            <a:solidFill>
              <a:schemeClr val="accent1"/>
            </a:solidFill>
            <a:ln cmpd="sng">
              <a:solidFill>
                <a:srgbClr val="000000"/>
              </a:solidFill>
            </a:ln>
          </c:spPr>
          <c:cat>
            <c:strRef>
              <c:f>RVAT_Output!$AD$338:$AD$394</c:f>
            </c:strRef>
          </c:cat>
          <c:val>
            <c:numRef>
              <c:f>RVAT_Output!$AE$338:$AE$394</c:f>
              <c:numCache/>
            </c:numRef>
          </c:val>
        </c:ser>
        <c:ser>
          <c:idx val="1"/>
          <c:order val="1"/>
          <c:cat>
            <c:strRef>
              <c:f>RVAT_Output!$AD$338:$AD$394</c:f>
            </c:strRef>
          </c:cat>
          <c:val>
            <c:numRef>
              <c:f>RVAT_Output!$AF$338:$AF$394</c:f>
              <c:numCache/>
            </c:numRef>
          </c:val>
        </c:ser>
        <c:axId val="1985565950"/>
        <c:axId val="673954042"/>
      </c:barChart>
      <c:catAx>
        <c:axId val="1985565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673954042"/>
      </c:catAx>
      <c:valAx>
        <c:axId val="673954042"/>
        <c:scaling>
          <c:orientation val="minMax"/>
          <c:max val="3.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985565950"/>
        <c:majorUnit val="1.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6630674327854194"/>
        </c:manualLayout>
      </c:layout>
      <c:barChart>
        <c:barDir val="col"/>
        <c:ser>
          <c:idx val="0"/>
          <c:order val="0"/>
          <c:spPr>
            <a:solidFill>
              <a:schemeClr val="accent1"/>
            </a:solidFill>
            <a:ln cmpd="sng">
              <a:solidFill>
                <a:srgbClr val="000000"/>
              </a:solidFill>
            </a:ln>
          </c:spPr>
          <c:cat>
            <c:strRef>
              <c:f>RVAT_Output!$AJ$338:$AJ$394</c:f>
            </c:strRef>
          </c:cat>
          <c:val>
            <c:numRef>
              <c:f>RVAT_Output!$AK$338:$AK$394</c:f>
              <c:numCache/>
            </c:numRef>
          </c:val>
        </c:ser>
        <c:ser>
          <c:idx val="1"/>
          <c:order val="1"/>
          <c:cat>
            <c:strRef>
              <c:f>RVAT_Output!$AJ$338:$AJ$394</c:f>
            </c:strRef>
          </c:cat>
          <c:val>
            <c:numRef>
              <c:f>RVAT_Output!$AL$338:$AL$394</c:f>
              <c:numCache/>
            </c:numRef>
          </c:val>
        </c:ser>
        <c:axId val="1227184457"/>
        <c:axId val="1121797422"/>
      </c:barChart>
      <c:catAx>
        <c:axId val="1227184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121797422"/>
      </c:catAx>
      <c:valAx>
        <c:axId val="1121797422"/>
        <c:scaling>
          <c:orientation val="minMax"/>
          <c:max val="3.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227184457"/>
        <c:majorUnit val="1.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6630674327854194"/>
        </c:manualLayout>
      </c:layout>
      <c:barChart>
        <c:barDir val="col"/>
        <c:ser>
          <c:idx val="0"/>
          <c:order val="0"/>
          <c:spPr>
            <a:solidFill>
              <a:schemeClr val="accent1"/>
            </a:solidFill>
            <a:ln cmpd="sng">
              <a:solidFill>
                <a:srgbClr val="000000"/>
              </a:solidFill>
            </a:ln>
          </c:spPr>
          <c:cat>
            <c:strRef>
              <c:f>RVAT_Output!$AP$338:$AP$394</c:f>
            </c:strRef>
          </c:cat>
          <c:val>
            <c:numRef>
              <c:f>RVAT_Output!$AQ$338:$AQ$394</c:f>
              <c:numCache/>
            </c:numRef>
          </c:val>
        </c:ser>
        <c:ser>
          <c:idx val="1"/>
          <c:order val="1"/>
          <c:cat>
            <c:strRef>
              <c:f>RVAT_Output!$AP$338:$AP$394</c:f>
            </c:strRef>
          </c:cat>
          <c:val>
            <c:numRef>
              <c:f>RVAT_Output!$AR$338:$AR$394</c:f>
              <c:numCache/>
            </c:numRef>
          </c:val>
        </c:ser>
        <c:axId val="23893784"/>
        <c:axId val="1842284262"/>
      </c:barChart>
      <c:catAx>
        <c:axId val="23893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42284262"/>
      </c:catAx>
      <c:valAx>
        <c:axId val="1842284262"/>
        <c:scaling>
          <c:orientation val="minMax"/>
          <c:max val="3.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3893784"/>
        <c:majorUnit val="1.0"/>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324786910197869"/>
        </c:manualLayout>
      </c:layout>
      <c:barChart>
        <c:barDir val="col"/>
        <c:ser>
          <c:idx val="0"/>
          <c:order val="0"/>
          <c:spPr>
            <a:solidFill>
              <a:schemeClr val="accent1"/>
            </a:solidFill>
            <a:ln cmpd="sng">
              <a:solidFill>
                <a:srgbClr val="000000"/>
              </a:solidFill>
            </a:ln>
          </c:spPr>
          <c:cat>
            <c:strRef>
              <c:f>RVAT_Output!$AV$338:$AV$394</c:f>
            </c:strRef>
          </c:cat>
          <c:val>
            <c:numRef>
              <c:f>RVAT_Output!$AW$338:$AW$394</c:f>
              <c:numCache/>
            </c:numRef>
          </c:val>
        </c:ser>
        <c:ser>
          <c:idx val="1"/>
          <c:order val="1"/>
          <c:cat>
            <c:strRef>
              <c:f>RVAT_Output!$AV$338:$AV$394</c:f>
            </c:strRef>
          </c:cat>
          <c:val>
            <c:numRef>
              <c:f>RVAT_Output!$AX$338:$AX$394</c:f>
              <c:numCache/>
            </c:numRef>
          </c:val>
        </c:ser>
        <c:axId val="834281228"/>
        <c:axId val="685931615"/>
      </c:barChart>
      <c:catAx>
        <c:axId val="834281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685931615"/>
      </c:catAx>
      <c:valAx>
        <c:axId val="685931615"/>
        <c:scaling>
          <c:orientation val="minMax"/>
          <c:max val="2.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34281228"/>
        <c:majorUnit val="1.0"/>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1271370804646"/>
          <c:y val="0.049870420082565696"/>
          <c:w val="0.7016797057726982"/>
          <c:h val="0.5175717956616314"/>
        </c:manualLayout>
      </c:layout>
      <c:barChart>
        <c:barDir val="col"/>
        <c:ser>
          <c:idx val="0"/>
          <c:order val="0"/>
          <c:spPr>
            <a:solidFill>
              <a:schemeClr val="accent1"/>
            </a:solidFill>
            <a:ln cmpd="sng">
              <a:solidFill>
                <a:srgbClr val="000000"/>
              </a:solidFill>
            </a:ln>
          </c:spPr>
          <c:cat>
            <c:strRef>
              <c:f>RVAT_Output!$BH$338:$BH$343</c:f>
            </c:strRef>
          </c:cat>
          <c:val>
            <c:numRef>
              <c:f>RVAT_Output!$BI$338:$BI$343</c:f>
              <c:numCache/>
            </c:numRef>
          </c:val>
        </c:ser>
        <c:axId val="641490504"/>
        <c:axId val="2064697454"/>
      </c:barChart>
      <c:catAx>
        <c:axId val="641490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1000">
                <a:solidFill>
                  <a:srgbClr val="000000"/>
                </a:solidFill>
                <a:latin typeface="+mn-lt"/>
              </a:defRPr>
            </a:pPr>
          </a:p>
        </c:txPr>
        <c:crossAx val="2064697454"/>
      </c:catAx>
      <c:valAx>
        <c:axId val="2064697454"/>
        <c:scaling>
          <c:orientation val="minMax"/>
          <c:max val="2.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41490504"/>
        <c:majorUnit val="1.0"/>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1271370804646"/>
          <c:y val="0.049870420082565696"/>
          <c:w val="0.7016797057726982"/>
          <c:h val="0.5175717956616314"/>
        </c:manualLayout>
      </c:layout>
      <c:barChart>
        <c:barDir val="col"/>
        <c:ser>
          <c:idx val="0"/>
          <c:order val="0"/>
          <c:spPr>
            <a:solidFill>
              <a:schemeClr val="accent1"/>
            </a:solidFill>
            <a:ln cmpd="sng">
              <a:solidFill>
                <a:srgbClr val="000000"/>
              </a:solidFill>
            </a:ln>
          </c:spPr>
          <c:cat>
            <c:strRef>
              <c:f>RVAT_Output!$BH$346:$BH$351</c:f>
            </c:strRef>
          </c:cat>
          <c:val>
            <c:numRef>
              <c:f>RVAT_Output!$BI$346:$BI$351</c:f>
              <c:numCache/>
            </c:numRef>
          </c:val>
        </c:ser>
        <c:axId val="951045363"/>
        <c:axId val="1416374272"/>
      </c:barChart>
      <c:catAx>
        <c:axId val="9510453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1000">
                <a:solidFill>
                  <a:srgbClr val="000000"/>
                </a:solidFill>
                <a:latin typeface="+mn-lt"/>
              </a:defRPr>
            </a:pPr>
          </a:p>
        </c:txPr>
        <c:crossAx val="1416374272"/>
      </c:catAx>
      <c:valAx>
        <c:axId val="1416374272"/>
        <c:scaling>
          <c:orientation val="minMax"/>
          <c:max val="2.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51045363"/>
        <c:majorUnit val="1.0"/>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498750909148406"/>
          <c:y val="0.044931824970041855"/>
          <c:w val="0.9189941488524019"/>
          <c:h val="0.4324786910197869"/>
        </c:manualLayout>
      </c:layout>
      <c:barChart>
        <c:barDir val="col"/>
        <c:ser>
          <c:idx val="0"/>
          <c:order val="0"/>
          <c:spPr>
            <a:solidFill>
              <a:schemeClr val="accent1"/>
            </a:solidFill>
            <a:ln cmpd="sng">
              <a:solidFill>
                <a:srgbClr val="000000"/>
              </a:solidFill>
            </a:ln>
          </c:spPr>
          <c:cat>
            <c:strRef>
              <c:f>RVAT_Output!$AV$338:$AV$394</c:f>
            </c:strRef>
          </c:cat>
          <c:val>
            <c:numRef>
              <c:f>RVAT_Output!$AW$338:$AW$394</c:f>
              <c:numCache/>
            </c:numRef>
          </c:val>
        </c:ser>
        <c:ser>
          <c:idx val="1"/>
          <c:order val="1"/>
          <c:cat>
            <c:strRef>
              <c:f>RVAT_Output!$AV$338:$AV$394</c:f>
            </c:strRef>
          </c:cat>
          <c:val>
            <c:numRef>
              <c:f>RVAT_Output!$BD$338:$BD$394</c:f>
              <c:numCache/>
            </c:numRef>
          </c:val>
        </c:ser>
        <c:axId val="674613545"/>
        <c:axId val="1200733314"/>
      </c:barChart>
      <c:catAx>
        <c:axId val="674613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00733314"/>
      </c:catAx>
      <c:valAx>
        <c:axId val="1200733314"/>
        <c:scaling>
          <c:orientation val="minMax"/>
          <c:max val="5.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74613545"/>
        <c:majorUnit val="1.0"/>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092148511276722"/>
          <c:y val="0.044931824970041855"/>
          <c:w val="0.7320295227368515"/>
          <c:h val="0.5365930688873911"/>
        </c:manualLayout>
      </c:layout>
      <c:barChart>
        <c:barDir val="col"/>
        <c:ser>
          <c:idx val="0"/>
          <c:order val="0"/>
          <c:spPr>
            <a:solidFill>
              <a:schemeClr val="accent1"/>
            </a:solidFill>
            <a:ln cmpd="sng">
              <a:solidFill>
                <a:srgbClr val="000000"/>
              </a:solidFill>
            </a:ln>
          </c:spPr>
          <c:cat>
            <c:strRef>
              <c:f>RVAT_Output!$BH$354:$BH$359</c:f>
            </c:strRef>
          </c:cat>
          <c:val>
            <c:numRef>
              <c:f>RVAT_Output!$BI$354:$BI$359</c:f>
              <c:numCache/>
            </c:numRef>
          </c:val>
        </c:ser>
        <c:axId val="1209216082"/>
        <c:axId val="694490953"/>
      </c:barChart>
      <c:catAx>
        <c:axId val="1209216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i="0" sz="1000">
                <a:solidFill>
                  <a:srgbClr val="000000"/>
                </a:solidFill>
                <a:latin typeface="+mn-lt"/>
              </a:defRPr>
            </a:pPr>
          </a:p>
        </c:txPr>
        <c:crossAx val="694490953"/>
      </c:catAx>
      <c:valAx>
        <c:axId val="694490953"/>
        <c:scaling>
          <c:orientation val="minMax"/>
          <c:max val="5.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209216082"/>
        <c:majorUnit val="1.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988393174"/>
          <c:y val="0.17890113288005824"/>
          <c:w val="0.5426561848921383"/>
          <c:h val="0.5942208238418138"/>
        </c:manualLayout>
      </c:layout>
      <c:radarChart>
        <c:radarStyle val="marker"/>
        <c:ser>
          <c:idx val="0"/>
          <c:order val="0"/>
          <c:spPr>
            <a:ln cmpd="sng">
              <a:solidFill>
                <a:srgbClr val="5B9BD5"/>
              </a:solidFill>
            </a:ln>
          </c:spPr>
          <c:marker>
            <c:symbol val="none"/>
          </c:marker>
          <c:cat>
            <c:strRef>
              <c:f>RVAT_Output!$BH$367:$BH$372</c:f>
            </c:strRef>
          </c:cat>
          <c:val>
            <c:numRef>
              <c:f>RVAT_Output!$BI$367:$BI$372</c:f>
              <c:numCache/>
            </c:numRef>
          </c:val>
          <c:smooth val="1"/>
        </c:ser>
        <c:ser>
          <c:idx val="1"/>
          <c:order val="1"/>
          <c:spPr>
            <a:ln cmpd="sng">
              <a:solidFill>
                <a:srgbClr val="ED7D31"/>
              </a:solidFill>
            </a:ln>
          </c:spPr>
          <c:marker>
            <c:symbol val="none"/>
          </c:marker>
          <c:cat>
            <c:strRef>
              <c:f>RVAT_Output!$BH$367:$BH$372</c:f>
            </c:strRef>
          </c:cat>
          <c:val>
            <c:numRef>
              <c:f>RVAT_Output!$BJ$367:$BJ$372</c:f>
              <c:numCache/>
            </c:numRef>
          </c:val>
          <c:smooth val="1"/>
        </c:ser>
        <c:ser>
          <c:idx val="2"/>
          <c:order val="2"/>
          <c:spPr>
            <a:ln cmpd="sng">
              <a:solidFill>
                <a:srgbClr val="A5A5A5"/>
              </a:solidFill>
            </a:ln>
          </c:spPr>
          <c:marker>
            <c:symbol val="none"/>
          </c:marker>
          <c:cat>
            <c:strRef>
              <c:f>RVAT_Output!$BH$367:$BH$372</c:f>
            </c:strRef>
          </c:cat>
          <c:val>
            <c:numRef>
              <c:f>RVAT_Output!$BK$367:$BK$372</c:f>
              <c:numCache/>
            </c:numRef>
          </c:val>
          <c:smooth val="1"/>
        </c:ser>
        <c:ser>
          <c:idx val="3"/>
          <c:order val="3"/>
          <c:spPr>
            <a:ln cmpd="sng">
              <a:solidFill>
                <a:srgbClr val="FFC000"/>
              </a:solidFill>
            </a:ln>
          </c:spPr>
          <c:marker>
            <c:symbol val="none"/>
          </c:marker>
          <c:cat>
            <c:strRef>
              <c:f>RVAT_Output!$BH$367:$BH$372</c:f>
            </c:strRef>
          </c:cat>
          <c:val>
            <c:numRef>
              <c:f>RVAT_Output!$BL$367:$BL$372</c:f>
              <c:numCache/>
            </c:numRef>
          </c:val>
          <c:smooth val="1"/>
        </c:ser>
        <c:axId val="529592149"/>
        <c:axId val="943639337"/>
      </c:radarChart>
      <c:catAx>
        <c:axId val="529592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3639337"/>
      </c:catAx>
      <c:valAx>
        <c:axId val="943639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9592149"/>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RVAT_Output!$BH$379:$BH$384</c:f>
            </c:strRef>
          </c:cat>
          <c:val>
            <c:numRef>
              <c:f>RVAT_Output!$BI$379:$BI$384</c:f>
              <c:numCache/>
            </c:numRef>
          </c:val>
          <c:smooth val="1"/>
        </c:ser>
        <c:ser>
          <c:idx val="1"/>
          <c:order val="1"/>
          <c:spPr>
            <a:ln cmpd="sng">
              <a:solidFill>
                <a:srgbClr val="ED7D31"/>
              </a:solidFill>
            </a:ln>
          </c:spPr>
          <c:marker>
            <c:symbol val="none"/>
          </c:marker>
          <c:cat>
            <c:strRef>
              <c:f>RVAT_Output!$BH$379:$BH$384</c:f>
            </c:strRef>
          </c:cat>
          <c:val>
            <c:numRef>
              <c:f>RVAT_Output!$BJ$379:$BJ$384</c:f>
              <c:numCache/>
            </c:numRef>
          </c:val>
          <c:smooth val="1"/>
        </c:ser>
        <c:ser>
          <c:idx val="2"/>
          <c:order val="2"/>
          <c:spPr>
            <a:ln cmpd="sng">
              <a:solidFill>
                <a:srgbClr val="A5A5A5"/>
              </a:solidFill>
            </a:ln>
          </c:spPr>
          <c:marker>
            <c:symbol val="none"/>
          </c:marker>
          <c:cat>
            <c:strRef>
              <c:f>RVAT_Output!$BH$379:$BH$384</c:f>
            </c:strRef>
          </c:cat>
          <c:val>
            <c:numRef>
              <c:f>RVAT_Output!$BK$379:$BK$384</c:f>
              <c:numCache/>
            </c:numRef>
          </c:val>
          <c:smooth val="1"/>
        </c:ser>
        <c:ser>
          <c:idx val="3"/>
          <c:order val="3"/>
          <c:spPr>
            <a:ln cmpd="sng">
              <a:solidFill>
                <a:srgbClr val="FFC000"/>
              </a:solidFill>
            </a:ln>
          </c:spPr>
          <c:marker>
            <c:symbol val="none"/>
          </c:marker>
          <c:cat>
            <c:strRef>
              <c:f>RVAT_Output!$BH$379:$BH$384</c:f>
            </c:strRef>
          </c:cat>
          <c:val>
            <c:numRef>
              <c:f>RVAT_Output!$BL$379:$BL$384</c:f>
              <c:numCache/>
            </c:numRef>
          </c:val>
          <c:smooth val="1"/>
        </c:ser>
        <c:axId val="1070849886"/>
        <c:axId val="494587783"/>
      </c:radarChart>
      <c:catAx>
        <c:axId val="10708498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4587783"/>
      </c:catAx>
      <c:valAx>
        <c:axId val="494587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0849886"/>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RVAT_Output!$BH$338:$BH$343</c:f>
            </c:strRef>
          </c:cat>
          <c:val>
            <c:numRef>
              <c:f>RVAT_Output!$BI$379:$BI$384</c:f>
              <c:numCache/>
            </c:numRef>
          </c:val>
          <c:smooth val="1"/>
        </c:ser>
        <c:ser>
          <c:idx val="1"/>
          <c:order val="1"/>
          <c:spPr>
            <a:ln cmpd="sng">
              <a:solidFill>
                <a:srgbClr val="ED7D31"/>
              </a:solidFill>
            </a:ln>
          </c:spPr>
          <c:marker>
            <c:symbol val="none"/>
          </c:marker>
          <c:cat>
            <c:strRef>
              <c:f>RVAT_Output!$BH$338:$BH$343</c:f>
            </c:strRef>
          </c:cat>
          <c:val>
            <c:numRef>
              <c:f>RVAT_Output!$BJ$379:$BJ$384</c:f>
              <c:numCache/>
            </c:numRef>
          </c:val>
          <c:smooth val="1"/>
        </c:ser>
        <c:ser>
          <c:idx val="2"/>
          <c:order val="2"/>
          <c:spPr>
            <a:ln cmpd="sng">
              <a:solidFill>
                <a:srgbClr val="A5A5A5"/>
              </a:solidFill>
            </a:ln>
          </c:spPr>
          <c:marker>
            <c:symbol val="none"/>
          </c:marker>
          <c:cat>
            <c:strRef>
              <c:f>RVAT_Output!$BH$338:$BH$343</c:f>
            </c:strRef>
          </c:cat>
          <c:val>
            <c:numRef>
              <c:f>RVAT_Output!$BK$379:$BK$384</c:f>
              <c:numCache/>
            </c:numRef>
          </c:val>
          <c:smooth val="1"/>
        </c:ser>
        <c:ser>
          <c:idx val="3"/>
          <c:order val="3"/>
          <c:spPr>
            <a:ln cmpd="sng">
              <a:solidFill>
                <a:srgbClr val="FFC000"/>
              </a:solidFill>
            </a:ln>
          </c:spPr>
          <c:marker>
            <c:symbol val="none"/>
          </c:marker>
          <c:cat>
            <c:strRef>
              <c:f>RVAT_Output!$BH$338:$BH$343</c:f>
            </c:strRef>
          </c:cat>
          <c:val>
            <c:numRef>
              <c:f>RVAT_Output!$BL$379:$BL$384</c:f>
              <c:numCache/>
            </c:numRef>
          </c:val>
          <c:smooth val="1"/>
        </c:ser>
        <c:axId val="1678024115"/>
        <c:axId val="2025752591"/>
      </c:radarChart>
      <c:catAx>
        <c:axId val="1678024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25752591"/>
      </c:catAx>
      <c:valAx>
        <c:axId val="2025752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8024115"/>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RVAT_Output!$BH$379:$BH$384</c:f>
            </c:strRef>
          </c:cat>
          <c:val>
            <c:numRef>
              <c:f>RVAT_Output!$BI$379:$BI$384</c:f>
              <c:numCache/>
            </c:numRef>
          </c:val>
          <c:smooth val="1"/>
        </c:ser>
        <c:ser>
          <c:idx val="1"/>
          <c:order val="1"/>
          <c:spPr>
            <a:ln cmpd="sng">
              <a:solidFill>
                <a:srgbClr val="ED7D31"/>
              </a:solidFill>
            </a:ln>
          </c:spPr>
          <c:marker>
            <c:symbol val="none"/>
          </c:marker>
          <c:cat>
            <c:strRef>
              <c:f>RVAT_Output!$BH$379:$BH$384</c:f>
            </c:strRef>
          </c:cat>
          <c:val>
            <c:numRef>
              <c:f>RVAT_Output!$BJ$379:$BJ$384</c:f>
              <c:numCache/>
            </c:numRef>
          </c:val>
          <c:smooth val="1"/>
        </c:ser>
        <c:ser>
          <c:idx val="2"/>
          <c:order val="2"/>
          <c:spPr>
            <a:ln cmpd="sng">
              <a:solidFill>
                <a:srgbClr val="A5A5A5"/>
              </a:solidFill>
            </a:ln>
          </c:spPr>
          <c:marker>
            <c:symbol val="none"/>
          </c:marker>
          <c:cat>
            <c:strRef>
              <c:f>RVAT_Output!$BH$379:$BH$384</c:f>
            </c:strRef>
          </c:cat>
          <c:val>
            <c:numRef>
              <c:f>RVAT_Output!$BK$379:$BK$384</c:f>
              <c:numCache/>
            </c:numRef>
          </c:val>
          <c:smooth val="1"/>
        </c:ser>
        <c:ser>
          <c:idx val="3"/>
          <c:order val="3"/>
          <c:spPr>
            <a:ln cmpd="sng">
              <a:solidFill>
                <a:srgbClr val="FFC000"/>
              </a:solidFill>
            </a:ln>
          </c:spPr>
          <c:marker>
            <c:symbol val="none"/>
          </c:marker>
          <c:cat>
            <c:strRef>
              <c:f>RVAT_Output!$BH$379:$BH$384</c:f>
            </c:strRef>
          </c:cat>
          <c:val>
            <c:numRef>
              <c:f>RVAT_Output!$BL$379:$BL$384</c:f>
              <c:numCache/>
            </c:numRef>
          </c:val>
          <c:smooth val="1"/>
        </c:ser>
        <c:axId val="1043731614"/>
        <c:axId val="946602665"/>
      </c:radarChart>
      <c:catAx>
        <c:axId val="1043731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6602665"/>
      </c:catAx>
      <c:valAx>
        <c:axId val="946602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3731614"/>
      </c:valAx>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RVAT_Output!$BH$367:$BH$372</c:f>
            </c:strRef>
          </c:cat>
          <c:val>
            <c:numRef>
              <c:f>RVAT_Output!$BI$367:$BI$372</c:f>
              <c:numCache/>
            </c:numRef>
          </c:val>
          <c:smooth val="1"/>
        </c:ser>
        <c:ser>
          <c:idx val="1"/>
          <c:order val="1"/>
          <c:spPr>
            <a:ln cmpd="sng">
              <a:solidFill>
                <a:srgbClr val="ED7D31"/>
              </a:solidFill>
            </a:ln>
          </c:spPr>
          <c:marker>
            <c:symbol val="none"/>
          </c:marker>
          <c:cat>
            <c:strRef>
              <c:f>RVAT_Output!$BH$367:$BH$372</c:f>
            </c:strRef>
          </c:cat>
          <c:val>
            <c:numRef>
              <c:f>RVAT_Output!$BJ$367:$BJ$372</c:f>
              <c:numCache/>
            </c:numRef>
          </c:val>
          <c:smooth val="1"/>
        </c:ser>
        <c:ser>
          <c:idx val="2"/>
          <c:order val="2"/>
          <c:spPr>
            <a:ln cmpd="sng">
              <a:solidFill>
                <a:srgbClr val="A5A5A5"/>
              </a:solidFill>
            </a:ln>
          </c:spPr>
          <c:marker>
            <c:symbol val="none"/>
          </c:marker>
          <c:cat>
            <c:strRef>
              <c:f>RVAT_Output!$BH$367:$BH$372</c:f>
            </c:strRef>
          </c:cat>
          <c:val>
            <c:numRef>
              <c:f>RVAT_Output!$BK$367:$BK$372</c:f>
              <c:numCache/>
            </c:numRef>
          </c:val>
          <c:smooth val="1"/>
        </c:ser>
        <c:ser>
          <c:idx val="3"/>
          <c:order val="3"/>
          <c:spPr>
            <a:ln cmpd="sng">
              <a:solidFill>
                <a:srgbClr val="FFC000"/>
              </a:solidFill>
            </a:ln>
          </c:spPr>
          <c:marker>
            <c:symbol val="none"/>
          </c:marker>
          <c:cat>
            <c:strRef>
              <c:f>RVAT_Output!$BH$367:$BH$372</c:f>
            </c:strRef>
          </c:cat>
          <c:val>
            <c:numRef>
              <c:f>RVAT_Output!$BL$367:$BL$372</c:f>
              <c:numCache/>
            </c:numRef>
          </c:val>
          <c:smooth val="1"/>
        </c:ser>
        <c:axId val="23855216"/>
        <c:axId val="751079975"/>
      </c:radarChart>
      <c:catAx>
        <c:axId val="23855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51079975"/>
      </c:catAx>
      <c:valAx>
        <c:axId val="751079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855216"/>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RVAT_Output!$BH$367:$BH$372</c:f>
            </c:strRef>
          </c:cat>
          <c:val>
            <c:numRef>
              <c:f>RVAT_Output!$BI$367:$BI$372</c:f>
              <c:numCache/>
            </c:numRef>
          </c:val>
          <c:smooth val="1"/>
        </c:ser>
        <c:ser>
          <c:idx val="1"/>
          <c:order val="1"/>
          <c:spPr>
            <a:ln cmpd="sng">
              <a:solidFill>
                <a:srgbClr val="ED7D31"/>
              </a:solidFill>
            </a:ln>
          </c:spPr>
          <c:marker>
            <c:symbol val="none"/>
          </c:marker>
          <c:cat>
            <c:strRef>
              <c:f>RVAT_Output!$BH$367:$BH$372</c:f>
            </c:strRef>
          </c:cat>
          <c:val>
            <c:numRef>
              <c:f>RVAT_Output!$BJ$367:$BJ$372</c:f>
              <c:numCache/>
            </c:numRef>
          </c:val>
          <c:smooth val="1"/>
        </c:ser>
        <c:ser>
          <c:idx val="2"/>
          <c:order val="2"/>
          <c:spPr>
            <a:ln cmpd="sng">
              <a:solidFill>
                <a:srgbClr val="A5A5A5"/>
              </a:solidFill>
            </a:ln>
          </c:spPr>
          <c:marker>
            <c:symbol val="none"/>
          </c:marker>
          <c:cat>
            <c:strRef>
              <c:f>RVAT_Output!$BH$367:$BH$372</c:f>
            </c:strRef>
          </c:cat>
          <c:val>
            <c:numRef>
              <c:f>RVAT_Output!$BK$367:$BK$372</c:f>
              <c:numCache/>
            </c:numRef>
          </c:val>
          <c:smooth val="1"/>
        </c:ser>
        <c:ser>
          <c:idx val="3"/>
          <c:order val="3"/>
          <c:spPr>
            <a:ln cmpd="sng">
              <a:solidFill>
                <a:srgbClr val="FFC000"/>
              </a:solidFill>
            </a:ln>
          </c:spPr>
          <c:marker>
            <c:symbol val="none"/>
          </c:marker>
          <c:cat>
            <c:strRef>
              <c:f>RVAT_Output!$BH$367:$BH$372</c:f>
            </c:strRef>
          </c:cat>
          <c:val>
            <c:numRef>
              <c:f>RVAT_Output!$BL$367:$BL$372</c:f>
              <c:numCache/>
            </c:numRef>
          </c:val>
          <c:smooth val="1"/>
        </c:ser>
        <c:axId val="1024894722"/>
        <c:axId val="743030423"/>
      </c:radarChart>
      <c:catAx>
        <c:axId val="1024894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3030423"/>
      </c:catAx>
      <c:valAx>
        <c:axId val="743030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4894722"/>
      </c:valAx>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RVAT_Output!$BH$367:$BH$371</c:f>
            </c:strRef>
          </c:cat>
          <c:val>
            <c:numRef>
              <c:f>RVAT_Output!$BI$367:$BI$371</c:f>
              <c:numCache/>
            </c:numRef>
          </c:val>
          <c:smooth val="1"/>
        </c:ser>
        <c:ser>
          <c:idx val="1"/>
          <c:order val="1"/>
          <c:spPr>
            <a:ln cmpd="sng">
              <a:solidFill>
                <a:srgbClr val="ED7D31"/>
              </a:solidFill>
            </a:ln>
          </c:spPr>
          <c:marker>
            <c:symbol val="none"/>
          </c:marker>
          <c:cat>
            <c:strRef>
              <c:f>RVAT_Output!$BH$367:$BH$371</c:f>
            </c:strRef>
          </c:cat>
          <c:val>
            <c:numRef>
              <c:f>RVAT_Output!$BJ$367:$BJ$371</c:f>
              <c:numCache/>
            </c:numRef>
          </c:val>
          <c:smooth val="1"/>
        </c:ser>
        <c:ser>
          <c:idx val="2"/>
          <c:order val="2"/>
          <c:spPr>
            <a:ln cmpd="sng">
              <a:solidFill>
                <a:srgbClr val="A5A5A5"/>
              </a:solidFill>
            </a:ln>
          </c:spPr>
          <c:marker>
            <c:symbol val="none"/>
          </c:marker>
          <c:cat>
            <c:strRef>
              <c:f>RVAT_Output!$BH$367:$BH$371</c:f>
            </c:strRef>
          </c:cat>
          <c:val>
            <c:numRef>
              <c:f>RVAT_Output!$BK$367:$BK$371</c:f>
              <c:numCache/>
            </c:numRef>
          </c:val>
          <c:smooth val="1"/>
        </c:ser>
        <c:ser>
          <c:idx val="3"/>
          <c:order val="3"/>
          <c:spPr>
            <a:ln cmpd="sng">
              <a:solidFill>
                <a:srgbClr val="FFC000"/>
              </a:solidFill>
            </a:ln>
          </c:spPr>
          <c:marker>
            <c:symbol val="none"/>
          </c:marker>
          <c:cat>
            <c:strRef>
              <c:f>RVAT_Output!$BH$367:$BH$371</c:f>
            </c:strRef>
          </c:cat>
          <c:val>
            <c:numRef>
              <c:f>RVAT_Output!$BL$367:$BL$371</c:f>
              <c:numCache/>
            </c:numRef>
          </c:val>
          <c:smooth val="1"/>
        </c:ser>
        <c:axId val="2083796356"/>
        <c:axId val="508350168"/>
      </c:radarChart>
      <c:catAx>
        <c:axId val="20837963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08350168"/>
      </c:catAx>
      <c:valAx>
        <c:axId val="508350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3796356"/>
      </c:valAx>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789734683601552"/>
          <c:y val="0.12046791570095408"/>
          <c:w val="0.5426561848921383"/>
          <c:h val="0.5942208238418138"/>
        </c:manualLayout>
      </c:layout>
      <c:radarChart>
        <c:radarStyle val="marker"/>
        <c:ser>
          <c:idx val="0"/>
          <c:order val="0"/>
          <c:spPr>
            <a:ln cmpd="sng">
              <a:solidFill>
                <a:srgbClr val="5B9BD5"/>
              </a:solidFill>
            </a:ln>
          </c:spPr>
          <c:marker>
            <c:symbol val="none"/>
          </c:marker>
          <c:cat>
            <c:strRef>
              <c:f>RVAT_Output!$BH$379:$BH$383</c:f>
            </c:strRef>
          </c:cat>
          <c:val>
            <c:numRef>
              <c:f>RVAT_Output!$BI$379:$BI$383</c:f>
              <c:numCache/>
            </c:numRef>
          </c:val>
          <c:smooth val="1"/>
        </c:ser>
        <c:ser>
          <c:idx val="1"/>
          <c:order val="1"/>
          <c:spPr>
            <a:ln cmpd="sng">
              <a:solidFill>
                <a:srgbClr val="ED7D31"/>
              </a:solidFill>
            </a:ln>
          </c:spPr>
          <c:marker>
            <c:symbol val="none"/>
          </c:marker>
          <c:cat>
            <c:strRef>
              <c:f>RVAT_Output!$BH$379:$BH$383</c:f>
            </c:strRef>
          </c:cat>
          <c:val>
            <c:numRef>
              <c:f>RVAT_Output!$BJ$379:$BJ$383</c:f>
              <c:numCache/>
            </c:numRef>
          </c:val>
          <c:smooth val="1"/>
        </c:ser>
        <c:ser>
          <c:idx val="2"/>
          <c:order val="2"/>
          <c:spPr>
            <a:ln cmpd="sng">
              <a:solidFill>
                <a:srgbClr val="A5A5A5"/>
              </a:solidFill>
            </a:ln>
          </c:spPr>
          <c:marker>
            <c:symbol val="none"/>
          </c:marker>
          <c:cat>
            <c:strRef>
              <c:f>RVAT_Output!$BH$379:$BH$383</c:f>
            </c:strRef>
          </c:cat>
          <c:val>
            <c:numRef>
              <c:f>RVAT_Output!$BK$379:$BK$383</c:f>
              <c:numCache/>
            </c:numRef>
          </c:val>
          <c:smooth val="1"/>
        </c:ser>
        <c:ser>
          <c:idx val="3"/>
          <c:order val="3"/>
          <c:spPr>
            <a:ln cmpd="sng">
              <a:solidFill>
                <a:srgbClr val="FFC000"/>
              </a:solidFill>
            </a:ln>
          </c:spPr>
          <c:marker>
            <c:symbol val="none"/>
          </c:marker>
          <c:cat>
            <c:strRef>
              <c:f>RVAT_Output!$BH$379:$BH$383</c:f>
            </c:strRef>
          </c:cat>
          <c:val>
            <c:numRef>
              <c:f>RVAT_Output!$BL$379:$BL$383</c:f>
              <c:numCache/>
            </c:numRef>
          </c:val>
          <c:smooth val="1"/>
        </c:ser>
        <c:axId val="1620137424"/>
        <c:axId val="1707858454"/>
      </c:radarChart>
      <c:catAx>
        <c:axId val="16201374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7858454"/>
      </c:catAx>
      <c:valAx>
        <c:axId val="1707858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0137424"/>
      </c:valAx>
    </c:plotArea>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hyperlink" Target="#'Adaptive%20Capacity'!A1" TargetMode="External"/><Relationship Id="rId2" Type="http://schemas.openxmlformats.org/officeDocument/2006/relationships/hyperlink" Target="#RVAT_Output!A1" TargetMode="External"/><Relationship Id="rId3" Type="http://schemas.openxmlformats.org/officeDocument/2006/relationships/hyperlink" Target="#Responses!A1" TargetMode="External"/><Relationship Id="rId4" Type="http://schemas.openxmlformats.org/officeDocument/2006/relationships/hyperlink" Target="#Home!A1" TargetMode="External"/><Relationship Id="rId10" Type="http://schemas.openxmlformats.org/officeDocument/2006/relationships/image" Target="../media/image2.png"/><Relationship Id="rId9" Type="http://schemas.openxmlformats.org/officeDocument/2006/relationships/image" Target="../media/image1.png"/><Relationship Id="rId5" Type="http://schemas.openxmlformats.org/officeDocument/2006/relationships/hyperlink" Target="#Instructions!A1" TargetMode="External"/><Relationship Id="rId6" Type="http://schemas.openxmlformats.org/officeDocument/2006/relationships/hyperlink" Target="#Hazard!A1" TargetMode="External"/><Relationship Id="rId7" Type="http://schemas.openxmlformats.org/officeDocument/2006/relationships/hyperlink" Target="#Exposure!A1" TargetMode="External"/><Relationship Id="rId8" Type="http://schemas.openxmlformats.org/officeDocument/2006/relationships/hyperlink" Target="#Sensitivity!A1"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Adaptive%20Capacity'!A1" TargetMode="External"/><Relationship Id="rId2" Type="http://schemas.openxmlformats.org/officeDocument/2006/relationships/hyperlink" Target="#RVAT_Output!A1" TargetMode="External"/><Relationship Id="rId3" Type="http://schemas.openxmlformats.org/officeDocument/2006/relationships/hyperlink" Target="#Responses!A1" TargetMode="External"/><Relationship Id="rId4" Type="http://schemas.openxmlformats.org/officeDocument/2006/relationships/hyperlink" Target="#Home!A1" TargetMode="External"/><Relationship Id="rId9" Type="http://schemas.openxmlformats.org/officeDocument/2006/relationships/image" Target="../media/image1.png"/><Relationship Id="rId5" Type="http://schemas.openxmlformats.org/officeDocument/2006/relationships/hyperlink" Target="#Hazard!A1" TargetMode="External"/><Relationship Id="rId6" Type="http://schemas.openxmlformats.org/officeDocument/2006/relationships/hyperlink" Target="#Exposure!A1" TargetMode="External"/><Relationship Id="rId7" Type="http://schemas.openxmlformats.org/officeDocument/2006/relationships/hyperlink" Target="#Sensitivity!A1" TargetMode="External"/><Relationship Id="rId8" Type="http://schemas.openxmlformats.org/officeDocument/2006/relationships/hyperlink" Target="#Instructions!A1"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azard!A1" TargetMode="External"/><Relationship Id="rId2" Type="http://schemas.openxmlformats.org/officeDocument/2006/relationships/hyperlink" Target="#'Adaptive%20Capacity'!A1" TargetMode="External"/><Relationship Id="rId3" Type="http://schemas.openxmlformats.org/officeDocument/2006/relationships/hyperlink" Target="#RVAT_Output!A1" TargetMode="External"/><Relationship Id="rId4" Type="http://schemas.openxmlformats.org/officeDocument/2006/relationships/hyperlink" Target="#Responses!A1" TargetMode="External"/><Relationship Id="rId5" Type="http://schemas.openxmlformats.org/officeDocument/2006/relationships/hyperlink" Target="#Home!A1" TargetMode="External"/><Relationship Id="rId6" Type="http://schemas.openxmlformats.org/officeDocument/2006/relationships/hyperlink" Target="#Instructions!A1" TargetMode="External"/><Relationship Id="rId7" Type="http://schemas.openxmlformats.org/officeDocument/2006/relationships/hyperlink" Target="#Exposure!A1" TargetMode="External"/><Relationship Id="rId8" Type="http://schemas.openxmlformats.org/officeDocument/2006/relationships/hyperlink" Target="#Sensitivity!A1"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Exposure!A1" TargetMode="External"/><Relationship Id="rId2" Type="http://schemas.openxmlformats.org/officeDocument/2006/relationships/hyperlink" Target="#'Adaptive%20Capacity'!A1" TargetMode="External"/><Relationship Id="rId3" Type="http://schemas.openxmlformats.org/officeDocument/2006/relationships/hyperlink" Target="#RVAT_Output!A1" TargetMode="External"/><Relationship Id="rId4" Type="http://schemas.openxmlformats.org/officeDocument/2006/relationships/hyperlink" Target="#Responses!A1" TargetMode="External"/><Relationship Id="rId5" Type="http://schemas.openxmlformats.org/officeDocument/2006/relationships/hyperlink" Target="#Home!A1" TargetMode="External"/><Relationship Id="rId6" Type="http://schemas.openxmlformats.org/officeDocument/2006/relationships/hyperlink" Target="#Instructions!A1" TargetMode="External"/><Relationship Id="rId7" Type="http://schemas.openxmlformats.org/officeDocument/2006/relationships/hyperlink" Target="#Hazard!A1" TargetMode="External"/><Relationship Id="rId8" Type="http://schemas.openxmlformats.org/officeDocument/2006/relationships/hyperlink" Target="#Sensitivity!A1"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Sensitivity!A1" TargetMode="External"/><Relationship Id="rId2" Type="http://schemas.openxmlformats.org/officeDocument/2006/relationships/hyperlink" Target="#'Adaptive%20Capacity'!A1" TargetMode="External"/><Relationship Id="rId3" Type="http://schemas.openxmlformats.org/officeDocument/2006/relationships/hyperlink" Target="#RVAT_Output!A1" TargetMode="External"/><Relationship Id="rId4" Type="http://schemas.openxmlformats.org/officeDocument/2006/relationships/hyperlink" Target="#Responses!A1" TargetMode="External"/><Relationship Id="rId5" Type="http://schemas.openxmlformats.org/officeDocument/2006/relationships/hyperlink" Target="#Home!A1" TargetMode="External"/><Relationship Id="rId6" Type="http://schemas.openxmlformats.org/officeDocument/2006/relationships/hyperlink" Target="#Instructions!A1" TargetMode="External"/><Relationship Id="rId7" Type="http://schemas.openxmlformats.org/officeDocument/2006/relationships/hyperlink" Target="#Hazard!A1" TargetMode="External"/><Relationship Id="rId8" Type="http://schemas.openxmlformats.org/officeDocument/2006/relationships/hyperlink" Target="#Exposure!A1" TargetMode="External"/></Relationships>
</file>

<file path=xl/drawings/_rels/drawing6.xml.rels><?xml version="1.0" encoding="UTF-8" standalone="yes"?><Relationships xmlns="http://schemas.openxmlformats.org/package/2006/relationships"><Relationship Id="rId1" Type="http://schemas.openxmlformats.org/officeDocument/2006/relationships/hyperlink" Target="#'Adaptive%20Capacity'!A1" TargetMode="External"/><Relationship Id="rId2" Type="http://schemas.openxmlformats.org/officeDocument/2006/relationships/hyperlink" Target="#RVAT_Output!A1" TargetMode="External"/><Relationship Id="rId3" Type="http://schemas.openxmlformats.org/officeDocument/2006/relationships/hyperlink" Target="#Responses!A1" TargetMode="External"/><Relationship Id="rId4" Type="http://schemas.openxmlformats.org/officeDocument/2006/relationships/hyperlink" Target="#Home!A1" TargetMode="External"/><Relationship Id="rId5" Type="http://schemas.openxmlformats.org/officeDocument/2006/relationships/hyperlink" Target="#Instructions!A1" TargetMode="External"/><Relationship Id="rId6" Type="http://schemas.openxmlformats.org/officeDocument/2006/relationships/hyperlink" Target="#Hazard!A1" TargetMode="External"/><Relationship Id="rId7" Type="http://schemas.openxmlformats.org/officeDocument/2006/relationships/hyperlink" Target="#Exposure!A1" TargetMode="External"/><Relationship Id="rId8" Type="http://schemas.openxmlformats.org/officeDocument/2006/relationships/hyperlink" Target="#Sensitivity!A1" TargetMode="External"/></Relationships>
</file>

<file path=xl/drawings/_rels/drawing7.xml.rels><?xml version="1.0" encoding="UTF-8" standalone="yes"?><Relationships xmlns="http://schemas.openxmlformats.org/package/2006/relationships"><Relationship Id="rId40" Type="http://schemas.openxmlformats.org/officeDocument/2006/relationships/hyperlink" Target="#RVAT_Output!A1" TargetMode="External"/><Relationship Id="rId20" Type="http://schemas.openxmlformats.org/officeDocument/2006/relationships/hyperlink" Target="#RVAT_Output!A102" TargetMode="External"/><Relationship Id="rId22" Type="http://schemas.openxmlformats.org/officeDocument/2006/relationships/hyperlink" Target="#RVAT_Output!A157" TargetMode="External"/><Relationship Id="rId21" Type="http://schemas.openxmlformats.org/officeDocument/2006/relationships/hyperlink" Target="#RVAT_Output!A129" TargetMode="External"/><Relationship Id="rId24" Type="http://schemas.openxmlformats.org/officeDocument/2006/relationships/hyperlink" Target="#RVAT_Output!A1" TargetMode="External"/><Relationship Id="rId23" Type="http://schemas.openxmlformats.org/officeDocument/2006/relationships/hyperlink" Target="#RVAT_Output!A212" TargetMode="Externa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26" Type="http://schemas.openxmlformats.org/officeDocument/2006/relationships/hyperlink" Target="#RVAT_Output!A1" TargetMode="External"/><Relationship Id="rId25" Type="http://schemas.openxmlformats.org/officeDocument/2006/relationships/hyperlink" Target="#RVAT_Output!A1" TargetMode="External"/><Relationship Id="rId28" Type="http://schemas.openxmlformats.org/officeDocument/2006/relationships/hyperlink" Target="#RVAT_Output!A1" TargetMode="External"/><Relationship Id="rId27" Type="http://schemas.openxmlformats.org/officeDocument/2006/relationships/hyperlink" Target="#RVAT_Output!A1" TargetMode="External"/><Relationship Id="rId5" Type="http://schemas.openxmlformats.org/officeDocument/2006/relationships/chart" Target="../charts/chart5.xml"/><Relationship Id="rId6" Type="http://schemas.openxmlformats.org/officeDocument/2006/relationships/chart" Target="../charts/chart6.xml"/><Relationship Id="rId29" Type="http://schemas.openxmlformats.org/officeDocument/2006/relationships/hyperlink" Target="#RVAT_Output!A1" TargetMode="External"/><Relationship Id="rId7" Type="http://schemas.openxmlformats.org/officeDocument/2006/relationships/chart" Target="../charts/chart7.xml"/><Relationship Id="rId8" Type="http://schemas.openxmlformats.org/officeDocument/2006/relationships/chart" Target="../charts/chart8.xml"/><Relationship Id="rId31" Type="http://schemas.openxmlformats.org/officeDocument/2006/relationships/hyperlink" Target="#Responses!A1" TargetMode="External"/><Relationship Id="rId30" Type="http://schemas.openxmlformats.org/officeDocument/2006/relationships/hyperlink" Target="#'Adaptive%20Capacity'!A1" TargetMode="External"/><Relationship Id="rId11" Type="http://schemas.openxmlformats.org/officeDocument/2006/relationships/chart" Target="../charts/chart11.xml"/><Relationship Id="rId33" Type="http://schemas.openxmlformats.org/officeDocument/2006/relationships/hyperlink" Target="#Instructions!A1" TargetMode="External"/><Relationship Id="rId10" Type="http://schemas.openxmlformats.org/officeDocument/2006/relationships/chart" Target="../charts/chart10.xml"/><Relationship Id="rId32" Type="http://schemas.openxmlformats.org/officeDocument/2006/relationships/hyperlink" Target="#Home!A1" TargetMode="External"/><Relationship Id="rId13" Type="http://schemas.openxmlformats.org/officeDocument/2006/relationships/chart" Target="../charts/chart13.xml"/><Relationship Id="rId35" Type="http://schemas.openxmlformats.org/officeDocument/2006/relationships/hyperlink" Target="#Exposure!A1" TargetMode="External"/><Relationship Id="rId12" Type="http://schemas.openxmlformats.org/officeDocument/2006/relationships/chart" Target="../charts/chart12.xml"/><Relationship Id="rId34" Type="http://schemas.openxmlformats.org/officeDocument/2006/relationships/hyperlink" Target="#Hazard!A1" TargetMode="External"/><Relationship Id="rId15" Type="http://schemas.openxmlformats.org/officeDocument/2006/relationships/chart" Target="../charts/chart15.xml"/><Relationship Id="rId37" Type="http://schemas.openxmlformats.org/officeDocument/2006/relationships/hyperlink" Target="#RVAT_Output!A1" TargetMode="External"/><Relationship Id="rId14" Type="http://schemas.openxmlformats.org/officeDocument/2006/relationships/chart" Target="../charts/chart14.xml"/><Relationship Id="rId36" Type="http://schemas.openxmlformats.org/officeDocument/2006/relationships/hyperlink" Target="#Sensitivity!A1" TargetMode="External"/><Relationship Id="rId17" Type="http://schemas.openxmlformats.org/officeDocument/2006/relationships/chart" Target="../charts/chart17.xml"/><Relationship Id="rId39" Type="http://schemas.openxmlformats.org/officeDocument/2006/relationships/hyperlink" Target="#RVAT_Output!A1" TargetMode="External"/><Relationship Id="rId16" Type="http://schemas.openxmlformats.org/officeDocument/2006/relationships/chart" Target="../charts/chart16.xml"/><Relationship Id="rId38" Type="http://schemas.openxmlformats.org/officeDocument/2006/relationships/hyperlink" Target="#RVAT_Output!A1" TargetMode="External"/><Relationship Id="rId19" Type="http://schemas.openxmlformats.org/officeDocument/2006/relationships/hyperlink" Target="#RVAT_Output!A75" TargetMode="External"/><Relationship Id="rId18" Type="http://schemas.openxmlformats.org/officeDocument/2006/relationships/hyperlink" Target="#RVAT_Output!A49" TargetMode="External"/></Relationships>
</file>

<file path=xl/drawings/_rels/drawing8.xml.rels><?xml version="1.0" encoding="UTF-8" standalone="yes"?><Relationships xmlns="http://schemas.openxmlformats.org/package/2006/relationships"><Relationship Id="rId1" Type="http://schemas.openxmlformats.org/officeDocument/2006/relationships/hyperlink" Target="#Responses!A1" TargetMode="External"/><Relationship Id="rId2" Type="http://schemas.openxmlformats.org/officeDocument/2006/relationships/hyperlink" Target="#Responses!A1" TargetMode="External"/><Relationship Id="rId3" Type="http://schemas.openxmlformats.org/officeDocument/2006/relationships/hyperlink" Target="#'Adaptive%20Capacity'!A1" TargetMode="External"/><Relationship Id="rId4" Type="http://schemas.openxmlformats.org/officeDocument/2006/relationships/hyperlink" Target="#RVAT_Output!A1" TargetMode="External"/><Relationship Id="rId9" Type="http://schemas.openxmlformats.org/officeDocument/2006/relationships/hyperlink" Target="#Sensitivity!A1" TargetMode="External"/><Relationship Id="rId5" Type="http://schemas.openxmlformats.org/officeDocument/2006/relationships/hyperlink" Target="#Home!A1" TargetMode="External"/><Relationship Id="rId6" Type="http://schemas.openxmlformats.org/officeDocument/2006/relationships/hyperlink" Target="#Instructions!A1" TargetMode="External"/><Relationship Id="rId7" Type="http://schemas.openxmlformats.org/officeDocument/2006/relationships/hyperlink" Target="#Hazard!A1" TargetMode="External"/><Relationship Id="rId8" Type="http://schemas.openxmlformats.org/officeDocument/2006/relationships/hyperlink" Target="#Exposure!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54</xdr:row>
      <xdr:rowOff>228600</xdr:rowOff>
    </xdr:from>
    <xdr:ext cx="1704975" cy="304800"/>
    <xdr:sp>
      <xdr:nvSpPr>
        <xdr:cNvPr id="3" name="Shape 3">
          <a:hlinkClick r:id="rId1"/>
        </xdr:cNvPr>
        <xdr:cNvSpPr/>
      </xdr:nvSpPr>
      <xdr:spPr>
        <a:xfrm>
          <a:off x="4498275" y="3632363"/>
          <a:ext cx="1695450" cy="2952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20</xdr:col>
      <xdr:colOff>419100</xdr:colOff>
      <xdr:row>54</xdr:row>
      <xdr:rowOff>219075</xdr:rowOff>
    </xdr:from>
    <xdr:ext cx="1704975" cy="304800"/>
    <xdr:sp>
      <xdr:nvSpPr>
        <xdr:cNvPr id="4" name="Shape 4">
          <a:hlinkClick r:id="rId2"/>
        </xdr:cNvPr>
        <xdr:cNvSpPr/>
      </xdr:nvSpPr>
      <xdr:spPr>
        <a:xfrm>
          <a:off x="4498275" y="3632363"/>
          <a:ext cx="1695450" cy="2952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23</xdr:col>
      <xdr:colOff>523875</xdr:colOff>
      <xdr:row>54</xdr:row>
      <xdr:rowOff>200025</xdr:rowOff>
    </xdr:from>
    <xdr:ext cx="1704975" cy="333375"/>
    <xdr:sp>
      <xdr:nvSpPr>
        <xdr:cNvPr id="5" name="Shape 5">
          <a:hlinkClick r:id="rId3"/>
        </xdr:cNvPr>
        <xdr:cNvSpPr/>
      </xdr:nvSpPr>
      <xdr:spPr>
        <a:xfrm>
          <a:off x="4498275" y="3618075"/>
          <a:ext cx="1695450" cy="3238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1</xdr:col>
      <xdr:colOff>266700</xdr:colOff>
      <xdr:row>11</xdr:row>
      <xdr:rowOff>104775</xdr:rowOff>
    </xdr:from>
    <xdr:ext cx="2466975" cy="4505325"/>
    <xdr:sp>
      <xdr:nvSpPr>
        <xdr:cNvPr id="6" name="Shape 6"/>
        <xdr:cNvSpPr/>
      </xdr:nvSpPr>
      <xdr:spPr>
        <a:xfrm>
          <a:off x="4117275" y="1532100"/>
          <a:ext cx="2457450" cy="44958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HAZARD</a:t>
          </a:r>
          <a:endParaRPr sz="1400"/>
        </a:p>
      </xdr:txBody>
    </xdr:sp>
    <xdr:clientData fLocksWithSheet="0"/>
  </xdr:oneCellAnchor>
  <xdr:oneCellAnchor>
    <xdr:from>
      <xdr:col>17</xdr:col>
      <xdr:colOff>104775</xdr:colOff>
      <xdr:row>11</xdr:row>
      <xdr:rowOff>104775</xdr:rowOff>
    </xdr:from>
    <xdr:ext cx="2514600" cy="3105150"/>
    <xdr:sp>
      <xdr:nvSpPr>
        <xdr:cNvPr id="7" name="Shape 7"/>
        <xdr:cNvSpPr/>
      </xdr:nvSpPr>
      <xdr:spPr>
        <a:xfrm>
          <a:off x="4093463" y="2232188"/>
          <a:ext cx="2505075" cy="3095625"/>
        </a:xfrm>
        <a:prstGeom prst="rect">
          <a:avLst/>
        </a:prstGeom>
        <a:solidFill>
          <a:srgbClr val="00206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RISK</a:t>
          </a:r>
          <a:endParaRPr sz="1400"/>
        </a:p>
      </xdr:txBody>
    </xdr:sp>
    <xdr:clientData fLocksWithSheet="0"/>
  </xdr:oneCellAnchor>
  <xdr:oneCellAnchor>
    <xdr:from>
      <xdr:col>16</xdr:col>
      <xdr:colOff>57150</xdr:colOff>
      <xdr:row>17</xdr:row>
      <xdr:rowOff>152400</xdr:rowOff>
    </xdr:from>
    <xdr:ext cx="571500" cy="476250"/>
    <xdr:sp>
      <xdr:nvSpPr>
        <xdr:cNvPr id="8" name="Shape 8"/>
        <xdr:cNvSpPr/>
      </xdr:nvSpPr>
      <xdr:spPr>
        <a:xfrm>
          <a:off x="5060250" y="3546638"/>
          <a:ext cx="571500" cy="466725"/>
        </a:xfrm>
        <a:prstGeom prst="mathEqual">
          <a:avLst>
            <a:gd fmla="val 23520" name="adj1"/>
            <a:gd fmla="val 11760" name="adj2"/>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11</xdr:col>
      <xdr:colOff>38100</xdr:colOff>
      <xdr:row>18</xdr:row>
      <xdr:rowOff>47625</xdr:rowOff>
    </xdr:from>
    <xdr:ext cx="476250" cy="476250"/>
    <xdr:sp>
      <xdr:nvSpPr>
        <xdr:cNvPr id="9" name="Shape 9"/>
        <xdr:cNvSpPr/>
      </xdr:nvSpPr>
      <xdr:spPr>
        <a:xfrm>
          <a:off x="5112638" y="3546638"/>
          <a:ext cx="466725" cy="466725"/>
        </a:xfrm>
        <a:prstGeom prst="mathMultiply">
          <a:avLst>
            <a:gd fmla="val 23520" name="adj1"/>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209550</xdr:colOff>
      <xdr:row>16</xdr:row>
      <xdr:rowOff>114300</xdr:rowOff>
    </xdr:from>
    <xdr:ext cx="1838325" cy="304800"/>
    <xdr:sp>
      <xdr:nvSpPr>
        <xdr:cNvPr id="10" name="Shape 10"/>
        <xdr:cNvSpPr/>
      </xdr:nvSpPr>
      <xdr:spPr>
        <a:xfrm>
          <a:off x="4431600" y="3632363"/>
          <a:ext cx="18288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Precipitation</a:t>
          </a:r>
          <a:endParaRPr sz="1400"/>
        </a:p>
      </xdr:txBody>
    </xdr:sp>
    <xdr:clientData fLocksWithSheet="0"/>
  </xdr:oneCellAnchor>
  <xdr:oneCellAnchor>
    <xdr:from>
      <xdr:col>2</xdr:col>
      <xdr:colOff>209550</xdr:colOff>
      <xdr:row>14</xdr:row>
      <xdr:rowOff>85725</xdr:rowOff>
    </xdr:from>
    <xdr:ext cx="1838325" cy="276225"/>
    <xdr:sp>
      <xdr:nvSpPr>
        <xdr:cNvPr id="11" name="Shape 11"/>
        <xdr:cNvSpPr/>
      </xdr:nvSpPr>
      <xdr:spPr>
        <a:xfrm>
          <a:off x="4431600" y="3646650"/>
          <a:ext cx="1828800" cy="2667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Temperature</a:t>
          </a:r>
          <a:endParaRPr sz="1400"/>
        </a:p>
      </xdr:txBody>
    </xdr:sp>
    <xdr:clientData fLocksWithSheet="0"/>
  </xdr:oneCellAnchor>
  <xdr:oneCellAnchor>
    <xdr:from>
      <xdr:col>2</xdr:col>
      <xdr:colOff>209550</xdr:colOff>
      <xdr:row>18</xdr:row>
      <xdr:rowOff>180975</xdr:rowOff>
    </xdr:from>
    <xdr:ext cx="1838325" cy="314325"/>
    <xdr:sp>
      <xdr:nvSpPr>
        <xdr:cNvPr id="12" name="Shape 12"/>
        <xdr:cNvSpPr/>
      </xdr:nvSpPr>
      <xdr:spPr>
        <a:xfrm>
          <a:off x="4431600" y="3627600"/>
          <a:ext cx="1828800" cy="3048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Drought</a:t>
          </a:r>
          <a:endParaRPr sz="1400"/>
        </a:p>
      </xdr:txBody>
    </xdr:sp>
    <xdr:clientData fLocksWithSheet="0"/>
  </xdr:oneCellAnchor>
  <xdr:oneCellAnchor>
    <xdr:from>
      <xdr:col>2</xdr:col>
      <xdr:colOff>209550</xdr:colOff>
      <xdr:row>21</xdr:row>
      <xdr:rowOff>57150</xdr:rowOff>
    </xdr:from>
    <xdr:ext cx="1838325" cy="304800"/>
    <xdr:sp>
      <xdr:nvSpPr>
        <xdr:cNvPr id="13" name="Shape 13"/>
        <xdr:cNvSpPr/>
      </xdr:nvSpPr>
      <xdr:spPr>
        <a:xfrm>
          <a:off x="4431600" y="3632363"/>
          <a:ext cx="18288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Flooding</a:t>
          </a:r>
          <a:endParaRPr sz="1400"/>
        </a:p>
      </xdr:txBody>
    </xdr:sp>
    <xdr:clientData fLocksWithSheet="0"/>
  </xdr:oneCellAnchor>
  <xdr:oneCellAnchor>
    <xdr:from>
      <xdr:col>7</xdr:col>
      <xdr:colOff>57150</xdr:colOff>
      <xdr:row>11</xdr:row>
      <xdr:rowOff>76200</xdr:rowOff>
    </xdr:from>
    <xdr:ext cx="2324100" cy="3057525"/>
    <xdr:sp>
      <xdr:nvSpPr>
        <xdr:cNvPr id="14" name="Shape 14"/>
        <xdr:cNvSpPr/>
      </xdr:nvSpPr>
      <xdr:spPr>
        <a:xfrm>
          <a:off x="4188713" y="2256000"/>
          <a:ext cx="2314575" cy="3048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EXPOSURE</a:t>
          </a:r>
          <a:endParaRPr sz="1400"/>
        </a:p>
      </xdr:txBody>
    </xdr:sp>
    <xdr:clientData fLocksWithSheet="0"/>
  </xdr:oneCellAnchor>
  <xdr:oneCellAnchor>
    <xdr:from>
      <xdr:col>7</xdr:col>
      <xdr:colOff>257175</xdr:colOff>
      <xdr:row>16</xdr:row>
      <xdr:rowOff>142875</xdr:rowOff>
    </xdr:from>
    <xdr:ext cx="1952625" cy="304800"/>
    <xdr:sp>
      <xdr:nvSpPr>
        <xdr:cNvPr id="15" name="Shape 15"/>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Health &amp; </a:t>
          </a:r>
          <a:r>
            <a:rPr b="1" lang="en-US" sz="1400">
              <a:solidFill>
                <a:srgbClr val="1F3864"/>
              </a:solidFill>
              <a:latin typeface="Calibri"/>
              <a:ea typeface="Calibri"/>
              <a:cs typeface="Calibri"/>
              <a:sym typeface="Calibri"/>
            </a:rPr>
            <a:t>S</a:t>
          </a:r>
          <a:r>
            <a:rPr b="1" lang="en-US" sz="1400">
              <a:solidFill>
                <a:srgbClr val="1F3864"/>
              </a:solidFill>
              <a:latin typeface="Calibri"/>
              <a:ea typeface="Calibri"/>
              <a:cs typeface="Calibri"/>
              <a:sym typeface="Calibri"/>
            </a:rPr>
            <a:t>afety </a:t>
          </a:r>
          <a:endParaRPr sz="1400"/>
        </a:p>
      </xdr:txBody>
    </xdr:sp>
    <xdr:clientData fLocksWithSheet="0"/>
  </xdr:oneCellAnchor>
  <xdr:oneCellAnchor>
    <xdr:from>
      <xdr:col>7</xdr:col>
      <xdr:colOff>257175</xdr:colOff>
      <xdr:row>14</xdr:row>
      <xdr:rowOff>85725</xdr:rowOff>
    </xdr:from>
    <xdr:ext cx="1952625" cy="304800"/>
    <xdr:sp>
      <xdr:nvSpPr>
        <xdr:cNvPr id="16" name="Shape 16"/>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Livelihoods</a:t>
          </a:r>
          <a:endParaRPr sz="1400"/>
        </a:p>
      </xdr:txBody>
    </xdr:sp>
    <xdr:clientData fLocksWithSheet="0"/>
  </xdr:oneCellAnchor>
  <xdr:oneCellAnchor>
    <xdr:from>
      <xdr:col>7</xdr:col>
      <xdr:colOff>257175</xdr:colOff>
      <xdr:row>21</xdr:row>
      <xdr:rowOff>57150</xdr:rowOff>
    </xdr:from>
    <xdr:ext cx="1952625" cy="304800"/>
    <xdr:sp>
      <xdr:nvSpPr>
        <xdr:cNvPr id="17" name="Shape 17"/>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Potable Water</a:t>
          </a:r>
          <a:endParaRPr sz="1400"/>
        </a:p>
      </xdr:txBody>
    </xdr:sp>
    <xdr:clientData fLocksWithSheet="0"/>
  </xdr:oneCellAnchor>
  <xdr:oneCellAnchor>
    <xdr:from>
      <xdr:col>7</xdr:col>
      <xdr:colOff>257175</xdr:colOff>
      <xdr:row>23</xdr:row>
      <xdr:rowOff>114300</xdr:rowOff>
    </xdr:from>
    <xdr:ext cx="1952625" cy="304800"/>
    <xdr:sp>
      <xdr:nvSpPr>
        <xdr:cNvPr id="18" name="Shape 18"/>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Ecology</a:t>
          </a:r>
          <a:r>
            <a:rPr b="1" lang="en-US" sz="1400">
              <a:solidFill>
                <a:srgbClr val="1F3864"/>
              </a:solidFill>
              <a:latin typeface="Calibri"/>
              <a:ea typeface="Calibri"/>
              <a:cs typeface="Calibri"/>
              <a:sym typeface="Calibri"/>
            </a:rPr>
            <a:t> &amp; Biodiversity</a:t>
          </a:r>
          <a:endParaRPr b="1" sz="1400">
            <a:solidFill>
              <a:srgbClr val="1F3864"/>
            </a:solidFill>
          </a:endParaRPr>
        </a:p>
      </xdr:txBody>
    </xdr:sp>
    <xdr:clientData fLocksWithSheet="0"/>
  </xdr:oneCellAnchor>
  <xdr:oneCellAnchor>
    <xdr:from>
      <xdr:col>2</xdr:col>
      <xdr:colOff>209550</xdr:colOff>
      <xdr:row>23</xdr:row>
      <xdr:rowOff>114300</xdr:rowOff>
    </xdr:from>
    <xdr:ext cx="1838325" cy="304800"/>
    <xdr:sp>
      <xdr:nvSpPr>
        <xdr:cNvPr id="19" name="Shape 19"/>
        <xdr:cNvSpPr/>
      </xdr:nvSpPr>
      <xdr:spPr>
        <a:xfrm>
          <a:off x="4431600" y="3632363"/>
          <a:ext cx="18288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Flash</a:t>
          </a:r>
          <a:r>
            <a:rPr b="1" lang="en-US" sz="1400">
              <a:solidFill>
                <a:srgbClr val="1F3864"/>
              </a:solidFill>
              <a:latin typeface="Calibri"/>
              <a:ea typeface="Calibri"/>
              <a:cs typeface="Calibri"/>
              <a:sym typeface="Calibri"/>
            </a:rPr>
            <a:t> Floods</a:t>
          </a:r>
          <a:endParaRPr b="1" sz="1400">
            <a:solidFill>
              <a:srgbClr val="1F3864"/>
            </a:solidFill>
          </a:endParaRPr>
        </a:p>
      </xdr:txBody>
    </xdr:sp>
    <xdr:clientData fLocksWithSheet="0"/>
  </xdr:oneCellAnchor>
  <xdr:oneCellAnchor>
    <xdr:from>
      <xdr:col>7</xdr:col>
      <xdr:colOff>257175</xdr:colOff>
      <xdr:row>19</xdr:row>
      <xdr:rowOff>9525</xdr:rowOff>
    </xdr:from>
    <xdr:ext cx="1952625" cy="304800"/>
    <xdr:sp>
      <xdr:nvSpPr>
        <xdr:cNvPr id="20" name="Shape 20"/>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Assets and Utilities</a:t>
          </a:r>
          <a:endParaRPr sz="1400"/>
        </a:p>
      </xdr:txBody>
    </xdr:sp>
    <xdr:clientData fLocksWithSheet="0"/>
  </xdr:oneCellAnchor>
  <xdr:oneCellAnchor>
    <xdr:from>
      <xdr:col>19</xdr:col>
      <xdr:colOff>0</xdr:colOff>
      <xdr:row>15</xdr:row>
      <xdr:rowOff>95250</xdr:rowOff>
    </xdr:from>
    <xdr:ext cx="238125" cy="1228725"/>
    <xdr:sp>
      <xdr:nvSpPr>
        <xdr:cNvPr id="21" name="Shape 21"/>
        <xdr:cNvSpPr/>
      </xdr:nvSpPr>
      <xdr:spPr>
        <a:xfrm>
          <a:off x="5231700" y="3170400"/>
          <a:ext cx="228600" cy="12192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t/>
          </a:r>
          <a:endParaRPr b="1" sz="1400">
            <a:solidFill>
              <a:srgbClr val="1E4E79"/>
            </a:solidFill>
          </a:endParaRPr>
        </a:p>
      </xdr:txBody>
    </xdr:sp>
    <xdr:clientData fLocksWithSheet="0"/>
  </xdr:oneCellAnchor>
  <xdr:oneCellAnchor>
    <xdr:from>
      <xdr:col>17</xdr:col>
      <xdr:colOff>295275</xdr:colOff>
      <xdr:row>16</xdr:row>
      <xdr:rowOff>142875</xdr:rowOff>
    </xdr:from>
    <xdr:ext cx="2162175" cy="323850"/>
    <xdr:sp>
      <xdr:nvSpPr>
        <xdr:cNvPr id="22" name="Shape 22"/>
        <xdr:cNvSpPr/>
      </xdr:nvSpPr>
      <xdr:spPr>
        <a:xfrm>
          <a:off x="4269675" y="3622838"/>
          <a:ext cx="2152650" cy="314325"/>
        </a:xfrm>
        <a:prstGeom prst="rect">
          <a:avLst/>
        </a:prstGeom>
        <a:solidFill>
          <a:schemeClr val="lt1"/>
        </a:solidFill>
        <a:ln cap="flat" cmpd="sng" w="12700">
          <a:solidFill>
            <a:srgbClr val="00206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E4E79"/>
              </a:solidFill>
              <a:latin typeface="Calibri"/>
              <a:ea typeface="Calibri"/>
              <a:cs typeface="Calibri"/>
              <a:sym typeface="Calibri"/>
            </a:rPr>
            <a:t>Medium</a:t>
          </a:r>
          <a:endParaRPr sz="1400"/>
        </a:p>
      </xdr:txBody>
    </xdr:sp>
    <xdr:clientData fLocksWithSheet="0"/>
  </xdr:oneCellAnchor>
  <xdr:oneCellAnchor>
    <xdr:from>
      <xdr:col>17</xdr:col>
      <xdr:colOff>323850</xdr:colOff>
      <xdr:row>14</xdr:row>
      <xdr:rowOff>85725</xdr:rowOff>
    </xdr:from>
    <xdr:ext cx="2162175" cy="323850"/>
    <xdr:sp>
      <xdr:nvSpPr>
        <xdr:cNvPr id="23" name="Shape 23"/>
        <xdr:cNvSpPr/>
      </xdr:nvSpPr>
      <xdr:spPr>
        <a:xfrm>
          <a:off x="4269675" y="3622838"/>
          <a:ext cx="2152650" cy="314325"/>
        </a:xfrm>
        <a:prstGeom prst="rect">
          <a:avLst/>
        </a:prstGeom>
        <a:solidFill>
          <a:schemeClr val="lt1"/>
        </a:solidFill>
        <a:ln cap="flat" cmpd="sng" w="12700">
          <a:solidFill>
            <a:srgbClr val="00206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E4E79"/>
              </a:solidFill>
              <a:latin typeface="Calibri"/>
              <a:ea typeface="Calibri"/>
              <a:cs typeface="Calibri"/>
              <a:sym typeface="Calibri"/>
            </a:rPr>
            <a:t>Low</a:t>
          </a:r>
          <a:endParaRPr sz="1400"/>
        </a:p>
      </xdr:txBody>
    </xdr:sp>
    <xdr:clientData fLocksWithSheet="0"/>
  </xdr:oneCellAnchor>
  <xdr:oneCellAnchor>
    <xdr:from>
      <xdr:col>17</xdr:col>
      <xdr:colOff>295275</xdr:colOff>
      <xdr:row>21</xdr:row>
      <xdr:rowOff>85725</xdr:rowOff>
    </xdr:from>
    <xdr:ext cx="2162175" cy="885825"/>
    <xdr:sp>
      <xdr:nvSpPr>
        <xdr:cNvPr id="24" name="Shape 24"/>
        <xdr:cNvSpPr/>
      </xdr:nvSpPr>
      <xdr:spPr>
        <a:xfrm>
          <a:off x="4269675" y="3341850"/>
          <a:ext cx="2152650" cy="8763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i="1" lang="en-US" sz="1200">
              <a:solidFill>
                <a:srgbClr val="1E4E79"/>
              </a:solidFill>
              <a:latin typeface="Calibri"/>
              <a:ea typeface="Calibri"/>
              <a:cs typeface="Calibri"/>
              <a:sym typeface="Calibri"/>
            </a:rPr>
            <a:t>Risk to livelihoods, health &amp; safety, assets &amp; utilities, portable water, ecology biodiversity &amp; settlement, institutions</a:t>
          </a:r>
          <a:endParaRPr sz="1400"/>
        </a:p>
      </xdr:txBody>
    </xdr:sp>
    <xdr:clientData fLocksWithSheet="0"/>
  </xdr:oneCellAnchor>
  <xdr:oneCellAnchor>
    <xdr:from>
      <xdr:col>17</xdr:col>
      <xdr:colOff>285750</xdr:colOff>
      <xdr:row>19</xdr:row>
      <xdr:rowOff>0</xdr:rowOff>
    </xdr:from>
    <xdr:ext cx="2162175" cy="323850"/>
    <xdr:sp>
      <xdr:nvSpPr>
        <xdr:cNvPr id="25" name="Shape 25"/>
        <xdr:cNvSpPr/>
      </xdr:nvSpPr>
      <xdr:spPr>
        <a:xfrm>
          <a:off x="4269675" y="3622838"/>
          <a:ext cx="2152650" cy="314325"/>
        </a:xfrm>
        <a:prstGeom prst="rect">
          <a:avLst/>
        </a:prstGeom>
        <a:solidFill>
          <a:schemeClr val="lt1"/>
        </a:solidFill>
        <a:ln cap="flat" cmpd="sng" w="12700">
          <a:solidFill>
            <a:srgbClr val="00206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E4E79"/>
              </a:solidFill>
              <a:latin typeface="Calibri"/>
              <a:ea typeface="Calibri"/>
              <a:cs typeface="Calibri"/>
              <a:sym typeface="Calibri"/>
            </a:rPr>
            <a:t>High</a:t>
          </a:r>
          <a:endParaRPr sz="1400"/>
        </a:p>
      </xdr:txBody>
    </xdr:sp>
    <xdr:clientData fLocksWithSheet="0"/>
  </xdr:oneCellAnchor>
  <xdr:oneCellAnchor>
    <xdr:from>
      <xdr:col>21</xdr:col>
      <xdr:colOff>247650</xdr:colOff>
      <xdr:row>17</xdr:row>
      <xdr:rowOff>161925</xdr:rowOff>
    </xdr:from>
    <xdr:ext cx="895350" cy="447675"/>
    <xdr:sp>
      <xdr:nvSpPr>
        <xdr:cNvPr id="26" name="Shape 26"/>
        <xdr:cNvSpPr/>
      </xdr:nvSpPr>
      <xdr:spPr>
        <a:xfrm>
          <a:off x="4903088" y="3560925"/>
          <a:ext cx="885825" cy="438150"/>
        </a:xfrm>
        <a:prstGeom prst="rightArrow">
          <a:avLst>
            <a:gd fmla="val 50000" name="adj1"/>
            <a:gd fmla="val 38473" name="adj2"/>
          </a:avLst>
        </a:prstGeom>
        <a:solidFill>
          <a:srgbClr val="7F7F7F"/>
        </a:solidFill>
        <a:ln cap="flat" cmpd="sng" w="12700">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1</xdr:col>
      <xdr:colOff>19050</xdr:colOff>
      <xdr:row>54</xdr:row>
      <xdr:rowOff>133350</xdr:rowOff>
    </xdr:from>
    <xdr:ext cx="1695450" cy="400050"/>
    <xdr:sp>
      <xdr:nvSpPr>
        <xdr:cNvPr id="27" name="Shape 27">
          <a:hlinkClick r:id="rId4"/>
        </xdr:cNvPr>
        <xdr:cNvSpPr/>
      </xdr:nvSpPr>
      <xdr:spPr>
        <a:xfrm>
          <a:off x="4503038" y="3584738"/>
          <a:ext cx="1685925" cy="39052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4</xdr:col>
      <xdr:colOff>371475</xdr:colOff>
      <xdr:row>54</xdr:row>
      <xdr:rowOff>171450</xdr:rowOff>
    </xdr:from>
    <xdr:ext cx="1704975" cy="381000"/>
    <xdr:sp>
      <xdr:nvSpPr>
        <xdr:cNvPr id="28" name="Shape 28">
          <a:hlinkClick r:id="rId5"/>
        </xdr:cNvPr>
        <xdr:cNvSpPr/>
      </xdr:nvSpPr>
      <xdr:spPr>
        <a:xfrm>
          <a:off x="4498275" y="3594263"/>
          <a:ext cx="1695450" cy="3714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8</xdr:col>
      <xdr:colOff>38100</xdr:colOff>
      <xdr:row>54</xdr:row>
      <xdr:rowOff>228600</xdr:rowOff>
    </xdr:from>
    <xdr:ext cx="1695450" cy="304800"/>
    <xdr:sp>
      <xdr:nvSpPr>
        <xdr:cNvPr id="29" name="Shape 29">
          <a:hlinkClick r:id="rId6"/>
        </xdr:cNvPr>
        <xdr:cNvSpPr/>
      </xdr:nvSpPr>
      <xdr:spPr>
        <a:xfrm>
          <a:off x="4503038" y="3632363"/>
          <a:ext cx="1685925" cy="2952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6</xdr:col>
      <xdr:colOff>0</xdr:colOff>
      <xdr:row>18</xdr:row>
      <xdr:rowOff>47625</xdr:rowOff>
    </xdr:from>
    <xdr:ext cx="476250" cy="476250"/>
    <xdr:sp>
      <xdr:nvSpPr>
        <xdr:cNvPr id="30" name="Shape 30"/>
        <xdr:cNvSpPr/>
      </xdr:nvSpPr>
      <xdr:spPr>
        <a:xfrm>
          <a:off x="5112638" y="3546638"/>
          <a:ext cx="466725" cy="466725"/>
        </a:xfrm>
        <a:prstGeom prst="mathMultiply">
          <a:avLst>
            <a:gd fmla="val 23520" name="adj1"/>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114300</xdr:colOff>
      <xdr:row>54</xdr:row>
      <xdr:rowOff>228600</xdr:rowOff>
    </xdr:from>
    <xdr:ext cx="1714500" cy="304800"/>
    <xdr:sp>
      <xdr:nvSpPr>
        <xdr:cNvPr id="31" name="Shape 31">
          <a:hlinkClick r:id="rId7"/>
        </xdr:cNvPr>
        <xdr:cNvSpPr/>
      </xdr:nvSpPr>
      <xdr:spPr>
        <a:xfrm>
          <a:off x="4493513" y="3632363"/>
          <a:ext cx="1704975" cy="2952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14</xdr:col>
      <xdr:colOff>219075</xdr:colOff>
      <xdr:row>54</xdr:row>
      <xdr:rowOff>228600</xdr:rowOff>
    </xdr:from>
    <xdr:ext cx="1704975" cy="304800"/>
    <xdr:sp>
      <xdr:nvSpPr>
        <xdr:cNvPr id="32" name="Shape 32">
          <a:hlinkClick r:id="rId8"/>
        </xdr:cNvPr>
        <xdr:cNvSpPr/>
      </xdr:nvSpPr>
      <xdr:spPr>
        <a:xfrm>
          <a:off x="4498275" y="3632363"/>
          <a:ext cx="1695450" cy="2952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7</xdr:col>
      <xdr:colOff>247650</xdr:colOff>
      <xdr:row>25</xdr:row>
      <xdr:rowOff>142875</xdr:rowOff>
    </xdr:from>
    <xdr:ext cx="1971675" cy="352425"/>
    <xdr:sp>
      <xdr:nvSpPr>
        <xdr:cNvPr id="33" name="Shape 33"/>
        <xdr:cNvSpPr/>
      </xdr:nvSpPr>
      <xdr:spPr>
        <a:xfrm>
          <a:off x="4364925" y="3608550"/>
          <a:ext cx="1962150" cy="3429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Institutions</a:t>
          </a:r>
          <a:endParaRPr sz="1400"/>
        </a:p>
      </xdr:txBody>
    </xdr:sp>
    <xdr:clientData fLocksWithSheet="0"/>
  </xdr:oneCellAnchor>
  <xdr:oneCellAnchor>
    <xdr:from>
      <xdr:col>2</xdr:col>
      <xdr:colOff>238125</xdr:colOff>
      <xdr:row>25</xdr:row>
      <xdr:rowOff>161925</xdr:rowOff>
    </xdr:from>
    <xdr:ext cx="1819275" cy="371475"/>
    <xdr:sp>
      <xdr:nvSpPr>
        <xdr:cNvPr id="34" name="Shape 34"/>
        <xdr:cNvSpPr/>
      </xdr:nvSpPr>
      <xdr:spPr>
        <a:xfrm>
          <a:off x="4441125" y="3599025"/>
          <a:ext cx="1809750" cy="3619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a:solidFill>
                <a:srgbClr val="1F3864"/>
              </a:solidFill>
              <a:latin typeface="Calibri"/>
              <a:ea typeface="Calibri"/>
              <a:cs typeface="Calibri"/>
              <a:sym typeface="Calibri"/>
            </a:rPr>
            <a:t>Storm &amp; Upper Winds</a:t>
          </a:r>
          <a:endParaRPr sz="1400"/>
        </a:p>
      </xdr:txBody>
    </xdr:sp>
    <xdr:clientData fLocksWithSheet="0"/>
  </xdr:oneCellAnchor>
  <xdr:oneCellAnchor>
    <xdr:from>
      <xdr:col>2</xdr:col>
      <xdr:colOff>238125</xdr:colOff>
      <xdr:row>28</xdr:row>
      <xdr:rowOff>95250</xdr:rowOff>
    </xdr:from>
    <xdr:ext cx="1819275" cy="371475"/>
    <xdr:sp>
      <xdr:nvSpPr>
        <xdr:cNvPr id="35" name="Shape 35"/>
        <xdr:cNvSpPr/>
      </xdr:nvSpPr>
      <xdr:spPr>
        <a:xfrm>
          <a:off x="4441125" y="3599025"/>
          <a:ext cx="1809750" cy="3619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Pollution</a:t>
          </a:r>
          <a:endParaRPr sz="1400"/>
        </a:p>
      </xdr:txBody>
    </xdr:sp>
    <xdr:clientData fLocksWithSheet="0"/>
  </xdr:oneCellAnchor>
  <xdr:oneCellAnchor>
    <xdr:from>
      <xdr:col>2</xdr:col>
      <xdr:colOff>247650</xdr:colOff>
      <xdr:row>31</xdr:row>
      <xdr:rowOff>47625</xdr:rowOff>
    </xdr:from>
    <xdr:ext cx="1809750" cy="381000"/>
    <xdr:sp>
      <xdr:nvSpPr>
        <xdr:cNvPr id="36" name="Shape 36"/>
        <xdr:cNvSpPr/>
      </xdr:nvSpPr>
      <xdr:spPr>
        <a:xfrm>
          <a:off x="4445888" y="3594263"/>
          <a:ext cx="1800225" cy="3714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Land Use Inadiquacy</a:t>
          </a:r>
          <a:endParaRPr sz="1400"/>
        </a:p>
      </xdr:txBody>
    </xdr:sp>
    <xdr:clientData fLocksWithSheet="0"/>
  </xdr:oneCellAnchor>
  <xdr:oneCellAnchor>
    <xdr:from>
      <xdr:col>2</xdr:col>
      <xdr:colOff>247650</xdr:colOff>
      <xdr:row>34</xdr:row>
      <xdr:rowOff>9525</xdr:rowOff>
    </xdr:from>
    <xdr:ext cx="1809750" cy="352425"/>
    <xdr:sp>
      <xdr:nvSpPr>
        <xdr:cNvPr id="37" name="Shape 37"/>
        <xdr:cNvSpPr/>
      </xdr:nvSpPr>
      <xdr:spPr>
        <a:xfrm>
          <a:off x="4445888" y="3608550"/>
          <a:ext cx="1800225" cy="3429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Other Factors</a:t>
          </a:r>
          <a:endParaRPr sz="1400"/>
        </a:p>
      </xdr:txBody>
    </xdr:sp>
    <xdr:clientData fLocksWithSheet="0"/>
  </xdr:oneCellAnchor>
  <xdr:oneCellAnchor>
    <xdr:from>
      <xdr:col>12</xdr:col>
      <xdr:colOff>57150</xdr:colOff>
      <xdr:row>11</xdr:row>
      <xdr:rowOff>76200</xdr:rowOff>
    </xdr:from>
    <xdr:ext cx="2324100" cy="3057525"/>
    <xdr:sp>
      <xdr:nvSpPr>
        <xdr:cNvPr id="38" name="Shape 38"/>
        <xdr:cNvSpPr/>
      </xdr:nvSpPr>
      <xdr:spPr>
        <a:xfrm>
          <a:off x="4188713" y="2256000"/>
          <a:ext cx="2314575" cy="3048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VULNERABILITY</a:t>
          </a:r>
          <a:endParaRPr sz="1400"/>
        </a:p>
      </xdr:txBody>
    </xdr:sp>
    <xdr:clientData fLocksWithSheet="0"/>
  </xdr:oneCellAnchor>
  <xdr:oneCellAnchor>
    <xdr:from>
      <xdr:col>12</xdr:col>
      <xdr:colOff>257175</xdr:colOff>
      <xdr:row>16</xdr:row>
      <xdr:rowOff>142875</xdr:rowOff>
    </xdr:from>
    <xdr:ext cx="1952625" cy="304800"/>
    <xdr:sp>
      <xdr:nvSpPr>
        <xdr:cNvPr id="39" name="Shape 39"/>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Health &amp; </a:t>
          </a:r>
          <a:r>
            <a:rPr b="1" lang="en-US" sz="1400">
              <a:solidFill>
                <a:srgbClr val="1F3864"/>
              </a:solidFill>
              <a:latin typeface="Calibri"/>
              <a:ea typeface="Calibri"/>
              <a:cs typeface="Calibri"/>
              <a:sym typeface="Calibri"/>
            </a:rPr>
            <a:t>S</a:t>
          </a:r>
          <a:r>
            <a:rPr b="1" lang="en-US" sz="1400">
              <a:solidFill>
                <a:srgbClr val="1F3864"/>
              </a:solidFill>
              <a:latin typeface="Calibri"/>
              <a:ea typeface="Calibri"/>
              <a:cs typeface="Calibri"/>
              <a:sym typeface="Calibri"/>
            </a:rPr>
            <a:t>afety </a:t>
          </a:r>
          <a:endParaRPr sz="1400"/>
        </a:p>
      </xdr:txBody>
    </xdr:sp>
    <xdr:clientData fLocksWithSheet="0"/>
  </xdr:oneCellAnchor>
  <xdr:oneCellAnchor>
    <xdr:from>
      <xdr:col>12</xdr:col>
      <xdr:colOff>257175</xdr:colOff>
      <xdr:row>14</xdr:row>
      <xdr:rowOff>85725</xdr:rowOff>
    </xdr:from>
    <xdr:ext cx="1952625" cy="304800"/>
    <xdr:sp>
      <xdr:nvSpPr>
        <xdr:cNvPr id="40" name="Shape 40"/>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Livelihoods</a:t>
          </a:r>
          <a:endParaRPr sz="1400"/>
        </a:p>
      </xdr:txBody>
    </xdr:sp>
    <xdr:clientData fLocksWithSheet="0"/>
  </xdr:oneCellAnchor>
  <xdr:oneCellAnchor>
    <xdr:from>
      <xdr:col>12</xdr:col>
      <xdr:colOff>257175</xdr:colOff>
      <xdr:row>21</xdr:row>
      <xdr:rowOff>57150</xdr:rowOff>
    </xdr:from>
    <xdr:ext cx="1952625" cy="304800"/>
    <xdr:sp>
      <xdr:nvSpPr>
        <xdr:cNvPr id="41" name="Shape 41"/>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Potable Water</a:t>
          </a:r>
          <a:endParaRPr sz="1400"/>
        </a:p>
      </xdr:txBody>
    </xdr:sp>
    <xdr:clientData fLocksWithSheet="0"/>
  </xdr:oneCellAnchor>
  <xdr:oneCellAnchor>
    <xdr:from>
      <xdr:col>12</xdr:col>
      <xdr:colOff>257175</xdr:colOff>
      <xdr:row>23</xdr:row>
      <xdr:rowOff>114300</xdr:rowOff>
    </xdr:from>
    <xdr:ext cx="1952625" cy="304800"/>
    <xdr:sp>
      <xdr:nvSpPr>
        <xdr:cNvPr id="42" name="Shape 42"/>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Ecology</a:t>
          </a:r>
          <a:r>
            <a:rPr b="1" lang="en-US" sz="1400">
              <a:solidFill>
                <a:srgbClr val="1F3864"/>
              </a:solidFill>
              <a:latin typeface="Calibri"/>
              <a:ea typeface="Calibri"/>
              <a:cs typeface="Calibri"/>
              <a:sym typeface="Calibri"/>
            </a:rPr>
            <a:t> &amp; Biodiversity</a:t>
          </a:r>
          <a:endParaRPr b="1" sz="1400">
            <a:solidFill>
              <a:srgbClr val="1F3864"/>
            </a:solidFill>
          </a:endParaRPr>
        </a:p>
      </xdr:txBody>
    </xdr:sp>
    <xdr:clientData fLocksWithSheet="0"/>
  </xdr:oneCellAnchor>
  <xdr:oneCellAnchor>
    <xdr:from>
      <xdr:col>12</xdr:col>
      <xdr:colOff>257175</xdr:colOff>
      <xdr:row>19</xdr:row>
      <xdr:rowOff>9525</xdr:rowOff>
    </xdr:from>
    <xdr:ext cx="1952625" cy="304800"/>
    <xdr:sp>
      <xdr:nvSpPr>
        <xdr:cNvPr id="43" name="Shape 43"/>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Assets and Utilities</a:t>
          </a:r>
          <a:endParaRPr sz="1400"/>
        </a:p>
      </xdr:txBody>
    </xdr:sp>
    <xdr:clientData fLocksWithSheet="0"/>
  </xdr:oneCellAnchor>
  <xdr:oneCellAnchor>
    <xdr:from>
      <xdr:col>12</xdr:col>
      <xdr:colOff>247650</xdr:colOff>
      <xdr:row>25</xdr:row>
      <xdr:rowOff>142875</xdr:rowOff>
    </xdr:from>
    <xdr:ext cx="1971675" cy="352425"/>
    <xdr:sp>
      <xdr:nvSpPr>
        <xdr:cNvPr id="44" name="Shape 44"/>
        <xdr:cNvSpPr/>
      </xdr:nvSpPr>
      <xdr:spPr>
        <a:xfrm>
          <a:off x="4364925" y="3608550"/>
          <a:ext cx="1962150" cy="3429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Institutions</a:t>
          </a:r>
          <a:endParaRPr sz="1400"/>
        </a:p>
      </xdr:txBody>
    </xdr:sp>
    <xdr:clientData fLocksWithSheet="0"/>
  </xdr:oneCellAnchor>
  <xdr:oneCellAnchor>
    <xdr:from>
      <xdr:col>23</xdr:col>
      <xdr:colOff>57150</xdr:colOff>
      <xdr:row>11</xdr:row>
      <xdr:rowOff>76200</xdr:rowOff>
    </xdr:from>
    <xdr:ext cx="2333625" cy="3057525"/>
    <xdr:sp>
      <xdr:nvSpPr>
        <xdr:cNvPr id="45" name="Shape 45"/>
        <xdr:cNvSpPr/>
      </xdr:nvSpPr>
      <xdr:spPr>
        <a:xfrm>
          <a:off x="4183950" y="2256000"/>
          <a:ext cx="2324100" cy="3048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800">
              <a:solidFill>
                <a:schemeClr val="lt1"/>
              </a:solidFill>
              <a:latin typeface="Calibri"/>
              <a:ea typeface="Calibri"/>
              <a:cs typeface="Calibri"/>
              <a:sym typeface="Calibri"/>
            </a:rPr>
            <a:t>RESPONSES</a:t>
          </a:r>
          <a:endParaRPr sz="1400"/>
        </a:p>
      </xdr:txBody>
    </xdr:sp>
    <xdr:clientData fLocksWithSheet="0"/>
  </xdr:oneCellAnchor>
  <xdr:oneCellAnchor>
    <xdr:from>
      <xdr:col>23</xdr:col>
      <xdr:colOff>257175</xdr:colOff>
      <xdr:row>16</xdr:row>
      <xdr:rowOff>142875</xdr:rowOff>
    </xdr:from>
    <xdr:ext cx="1952625" cy="304800"/>
    <xdr:sp>
      <xdr:nvSpPr>
        <xdr:cNvPr id="46" name="Shape 46"/>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Health &amp; </a:t>
          </a:r>
          <a:r>
            <a:rPr b="1" lang="en-US" sz="1400">
              <a:solidFill>
                <a:srgbClr val="1F3864"/>
              </a:solidFill>
              <a:latin typeface="Calibri"/>
              <a:ea typeface="Calibri"/>
              <a:cs typeface="Calibri"/>
              <a:sym typeface="Calibri"/>
            </a:rPr>
            <a:t>S</a:t>
          </a:r>
          <a:r>
            <a:rPr b="1" lang="en-US" sz="1400">
              <a:solidFill>
                <a:srgbClr val="1F3864"/>
              </a:solidFill>
              <a:latin typeface="Calibri"/>
              <a:ea typeface="Calibri"/>
              <a:cs typeface="Calibri"/>
              <a:sym typeface="Calibri"/>
            </a:rPr>
            <a:t>afety </a:t>
          </a:r>
          <a:endParaRPr sz="1400"/>
        </a:p>
      </xdr:txBody>
    </xdr:sp>
    <xdr:clientData fLocksWithSheet="0"/>
  </xdr:oneCellAnchor>
  <xdr:oneCellAnchor>
    <xdr:from>
      <xdr:col>23</xdr:col>
      <xdr:colOff>257175</xdr:colOff>
      <xdr:row>14</xdr:row>
      <xdr:rowOff>85725</xdr:rowOff>
    </xdr:from>
    <xdr:ext cx="1952625" cy="304800"/>
    <xdr:sp>
      <xdr:nvSpPr>
        <xdr:cNvPr id="47" name="Shape 47"/>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Livelihoods</a:t>
          </a:r>
          <a:endParaRPr sz="1400"/>
        </a:p>
      </xdr:txBody>
    </xdr:sp>
    <xdr:clientData fLocksWithSheet="0"/>
  </xdr:oneCellAnchor>
  <xdr:oneCellAnchor>
    <xdr:from>
      <xdr:col>23</xdr:col>
      <xdr:colOff>257175</xdr:colOff>
      <xdr:row>21</xdr:row>
      <xdr:rowOff>57150</xdr:rowOff>
    </xdr:from>
    <xdr:ext cx="1952625" cy="304800"/>
    <xdr:sp>
      <xdr:nvSpPr>
        <xdr:cNvPr id="48" name="Shape 48"/>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Portable Water</a:t>
          </a:r>
          <a:endParaRPr sz="1400"/>
        </a:p>
      </xdr:txBody>
    </xdr:sp>
    <xdr:clientData fLocksWithSheet="0"/>
  </xdr:oneCellAnchor>
  <xdr:oneCellAnchor>
    <xdr:from>
      <xdr:col>23</xdr:col>
      <xdr:colOff>257175</xdr:colOff>
      <xdr:row>23</xdr:row>
      <xdr:rowOff>114300</xdr:rowOff>
    </xdr:from>
    <xdr:ext cx="1952625" cy="304800"/>
    <xdr:sp>
      <xdr:nvSpPr>
        <xdr:cNvPr id="49" name="Shape 49"/>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Ecology</a:t>
          </a:r>
          <a:r>
            <a:rPr b="1" lang="en-US" sz="1400">
              <a:solidFill>
                <a:srgbClr val="1F3864"/>
              </a:solidFill>
              <a:latin typeface="Calibri"/>
              <a:ea typeface="Calibri"/>
              <a:cs typeface="Calibri"/>
              <a:sym typeface="Calibri"/>
            </a:rPr>
            <a:t> &amp; Biodiversity</a:t>
          </a:r>
          <a:endParaRPr b="1" sz="1400">
            <a:solidFill>
              <a:srgbClr val="1F3864"/>
            </a:solidFill>
          </a:endParaRPr>
        </a:p>
      </xdr:txBody>
    </xdr:sp>
    <xdr:clientData fLocksWithSheet="0"/>
  </xdr:oneCellAnchor>
  <xdr:oneCellAnchor>
    <xdr:from>
      <xdr:col>23</xdr:col>
      <xdr:colOff>257175</xdr:colOff>
      <xdr:row>19</xdr:row>
      <xdr:rowOff>9525</xdr:rowOff>
    </xdr:from>
    <xdr:ext cx="1952625" cy="304800"/>
    <xdr:sp>
      <xdr:nvSpPr>
        <xdr:cNvPr id="50" name="Shape 50"/>
        <xdr:cNvSpPr/>
      </xdr:nvSpPr>
      <xdr:spPr>
        <a:xfrm>
          <a:off x="4374450" y="3632363"/>
          <a:ext cx="1943100" cy="295275"/>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Assets and Utilities</a:t>
          </a:r>
          <a:endParaRPr sz="1400"/>
        </a:p>
      </xdr:txBody>
    </xdr:sp>
    <xdr:clientData fLocksWithSheet="0"/>
  </xdr:oneCellAnchor>
  <xdr:oneCellAnchor>
    <xdr:from>
      <xdr:col>23</xdr:col>
      <xdr:colOff>247650</xdr:colOff>
      <xdr:row>25</xdr:row>
      <xdr:rowOff>142875</xdr:rowOff>
    </xdr:from>
    <xdr:ext cx="1971675" cy="352425"/>
    <xdr:sp>
      <xdr:nvSpPr>
        <xdr:cNvPr id="51" name="Shape 51"/>
        <xdr:cNvSpPr/>
      </xdr:nvSpPr>
      <xdr:spPr>
        <a:xfrm>
          <a:off x="4364925" y="3608550"/>
          <a:ext cx="1962150" cy="342900"/>
        </a:xfrm>
        <a:prstGeom prst="rect">
          <a:avLst/>
        </a:prstGeom>
        <a:solidFill>
          <a:schemeClr val="lt1"/>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rgbClr val="1F3864"/>
              </a:solidFill>
              <a:latin typeface="Calibri"/>
              <a:ea typeface="Calibri"/>
              <a:cs typeface="Calibri"/>
              <a:sym typeface="Calibri"/>
            </a:rPr>
            <a:t>Institutions</a:t>
          </a:r>
          <a:endParaRPr sz="1400"/>
        </a:p>
      </xdr:txBody>
    </xdr:sp>
    <xdr:clientData fLocksWithSheet="0"/>
  </xdr:oneCellAnchor>
  <xdr:oneCellAnchor>
    <xdr:from>
      <xdr:col>0</xdr:col>
      <xdr:colOff>190500</xdr:colOff>
      <xdr:row>0</xdr:row>
      <xdr:rowOff>0</xdr:rowOff>
    </xdr:from>
    <xdr:ext cx="1905000" cy="59055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114300</xdr:colOff>
      <xdr:row>38</xdr:row>
      <xdr:rowOff>190500</xdr:rowOff>
    </xdr:from>
    <xdr:ext cx="7134225" cy="2609850"/>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67</xdr:row>
      <xdr:rowOff>76200</xdr:rowOff>
    </xdr:from>
    <xdr:ext cx="21583650" cy="6257925"/>
    <xdr:sp>
      <xdr:nvSpPr>
        <xdr:cNvPr id="52" name="Shape 52"/>
        <xdr:cNvSpPr/>
      </xdr:nvSpPr>
      <xdr:spPr>
        <a:xfrm>
          <a:off x="0" y="655800"/>
          <a:ext cx="10692000" cy="62484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571500</xdr:colOff>
      <xdr:row>0</xdr:row>
      <xdr:rowOff>0</xdr:rowOff>
    </xdr:from>
    <xdr:ext cx="7800975" cy="17973675"/>
    <xdr:sp>
      <xdr:nvSpPr>
        <xdr:cNvPr id="53" name="Shape 53"/>
        <xdr:cNvSpPr/>
      </xdr:nvSpPr>
      <xdr:spPr>
        <a:xfrm>
          <a:off x="1450275" y="0"/>
          <a:ext cx="7791450" cy="7560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495300</xdr:colOff>
      <xdr:row>5</xdr:row>
      <xdr:rowOff>66675</xdr:rowOff>
    </xdr:from>
    <xdr:ext cx="14354175" cy="13430250"/>
    <xdr:sp>
      <xdr:nvSpPr>
        <xdr:cNvPr id="54" name="Shape 54"/>
        <xdr:cNvSpPr/>
      </xdr:nvSpPr>
      <xdr:spPr>
        <a:xfrm>
          <a:off x="0" y="0"/>
          <a:ext cx="10692000" cy="7560000"/>
        </a:xfrm>
        <a:prstGeom prst="rect">
          <a:avLst/>
        </a:prstGeom>
        <a:no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514350</xdr:colOff>
      <xdr:row>1</xdr:row>
      <xdr:rowOff>76200</xdr:rowOff>
    </xdr:from>
    <xdr:ext cx="1695450" cy="352425"/>
    <xdr:sp>
      <xdr:nvSpPr>
        <xdr:cNvPr id="55" name="Shape 55">
          <a:hlinkClick r:id="rId1"/>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16</xdr:col>
      <xdr:colOff>590550</xdr:colOff>
      <xdr:row>1</xdr:row>
      <xdr:rowOff>76200</xdr:rowOff>
    </xdr:from>
    <xdr:ext cx="1695450" cy="352425"/>
    <xdr:sp>
      <xdr:nvSpPr>
        <xdr:cNvPr id="56" name="Shape 56">
          <a:hlinkClick r:id="rId2"/>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19</xdr:col>
      <xdr:colOff>657225</xdr:colOff>
      <xdr:row>1</xdr:row>
      <xdr:rowOff>76200</xdr:rowOff>
    </xdr:from>
    <xdr:ext cx="1704975" cy="352425"/>
    <xdr:sp>
      <xdr:nvSpPr>
        <xdr:cNvPr id="57" name="Shape 57">
          <a:hlinkClick r:id="rId3"/>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0</xdr:col>
      <xdr:colOff>333375</xdr:colOff>
      <xdr:row>1</xdr:row>
      <xdr:rowOff>76200</xdr:rowOff>
    </xdr:from>
    <xdr:ext cx="1704975" cy="352425"/>
    <xdr:sp>
      <xdr:nvSpPr>
        <xdr:cNvPr id="58" name="Shape 58">
          <a:hlinkClick r:id="rId4"/>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3</xdr:col>
      <xdr:colOff>523875</xdr:colOff>
      <xdr:row>1</xdr:row>
      <xdr:rowOff>76200</xdr:rowOff>
    </xdr:from>
    <xdr:ext cx="1695450" cy="352425"/>
    <xdr:sp>
      <xdr:nvSpPr>
        <xdr:cNvPr id="59" name="Shape 59">
          <a:hlinkClick r:id="rId5"/>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6</xdr:col>
      <xdr:colOff>600075</xdr:colOff>
      <xdr:row>1</xdr:row>
      <xdr:rowOff>76200</xdr:rowOff>
    </xdr:from>
    <xdr:ext cx="1695450" cy="352425"/>
    <xdr:sp>
      <xdr:nvSpPr>
        <xdr:cNvPr id="60" name="Shape 60">
          <a:hlinkClick r:id="rId6"/>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10</xdr:col>
      <xdr:colOff>57150</xdr:colOff>
      <xdr:row>1</xdr:row>
      <xdr:rowOff>76200</xdr:rowOff>
    </xdr:from>
    <xdr:ext cx="1685925" cy="352425"/>
    <xdr:sp>
      <xdr:nvSpPr>
        <xdr:cNvPr id="61" name="Shape 61">
          <a:hlinkClick r:id="rId7"/>
        </xdr:cNvPr>
        <xdr:cNvSpPr/>
      </xdr:nvSpPr>
      <xdr:spPr>
        <a:xfrm>
          <a:off x="4507800" y="3608550"/>
          <a:ext cx="16764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0</xdr:col>
      <xdr:colOff>561975</xdr:colOff>
      <xdr:row>64</xdr:row>
      <xdr:rowOff>171450</xdr:rowOff>
    </xdr:from>
    <xdr:ext cx="1724025" cy="342900"/>
    <xdr:sp>
      <xdr:nvSpPr>
        <xdr:cNvPr id="62" name="Shape 62">
          <a:hlinkClick r:id="rId8"/>
        </xdr:cNvPr>
        <xdr:cNvSpPr/>
      </xdr:nvSpPr>
      <xdr:spPr>
        <a:xfrm>
          <a:off x="4488750" y="3613313"/>
          <a:ext cx="1714500" cy="3333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21</xdr:col>
      <xdr:colOff>104775</xdr:colOff>
      <xdr:row>64</xdr:row>
      <xdr:rowOff>104775</xdr:rowOff>
    </xdr:from>
    <xdr:ext cx="1609725" cy="47625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0</xdr:rowOff>
    </xdr:from>
    <xdr:ext cx="1838325" cy="12925425"/>
    <xdr:sp>
      <xdr:nvSpPr>
        <xdr:cNvPr id="63" name="Shape 63"/>
        <xdr:cNvSpPr/>
      </xdr:nvSpPr>
      <xdr:spPr>
        <a:xfrm>
          <a:off x="4431600" y="0"/>
          <a:ext cx="1828800" cy="75600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6</xdr:col>
      <xdr:colOff>28575</xdr:colOff>
      <xdr:row>55</xdr:row>
      <xdr:rowOff>152400</xdr:rowOff>
    </xdr:from>
    <xdr:ext cx="1447800" cy="361950"/>
    <xdr:sp>
      <xdr:nvSpPr>
        <xdr:cNvPr id="64" name="Shape 64">
          <a:hlinkClick r:id="rId1"/>
        </xdr:cNvPr>
        <xdr:cNvSpPr/>
      </xdr:nvSpPr>
      <xdr:spPr>
        <a:xfrm>
          <a:off x="4626863" y="3599025"/>
          <a:ext cx="143827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6</xdr:col>
      <xdr:colOff>19050</xdr:colOff>
      <xdr:row>5</xdr:row>
      <xdr:rowOff>76200</xdr:rowOff>
    </xdr:from>
    <xdr:ext cx="1809750" cy="352425"/>
    <xdr:sp>
      <xdr:nvSpPr>
        <xdr:cNvPr id="65" name="Shape 65"/>
        <xdr:cNvSpPr/>
      </xdr:nvSpPr>
      <xdr:spPr>
        <a:xfrm>
          <a:off x="4445888" y="3608550"/>
          <a:ext cx="1800225" cy="342900"/>
        </a:xfrm>
        <a:prstGeom prst="rect">
          <a:avLst/>
        </a:prstGeom>
        <a:solidFill>
          <a:srgbClr val="595959"/>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Clear</a:t>
          </a:r>
          <a:r>
            <a:rPr b="1" lang="en-US" sz="1600">
              <a:solidFill>
                <a:schemeClr val="lt1"/>
              </a:solidFill>
              <a:latin typeface="Calibri"/>
              <a:ea typeface="Calibri"/>
              <a:cs typeface="Calibri"/>
              <a:sym typeface="Calibri"/>
            </a:rPr>
            <a:t> Answers</a:t>
          </a:r>
          <a:endParaRPr b="1" sz="1600">
            <a:solidFill>
              <a:schemeClr val="lt1"/>
            </a:solidFill>
          </a:endParaRPr>
        </a:p>
      </xdr:txBody>
    </xdr:sp>
    <xdr:clientData fLocksWithSheet="0"/>
  </xdr:oneCellAnchor>
  <xdr:oneCellAnchor>
    <xdr:from>
      <xdr:col>4</xdr:col>
      <xdr:colOff>4067175</xdr:colOff>
      <xdr:row>1</xdr:row>
      <xdr:rowOff>28575</xdr:rowOff>
    </xdr:from>
    <xdr:ext cx="1695450" cy="352425"/>
    <xdr:sp>
      <xdr:nvSpPr>
        <xdr:cNvPr id="66" name="Shape 66">
          <a:hlinkClick r:id="rId2"/>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4</xdr:col>
      <xdr:colOff>5972175</xdr:colOff>
      <xdr:row>1</xdr:row>
      <xdr:rowOff>28575</xdr:rowOff>
    </xdr:from>
    <xdr:ext cx="1371600" cy="352425"/>
    <xdr:sp>
      <xdr:nvSpPr>
        <xdr:cNvPr id="67" name="Shape 67">
          <a:hlinkClick r:id="rId3"/>
        </xdr:cNvPr>
        <xdr:cNvSpPr/>
      </xdr:nvSpPr>
      <xdr:spPr>
        <a:xfrm>
          <a:off x="4664963" y="3608550"/>
          <a:ext cx="136207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5</xdr:col>
      <xdr:colOff>876300</xdr:colOff>
      <xdr:row>1</xdr:row>
      <xdr:rowOff>28575</xdr:rowOff>
    </xdr:from>
    <xdr:ext cx="1695450" cy="352425"/>
    <xdr:sp>
      <xdr:nvSpPr>
        <xdr:cNvPr id="68" name="Shape 68">
          <a:hlinkClick r:id="rId4"/>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0</xdr:col>
      <xdr:colOff>400050</xdr:colOff>
      <xdr:row>1</xdr:row>
      <xdr:rowOff>28575</xdr:rowOff>
    </xdr:from>
    <xdr:ext cx="933450" cy="352425"/>
    <xdr:sp>
      <xdr:nvSpPr>
        <xdr:cNvPr id="69" name="Shape 69">
          <a:hlinkClick r:id="rId5"/>
        </xdr:cNvPr>
        <xdr:cNvSpPr/>
      </xdr:nvSpPr>
      <xdr:spPr>
        <a:xfrm>
          <a:off x="4884038" y="3608550"/>
          <a:ext cx="923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3</xdr:col>
      <xdr:colOff>0</xdr:colOff>
      <xdr:row>1</xdr:row>
      <xdr:rowOff>28575</xdr:rowOff>
    </xdr:from>
    <xdr:ext cx="1866900" cy="352425"/>
    <xdr:sp>
      <xdr:nvSpPr>
        <xdr:cNvPr id="70" name="Shape 70">
          <a:hlinkClick r:id="rId6"/>
        </xdr:cNvPr>
        <xdr:cNvSpPr/>
      </xdr:nvSpPr>
      <xdr:spPr>
        <a:xfrm>
          <a:off x="4417313" y="3608550"/>
          <a:ext cx="185737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4</xdr:col>
      <xdr:colOff>247650</xdr:colOff>
      <xdr:row>1</xdr:row>
      <xdr:rowOff>28575</xdr:rowOff>
    </xdr:from>
    <xdr:ext cx="1695450" cy="352425"/>
    <xdr:sp>
      <xdr:nvSpPr>
        <xdr:cNvPr id="71" name="Shape 71">
          <a:hlinkClick r:id="rId7"/>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4</xdr:col>
      <xdr:colOff>2152650</xdr:colOff>
      <xdr:row>1</xdr:row>
      <xdr:rowOff>28575</xdr:rowOff>
    </xdr:from>
    <xdr:ext cx="1695450" cy="352425"/>
    <xdr:sp>
      <xdr:nvSpPr>
        <xdr:cNvPr id="72" name="Shape 72">
          <a:hlinkClick r:id="rId8"/>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8</xdr:col>
      <xdr:colOff>0</xdr:colOff>
      <xdr:row>0</xdr:row>
      <xdr:rowOff>0</xdr:rowOff>
    </xdr:from>
    <xdr:ext cx="3886200" cy="13096875"/>
    <xdr:sp>
      <xdr:nvSpPr>
        <xdr:cNvPr id="73" name="Shape 73"/>
        <xdr:cNvSpPr/>
      </xdr:nvSpPr>
      <xdr:spPr>
        <a:xfrm>
          <a:off x="3402900" y="0"/>
          <a:ext cx="3886200" cy="75600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9</xdr:col>
      <xdr:colOff>0</xdr:colOff>
      <xdr:row>0</xdr:row>
      <xdr:rowOff>0</xdr:rowOff>
    </xdr:from>
    <xdr:ext cx="2667000" cy="12925425"/>
    <xdr:sp>
      <xdr:nvSpPr>
        <xdr:cNvPr id="74" name="Shape 74"/>
        <xdr:cNvSpPr/>
      </xdr:nvSpPr>
      <xdr:spPr>
        <a:xfrm>
          <a:off x="4017263" y="0"/>
          <a:ext cx="2657475" cy="75600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1390650</xdr:colOff>
      <xdr:row>1</xdr:row>
      <xdr:rowOff>133350</xdr:rowOff>
    </xdr:from>
    <xdr:ext cx="4886325" cy="13896975"/>
    <xdr:sp>
      <xdr:nvSpPr>
        <xdr:cNvPr id="75" name="Shape 75"/>
        <xdr:cNvSpPr/>
      </xdr:nvSpPr>
      <xdr:spPr>
        <a:xfrm>
          <a:off x="2907600" y="0"/>
          <a:ext cx="4876800" cy="75600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5</xdr:col>
      <xdr:colOff>4895850</xdr:colOff>
      <xdr:row>67</xdr:row>
      <xdr:rowOff>114300</xdr:rowOff>
    </xdr:from>
    <xdr:ext cx="1066800" cy="371475"/>
    <xdr:sp>
      <xdr:nvSpPr>
        <xdr:cNvPr id="76" name="Shape 76">
          <a:hlinkClick r:id="rId1"/>
        </xdr:cNvPr>
        <xdr:cNvSpPr/>
      </xdr:nvSpPr>
      <xdr:spPr>
        <a:xfrm>
          <a:off x="4817363" y="3599025"/>
          <a:ext cx="105727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6</xdr:col>
      <xdr:colOff>19050</xdr:colOff>
      <xdr:row>5</xdr:row>
      <xdr:rowOff>76200</xdr:rowOff>
    </xdr:from>
    <xdr:ext cx="1724025" cy="352425"/>
    <xdr:sp>
      <xdr:nvSpPr>
        <xdr:cNvPr id="77" name="Shape 77"/>
        <xdr:cNvSpPr/>
      </xdr:nvSpPr>
      <xdr:spPr>
        <a:xfrm>
          <a:off x="4488750" y="3608550"/>
          <a:ext cx="1714500" cy="342900"/>
        </a:xfrm>
        <a:prstGeom prst="rect">
          <a:avLst/>
        </a:prstGeom>
        <a:solidFill>
          <a:srgbClr val="595959"/>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Clear</a:t>
          </a:r>
          <a:r>
            <a:rPr b="1" lang="en-US" sz="1600">
              <a:solidFill>
                <a:schemeClr val="lt1"/>
              </a:solidFill>
              <a:latin typeface="Calibri"/>
              <a:ea typeface="Calibri"/>
              <a:cs typeface="Calibri"/>
              <a:sym typeface="Calibri"/>
            </a:rPr>
            <a:t> Answers</a:t>
          </a:r>
          <a:endParaRPr b="1" sz="1600">
            <a:solidFill>
              <a:schemeClr val="lt1"/>
            </a:solidFill>
          </a:endParaRPr>
        </a:p>
      </xdr:txBody>
    </xdr:sp>
    <xdr:clientData fLocksWithSheet="0"/>
  </xdr:oneCellAnchor>
  <xdr:oneCellAnchor>
    <xdr:from>
      <xdr:col>4</xdr:col>
      <xdr:colOff>3705225</xdr:colOff>
      <xdr:row>1</xdr:row>
      <xdr:rowOff>85725</xdr:rowOff>
    </xdr:from>
    <xdr:ext cx="1695450" cy="352425"/>
    <xdr:sp>
      <xdr:nvSpPr>
        <xdr:cNvPr id="78" name="Shape 78">
          <a:hlinkClick r:id="rId2"/>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4</xdr:col>
      <xdr:colOff>5762625</xdr:colOff>
      <xdr:row>1</xdr:row>
      <xdr:rowOff>47625</xdr:rowOff>
    </xdr:from>
    <xdr:ext cx="1628775" cy="352425"/>
    <xdr:sp>
      <xdr:nvSpPr>
        <xdr:cNvPr id="79" name="Shape 79">
          <a:hlinkClick r:id="rId3"/>
        </xdr:cNvPr>
        <xdr:cNvSpPr/>
      </xdr:nvSpPr>
      <xdr:spPr>
        <a:xfrm>
          <a:off x="4536375" y="3608550"/>
          <a:ext cx="16192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5</xdr:col>
      <xdr:colOff>647700</xdr:colOff>
      <xdr:row>1</xdr:row>
      <xdr:rowOff>47625</xdr:rowOff>
    </xdr:from>
    <xdr:ext cx="1695450" cy="352425"/>
    <xdr:sp>
      <xdr:nvSpPr>
        <xdr:cNvPr id="80" name="Shape 80">
          <a:hlinkClick r:id="rId4"/>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0</xdr:col>
      <xdr:colOff>304800</xdr:colOff>
      <xdr:row>1</xdr:row>
      <xdr:rowOff>47625</xdr:rowOff>
    </xdr:from>
    <xdr:ext cx="1219200" cy="352425"/>
    <xdr:sp>
      <xdr:nvSpPr>
        <xdr:cNvPr id="81" name="Shape 81">
          <a:hlinkClick r:id="rId5"/>
        </xdr:cNvPr>
        <xdr:cNvSpPr/>
      </xdr:nvSpPr>
      <xdr:spPr>
        <a:xfrm>
          <a:off x="4741163" y="3608550"/>
          <a:ext cx="120967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2</xdr:col>
      <xdr:colOff>1409700</xdr:colOff>
      <xdr:row>1</xdr:row>
      <xdr:rowOff>47625</xdr:rowOff>
    </xdr:from>
    <xdr:ext cx="2066925" cy="352425"/>
    <xdr:sp>
      <xdr:nvSpPr>
        <xdr:cNvPr id="82" name="Shape 82">
          <a:hlinkClick r:id="rId6"/>
        </xdr:cNvPr>
        <xdr:cNvSpPr/>
      </xdr:nvSpPr>
      <xdr:spPr>
        <a:xfrm>
          <a:off x="4317300" y="3608550"/>
          <a:ext cx="20574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3</xdr:col>
      <xdr:colOff>1990725</xdr:colOff>
      <xdr:row>1</xdr:row>
      <xdr:rowOff>47625</xdr:rowOff>
    </xdr:from>
    <xdr:ext cx="1104900" cy="352425"/>
    <xdr:sp>
      <xdr:nvSpPr>
        <xdr:cNvPr id="83" name="Shape 83">
          <a:hlinkClick r:id="rId7"/>
        </xdr:cNvPr>
        <xdr:cNvSpPr/>
      </xdr:nvSpPr>
      <xdr:spPr>
        <a:xfrm>
          <a:off x="4798313" y="3608550"/>
          <a:ext cx="109537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4</xdr:col>
      <xdr:colOff>1466850</xdr:colOff>
      <xdr:row>1</xdr:row>
      <xdr:rowOff>47625</xdr:rowOff>
    </xdr:from>
    <xdr:ext cx="1695450" cy="352425"/>
    <xdr:sp>
      <xdr:nvSpPr>
        <xdr:cNvPr id="84" name="Shape 84">
          <a:hlinkClick r:id="rId8"/>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581025</xdr:colOff>
      <xdr:row>67</xdr:row>
      <xdr:rowOff>228600</xdr:rowOff>
    </xdr:from>
    <xdr:ext cx="1419225" cy="352425"/>
    <xdr:sp>
      <xdr:nvSpPr>
        <xdr:cNvPr id="85" name="Shape 85">
          <a:hlinkClick r:id="rId1"/>
        </xdr:cNvPr>
        <xdr:cNvSpPr/>
      </xdr:nvSpPr>
      <xdr:spPr>
        <a:xfrm>
          <a:off x="4641150" y="3608550"/>
          <a:ext cx="14097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6</xdr:col>
      <xdr:colOff>19050</xdr:colOff>
      <xdr:row>5</xdr:row>
      <xdr:rowOff>76200</xdr:rowOff>
    </xdr:from>
    <xdr:ext cx="1724025" cy="352425"/>
    <xdr:sp>
      <xdr:nvSpPr>
        <xdr:cNvPr id="86" name="Shape 86"/>
        <xdr:cNvSpPr/>
      </xdr:nvSpPr>
      <xdr:spPr>
        <a:xfrm>
          <a:off x="4488750" y="3608550"/>
          <a:ext cx="1714500" cy="342900"/>
        </a:xfrm>
        <a:prstGeom prst="rect">
          <a:avLst/>
        </a:prstGeom>
        <a:solidFill>
          <a:srgbClr val="595959"/>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Clear</a:t>
          </a:r>
          <a:r>
            <a:rPr b="1" lang="en-US" sz="1600">
              <a:solidFill>
                <a:schemeClr val="lt1"/>
              </a:solidFill>
              <a:latin typeface="Calibri"/>
              <a:ea typeface="Calibri"/>
              <a:cs typeface="Calibri"/>
              <a:sym typeface="Calibri"/>
            </a:rPr>
            <a:t> Answers</a:t>
          </a:r>
          <a:endParaRPr b="1" sz="1600">
            <a:solidFill>
              <a:schemeClr val="lt1"/>
            </a:solidFill>
          </a:endParaRPr>
        </a:p>
      </xdr:txBody>
    </xdr:sp>
    <xdr:clientData fLocksWithSheet="0"/>
  </xdr:oneCellAnchor>
  <xdr:oneCellAnchor>
    <xdr:from>
      <xdr:col>4</xdr:col>
      <xdr:colOff>4133850</xdr:colOff>
      <xdr:row>1</xdr:row>
      <xdr:rowOff>9525</xdr:rowOff>
    </xdr:from>
    <xdr:ext cx="1695450" cy="352425"/>
    <xdr:sp>
      <xdr:nvSpPr>
        <xdr:cNvPr id="87" name="Shape 87">
          <a:hlinkClick r:id="rId2"/>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4</xdr:col>
      <xdr:colOff>6029325</xdr:colOff>
      <xdr:row>1</xdr:row>
      <xdr:rowOff>9525</xdr:rowOff>
    </xdr:from>
    <xdr:ext cx="1704975" cy="352425"/>
    <xdr:sp>
      <xdr:nvSpPr>
        <xdr:cNvPr id="88" name="Shape 88">
          <a:hlinkClick r:id="rId3"/>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5</xdr:col>
      <xdr:colOff>1390650</xdr:colOff>
      <xdr:row>1</xdr:row>
      <xdr:rowOff>9525</xdr:rowOff>
    </xdr:from>
    <xdr:ext cx="1685925" cy="352425"/>
    <xdr:sp>
      <xdr:nvSpPr>
        <xdr:cNvPr id="89" name="Shape 89">
          <a:hlinkClick r:id="rId4"/>
        </xdr:cNvPr>
        <xdr:cNvSpPr/>
      </xdr:nvSpPr>
      <xdr:spPr>
        <a:xfrm>
          <a:off x="4507800" y="3608550"/>
          <a:ext cx="16764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0</xdr:col>
      <xdr:colOff>257175</xdr:colOff>
      <xdr:row>1</xdr:row>
      <xdr:rowOff>9525</xdr:rowOff>
    </xdr:from>
    <xdr:ext cx="1419225" cy="352425"/>
    <xdr:sp>
      <xdr:nvSpPr>
        <xdr:cNvPr id="90" name="Shape 90">
          <a:hlinkClick r:id="rId5"/>
        </xdr:cNvPr>
        <xdr:cNvSpPr/>
      </xdr:nvSpPr>
      <xdr:spPr>
        <a:xfrm>
          <a:off x="4641150" y="3608550"/>
          <a:ext cx="14097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2</xdr:col>
      <xdr:colOff>1362075</xdr:colOff>
      <xdr:row>1</xdr:row>
      <xdr:rowOff>9525</xdr:rowOff>
    </xdr:from>
    <xdr:ext cx="1704975" cy="352425"/>
    <xdr:sp>
      <xdr:nvSpPr>
        <xdr:cNvPr id="91" name="Shape 91">
          <a:hlinkClick r:id="rId6"/>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4</xdr:col>
      <xdr:colOff>333375</xdr:colOff>
      <xdr:row>1</xdr:row>
      <xdr:rowOff>9525</xdr:rowOff>
    </xdr:from>
    <xdr:ext cx="1695450" cy="352425"/>
    <xdr:sp>
      <xdr:nvSpPr>
        <xdr:cNvPr id="92" name="Shape 92">
          <a:hlinkClick r:id="rId7"/>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4</xdr:col>
      <xdr:colOff>2228850</xdr:colOff>
      <xdr:row>1</xdr:row>
      <xdr:rowOff>9525</xdr:rowOff>
    </xdr:from>
    <xdr:ext cx="1695450" cy="352425"/>
    <xdr:sp>
      <xdr:nvSpPr>
        <xdr:cNvPr id="93" name="Shape 93">
          <a:hlinkClick r:id="rId8"/>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67</xdr:row>
      <xdr:rowOff>171450</xdr:rowOff>
    </xdr:from>
    <xdr:ext cx="1438275" cy="390525"/>
    <xdr:sp>
      <xdr:nvSpPr>
        <xdr:cNvPr id="94" name="Shape 94">
          <a:hlinkClick r:id="rId1"/>
        </xdr:cNvPr>
        <xdr:cNvSpPr/>
      </xdr:nvSpPr>
      <xdr:spPr>
        <a:xfrm>
          <a:off x="4631625" y="3589500"/>
          <a:ext cx="1428750" cy="3810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6</xdr:col>
      <xdr:colOff>19050</xdr:colOff>
      <xdr:row>5</xdr:row>
      <xdr:rowOff>76200</xdr:rowOff>
    </xdr:from>
    <xdr:ext cx="1724025" cy="352425"/>
    <xdr:sp>
      <xdr:nvSpPr>
        <xdr:cNvPr id="95" name="Shape 95"/>
        <xdr:cNvSpPr/>
      </xdr:nvSpPr>
      <xdr:spPr>
        <a:xfrm>
          <a:off x="4488750" y="3608550"/>
          <a:ext cx="1714500" cy="342900"/>
        </a:xfrm>
        <a:prstGeom prst="rect">
          <a:avLst/>
        </a:prstGeom>
        <a:solidFill>
          <a:srgbClr val="595959"/>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Clear</a:t>
          </a:r>
          <a:r>
            <a:rPr b="1" lang="en-US" sz="1600">
              <a:solidFill>
                <a:schemeClr val="lt1"/>
              </a:solidFill>
              <a:latin typeface="Calibri"/>
              <a:ea typeface="Calibri"/>
              <a:cs typeface="Calibri"/>
              <a:sym typeface="Calibri"/>
            </a:rPr>
            <a:t> Answers</a:t>
          </a:r>
          <a:endParaRPr b="1" sz="1600">
            <a:solidFill>
              <a:schemeClr val="lt1"/>
            </a:solidFill>
          </a:endParaRPr>
        </a:p>
      </xdr:txBody>
    </xdr:sp>
    <xdr:clientData fLocksWithSheet="0"/>
  </xdr:oneCellAnchor>
  <xdr:oneCellAnchor>
    <xdr:from>
      <xdr:col>4</xdr:col>
      <xdr:colOff>6029325</xdr:colOff>
      <xdr:row>1</xdr:row>
      <xdr:rowOff>38100</xdr:rowOff>
    </xdr:from>
    <xdr:ext cx="2590800" cy="352425"/>
    <xdr:sp>
      <xdr:nvSpPr>
        <xdr:cNvPr id="96" name="Shape 96">
          <a:hlinkClick r:id="rId2"/>
        </xdr:cNvPr>
        <xdr:cNvSpPr/>
      </xdr:nvSpPr>
      <xdr:spPr>
        <a:xfrm>
          <a:off x="4055363" y="3608550"/>
          <a:ext cx="258127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5</xdr:col>
      <xdr:colOff>1390650</xdr:colOff>
      <xdr:row>1</xdr:row>
      <xdr:rowOff>38100</xdr:rowOff>
    </xdr:from>
    <xdr:ext cx="1685925" cy="352425"/>
    <xdr:sp>
      <xdr:nvSpPr>
        <xdr:cNvPr id="97" name="Shape 97">
          <a:hlinkClick r:id="rId3"/>
        </xdr:cNvPr>
        <xdr:cNvSpPr/>
      </xdr:nvSpPr>
      <xdr:spPr>
        <a:xfrm>
          <a:off x="4507800" y="3608550"/>
          <a:ext cx="16764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0</xdr:col>
      <xdr:colOff>247650</xdr:colOff>
      <xdr:row>1</xdr:row>
      <xdr:rowOff>38100</xdr:rowOff>
    </xdr:from>
    <xdr:ext cx="1704975" cy="352425"/>
    <xdr:sp>
      <xdr:nvSpPr>
        <xdr:cNvPr id="98" name="Shape 98">
          <a:hlinkClick r:id="rId4"/>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2</xdr:col>
      <xdr:colOff>1352550</xdr:colOff>
      <xdr:row>1</xdr:row>
      <xdr:rowOff>38100</xdr:rowOff>
    </xdr:from>
    <xdr:ext cx="1704975" cy="352425"/>
    <xdr:sp>
      <xdr:nvSpPr>
        <xdr:cNvPr id="99" name="Shape 99">
          <a:hlinkClick r:id="rId5"/>
        </xdr:cNvPr>
        <xdr:cNvSpPr/>
      </xdr:nvSpPr>
      <xdr:spPr>
        <a:xfrm>
          <a:off x="4498275" y="3608550"/>
          <a:ext cx="16954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4</xdr:col>
      <xdr:colOff>323850</xdr:colOff>
      <xdr:row>1</xdr:row>
      <xdr:rowOff>38100</xdr:rowOff>
    </xdr:from>
    <xdr:ext cx="1695450" cy="352425"/>
    <xdr:sp>
      <xdr:nvSpPr>
        <xdr:cNvPr id="100" name="Shape 100">
          <a:hlinkClick r:id="rId6"/>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4</xdr:col>
      <xdr:colOff>2228850</xdr:colOff>
      <xdr:row>1</xdr:row>
      <xdr:rowOff>38100</xdr:rowOff>
    </xdr:from>
    <xdr:ext cx="1695450" cy="352425"/>
    <xdr:sp>
      <xdr:nvSpPr>
        <xdr:cNvPr id="101" name="Shape 101">
          <a:hlinkClick r:id="rId7"/>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4</xdr:col>
      <xdr:colOff>4133850</xdr:colOff>
      <xdr:row>1</xdr:row>
      <xdr:rowOff>38100</xdr:rowOff>
    </xdr:from>
    <xdr:ext cx="1695450" cy="352425"/>
    <xdr:sp>
      <xdr:nvSpPr>
        <xdr:cNvPr id="102" name="Shape 102">
          <a:hlinkClick r:id="rId8"/>
        </xdr:cNvPr>
        <xdr:cNvSpPr/>
      </xdr:nvSpPr>
      <xdr:spPr>
        <a:xfrm>
          <a:off x="4503038" y="3608550"/>
          <a:ext cx="16859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0</xdr:col>
      <xdr:colOff>0</xdr:colOff>
      <xdr:row>67</xdr:row>
      <xdr:rowOff>781050</xdr:rowOff>
    </xdr:from>
    <xdr:ext cx="39471600" cy="18973800"/>
    <xdr:sp>
      <xdr:nvSpPr>
        <xdr:cNvPr id="103" name="Shape 103"/>
        <xdr:cNvSpPr/>
      </xdr:nvSpPr>
      <xdr:spPr>
        <a:xfrm>
          <a:off x="0" y="0"/>
          <a:ext cx="10692000" cy="7560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66675</xdr:colOff>
      <xdr:row>34</xdr:row>
      <xdr:rowOff>9525</xdr:rowOff>
    </xdr:from>
    <xdr:ext cx="10525125" cy="41243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28</xdr:col>
      <xdr:colOff>590550</xdr:colOff>
      <xdr:row>52</xdr:row>
      <xdr:rowOff>114300</xdr:rowOff>
    </xdr:from>
    <xdr:ext cx="11382375" cy="3114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28</xdr:col>
      <xdr:colOff>628650</xdr:colOff>
      <xdr:row>68</xdr:row>
      <xdr:rowOff>76200</xdr:rowOff>
    </xdr:from>
    <xdr:ext cx="11344275" cy="35814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31</xdr:col>
      <xdr:colOff>47625</xdr:colOff>
      <xdr:row>83</xdr:row>
      <xdr:rowOff>238125</xdr:rowOff>
    </xdr:from>
    <xdr:ext cx="10382250" cy="340042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30</xdr:col>
      <xdr:colOff>38100</xdr:colOff>
      <xdr:row>115</xdr:row>
      <xdr:rowOff>0</xdr:rowOff>
    </xdr:from>
    <xdr:ext cx="10610850" cy="333375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32</xdr:col>
      <xdr:colOff>1314450</xdr:colOff>
      <xdr:row>104</xdr:row>
      <xdr:rowOff>152400</xdr:rowOff>
    </xdr:from>
    <xdr:ext cx="4210050" cy="1943100"/>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27</xdr:col>
      <xdr:colOff>38100</xdr:colOff>
      <xdr:row>105</xdr:row>
      <xdr:rowOff>57150</xdr:rowOff>
    </xdr:from>
    <xdr:ext cx="4238625" cy="1866900"/>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30</xdr:col>
      <xdr:colOff>180975</xdr:colOff>
      <xdr:row>146</xdr:row>
      <xdr:rowOff>142875</xdr:rowOff>
    </xdr:from>
    <xdr:ext cx="10420350" cy="2800350"/>
    <xdr:graphicFrame>
      <xdr:nvGraphicFramePr>
        <xdr:cNvPr id="8"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30</xdr:col>
      <xdr:colOff>171450</xdr:colOff>
      <xdr:row>133</xdr:row>
      <xdr:rowOff>104775</xdr:rowOff>
    </xdr:from>
    <xdr:ext cx="4752975" cy="2076450"/>
    <xdr:graphicFrame>
      <xdr:nvGraphicFramePr>
        <xdr:cNvPr id="9"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64</xdr:col>
      <xdr:colOff>19050</xdr:colOff>
      <xdr:row>333</xdr:row>
      <xdr:rowOff>38100</xdr:rowOff>
    </xdr:from>
    <xdr:ext cx="4695825" cy="3876675"/>
    <xdr:graphicFrame>
      <xdr:nvGraphicFramePr>
        <xdr:cNvPr id="10"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65</xdr:col>
      <xdr:colOff>38100</xdr:colOff>
      <xdr:row>365</xdr:row>
      <xdr:rowOff>123825</xdr:rowOff>
    </xdr:from>
    <xdr:ext cx="4410075" cy="3848100"/>
    <xdr:graphicFrame>
      <xdr:nvGraphicFramePr>
        <xdr:cNvPr id="11" name="Chart 1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38</xdr:col>
      <xdr:colOff>133350</xdr:colOff>
      <xdr:row>101</xdr:row>
      <xdr:rowOff>228600</xdr:rowOff>
    </xdr:from>
    <xdr:ext cx="4924425" cy="3419475"/>
    <xdr:graphicFrame>
      <xdr:nvGraphicFramePr>
        <xdr:cNvPr id="12" name="Chart 12"/>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285750</xdr:colOff>
      <xdr:row>12</xdr:row>
      <xdr:rowOff>161925</xdr:rowOff>
    </xdr:from>
    <xdr:ext cx="6696075" cy="3552825"/>
    <xdr:graphicFrame>
      <xdr:nvGraphicFramePr>
        <xdr:cNvPr id="13" name="Chart 13"/>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24</xdr:col>
      <xdr:colOff>0</xdr:colOff>
      <xdr:row>12</xdr:row>
      <xdr:rowOff>28575</xdr:rowOff>
    </xdr:from>
    <xdr:ext cx="6105525" cy="3867150"/>
    <xdr:graphicFrame>
      <xdr:nvGraphicFramePr>
        <xdr:cNvPr id="14" name="Chart 14"/>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37</xdr:col>
      <xdr:colOff>638175</xdr:colOff>
      <xdr:row>130</xdr:row>
      <xdr:rowOff>104775</xdr:rowOff>
    </xdr:from>
    <xdr:ext cx="4648200" cy="3990975"/>
    <xdr:graphicFrame>
      <xdr:nvGraphicFramePr>
        <xdr:cNvPr id="15" name="Chart 15"/>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68</xdr:col>
      <xdr:colOff>19050</xdr:colOff>
      <xdr:row>461</xdr:row>
      <xdr:rowOff>38100</xdr:rowOff>
    </xdr:from>
    <xdr:ext cx="3838575" cy="3448050"/>
    <xdr:graphicFrame>
      <xdr:nvGraphicFramePr>
        <xdr:cNvPr id="16" name="Chart 16"/>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69</xdr:col>
      <xdr:colOff>38100</xdr:colOff>
      <xdr:row>493</xdr:row>
      <xdr:rowOff>123825</xdr:rowOff>
    </xdr:from>
    <xdr:ext cx="3848100" cy="3524250"/>
    <xdr:graphicFrame>
      <xdr:nvGraphicFramePr>
        <xdr:cNvPr id="17" name="Chart 17"/>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3</xdr:col>
      <xdr:colOff>209550</xdr:colOff>
      <xdr:row>5</xdr:row>
      <xdr:rowOff>85725</xdr:rowOff>
    </xdr:from>
    <xdr:ext cx="4953000" cy="504825"/>
    <xdr:sp>
      <xdr:nvSpPr>
        <xdr:cNvPr id="104" name="Shape 104">
          <a:hlinkClick r:id="rId18"/>
        </xdr:cNvPr>
        <xdr:cNvSpPr/>
      </xdr:nvSpPr>
      <xdr:spPr>
        <a:xfrm>
          <a:off x="2874263" y="3532350"/>
          <a:ext cx="4943475" cy="495300"/>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Hazard</a:t>
          </a:r>
          <a:endParaRPr b="1" sz="1600">
            <a:solidFill>
              <a:schemeClr val="lt1"/>
            </a:solidFill>
          </a:endParaRPr>
        </a:p>
      </xdr:txBody>
    </xdr:sp>
    <xdr:clientData fLocksWithSheet="0"/>
  </xdr:oneCellAnchor>
  <xdr:oneCellAnchor>
    <xdr:from>
      <xdr:col>15</xdr:col>
      <xdr:colOff>66675</xdr:colOff>
      <xdr:row>5</xdr:row>
      <xdr:rowOff>85725</xdr:rowOff>
    </xdr:from>
    <xdr:ext cx="2990850" cy="504825"/>
    <xdr:sp>
      <xdr:nvSpPr>
        <xdr:cNvPr id="105" name="Shape 105">
          <a:hlinkClick r:id="rId19"/>
        </xdr:cNvPr>
        <xdr:cNvSpPr/>
      </xdr:nvSpPr>
      <xdr:spPr>
        <a:xfrm>
          <a:off x="3855338" y="3532350"/>
          <a:ext cx="2981325" cy="495300"/>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Exposure</a:t>
          </a:r>
          <a:endParaRPr b="1" sz="1600">
            <a:solidFill>
              <a:schemeClr val="lt1"/>
            </a:solidFill>
          </a:endParaRPr>
        </a:p>
      </xdr:txBody>
    </xdr:sp>
    <xdr:clientData fLocksWithSheet="0"/>
  </xdr:oneCellAnchor>
  <xdr:oneCellAnchor>
    <xdr:from>
      <xdr:col>24</xdr:col>
      <xdr:colOff>504825</xdr:colOff>
      <xdr:row>5</xdr:row>
      <xdr:rowOff>85725</xdr:rowOff>
    </xdr:from>
    <xdr:ext cx="4657725" cy="504825"/>
    <xdr:sp>
      <xdr:nvSpPr>
        <xdr:cNvPr id="106" name="Shape 106">
          <a:hlinkClick r:id="rId20"/>
        </xdr:cNvPr>
        <xdr:cNvSpPr/>
      </xdr:nvSpPr>
      <xdr:spPr>
        <a:xfrm>
          <a:off x="3021900" y="3532350"/>
          <a:ext cx="4648200" cy="495300"/>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Sensitivity</a:t>
          </a:r>
          <a:endParaRPr b="1" sz="1600">
            <a:solidFill>
              <a:schemeClr val="lt1"/>
            </a:solidFill>
          </a:endParaRPr>
        </a:p>
      </xdr:txBody>
    </xdr:sp>
    <xdr:clientData fLocksWithSheet="0"/>
  </xdr:oneCellAnchor>
  <xdr:oneCellAnchor>
    <xdr:from>
      <xdr:col>29</xdr:col>
      <xdr:colOff>771525</xdr:colOff>
      <xdr:row>5</xdr:row>
      <xdr:rowOff>85725</xdr:rowOff>
    </xdr:from>
    <xdr:ext cx="2867025" cy="504825"/>
    <xdr:sp>
      <xdr:nvSpPr>
        <xdr:cNvPr id="107" name="Shape 107">
          <a:hlinkClick r:id="rId21"/>
        </xdr:cNvPr>
        <xdr:cNvSpPr/>
      </xdr:nvSpPr>
      <xdr:spPr>
        <a:xfrm>
          <a:off x="3917250" y="3532350"/>
          <a:ext cx="2857500" cy="495300"/>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Adaptive</a:t>
          </a:r>
          <a:r>
            <a:rPr b="1" lang="en-US" sz="1600">
              <a:solidFill>
                <a:schemeClr val="lt1"/>
              </a:solidFill>
              <a:latin typeface="Calibri"/>
              <a:ea typeface="Calibri"/>
              <a:cs typeface="Calibri"/>
              <a:sym typeface="Calibri"/>
            </a:rPr>
            <a:t> Capacity</a:t>
          </a:r>
          <a:endParaRPr sz="1400"/>
        </a:p>
      </xdr:txBody>
    </xdr:sp>
    <xdr:clientData fLocksWithSheet="0"/>
  </xdr:oneCellAnchor>
  <xdr:oneCellAnchor>
    <xdr:from>
      <xdr:col>3</xdr:col>
      <xdr:colOff>209550</xdr:colOff>
      <xdr:row>10</xdr:row>
      <xdr:rowOff>114300</xdr:rowOff>
    </xdr:from>
    <xdr:ext cx="4953000" cy="381000"/>
    <xdr:sp>
      <xdr:nvSpPr>
        <xdr:cNvPr id="108" name="Shape 108">
          <a:hlinkClick r:id="rId22"/>
        </xdr:cNvPr>
        <xdr:cNvSpPr/>
      </xdr:nvSpPr>
      <xdr:spPr>
        <a:xfrm>
          <a:off x="2874263" y="3594263"/>
          <a:ext cx="4943475" cy="371475"/>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Current VULNERABILITY</a:t>
          </a:r>
          <a:endParaRPr sz="1400"/>
        </a:p>
      </xdr:txBody>
    </xdr:sp>
    <xdr:clientData fLocksWithSheet="0"/>
  </xdr:oneCellAnchor>
  <xdr:oneCellAnchor>
    <xdr:from>
      <xdr:col>24</xdr:col>
      <xdr:colOff>504825</xdr:colOff>
      <xdr:row>10</xdr:row>
      <xdr:rowOff>114300</xdr:rowOff>
    </xdr:from>
    <xdr:ext cx="4657725" cy="381000"/>
    <xdr:sp>
      <xdr:nvSpPr>
        <xdr:cNvPr id="109" name="Shape 109">
          <a:hlinkClick r:id="rId23"/>
        </xdr:cNvPr>
        <xdr:cNvSpPr/>
      </xdr:nvSpPr>
      <xdr:spPr>
        <a:xfrm>
          <a:off x="3021900" y="3594263"/>
          <a:ext cx="4648200" cy="371475"/>
        </a:xfrm>
        <a:prstGeom prst="rect">
          <a:avLst/>
        </a:prstGeom>
        <a:solidFill>
          <a:srgbClr val="1F3864"/>
        </a:solidFill>
        <a:ln>
          <a:noFill/>
        </a:ln>
        <a:effectLst>
          <a:outerShdw blurRad="50800" rotWithShape="0" algn="tl" dir="2700000" dist="38100">
            <a:srgbClr val="000000">
              <a:alpha val="40000"/>
            </a:srgbClr>
          </a:outerShdw>
        </a:effectLst>
      </xdr:spPr>
      <xdr:txBody>
        <a:bodyPr anchorCtr="0" anchor="ctr" bIns="36000" lIns="36000" spcFirstLastPara="1" rIns="36000" wrap="square" tIns="360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Current RISK</a:t>
          </a:r>
          <a:endParaRPr sz="1400"/>
        </a:p>
      </xdr:txBody>
    </xdr:sp>
    <xdr:clientData fLocksWithSheet="0"/>
  </xdr:oneCellAnchor>
  <xdr:oneCellAnchor>
    <xdr:from>
      <xdr:col>44</xdr:col>
      <xdr:colOff>304800</xdr:colOff>
      <xdr:row>46</xdr:row>
      <xdr:rowOff>352425</xdr:rowOff>
    </xdr:from>
    <xdr:ext cx="1466850" cy="371475"/>
    <xdr:sp>
      <xdr:nvSpPr>
        <xdr:cNvPr id="110" name="Shape 110">
          <a:hlinkClick r:id="rId24"/>
        </xdr:cNvPr>
        <xdr:cNvSpPr/>
      </xdr:nvSpPr>
      <xdr:spPr>
        <a:xfrm>
          <a:off x="4617338" y="3599025"/>
          <a:ext cx="145732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44</xdr:col>
      <xdr:colOff>38100</xdr:colOff>
      <xdr:row>63</xdr:row>
      <xdr:rowOff>142875</xdr:rowOff>
    </xdr:from>
    <xdr:ext cx="1704975" cy="390525"/>
    <xdr:sp>
      <xdr:nvSpPr>
        <xdr:cNvPr id="111" name="Shape 111">
          <a:hlinkClick r:id="rId25"/>
        </xdr:cNvPr>
        <xdr:cNvSpPr/>
      </xdr:nvSpPr>
      <xdr:spPr>
        <a:xfrm>
          <a:off x="4498275" y="3589500"/>
          <a:ext cx="1695450" cy="3810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28</xdr:col>
      <xdr:colOff>762000</xdr:colOff>
      <xdr:row>70</xdr:row>
      <xdr:rowOff>66675</xdr:rowOff>
    </xdr:from>
    <xdr:ext cx="11010900" cy="1762125"/>
    <xdr:grpSp>
      <xdr:nvGrpSpPr>
        <xdr:cNvPr id="2" name="Shape 2"/>
        <xdr:cNvGrpSpPr/>
      </xdr:nvGrpSpPr>
      <xdr:grpSpPr>
        <a:xfrm>
          <a:off x="0" y="2898938"/>
          <a:ext cx="10692000" cy="1762125"/>
          <a:chOff x="0" y="2898938"/>
          <a:chExt cx="10692000" cy="1762125"/>
        </a:xfrm>
      </xdr:grpSpPr>
      <xdr:grpSp>
        <xdr:nvGrpSpPr>
          <xdr:cNvPr id="112" name="Shape 112"/>
          <xdr:cNvGrpSpPr/>
        </xdr:nvGrpSpPr>
        <xdr:grpSpPr>
          <a:xfrm>
            <a:off x="0" y="2898938"/>
            <a:ext cx="10692000" cy="1762125"/>
            <a:chOff x="9984744" y="4015583"/>
            <a:chExt cx="8523181" cy="1322177"/>
          </a:xfrm>
        </xdr:grpSpPr>
        <xdr:sp>
          <xdr:nvSpPr>
            <xdr:cNvPr id="113" name="Shape 113"/>
            <xdr:cNvSpPr/>
          </xdr:nvSpPr>
          <xdr:spPr>
            <a:xfrm>
              <a:off x="9984744" y="4015583"/>
              <a:ext cx="8523175" cy="1322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4" name="Shape 114"/>
            <xdr:cNvSpPr/>
          </xdr:nvSpPr>
          <xdr:spPr>
            <a:xfrm>
              <a:off x="9984744" y="4015583"/>
              <a:ext cx="215663"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15" name="Shape 115"/>
            <xdr:cNvGrpSpPr/>
          </xdr:nvGrpSpPr>
          <xdr:grpSpPr>
            <a:xfrm>
              <a:off x="10477500" y="4029860"/>
              <a:ext cx="8030425" cy="867657"/>
              <a:chOff x="440232" y="67620"/>
              <a:chExt cx="7249607" cy="979111"/>
            </a:xfrm>
          </xdr:grpSpPr>
          <xdr:sp>
            <xdr:nvSpPr>
              <xdr:cNvPr id="116" name="Shape 116"/>
              <xdr:cNvSpPr/>
            </xdr:nvSpPr>
            <xdr:spPr>
              <a:xfrm>
                <a:off x="440232" y="720365"/>
                <a:ext cx="7249607" cy="326366"/>
              </a:xfrm>
              <a:prstGeom prst="rect">
                <a:avLst/>
              </a:prstGeom>
              <a:solidFill>
                <a:srgbClr val="00B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17" name="Shape 117"/>
              <xdr:cNvSpPr/>
            </xdr:nvSpPr>
            <xdr:spPr>
              <a:xfrm>
                <a:off x="440232" y="392810"/>
                <a:ext cx="7249607"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18" name="Shape 118"/>
              <xdr:cNvSpPr/>
            </xdr:nvSpPr>
            <xdr:spPr>
              <a:xfrm>
                <a:off x="440232" y="67620"/>
                <a:ext cx="7249607" cy="324000"/>
              </a:xfrm>
              <a:prstGeom prst="rect">
                <a:avLst/>
              </a:prstGeom>
              <a:solidFill>
                <a:srgbClr val="FF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31</xdr:col>
      <xdr:colOff>104775</xdr:colOff>
      <xdr:row>84</xdr:row>
      <xdr:rowOff>85725</xdr:rowOff>
    </xdr:from>
    <xdr:ext cx="10182225" cy="2867025"/>
    <xdr:grpSp>
      <xdr:nvGrpSpPr>
        <xdr:cNvPr id="2" name="Shape 2"/>
        <xdr:cNvGrpSpPr/>
      </xdr:nvGrpSpPr>
      <xdr:grpSpPr>
        <a:xfrm>
          <a:off x="254888" y="2346488"/>
          <a:ext cx="10182225" cy="2867025"/>
          <a:chOff x="254888" y="2346488"/>
          <a:chExt cx="10182225" cy="2867025"/>
        </a:xfrm>
      </xdr:grpSpPr>
      <xdr:grpSp>
        <xdr:nvGrpSpPr>
          <xdr:cNvPr id="119" name="Shape 119"/>
          <xdr:cNvGrpSpPr/>
        </xdr:nvGrpSpPr>
        <xdr:grpSpPr>
          <a:xfrm>
            <a:off x="254888" y="2346488"/>
            <a:ext cx="10182225" cy="2867025"/>
            <a:chOff x="9939563" y="4029860"/>
            <a:chExt cx="8568362" cy="1454866"/>
          </a:xfrm>
        </xdr:grpSpPr>
        <xdr:sp>
          <xdr:nvSpPr>
            <xdr:cNvPr id="113" name="Shape 113"/>
            <xdr:cNvSpPr/>
          </xdr:nvSpPr>
          <xdr:spPr>
            <a:xfrm>
              <a:off x="9939563" y="4029860"/>
              <a:ext cx="8568350" cy="145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0" name="Shape 120"/>
            <xdr:cNvSpPr/>
          </xdr:nvSpPr>
          <xdr:spPr>
            <a:xfrm>
              <a:off x="9939563" y="4162549"/>
              <a:ext cx="249378"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Good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Ave</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Poor</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21" name="Shape 121"/>
            <xdr:cNvGrpSpPr/>
          </xdr:nvGrpSpPr>
          <xdr:grpSpPr>
            <a:xfrm>
              <a:off x="10477500" y="4029860"/>
              <a:ext cx="8030425" cy="867657"/>
              <a:chOff x="440232" y="67620"/>
              <a:chExt cx="7249607" cy="979111"/>
            </a:xfrm>
          </xdr:grpSpPr>
          <xdr:sp>
            <xdr:nvSpPr>
              <xdr:cNvPr id="122" name="Shape 122"/>
              <xdr:cNvSpPr/>
            </xdr:nvSpPr>
            <xdr:spPr>
              <a:xfrm>
                <a:off x="440232" y="720365"/>
                <a:ext cx="7249607" cy="326366"/>
              </a:xfrm>
              <a:prstGeom prst="rect">
                <a:avLst/>
              </a:prstGeom>
              <a:solidFill>
                <a:srgbClr val="C0000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3" name="Shape 123"/>
              <xdr:cNvSpPr/>
            </xdr:nvSpPr>
            <xdr:spPr>
              <a:xfrm>
                <a:off x="440232" y="392810"/>
                <a:ext cx="7249607"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4" name="Shape 124"/>
              <xdr:cNvSpPr/>
            </xdr:nvSpPr>
            <xdr:spPr>
              <a:xfrm>
                <a:off x="440232" y="67620"/>
                <a:ext cx="7249607" cy="324000"/>
              </a:xfrm>
              <a:prstGeom prst="rect">
                <a:avLst/>
              </a:prstGeom>
              <a:solidFill>
                <a:srgbClr val="92D05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44</xdr:col>
      <xdr:colOff>142875</xdr:colOff>
      <xdr:row>125</xdr:row>
      <xdr:rowOff>95250</xdr:rowOff>
    </xdr:from>
    <xdr:ext cx="1666875" cy="390525"/>
    <xdr:sp>
      <xdr:nvSpPr>
        <xdr:cNvPr id="125" name="Shape 125">
          <a:hlinkClick r:id="rId26"/>
        </xdr:cNvPr>
        <xdr:cNvSpPr/>
      </xdr:nvSpPr>
      <xdr:spPr>
        <a:xfrm>
          <a:off x="4517325" y="3589500"/>
          <a:ext cx="1657350" cy="3810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30</xdr:col>
      <xdr:colOff>123825</xdr:colOff>
      <xdr:row>115</xdr:row>
      <xdr:rowOff>142875</xdr:rowOff>
    </xdr:from>
    <xdr:ext cx="10391775" cy="2390775"/>
    <xdr:grpSp>
      <xdr:nvGrpSpPr>
        <xdr:cNvPr id="2" name="Shape 2"/>
        <xdr:cNvGrpSpPr/>
      </xdr:nvGrpSpPr>
      <xdr:grpSpPr>
        <a:xfrm>
          <a:off x="150113" y="2584613"/>
          <a:ext cx="10391775" cy="2390775"/>
          <a:chOff x="150113" y="2584613"/>
          <a:chExt cx="10391775" cy="2390775"/>
        </a:xfrm>
      </xdr:grpSpPr>
      <xdr:grpSp>
        <xdr:nvGrpSpPr>
          <xdr:cNvPr id="126" name="Shape 126"/>
          <xdr:cNvGrpSpPr/>
        </xdr:nvGrpSpPr>
        <xdr:grpSpPr>
          <a:xfrm>
            <a:off x="150113" y="2584613"/>
            <a:ext cx="10391775" cy="2390775"/>
            <a:chOff x="9957669" y="4029860"/>
            <a:chExt cx="8550256" cy="1440253"/>
          </a:xfrm>
        </xdr:grpSpPr>
        <xdr:sp>
          <xdr:nvSpPr>
            <xdr:cNvPr id="113" name="Shape 113"/>
            <xdr:cNvSpPr/>
          </xdr:nvSpPr>
          <xdr:spPr>
            <a:xfrm>
              <a:off x="9957669" y="4029860"/>
              <a:ext cx="8550250" cy="1440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7" name="Shape 127"/>
            <xdr:cNvSpPr/>
          </xdr:nvSpPr>
          <xdr:spPr>
            <a:xfrm>
              <a:off x="9957669" y="4147936"/>
              <a:ext cx="231921"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28" name="Shape 128"/>
            <xdr:cNvGrpSpPr/>
          </xdr:nvGrpSpPr>
          <xdr:grpSpPr>
            <a:xfrm>
              <a:off x="10477500" y="4029860"/>
              <a:ext cx="8030425" cy="867657"/>
              <a:chOff x="440232" y="67620"/>
              <a:chExt cx="7249607" cy="979111"/>
            </a:xfrm>
          </xdr:grpSpPr>
          <xdr:sp>
            <xdr:nvSpPr>
              <xdr:cNvPr id="129" name="Shape 129"/>
              <xdr:cNvSpPr/>
            </xdr:nvSpPr>
            <xdr:spPr>
              <a:xfrm>
                <a:off x="440232" y="720365"/>
                <a:ext cx="7249607" cy="326366"/>
              </a:xfrm>
              <a:prstGeom prst="rect">
                <a:avLst/>
              </a:prstGeom>
              <a:solidFill>
                <a:srgbClr val="92D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30" name="Shape 130"/>
              <xdr:cNvSpPr/>
            </xdr:nvSpPr>
            <xdr:spPr>
              <a:xfrm>
                <a:off x="440232" y="392810"/>
                <a:ext cx="7249607"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31" name="Shape 131"/>
              <xdr:cNvSpPr/>
            </xdr:nvSpPr>
            <xdr:spPr>
              <a:xfrm>
                <a:off x="440232" y="67620"/>
                <a:ext cx="7249607" cy="324000"/>
              </a:xfrm>
              <a:prstGeom prst="rect">
                <a:avLst/>
              </a:prstGeom>
              <a:solidFill>
                <a:srgbClr val="C0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43</xdr:col>
      <xdr:colOff>238125</xdr:colOff>
      <xdr:row>328</xdr:row>
      <xdr:rowOff>171450</xdr:rowOff>
    </xdr:from>
    <xdr:ext cx="1514475" cy="371475"/>
    <xdr:sp>
      <xdr:nvSpPr>
        <xdr:cNvPr id="132" name="Shape 132">
          <a:hlinkClick r:id="rId27"/>
        </xdr:cNvPr>
        <xdr:cNvSpPr/>
      </xdr:nvSpPr>
      <xdr:spPr>
        <a:xfrm>
          <a:off x="4593525" y="3599025"/>
          <a:ext cx="1504950"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53</xdr:col>
      <xdr:colOff>457200</xdr:colOff>
      <xdr:row>396</xdr:row>
      <xdr:rowOff>28575</xdr:rowOff>
    </xdr:from>
    <xdr:ext cx="1733550" cy="371475"/>
    <xdr:sp>
      <xdr:nvSpPr>
        <xdr:cNvPr id="133" name="Shape 133">
          <a:hlinkClick r:id="rId28"/>
        </xdr:cNvPr>
        <xdr:cNvSpPr/>
      </xdr:nvSpPr>
      <xdr:spPr>
        <a:xfrm>
          <a:off x="4483988" y="3599025"/>
          <a:ext cx="172402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37</xdr:col>
      <xdr:colOff>85725</xdr:colOff>
      <xdr:row>100</xdr:row>
      <xdr:rowOff>133350</xdr:rowOff>
    </xdr:from>
    <xdr:ext cx="3267075" cy="685800"/>
    <xdr:grpSp>
      <xdr:nvGrpSpPr>
        <xdr:cNvPr id="2" name="Shape 2"/>
        <xdr:cNvGrpSpPr/>
      </xdr:nvGrpSpPr>
      <xdr:grpSpPr>
        <a:xfrm>
          <a:off x="3712463" y="3437100"/>
          <a:ext cx="3267075" cy="685800"/>
          <a:chOff x="3712463" y="3437100"/>
          <a:chExt cx="3267075" cy="685800"/>
        </a:xfrm>
      </xdr:grpSpPr>
      <xdr:grpSp>
        <xdr:nvGrpSpPr>
          <xdr:cNvPr id="134" name="Shape 134"/>
          <xdr:cNvGrpSpPr/>
        </xdr:nvGrpSpPr>
        <xdr:grpSpPr>
          <a:xfrm>
            <a:off x="3712463" y="3437100"/>
            <a:ext cx="3267075" cy="685800"/>
            <a:chOff x="14178643" y="30194248"/>
            <a:chExt cx="2041072" cy="540000"/>
          </a:xfrm>
        </xdr:grpSpPr>
        <xdr:sp>
          <xdr:nvSpPr>
            <xdr:cNvPr id="113" name="Shape 113"/>
            <xdr:cNvSpPr/>
          </xdr:nvSpPr>
          <xdr:spPr>
            <a:xfrm>
              <a:off x="14178643" y="30194248"/>
              <a:ext cx="2041050" cy="54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5" name="Shape 135"/>
            <xdr:cNvCxnSpPr/>
          </xdr:nvCxnSpPr>
          <xdr:spPr>
            <a:xfrm>
              <a:off x="16219715" y="30194248"/>
              <a:ext cx="0" cy="369525"/>
            </a:xfrm>
            <a:prstGeom prst="straightConnector1">
              <a:avLst/>
            </a:prstGeom>
            <a:noFill/>
            <a:ln cap="flat" cmpd="sng" w="9525">
              <a:solidFill>
                <a:srgbClr val="7F7F7F"/>
              </a:solidFill>
              <a:prstDash val="solid"/>
              <a:miter lim="800000"/>
              <a:headEnd len="sm" w="sm" type="none"/>
              <a:tailEnd len="med" w="med" type="triangle"/>
            </a:ln>
          </xdr:spPr>
        </xdr:cxnSp>
        <xdr:cxnSp>
          <xdr:nvCxnSpPr>
            <xdr:cNvPr id="136" name="Shape 136"/>
            <xdr:cNvCxnSpPr/>
          </xdr:nvCxnSpPr>
          <xdr:spPr>
            <a:xfrm>
              <a:off x="14178643" y="30194248"/>
              <a:ext cx="2041072" cy="0"/>
            </a:xfrm>
            <a:prstGeom prst="straightConnector1">
              <a:avLst/>
            </a:prstGeom>
            <a:noFill/>
            <a:ln cap="flat" cmpd="sng" w="9525">
              <a:solidFill>
                <a:srgbClr val="7F7F7F"/>
              </a:solidFill>
              <a:prstDash val="solid"/>
              <a:miter lim="800000"/>
              <a:headEnd len="sm" w="sm" type="none"/>
              <a:tailEnd len="sm" w="sm" type="none"/>
            </a:ln>
          </xdr:spPr>
        </xdr:cxnSp>
        <xdr:cxnSp>
          <xdr:nvCxnSpPr>
            <xdr:cNvPr id="137" name="Shape 137"/>
            <xdr:cNvCxnSpPr/>
          </xdr:nvCxnSpPr>
          <xdr:spPr>
            <a:xfrm>
              <a:off x="14178643" y="30194248"/>
              <a:ext cx="0" cy="540000"/>
            </a:xfrm>
            <a:prstGeom prst="straightConnector1">
              <a:avLst/>
            </a:prstGeom>
            <a:noFill/>
            <a:ln cap="flat" cmpd="sng" w="9525">
              <a:solidFill>
                <a:srgbClr val="7F7F7F"/>
              </a:solidFill>
              <a:prstDash val="solid"/>
              <a:miter lim="800000"/>
              <a:headEnd len="sm" w="sm" type="none"/>
              <a:tailEnd len="sm" w="sm" type="none"/>
            </a:ln>
          </xdr:spPr>
        </xdr:cxnSp>
      </xdr:grpSp>
    </xdr:grpSp>
    <xdr:clientData fLocksWithSheet="0"/>
  </xdr:oneCellAnchor>
  <xdr:oneCellAnchor>
    <xdr:from>
      <xdr:col>30</xdr:col>
      <xdr:colOff>285750</xdr:colOff>
      <xdr:row>146</xdr:row>
      <xdr:rowOff>238125</xdr:rowOff>
    </xdr:from>
    <xdr:ext cx="10153650" cy="1866900"/>
    <xdr:grpSp>
      <xdr:nvGrpSpPr>
        <xdr:cNvPr id="2" name="Shape 2"/>
        <xdr:cNvGrpSpPr/>
      </xdr:nvGrpSpPr>
      <xdr:grpSpPr>
        <a:xfrm>
          <a:off x="269175" y="2846550"/>
          <a:ext cx="10153650" cy="1866900"/>
          <a:chOff x="269175" y="2846550"/>
          <a:chExt cx="10153650" cy="1866900"/>
        </a:xfrm>
      </xdr:grpSpPr>
      <xdr:grpSp>
        <xdr:nvGrpSpPr>
          <xdr:cNvPr id="138" name="Shape 138"/>
          <xdr:cNvGrpSpPr/>
        </xdr:nvGrpSpPr>
        <xdr:grpSpPr>
          <a:xfrm>
            <a:off x="269175" y="2846550"/>
            <a:ext cx="10153650" cy="1866900"/>
            <a:chOff x="9990204" y="4015726"/>
            <a:chExt cx="8517721" cy="1322177"/>
          </a:xfrm>
        </xdr:grpSpPr>
        <xdr:sp>
          <xdr:nvSpPr>
            <xdr:cNvPr id="113" name="Shape 113"/>
            <xdr:cNvSpPr/>
          </xdr:nvSpPr>
          <xdr:spPr>
            <a:xfrm>
              <a:off x="9990204" y="4015726"/>
              <a:ext cx="8517700" cy="1322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39" name="Shape 139"/>
            <xdr:cNvSpPr/>
          </xdr:nvSpPr>
          <xdr:spPr>
            <a:xfrm>
              <a:off x="9990204" y="4015726"/>
              <a:ext cx="222794"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40" name="Shape 140"/>
            <xdr:cNvGrpSpPr/>
          </xdr:nvGrpSpPr>
          <xdr:grpSpPr>
            <a:xfrm>
              <a:off x="10477500" y="4029860"/>
              <a:ext cx="8030425" cy="867657"/>
              <a:chOff x="440232" y="67620"/>
              <a:chExt cx="7249607" cy="979111"/>
            </a:xfrm>
          </xdr:grpSpPr>
          <xdr:sp>
            <xdr:nvSpPr>
              <xdr:cNvPr id="141" name="Shape 141"/>
              <xdr:cNvSpPr/>
            </xdr:nvSpPr>
            <xdr:spPr>
              <a:xfrm>
                <a:off x="440232" y="720365"/>
                <a:ext cx="7249607" cy="326366"/>
              </a:xfrm>
              <a:prstGeom prst="rect">
                <a:avLst/>
              </a:prstGeom>
              <a:solidFill>
                <a:srgbClr val="00B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42" name="Shape 142"/>
              <xdr:cNvSpPr/>
            </xdr:nvSpPr>
            <xdr:spPr>
              <a:xfrm>
                <a:off x="440232" y="392810"/>
                <a:ext cx="7249607"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43" name="Shape 143"/>
              <xdr:cNvSpPr/>
            </xdr:nvSpPr>
            <xdr:spPr>
              <a:xfrm>
                <a:off x="440232" y="67620"/>
                <a:ext cx="7249607" cy="324000"/>
              </a:xfrm>
              <a:prstGeom prst="rect">
                <a:avLst/>
              </a:prstGeom>
              <a:solidFill>
                <a:srgbClr val="FF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44</xdr:col>
      <xdr:colOff>85725</xdr:colOff>
      <xdr:row>155</xdr:row>
      <xdr:rowOff>247650</xdr:rowOff>
    </xdr:from>
    <xdr:ext cx="1666875" cy="390525"/>
    <xdr:sp>
      <xdr:nvSpPr>
        <xdr:cNvPr id="144" name="Shape 144">
          <a:hlinkClick r:id="rId29"/>
        </xdr:cNvPr>
        <xdr:cNvSpPr/>
      </xdr:nvSpPr>
      <xdr:spPr>
        <a:xfrm>
          <a:off x="4517325" y="3589500"/>
          <a:ext cx="1657350" cy="3810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37</xdr:col>
      <xdr:colOff>142875</xdr:colOff>
      <xdr:row>136</xdr:row>
      <xdr:rowOff>66675</xdr:rowOff>
    </xdr:from>
    <xdr:ext cx="1781175" cy="38100"/>
    <xdr:grpSp>
      <xdr:nvGrpSpPr>
        <xdr:cNvPr id="2" name="Shape 2"/>
        <xdr:cNvGrpSpPr/>
      </xdr:nvGrpSpPr>
      <xdr:grpSpPr>
        <a:xfrm>
          <a:off x="4455413" y="3775238"/>
          <a:ext cx="1781175" cy="9525"/>
          <a:chOff x="4455413" y="3775238"/>
          <a:chExt cx="1781175" cy="9525"/>
        </a:xfrm>
      </xdr:grpSpPr>
      <xdr:cxnSp>
        <xdr:nvCxnSpPr>
          <xdr:cNvPr id="145" name="Shape 145"/>
          <xdr:cNvCxnSpPr/>
        </xdr:nvCxnSpPr>
        <xdr:spPr>
          <a:xfrm flipH="1" rot="10800000">
            <a:off x="4455413" y="3775238"/>
            <a:ext cx="1781175" cy="9525"/>
          </a:xfrm>
          <a:prstGeom prst="straightConnector1">
            <a:avLst/>
          </a:prstGeom>
          <a:noFill/>
          <a:ln cap="flat" cmpd="sng" w="9525">
            <a:solidFill>
              <a:srgbClr val="7F7F7F"/>
            </a:solidFill>
            <a:prstDash val="solid"/>
            <a:miter lim="800000"/>
            <a:headEnd len="sm" w="sm" type="none"/>
            <a:tailEnd len="med" w="med" type="triangle"/>
          </a:ln>
        </xdr:spPr>
      </xdr:cxnSp>
    </xdr:grpSp>
    <xdr:clientData fLocksWithSheet="0"/>
  </xdr:oneCellAnchor>
  <xdr:oneCellAnchor>
    <xdr:from>
      <xdr:col>32</xdr:col>
      <xdr:colOff>9525</xdr:colOff>
      <xdr:row>1</xdr:row>
      <xdr:rowOff>0</xdr:rowOff>
    </xdr:from>
    <xdr:ext cx="1828800" cy="323850"/>
    <xdr:sp>
      <xdr:nvSpPr>
        <xdr:cNvPr id="146" name="Shape 146">
          <a:hlinkClick r:id="rId30"/>
        </xdr:cNvPr>
        <xdr:cNvSpPr/>
      </xdr:nvSpPr>
      <xdr:spPr>
        <a:xfrm>
          <a:off x="4436363" y="3622838"/>
          <a:ext cx="1819275" cy="31432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35</xdr:col>
      <xdr:colOff>76200</xdr:colOff>
      <xdr:row>1</xdr:row>
      <xdr:rowOff>0</xdr:rowOff>
    </xdr:from>
    <xdr:ext cx="1590675" cy="342900"/>
    <xdr:sp>
      <xdr:nvSpPr>
        <xdr:cNvPr id="147" name="Shape 147">
          <a:hlinkClick r:id="rId31"/>
        </xdr:cNvPr>
        <xdr:cNvSpPr/>
      </xdr:nvSpPr>
      <xdr:spPr>
        <a:xfrm>
          <a:off x="4555425" y="3613313"/>
          <a:ext cx="1581150" cy="33337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Responses</a:t>
          </a:r>
          <a:endParaRPr b="1" sz="1600">
            <a:solidFill>
              <a:schemeClr val="dk1"/>
            </a:solidFill>
          </a:endParaRPr>
        </a:p>
      </xdr:txBody>
    </xdr:sp>
    <xdr:clientData fLocksWithSheet="0"/>
  </xdr:oneCellAnchor>
  <xdr:oneCellAnchor>
    <xdr:from>
      <xdr:col>1</xdr:col>
      <xdr:colOff>171450</xdr:colOff>
      <xdr:row>1</xdr:row>
      <xdr:rowOff>0</xdr:rowOff>
    </xdr:from>
    <xdr:ext cx="2943225" cy="390525"/>
    <xdr:sp>
      <xdr:nvSpPr>
        <xdr:cNvPr id="148" name="Shape 148">
          <a:hlinkClick r:id="rId32"/>
        </xdr:cNvPr>
        <xdr:cNvSpPr/>
      </xdr:nvSpPr>
      <xdr:spPr>
        <a:xfrm>
          <a:off x="3879150" y="3589500"/>
          <a:ext cx="2933700" cy="3810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5</xdr:col>
      <xdr:colOff>190500</xdr:colOff>
      <xdr:row>1</xdr:row>
      <xdr:rowOff>0</xdr:rowOff>
    </xdr:from>
    <xdr:ext cx="2657475" cy="352425"/>
    <xdr:sp>
      <xdr:nvSpPr>
        <xdr:cNvPr id="149" name="Shape 149">
          <a:hlinkClick r:id="rId33"/>
        </xdr:cNvPr>
        <xdr:cNvSpPr/>
      </xdr:nvSpPr>
      <xdr:spPr>
        <a:xfrm>
          <a:off x="4022025" y="3608550"/>
          <a:ext cx="26479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13</xdr:col>
      <xdr:colOff>180975</xdr:colOff>
      <xdr:row>1</xdr:row>
      <xdr:rowOff>0</xdr:rowOff>
    </xdr:from>
    <xdr:ext cx="2257425" cy="352425"/>
    <xdr:sp>
      <xdr:nvSpPr>
        <xdr:cNvPr id="150" name="Shape 150">
          <a:hlinkClick r:id="rId34"/>
        </xdr:cNvPr>
        <xdr:cNvSpPr/>
      </xdr:nvSpPr>
      <xdr:spPr>
        <a:xfrm>
          <a:off x="4222050" y="3608550"/>
          <a:ext cx="22479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23</xdr:col>
      <xdr:colOff>342900</xdr:colOff>
      <xdr:row>1</xdr:row>
      <xdr:rowOff>0</xdr:rowOff>
    </xdr:from>
    <xdr:ext cx="1847850" cy="352425"/>
    <xdr:sp>
      <xdr:nvSpPr>
        <xdr:cNvPr id="151" name="Shape 151">
          <a:hlinkClick r:id="rId35"/>
        </xdr:cNvPr>
        <xdr:cNvSpPr/>
      </xdr:nvSpPr>
      <xdr:spPr>
        <a:xfrm>
          <a:off x="4426838" y="3608550"/>
          <a:ext cx="18383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26</xdr:col>
      <xdr:colOff>228600</xdr:colOff>
      <xdr:row>1</xdr:row>
      <xdr:rowOff>9525</xdr:rowOff>
    </xdr:from>
    <xdr:ext cx="3371850" cy="314325"/>
    <xdr:sp>
      <xdr:nvSpPr>
        <xdr:cNvPr id="152" name="Shape 152">
          <a:hlinkClick r:id="rId36"/>
        </xdr:cNvPr>
        <xdr:cNvSpPr/>
      </xdr:nvSpPr>
      <xdr:spPr>
        <a:xfrm>
          <a:off x="3664838" y="3627600"/>
          <a:ext cx="3362325" cy="3048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23</xdr:col>
      <xdr:colOff>285750</xdr:colOff>
      <xdr:row>328</xdr:row>
      <xdr:rowOff>171450</xdr:rowOff>
    </xdr:from>
    <xdr:ext cx="2019300" cy="371475"/>
    <xdr:sp>
      <xdr:nvSpPr>
        <xdr:cNvPr id="153" name="Shape 153">
          <a:hlinkClick r:id="rId37"/>
        </xdr:cNvPr>
        <xdr:cNvSpPr/>
      </xdr:nvSpPr>
      <xdr:spPr>
        <a:xfrm>
          <a:off x="4341113" y="3599025"/>
          <a:ext cx="200977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0</xdr:col>
      <xdr:colOff>285750</xdr:colOff>
      <xdr:row>396</xdr:row>
      <xdr:rowOff>28575</xdr:rowOff>
    </xdr:from>
    <xdr:ext cx="2486025" cy="371475"/>
    <xdr:sp>
      <xdr:nvSpPr>
        <xdr:cNvPr id="154" name="Shape 154">
          <a:hlinkClick r:id="rId38"/>
        </xdr:cNvPr>
        <xdr:cNvSpPr/>
      </xdr:nvSpPr>
      <xdr:spPr>
        <a:xfrm>
          <a:off x="4107750" y="3599025"/>
          <a:ext cx="2476500"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1</xdr:col>
      <xdr:colOff>66675</xdr:colOff>
      <xdr:row>109</xdr:row>
      <xdr:rowOff>295275</xdr:rowOff>
    </xdr:from>
    <xdr:ext cx="2000250" cy="1228725"/>
    <xdr:grpSp>
      <xdr:nvGrpSpPr>
        <xdr:cNvPr id="2" name="Shape 2"/>
        <xdr:cNvGrpSpPr/>
      </xdr:nvGrpSpPr>
      <xdr:grpSpPr>
        <a:xfrm>
          <a:off x="4731638" y="2779875"/>
          <a:ext cx="1228725" cy="2000250"/>
          <a:chOff x="4731638" y="2779875"/>
          <a:chExt cx="1228725" cy="2000250"/>
        </a:xfrm>
      </xdr:grpSpPr>
      <xdr:grpSp>
        <xdr:nvGrpSpPr>
          <xdr:cNvPr id="155" name="Shape 155"/>
          <xdr:cNvGrpSpPr/>
        </xdr:nvGrpSpPr>
        <xdr:grpSpPr>
          <a:xfrm flipH="1" rot="-5400000">
            <a:off x="4731638" y="2779875"/>
            <a:ext cx="1228725" cy="2000250"/>
            <a:chOff x="14178643" y="30194248"/>
            <a:chExt cx="2041072" cy="540000"/>
          </a:xfrm>
        </xdr:grpSpPr>
        <xdr:sp>
          <xdr:nvSpPr>
            <xdr:cNvPr id="113" name="Shape 113"/>
            <xdr:cNvSpPr/>
          </xdr:nvSpPr>
          <xdr:spPr>
            <a:xfrm>
              <a:off x="14178643" y="30194248"/>
              <a:ext cx="2041050" cy="54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6" name="Shape 156"/>
            <xdr:cNvCxnSpPr/>
          </xdr:nvCxnSpPr>
          <xdr:spPr>
            <a:xfrm>
              <a:off x="16219715" y="30194248"/>
              <a:ext cx="0" cy="110964"/>
            </a:xfrm>
            <a:prstGeom prst="straightConnector1">
              <a:avLst/>
            </a:prstGeom>
            <a:noFill/>
            <a:ln cap="flat" cmpd="sng" w="9525">
              <a:solidFill>
                <a:srgbClr val="7F7F7F"/>
              </a:solidFill>
              <a:prstDash val="solid"/>
              <a:miter lim="800000"/>
              <a:headEnd len="sm" w="sm" type="none"/>
              <a:tailEnd len="med" w="med" type="triangle"/>
            </a:ln>
          </xdr:spPr>
        </xdr:cxnSp>
        <xdr:cxnSp>
          <xdr:nvCxnSpPr>
            <xdr:cNvPr id="157" name="Shape 157"/>
            <xdr:cNvCxnSpPr/>
          </xdr:nvCxnSpPr>
          <xdr:spPr>
            <a:xfrm>
              <a:off x="14178643" y="30194248"/>
              <a:ext cx="2041072" cy="0"/>
            </a:xfrm>
            <a:prstGeom prst="straightConnector1">
              <a:avLst/>
            </a:prstGeom>
            <a:noFill/>
            <a:ln cap="flat" cmpd="sng" w="9525">
              <a:solidFill>
                <a:srgbClr val="7F7F7F"/>
              </a:solidFill>
              <a:prstDash val="solid"/>
              <a:miter lim="800000"/>
              <a:headEnd len="sm" w="sm" type="none"/>
              <a:tailEnd len="sm" w="sm" type="none"/>
            </a:ln>
          </xdr:spPr>
        </xdr:cxnSp>
        <xdr:cxnSp>
          <xdr:nvCxnSpPr>
            <xdr:cNvPr id="158" name="Shape 158"/>
            <xdr:cNvCxnSpPr/>
          </xdr:nvCxnSpPr>
          <xdr:spPr>
            <a:xfrm>
              <a:off x="14178643" y="30194248"/>
              <a:ext cx="0" cy="540000"/>
            </a:xfrm>
            <a:prstGeom prst="straightConnector1">
              <a:avLst/>
            </a:prstGeom>
            <a:noFill/>
            <a:ln cap="flat" cmpd="sng" w="9525">
              <a:solidFill>
                <a:srgbClr val="7F7F7F"/>
              </a:solidFill>
              <a:prstDash val="solid"/>
              <a:miter lim="800000"/>
              <a:headEnd len="sm" w="sm" type="none"/>
              <a:tailEnd len="sm" w="sm" type="none"/>
            </a:ln>
          </xdr:spPr>
        </xdr:cxnSp>
      </xdr:grpSp>
    </xdr:grpSp>
    <xdr:clientData fLocksWithSheet="0"/>
  </xdr:oneCellAnchor>
  <xdr:oneCellAnchor>
    <xdr:from>
      <xdr:col>23</xdr:col>
      <xdr:colOff>19050</xdr:colOff>
      <xdr:row>105</xdr:row>
      <xdr:rowOff>257175</xdr:rowOff>
    </xdr:from>
    <xdr:ext cx="3829050" cy="38100"/>
    <xdr:grpSp>
      <xdr:nvGrpSpPr>
        <xdr:cNvPr id="2" name="Shape 2"/>
        <xdr:cNvGrpSpPr/>
      </xdr:nvGrpSpPr>
      <xdr:grpSpPr>
        <a:xfrm>
          <a:off x="3431475" y="3770475"/>
          <a:ext cx="3829050" cy="19050"/>
          <a:chOff x="3431475" y="3770475"/>
          <a:chExt cx="3829050" cy="19050"/>
        </a:xfrm>
      </xdr:grpSpPr>
      <xdr:cxnSp>
        <xdr:nvCxnSpPr>
          <xdr:cNvPr id="159" name="Shape 159"/>
          <xdr:cNvCxnSpPr/>
        </xdr:nvCxnSpPr>
        <xdr:spPr>
          <a:xfrm flipH="1" rot="10800000">
            <a:off x="3431475" y="3770475"/>
            <a:ext cx="3829050" cy="19050"/>
          </a:xfrm>
          <a:prstGeom prst="straightConnector1">
            <a:avLst/>
          </a:prstGeom>
          <a:noFill/>
          <a:ln cap="flat" cmpd="sng" w="9525">
            <a:solidFill>
              <a:srgbClr val="7F7F7F"/>
            </a:solidFill>
            <a:prstDash val="solid"/>
            <a:miter lim="800000"/>
            <a:headEnd len="sm" w="sm" type="none"/>
            <a:tailEnd len="med" w="med" type="triangle"/>
          </a:ln>
        </xdr:spPr>
      </xdr:cxnSp>
    </xdr:grpSp>
    <xdr:clientData fLocksWithSheet="0"/>
  </xdr:oneCellAnchor>
  <xdr:oneCellAnchor>
    <xdr:from>
      <xdr:col>23</xdr:col>
      <xdr:colOff>0</xdr:colOff>
      <xdr:row>109</xdr:row>
      <xdr:rowOff>333375</xdr:rowOff>
    </xdr:from>
    <xdr:ext cx="10972800" cy="904875"/>
    <xdr:grpSp>
      <xdr:nvGrpSpPr>
        <xdr:cNvPr id="2" name="Shape 2"/>
        <xdr:cNvGrpSpPr/>
      </xdr:nvGrpSpPr>
      <xdr:grpSpPr>
        <a:xfrm>
          <a:off x="0" y="3327563"/>
          <a:ext cx="10692000" cy="904875"/>
          <a:chOff x="0" y="3327563"/>
          <a:chExt cx="10692000" cy="904875"/>
        </a:xfrm>
      </xdr:grpSpPr>
      <xdr:grpSp>
        <xdr:nvGrpSpPr>
          <xdr:cNvPr id="160" name="Shape 160"/>
          <xdr:cNvGrpSpPr/>
        </xdr:nvGrpSpPr>
        <xdr:grpSpPr>
          <a:xfrm>
            <a:off x="0" y="3327563"/>
            <a:ext cx="10692000" cy="904875"/>
            <a:chOff x="7728858" y="41810386"/>
            <a:chExt cx="4218214" cy="725462"/>
          </a:xfrm>
        </xdr:grpSpPr>
        <xdr:sp>
          <xdr:nvSpPr>
            <xdr:cNvPr id="113" name="Shape 113"/>
            <xdr:cNvSpPr/>
          </xdr:nvSpPr>
          <xdr:spPr>
            <a:xfrm>
              <a:off x="7728858" y="41810386"/>
              <a:ext cx="4218200" cy="72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 name="Shape 161"/>
            <xdr:cNvGrpSpPr/>
          </xdr:nvGrpSpPr>
          <xdr:grpSpPr>
            <a:xfrm flipH="1" rot="10800000">
              <a:off x="8164285" y="41810386"/>
              <a:ext cx="3782787" cy="725462"/>
              <a:chOff x="14178643" y="30194248"/>
              <a:chExt cx="2041072" cy="771538"/>
            </a:xfrm>
          </xdr:grpSpPr>
          <xdr:cxnSp>
            <xdr:nvCxnSpPr>
              <xdr:cNvPr id="162" name="Shape 162"/>
              <xdr:cNvCxnSpPr/>
            </xdr:nvCxnSpPr>
            <xdr:spPr>
              <a:xfrm>
                <a:off x="16219715" y="30194248"/>
                <a:ext cx="0" cy="369525"/>
              </a:xfrm>
              <a:prstGeom prst="straightConnector1">
                <a:avLst/>
              </a:prstGeom>
              <a:noFill/>
              <a:ln cap="flat" cmpd="sng" w="9525">
                <a:solidFill>
                  <a:srgbClr val="7F7F7F"/>
                </a:solidFill>
                <a:prstDash val="solid"/>
                <a:miter lim="800000"/>
                <a:headEnd len="sm" w="sm" type="none"/>
                <a:tailEnd len="med" w="med" type="triangle"/>
              </a:ln>
            </xdr:spPr>
          </xdr:cxnSp>
          <xdr:cxnSp>
            <xdr:nvCxnSpPr>
              <xdr:cNvPr id="163" name="Shape 163"/>
              <xdr:cNvCxnSpPr/>
            </xdr:nvCxnSpPr>
            <xdr:spPr>
              <a:xfrm>
                <a:off x="14178643" y="30194248"/>
                <a:ext cx="2041072" cy="0"/>
              </a:xfrm>
              <a:prstGeom prst="straightConnector1">
                <a:avLst/>
              </a:prstGeom>
              <a:noFill/>
              <a:ln cap="flat" cmpd="sng" w="9525">
                <a:solidFill>
                  <a:srgbClr val="7F7F7F"/>
                </a:solidFill>
                <a:prstDash val="solid"/>
                <a:miter lim="800000"/>
                <a:headEnd len="sm" w="sm" type="none"/>
                <a:tailEnd len="sm" w="sm" type="none"/>
              </a:ln>
            </xdr:spPr>
          </xdr:cxnSp>
          <xdr:cxnSp>
            <xdr:nvCxnSpPr>
              <xdr:cNvPr id="164" name="Shape 164"/>
              <xdr:cNvCxnSpPr/>
            </xdr:nvCxnSpPr>
            <xdr:spPr>
              <a:xfrm>
                <a:off x="14178643" y="30200057"/>
                <a:ext cx="0" cy="765729"/>
              </a:xfrm>
              <a:prstGeom prst="straightConnector1">
                <a:avLst/>
              </a:prstGeom>
              <a:noFill/>
              <a:ln cap="flat" cmpd="sng" w="9525">
                <a:solidFill>
                  <a:srgbClr val="7F7F7F"/>
                </a:solidFill>
                <a:prstDash val="solid"/>
                <a:miter lim="800000"/>
                <a:headEnd len="sm" w="sm" type="none"/>
                <a:tailEnd len="sm" w="sm" type="none"/>
              </a:ln>
            </xdr:spPr>
          </xdr:cxnSp>
        </xdr:grpSp>
        <xdr:cxnSp>
          <xdr:nvCxnSpPr>
            <xdr:cNvPr id="165" name="Shape 165"/>
            <xdr:cNvCxnSpPr/>
          </xdr:nvCxnSpPr>
          <xdr:spPr>
            <a:xfrm>
              <a:off x="7728858" y="41814751"/>
              <a:ext cx="432000" cy="0"/>
            </a:xfrm>
            <a:prstGeom prst="straightConnector1">
              <a:avLst/>
            </a:prstGeom>
            <a:noFill/>
            <a:ln cap="flat" cmpd="sng" w="9525">
              <a:solidFill>
                <a:srgbClr val="7F7F7F"/>
              </a:solidFill>
              <a:prstDash val="solid"/>
              <a:miter lim="800000"/>
              <a:headEnd len="sm" w="sm" type="none"/>
              <a:tailEnd len="sm" w="sm" type="none"/>
            </a:ln>
          </xdr:spPr>
        </xdr:cxnSp>
      </xdr:grpSp>
    </xdr:grpSp>
    <xdr:clientData fLocksWithSheet="0"/>
  </xdr:oneCellAnchor>
  <xdr:oneCellAnchor>
    <xdr:from>
      <xdr:col>32</xdr:col>
      <xdr:colOff>1485900</xdr:colOff>
      <xdr:row>104</xdr:row>
      <xdr:rowOff>180975</xdr:rowOff>
    </xdr:from>
    <xdr:ext cx="3790950" cy="1485900"/>
    <xdr:grpSp>
      <xdr:nvGrpSpPr>
        <xdr:cNvPr id="2" name="Shape 2"/>
        <xdr:cNvGrpSpPr/>
      </xdr:nvGrpSpPr>
      <xdr:grpSpPr>
        <a:xfrm>
          <a:off x="3450525" y="3037050"/>
          <a:ext cx="3790950" cy="1485900"/>
          <a:chOff x="3450525" y="3037050"/>
          <a:chExt cx="3790950" cy="1485900"/>
        </a:xfrm>
      </xdr:grpSpPr>
      <xdr:grpSp>
        <xdr:nvGrpSpPr>
          <xdr:cNvPr id="166" name="Shape 166"/>
          <xdr:cNvGrpSpPr/>
        </xdr:nvGrpSpPr>
        <xdr:grpSpPr>
          <a:xfrm>
            <a:off x="3450525" y="3037050"/>
            <a:ext cx="3790950" cy="1485900"/>
            <a:chOff x="9488527" y="3962325"/>
            <a:chExt cx="3736773" cy="1322177"/>
          </a:xfrm>
        </xdr:grpSpPr>
        <xdr:sp>
          <xdr:nvSpPr>
            <xdr:cNvPr id="113" name="Shape 113"/>
            <xdr:cNvSpPr/>
          </xdr:nvSpPr>
          <xdr:spPr>
            <a:xfrm>
              <a:off x="9488527" y="3962325"/>
              <a:ext cx="3736750" cy="1322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67" name="Shape 167"/>
            <xdr:cNvSpPr/>
          </xdr:nvSpPr>
          <xdr:spPr>
            <a:xfrm>
              <a:off x="9488527" y="3962325"/>
              <a:ext cx="506172"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68" name="Shape 168"/>
            <xdr:cNvGrpSpPr/>
          </xdr:nvGrpSpPr>
          <xdr:grpSpPr>
            <a:xfrm>
              <a:off x="10477500" y="4029860"/>
              <a:ext cx="2747800" cy="867657"/>
              <a:chOff x="440232" y="67620"/>
              <a:chExt cx="2480625" cy="979111"/>
            </a:xfrm>
          </xdr:grpSpPr>
          <xdr:sp>
            <xdr:nvSpPr>
              <xdr:cNvPr id="169" name="Shape 169"/>
              <xdr:cNvSpPr/>
            </xdr:nvSpPr>
            <xdr:spPr>
              <a:xfrm>
                <a:off x="440232" y="720365"/>
                <a:ext cx="2480625" cy="326366"/>
              </a:xfrm>
              <a:prstGeom prst="rect">
                <a:avLst/>
              </a:prstGeom>
              <a:solidFill>
                <a:srgbClr val="92D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0" name="Shape 170"/>
              <xdr:cNvSpPr/>
            </xdr:nvSpPr>
            <xdr:spPr>
              <a:xfrm>
                <a:off x="440232" y="392810"/>
                <a:ext cx="2480625"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1" name="Shape 171"/>
              <xdr:cNvSpPr/>
            </xdr:nvSpPr>
            <xdr:spPr>
              <a:xfrm>
                <a:off x="440232" y="67620"/>
                <a:ext cx="2480625" cy="324000"/>
              </a:xfrm>
              <a:prstGeom prst="rect">
                <a:avLst/>
              </a:prstGeom>
              <a:solidFill>
                <a:srgbClr val="C0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28</xdr:col>
      <xdr:colOff>762000</xdr:colOff>
      <xdr:row>54</xdr:row>
      <xdr:rowOff>28575</xdr:rowOff>
    </xdr:from>
    <xdr:ext cx="11039475" cy="1371600"/>
    <xdr:grpSp>
      <xdr:nvGrpSpPr>
        <xdr:cNvPr id="2" name="Shape 2"/>
        <xdr:cNvGrpSpPr/>
      </xdr:nvGrpSpPr>
      <xdr:grpSpPr>
        <a:xfrm>
          <a:off x="0" y="3094200"/>
          <a:ext cx="10692000" cy="1371600"/>
          <a:chOff x="0" y="3094200"/>
          <a:chExt cx="10692000" cy="1371600"/>
        </a:xfrm>
      </xdr:grpSpPr>
      <xdr:grpSp>
        <xdr:nvGrpSpPr>
          <xdr:cNvPr id="172" name="Shape 172"/>
          <xdr:cNvGrpSpPr/>
        </xdr:nvGrpSpPr>
        <xdr:grpSpPr>
          <a:xfrm>
            <a:off x="0" y="3094200"/>
            <a:ext cx="10692000" cy="1371600"/>
            <a:chOff x="9626999" y="3986943"/>
            <a:chExt cx="8880926" cy="1322177"/>
          </a:xfrm>
        </xdr:grpSpPr>
        <xdr:sp>
          <xdr:nvSpPr>
            <xdr:cNvPr id="113" name="Shape 113"/>
            <xdr:cNvSpPr/>
          </xdr:nvSpPr>
          <xdr:spPr>
            <a:xfrm>
              <a:off x="9626999" y="3986943"/>
              <a:ext cx="8880925" cy="1322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3" name="Shape 173"/>
            <xdr:cNvSpPr/>
          </xdr:nvSpPr>
          <xdr:spPr>
            <a:xfrm>
              <a:off x="9626999" y="3986943"/>
              <a:ext cx="226616"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74" name="Shape 174"/>
            <xdr:cNvGrpSpPr/>
          </xdr:nvGrpSpPr>
          <xdr:grpSpPr>
            <a:xfrm>
              <a:off x="10108675" y="4029860"/>
              <a:ext cx="8399250" cy="867435"/>
              <a:chOff x="107269" y="67620"/>
              <a:chExt cx="7582570" cy="978860"/>
            </a:xfrm>
          </xdr:grpSpPr>
          <xdr:sp>
            <xdr:nvSpPr>
              <xdr:cNvPr id="175" name="Shape 175"/>
              <xdr:cNvSpPr/>
            </xdr:nvSpPr>
            <xdr:spPr>
              <a:xfrm>
                <a:off x="116328" y="777428"/>
                <a:ext cx="7573510" cy="269052"/>
              </a:xfrm>
              <a:prstGeom prst="rect">
                <a:avLst/>
              </a:prstGeom>
              <a:solidFill>
                <a:srgbClr val="92D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6" name="Shape 176"/>
              <xdr:cNvSpPr/>
            </xdr:nvSpPr>
            <xdr:spPr>
              <a:xfrm>
                <a:off x="116328" y="392809"/>
                <a:ext cx="7573511" cy="372390"/>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7" name="Shape 177"/>
              <xdr:cNvSpPr/>
            </xdr:nvSpPr>
            <xdr:spPr>
              <a:xfrm>
                <a:off x="107269" y="67620"/>
                <a:ext cx="7582570" cy="318460"/>
              </a:xfrm>
              <a:prstGeom prst="rect">
                <a:avLst/>
              </a:prstGeom>
              <a:solidFill>
                <a:srgbClr val="FF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30</xdr:col>
      <xdr:colOff>95250</xdr:colOff>
      <xdr:row>35</xdr:row>
      <xdr:rowOff>123825</xdr:rowOff>
    </xdr:from>
    <xdr:ext cx="10325100" cy="1285875"/>
    <xdr:grpSp>
      <xdr:nvGrpSpPr>
        <xdr:cNvPr id="2" name="Shape 2"/>
        <xdr:cNvGrpSpPr/>
      </xdr:nvGrpSpPr>
      <xdr:grpSpPr>
        <a:xfrm>
          <a:off x="183450" y="3137063"/>
          <a:ext cx="10325100" cy="1285875"/>
          <a:chOff x="183450" y="3137063"/>
          <a:chExt cx="10325100" cy="1285875"/>
        </a:xfrm>
      </xdr:grpSpPr>
      <xdr:grpSp>
        <xdr:nvGrpSpPr>
          <xdr:cNvPr id="178" name="Shape 178"/>
          <xdr:cNvGrpSpPr/>
        </xdr:nvGrpSpPr>
        <xdr:grpSpPr>
          <a:xfrm>
            <a:off x="183450" y="3137063"/>
            <a:ext cx="10325100" cy="1285875"/>
            <a:chOff x="9908662" y="3915663"/>
            <a:chExt cx="8599263" cy="1142737"/>
          </a:xfrm>
        </xdr:grpSpPr>
        <xdr:sp>
          <xdr:nvSpPr>
            <xdr:cNvPr id="113" name="Shape 113"/>
            <xdr:cNvSpPr/>
          </xdr:nvSpPr>
          <xdr:spPr>
            <a:xfrm>
              <a:off x="9908662" y="3915663"/>
              <a:ext cx="8599250" cy="114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9" name="Shape 179"/>
            <xdr:cNvSpPr/>
          </xdr:nvSpPr>
          <xdr:spPr>
            <a:xfrm>
              <a:off x="9908662" y="3915663"/>
              <a:ext cx="319252" cy="114273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80" name="Shape 180"/>
            <xdr:cNvGrpSpPr/>
          </xdr:nvGrpSpPr>
          <xdr:grpSpPr>
            <a:xfrm>
              <a:off x="10477500" y="4029860"/>
              <a:ext cx="8030425" cy="867657"/>
              <a:chOff x="440232" y="67620"/>
              <a:chExt cx="7249607" cy="979111"/>
            </a:xfrm>
          </xdr:grpSpPr>
          <xdr:sp>
            <xdr:nvSpPr>
              <xdr:cNvPr id="181" name="Shape 181"/>
              <xdr:cNvSpPr/>
            </xdr:nvSpPr>
            <xdr:spPr>
              <a:xfrm>
                <a:off x="440232" y="720365"/>
                <a:ext cx="7249607" cy="326366"/>
              </a:xfrm>
              <a:prstGeom prst="rect">
                <a:avLst/>
              </a:prstGeom>
              <a:solidFill>
                <a:srgbClr val="00B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2" name="Shape 182"/>
              <xdr:cNvSpPr/>
            </xdr:nvSpPr>
            <xdr:spPr>
              <a:xfrm>
                <a:off x="440232" y="392810"/>
                <a:ext cx="7249607"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3" name="Shape 183"/>
              <xdr:cNvSpPr/>
            </xdr:nvSpPr>
            <xdr:spPr>
              <a:xfrm>
                <a:off x="440232" y="67620"/>
                <a:ext cx="7249607" cy="324000"/>
              </a:xfrm>
              <a:prstGeom prst="rect">
                <a:avLst/>
              </a:prstGeom>
              <a:solidFill>
                <a:srgbClr val="FF0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44</xdr:col>
      <xdr:colOff>295275</xdr:colOff>
      <xdr:row>79</xdr:row>
      <xdr:rowOff>590550</xdr:rowOff>
    </xdr:from>
    <xdr:ext cx="1438275" cy="371475"/>
    <xdr:sp>
      <xdr:nvSpPr>
        <xdr:cNvPr id="184" name="Shape 184">
          <a:hlinkClick r:id="rId39"/>
        </xdr:cNvPr>
        <xdr:cNvSpPr/>
      </xdr:nvSpPr>
      <xdr:spPr>
        <a:xfrm>
          <a:off x="4631625" y="3599025"/>
          <a:ext cx="1428750"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44</xdr:col>
      <xdr:colOff>238125</xdr:colOff>
      <xdr:row>96</xdr:row>
      <xdr:rowOff>0</xdr:rowOff>
    </xdr:from>
    <xdr:ext cx="1390650" cy="400050"/>
    <xdr:sp>
      <xdr:nvSpPr>
        <xdr:cNvPr id="185" name="Shape 185">
          <a:hlinkClick r:id="rId40"/>
        </xdr:cNvPr>
        <xdr:cNvSpPr/>
      </xdr:nvSpPr>
      <xdr:spPr>
        <a:xfrm>
          <a:off x="4655438" y="3584738"/>
          <a:ext cx="1381125" cy="39052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30</xdr:col>
      <xdr:colOff>180975</xdr:colOff>
      <xdr:row>133</xdr:row>
      <xdr:rowOff>161925</xdr:rowOff>
    </xdr:from>
    <xdr:ext cx="4572000" cy="1704975"/>
    <xdr:grpSp>
      <xdr:nvGrpSpPr>
        <xdr:cNvPr id="2" name="Shape 2"/>
        <xdr:cNvGrpSpPr/>
      </xdr:nvGrpSpPr>
      <xdr:grpSpPr>
        <a:xfrm>
          <a:off x="3060000" y="2927513"/>
          <a:ext cx="4572000" cy="1704975"/>
          <a:chOff x="3060000" y="2927513"/>
          <a:chExt cx="4572000" cy="1704975"/>
        </a:xfrm>
      </xdr:grpSpPr>
      <xdr:grpSp>
        <xdr:nvGrpSpPr>
          <xdr:cNvPr id="186" name="Shape 186"/>
          <xdr:cNvGrpSpPr/>
        </xdr:nvGrpSpPr>
        <xdr:grpSpPr>
          <a:xfrm>
            <a:off x="3060000" y="2927513"/>
            <a:ext cx="4572000" cy="1704975"/>
            <a:chOff x="9639454" y="4006105"/>
            <a:chExt cx="3585846" cy="1322177"/>
          </a:xfrm>
        </xdr:grpSpPr>
        <xdr:sp>
          <xdr:nvSpPr>
            <xdr:cNvPr id="113" name="Shape 113"/>
            <xdr:cNvSpPr/>
          </xdr:nvSpPr>
          <xdr:spPr>
            <a:xfrm>
              <a:off x="9639454" y="4006105"/>
              <a:ext cx="3585825" cy="1322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87" name="Shape 187"/>
            <xdr:cNvSpPr/>
          </xdr:nvSpPr>
          <xdr:spPr>
            <a:xfrm>
              <a:off x="9639454" y="4006105"/>
              <a:ext cx="464374" cy="1322177"/>
            </a:xfrm>
            <a:prstGeom prst="rect">
              <a:avLst/>
            </a:prstGeom>
            <a:solidFill>
              <a:srgbClr val="FFFFFF"/>
            </a:solidFill>
            <a:ln>
              <a:noFill/>
            </a:ln>
          </xdr:spPr>
          <xdr:txBody>
            <a:bodyPr anchorCtr="0" anchor="t" bIns="0" lIns="0" spcFirstLastPara="1" rIns="0" wrap="square" tIns="0">
              <a:noAutofit/>
            </a:bodyPr>
            <a:lstStyle/>
            <a:p>
              <a:pPr indent="0" lvl="0" marL="0" rtl="0" algn="r">
                <a:spcBef>
                  <a:spcPts val="0"/>
                </a:spcBef>
                <a:spcAft>
                  <a:spcPts val="0"/>
                </a:spcAft>
                <a:buNone/>
              </a:pPr>
              <a:r>
                <a:t/>
              </a:r>
              <a:endParaRPr b="0" sz="400">
                <a:solidFill>
                  <a:srgbClr val="595959"/>
                </a:solidFill>
              </a:endParaRPr>
            </a:p>
            <a:p>
              <a:pPr indent="0" lvl="0" marL="0" rtl="0" algn="r">
                <a:spcBef>
                  <a:spcPts val="0"/>
                </a:spcBef>
                <a:spcAft>
                  <a:spcPts val="0"/>
                </a:spcAft>
                <a:buNone/>
              </a:pPr>
              <a:r>
                <a:t/>
              </a:r>
              <a:endParaRPr b="0" sz="6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High</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Med</a:t>
              </a:r>
              <a:endParaRPr sz="1400"/>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t/>
              </a:r>
              <a:endParaRPr b="0" sz="700">
                <a:solidFill>
                  <a:srgbClr val="595959"/>
                </a:solidFill>
              </a:endParaRPr>
            </a:p>
            <a:p>
              <a:pPr indent="0" lvl="0" marL="0" rtl="0" algn="r">
                <a:spcBef>
                  <a:spcPts val="0"/>
                </a:spcBef>
                <a:spcAft>
                  <a:spcPts val="0"/>
                </a:spcAft>
                <a:buNone/>
              </a:pPr>
              <a:r>
                <a:rPr b="0" lang="en-US" sz="1050">
                  <a:solidFill>
                    <a:srgbClr val="595959"/>
                  </a:solidFill>
                  <a:latin typeface="Calibri"/>
                  <a:ea typeface="Calibri"/>
                  <a:cs typeface="Calibri"/>
                  <a:sym typeface="Calibri"/>
                </a:rPr>
                <a:t>Low</a:t>
              </a:r>
              <a:endParaRPr sz="1400"/>
            </a:p>
            <a:p>
              <a:pPr indent="0" lvl="0" marL="0" rtl="0" algn="r">
                <a:spcBef>
                  <a:spcPts val="0"/>
                </a:spcBef>
                <a:spcAft>
                  <a:spcPts val="0"/>
                </a:spcAft>
                <a:buNone/>
              </a:pPr>
              <a:r>
                <a:t/>
              </a:r>
              <a:endParaRPr b="0" sz="1050">
                <a:solidFill>
                  <a:srgbClr val="595959"/>
                </a:solidFill>
              </a:endParaRPr>
            </a:p>
            <a:p>
              <a:pPr indent="0" lvl="0" marL="0" rtl="0" algn="r">
                <a:spcBef>
                  <a:spcPts val="0"/>
                </a:spcBef>
                <a:spcAft>
                  <a:spcPts val="0"/>
                </a:spcAft>
                <a:buNone/>
              </a:pPr>
              <a:r>
                <a:t/>
              </a:r>
              <a:endParaRPr b="0" sz="1050">
                <a:solidFill>
                  <a:srgbClr val="595959"/>
                </a:solidFill>
              </a:endParaRPr>
            </a:p>
          </xdr:txBody>
        </xdr:sp>
        <xdr:grpSp>
          <xdr:nvGrpSpPr>
            <xdr:cNvPr id="188" name="Shape 188"/>
            <xdr:cNvGrpSpPr/>
          </xdr:nvGrpSpPr>
          <xdr:grpSpPr>
            <a:xfrm>
              <a:off x="10477500" y="4029860"/>
              <a:ext cx="2747800" cy="867657"/>
              <a:chOff x="440232" y="67620"/>
              <a:chExt cx="2480625" cy="979111"/>
            </a:xfrm>
          </xdr:grpSpPr>
          <xdr:sp>
            <xdr:nvSpPr>
              <xdr:cNvPr id="189" name="Shape 189"/>
              <xdr:cNvSpPr/>
            </xdr:nvSpPr>
            <xdr:spPr>
              <a:xfrm>
                <a:off x="440232" y="720365"/>
                <a:ext cx="2480625" cy="326366"/>
              </a:xfrm>
              <a:prstGeom prst="rect">
                <a:avLst/>
              </a:prstGeom>
              <a:solidFill>
                <a:srgbClr val="00B050">
                  <a:alpha val="45098"/>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90" name="Shape 190"/>
              <xdr:cNvSpPr/>
            </xdr:nvSpPr>
            <xdr:spPr>
              <a:xfrm>
                <a:off x="440232" y="392810"/>
                <a:ext cx="2480625" cy="326366"/>
              </a:xfrm>
              <a:prstGeom prst="rect">
                <a:avLst/>
              </a:prstGeom>
              <a:solidFill>
                <a:srgbClr val="FFC00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91" name="Shape 191"/>
              <xdr:cNvSpPr/>
            </xdr:nvSpPr>
            <xdr:spPr>
              <a:xfrm>
                <a:off x="440232" y="67620"/>
                <a:ext cx="2480625" cy="324000"/>
              </a:xfrm>
              <a:prstGeom prst="rect">
                <a:avLst/>
              </a:prstGeom>
              <a:solidFill>
                <a:srgbClr val="F04510">
                  <a:alpha val="40000"/>
                </a:srgbClr>
              </a:solidFill>
              <a:ln cap="flat" cmpd="sng" w="9525">
                <a:solidFill>
                  <a:srgbClr val="BFBFB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grpSp>
    <xdr:clientData fLocksWithSheet="0"/>
  </xdr:oneCellAnchor>
  <xdr:oneCellAnchor>
    <xdr:from>
      <xdr:col>24</xdr:col>
      <xdr:colOff>9525</xdr:colOff>
      <xdr:row>133</xdr:row>
      <xdr:rowOff>352425</xdr:rowOff>
    </xdr:from>
    <xdr:ext cx="5514975" cy="38100"/>
    <xdr:grpSp>
      <xdr:nvGrpSpPr>
        <xdr:cNvPr id="2" name="Shape 2"/>
        <xdr:cNvGrpSpPr/>
      </xdr:nvGrpSpPr>
      <xdr:grpSpPr>
        <a:xfrm>
          <a:off x="2588513" y="3780000"/>
          <a:ext cx="5514975" cy="0"/>
          <a:chOff x="2588513" y="3780000"/>
          <a:chExt cx="5514975" cy="0"/>
        </a:xfrm>
      </xdr:grpSpPr>
      <xdr:cxnSp>
        <xdr:nvCxnSpPr>
          <xdr:cNvPr id="192" name="Shape 192"/>
          <xdr:cNvCxnSpPr/>
        </xdr:nvCxnSpPr>
        <xdr:spPr>
          <a:xfrm>
            <a:off x="2588513" y="3780000"/>
            <a:ext cx="5514975" cy="0"/>
          </a:xfrm>
          <a:prstGeom prst="straightConnector1">
            <a:avLst/>
          </a:prstGeom>
          <a:noFill/>
          <a:ln cap="flat" cmpd="sng" w="9525">
            <a:solidFill>
              <a:srgbClr val="7F7F7F"/>
            </a:solidFill>
            <a:prstDash val="solid"/>
            <a:miter lim="800000"/>
            <a:headEnd len="sm" w="sm" type="none"/>
            <a:tailEnd len="med" w="med" type="triangle"/>
          </a:ln>
        </xdr:spPr>
      </xdr:cxnSp>
    </xdr:grpSp>
    <xdr:clientData fLocksWithSheet="0"/>
  </xdr:oneCellAnchor>
  <xdr:oneCellAnchor>
    <xdr:from>
      <xdr:col>47</xdr:col>
      <xdr:colOff>247650</xdr:colOff>
      <xdr:row>0</xdr:row>
      <xdr:rowOff>0</xdr:rowOff>
    </xdr:from>
    <xdr:ext cx="18107025" cy="41795700"/>
    <xdr:sp>
      <xdr:nvSpPr>
        <xdr:cNvPr id="193" name="Shape 193"/>
        <xdr:cNvSpPr/>
      </xdr:nvSpPr>
      <xdr:spPr>
        <a:xfrm>
          <a:off x="0" y="0"/>
          <a:ext cx="10692000" cy="7560000"/>
        </a:xfrm>
        <a:prstGeom prst="rect">
          <a:avLst/>
        </a:prstGeom>
        <a:solidFill>
          <a:srgbClr val="00206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123825</xdr:colOff>
      <xdr:row>96</xdr:row>
      <xdr:rowOff>9525</xdr:rowOff>
    </xdr:from>
    <xdr:ext cx="1609725" cy="371475"/>
    <xdr:sp>
      <xdr:nvSpPr>
        <xdr:cNvPr id="194" name="Shape 194">
          <a:hlinkClick r:id="rId1"/>
        </xdr:cNvPr>
        <xdr:cNvSpPr/>
      </xdr:nvSpPr>
      <xdr:spPr>
        <a:xfrm>
          <a:off x="4545900" y="3599025"/>
          <a:ext cx="1600200"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22</xdr:col>
      <xdr:colOff>285750</xdr:colOff>
      <xdr:row>224</xdr:row>
      <xdr:rowOff>152400</xdr:rowOff>
    </xdr:from>
    <xdr:ext cx="1962150" cy="371475"/>
    <xdr:sp>
      <xdr:nvSpPr>
        <xdr:cNvPr id="195" name="Shape 195">
          <a:hlinkClick r:id="rId2"/>
        </xdr:cNvPr>
        <xdr:cNvSpPr/>
      </xdr:nvSpPr>
      <xdr:spPr>
        <a:xfrm>
          <a:off x="4369688" y="3599025"/>
          <a:ext cx="1952625" cy="36195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Back</a:t>
          </a:r>
          <a:r>
            <a:rPr b="1" lang="en-US" sz="1600">
              <a:solidFill>
                <a:schemeClr val="dk1"/>
              </a:solidFill>
              <a:latin typeface="Calibri"/>
              <a:ea typeface="Calibri"/>
              <a:cs typeface="Calibri"/>
              <a:sym typeface="Calibri"/>
            </a:rPr>
            <a:t> to Top</a:t>
          </a:r>
          <a:endParaRPr b="1" sz="1600">
            <a:solidFill>
              <a:schemeClr val="dk1"/>
            </a:solidFill>
          </a:endParaRPr>
        </a:p>
      </xdr:txBody>
    </xdr:sp>
    <xdr:clientData fLocksWithSheet="0"/>
  </xdr:oneCellAnchor>
  <xdr:oneCellAnchor>
    <xdr:from>
      <xdr:col>25</xdr:col>
      <xdr:colOff>666750</xdr:colOff>
      <xdr:row>1</xdr:row>
      <xdr:rowOff>0</xdr:rowOff>
    </xdr:from>
    <xdr:ext cx="2333625" cy="352425"/>
    <xdr:sp>
      <xdr:nvSpPr>
        <xdr:cNvPr id="196" name="Shape 196">
          <a:hlinkClick r:id="rId3"/>
        </xdr:cNvPr>
        <xdr:cNvSpPr/>
      </xdr:nvSpPr>
      <xdr:spPr>
        <a:xfrm>
          <a:off x="4183950" y="3608550"/>
          <a:ext cx="23241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Adaptive Capacity</a:t>
          </a:r>
          <a:endParaRPr b="1" sz="1600">
            <a:solidFill>
              <a:schemeClr val="dk1"/>
            </a:solidFill>
          </a:endParaRPr>
        </a:p>
      </xdr:txBody>
    </xdr:sp>
    <xdr:clientData fLocksWithSheet="0"/>
  </xdr:oneCellAnchor>
  <xdr:oneCellAnchor>
    <xdr:from>
      <xdr:col>28</xdr:col>
      <xdr:colOff>247650</xdr:colOff>
      <xdr:row>1</xdr:row>
      <xdr:rowOff>9525</xdr:rowOff>
    </xdr:from>
    <xdr:ext cx="1743075" cy="361950"/>
    <xdr:sp>
      <xdr:nvSpPr>
        <xdr:cNvPr id="197" name="Shape 197">
          <a:hlinkClick r:id="rId4"/>
        </xdr:cNvPr>
        <xdr:cNvSpPr/>
      </xdr:nvSpPr>
      <xdr:spPr>
        <a:xfrm>
          <a:off x="4479225" y="3603788"/>
          <a:ext cx="1733550" cy="352425"/>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Output</a:t>
          </a:r>
          <a:endParaRPr b="1" sz="1600">
            <a:solidFill>
              <a:schemeClr val="dk1"/>
            </a:solidFill>
          </a:endParaRPr>
        </a:p>
      </xdr:txBody>
    </xdr:sp>
    <xdr:clientData fLocksWithSheet="0"/>
  </xdr:oneCellAnchor>
  <xdr:oneCellAnchor>
    <xdr:from>
      <xdr:col>0</xdr:col>
      <xdr:colOff>285750</xdr:colOff>
      <xdr:row>1</xdr:row>
      <xdr:rowOff>0</xdr:rowOff>
    </xdr:from>
    <xdr:ext cx="3486150" cy="352425"/>
    <xdr:sp>
      <xdr:nvSpPr>
        <xdr:cNvPr id="198" name="Shape 198">
          <a:hlinkClick r:id="rId5"/>
        </xdr:cNvPr>
        <xdr:cNvSpPr/>
      </xdr:nvSpPr>
      <xdr:spPr>
        <a:xfrm>
          <a:off x="3607688" y="3608550"/>
          <a:ext cx="34766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Home</a:t>
          </a:r>
          <a:endParaRPr sz="1400"/>
        </a:p>
      </xdr:txBody>
    </xdr:sp>
    <xdr:clientData fLocksWithSheet="0"/>
  </xdr:oneCellAnchor>
  <xdr:oneCellAnchor>
    <xdr:from>
      <xdr:col>3</xdr:col>
      <xdr:colOff>133350</xdr:colOff>
      <xdr:row>1</xdr:row>
      <xdr:rowOff>0</xdr:rowOff>
    </xdr:from>
    <xdr:ext cx="3457575" cy="352425"/>
    <xdr:sp>
      <xdr:nvSpPr>
        <xdr:cNvPr id="199" name="Shape 199">
          <a:hlinkClick r:id="rId6"/>
        </xdr:cNvPr>
        <xdr:cNvSpPr/>
      </xdr:nvSpPr>
      <xdr:spPr>
        <a:xfrm>
          <a:off x="3621975" y="3608550"/>
          <a:ext cx="34480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Instructions</a:t>
          </a:r>
          <a:endParaRPr b="1" sz="1600">
            <a:solidFill>
              <a:schemeClr val="dk1"/>
            </a:solidFill>
          </a:endParaRPr>
        </a:p>
      </xdr:txBody>
    </xdr:sp>
    <xdr:clientData fLocksWithSheet="0"/>
  </xdr:oneCellAnchor>
  <xdr:oneCellAnchor>
    <xdr:from>
      <xdr:col>9</xdr:col>
      <xdr:colOff>238125</xdr:colOff>
      <xdr:row>1</xdr:row>
      <xdr:rowOff>0</xdr:rowOff>
    </xdr:from>
    <xdr:ext cx="1962150" cy="352425"/>
    <xdr:sp>
      <xdr:nvSpPr>
        <xdr:cNvPr id="200" name="Shape 200">
          <a:hlinkClick r:id="rId7"/>
        </xdr:cNvPr>
        <xdr:cNvSpPr/>
      </xdr:nvSpPr>
      <xdr:spPr>
        <a:xfrm>
          <a:off x="4369688" y="3608550"/>
          <a:ext cx="1952625"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Hazard</a:t>
          </a:r>
          <a:endParaRPr b="1" sz="1600">
            <a:solidFill>
              <a:schemeClr val="dk1"/>
            </a:solidFill>
          </a:endParaRPr>
        </a:p>
      </xdr:txBody>
    </xdr:sp>
    <xdr:clientData fLocksWithSheet="0"/>
  </xdr:oneCellAnchor>
  <xdr:oneCellAnchor>
    <xdr:from>
      <xdr:col>16</xdr:col>
      <xdr:colOff>57150</xdr:colOff>
      <xdr:row>1</xdr:row>
      <xdr:rowOff>0</xdr:rowOff>
    </xdr:from>
    <xdr:ext cx="2409825" cy="352425"/>
    <xdr:sp>
      <xdr:nvSpPr>
        <xdr:cNvPr id="201" name="Shape 201">
          <a:hlinkClick r:id="rId8"/>
        </xdr:cNvPr>
        <xdr:cNvSpPr/>
      </xdr:nvSpPr>
      <xdr:spPr>
        <a:xfrm>
          <a:off x="4145850" y="3608550"/>
          <a:ext cx="240030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Exposure</a:t>
          </a:r>
          <a:endParaRPr b="1" sz="1600">
            <a:solidFill>
              <a:schemeClr val="dk1"/>
            </a:solidFill>
          </a:endParaRPr>
        </a:p>
      </xdr:txBody>
    </xdr:sp>
    <xdr:clientData fLocksWithSheet="0"/>
  </xdr:oneCellAnchor>
  <xdr:oneCellAnchor>
    <xdr:from>
      <xdr:col>22</xdr:col>
      <xdr:colOff>161925</xdr:colOff>
      <xdr:row>1</xdr:row>
      <xdr:rowOff>0</xdr:rowOff>
    </xdr:from>
    <xdr:ext cx="1895475" cy="352425"/>
    <xdr:sp>
      <xdr:nvSpPr>
        <xdr:cNvPr id="202" name="Shape 202">
          <a:hlinkClick r:id="rId9"/>
        </xdr:cNvPr>
        <xdr:cNvSpPr/>
      </xdr:nvSpPr>
      <xdr:spPr>
        <a:xfrm>
          <a:off x="4403025" y="3608550"/>
          <a:ext cx="1885950" cy="342900"/>
        </a:xfrm>
        <a:prstGeom prst="rect">
          <a:avLst/>
        </a:prstGeom>
        <a:solidFill>
          <a:srgbClr val="D8D8D8"/>
        </a:solidFill>
        <a:ln>
          <a:noFill/>
        </a:ln>
        <a:effectLst>
          <a:outerShdw blurRad="50800" rotWithShape="0" algn="tl" dir="2700000" dist="38100">
            <a:srgbClr val="000000">
              <a:alpha val="40000"/>
            </a:srgbClr>
          </a:outerShdw>
        </a:effectLst>
      </xdr:spPr>
      <xdr:txBody>
        <a:bodyPr anchorCtr="0" anchor="t" bIns="36000" lIns="36000" spcFirstLastPara="1" rIns="36000" wrap="square" tIns="360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Sensitivity</a:t>
          </a:r>
          <a:endParaRPr b="1" sz="1600">
            <a:solidFill>
              <a:schemeClr val="dk1"/>
            </a:solidFill>
          </a:endParaRPr>
        </a:p>
      </xdr:txBody>
    </xdr:sp>
    <xdr:clientData fLocksWithSheet="0"/>
  </xdr:oneCellAnchor>
  <xdr:oneCellAnchor>
    <xdr:from>
      <xdr:col>29</xdr:col>
      <xdr:colOff>247650</xdr:colOff>
      <xdr:row>96</xdr:row>
      <xdr:rowOff>9525</xdr:rowOff>
    </xdr:from>
    <xdr:ext cx="2981325" cy="371475"/>
    <xdr:sp>
      <xdr:nvSpPr>
        <xdr:cNvPr id="203" name="Shape 203"/>
        <xdr:cNvSpPr/>
      </xdr:nvSpPr>
      <xdr:spPr>
        <a:xfrm>
          <a:off x="3860100" y="3599025"/>
          <a:ext cx="2971800" cy="361950"/>
        </a:xfrm>
        <a:prstGeom prst="rect">
          <a:avLst/>
        </a:prstGeom>
        <a:solidFill>
          <a:srgbClr val="7F7F7F"/>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Show All Response Options</a:t>
          </a:r>
          <a:endParaRPr sz="1400"/>
        </a:p>
      </xdr:txBody>
    </xdr:sp>
    <xdr:clientData fLocksWithSheet="0"/>
  </xdr:oneCellAnchor>
  <xdr:oneCellAnchor>
    <xdr:from>
      <xdr:col>38</xdr:col>
      <xdr:colOff>19050</xdr:colOff>
      <xdr:row>29</xdr:row>
      <xdr:rowOff>190500</xdr:rowOff>
    </xdr:from>
    <xdr:ext cx="2447925" cy="400050"/>
    <xdr:sp>
      <xdr:nvSpPr>
        <xdr:cNvPr id="204" name="Shape 204"/>
        <xdr:cNvSpPr/>
      </xdr:nvSpPr>
      <xdr:spPr>
        <a:xfrm>
          <a:off x="4126800" y="3584738"/>
          <a:ext cx="2438400" cy="390525"/>
        </a:xfrm>
        <a:prstGeom prst="rect">
          <a:avLst/>
        </a:prstGeom>
        <a:solidFill>
          <a:srgbClr val="7F7F7F"/>
        </a:solidFill>
        <a:ln>
          <a:noFill/>
        </a:ln>
        <a:effectLst>
          <a:outerShdw blurRad="50800" rotWithShape="0" algn="tl" dir="27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lt1"/>
              </a:solidFill>
              <a:latin typeface="Calibri"/>
              <a:ea typeface="Calibri"/>
              <a:cs typeface="Calibri"/>
              <a:sym typeface="Calibri"/>
            </a:rPr>
            <a:t>Response Options</a:t>
          </a:r>
          <a:endParaRPr sz="1400"/>
        </a:p>
      </xdr:txBody>
    </xdr:sp>
    <xdr:clientData fLocksWithSheet="0"/>
  </xdr:oneCellAnchor>
  <xdr:oneCellAnchor>
    <xdr:from>
      <xdr:col>23</xdr:col>
      <xdr:colOff>314325</xdr:colOff>
      <xdr:row>5</xdr:row>
      <xdr:rowOff>38100</xdr:rowOff>
    </xdr:from>
    <xdr:ext cx="38100" cy="523875"/>
    <xdr:grpSp>
      <xdr:nvGrpSpPr>
        <xdr:cNvPr id="2" name="Shape 2"/>
        <xdr:cNvGrpSpPr/>
      </xdr:nvGrpSpPr>
      <xdr:grpSpPr>
        <a:xfrm>
          <a:off x="5346000" y="3518063"/>
          <a:ext cx="0" cy="523875"/>
          <a:chOff x="5346000" y="3518063"/>
          <a:chExt cx="0" cy="523875"/>
        </a:xfrm>
      </xdr:grpSpPr>
      <xdr:cxnSp>
        <xdr:nvCxnSpPr>
          <xdr:cNvPr id="205" name="Shape 205"/>
          <xdr:cNvCxnSpPr/>
        </xdr:nvCxnSpPr>
        <xdr:spPr>
          <a:xfrm>
            <a:off x="5346000" y="3518063"/>
            <a:ext cx="0" cy="523875"/>
          </a:xfrm>
          <a:prstGeom prst="straightConnector1">
            <a:avLst/>
          </a:prstGeom>
          <a:noFill/>
          <a:ln cap="flat" cmpd="sng" w="38100">
            <a:solidFill>
              <a:schemeClr val="lt1"/>
            </a:solidFill>
            <a:prstDash val="solid"/>
            <a:miter lim="800000"/>
            <a:headEnd len="sm" w="sm" type="none"/>
            <a:tailEnd len="sm" w="sm" type="none"/>
          </a:ln>
        </xdr:spPr>
      </xdr:cxnSp>
    </xdr:grpSp>
    <xdr:clientData fLocksWithSheet="0"/>
  </xdr:oneCellAnchor>
  <xdr:oneCellAnchor>
    <xdr:from>
      <xdr:col>23</xdr:col>
      <xdr:colOff>314325</xdr:colOff>
      <xdr:row>16</xdr:row>
      <xdr:rowOff>257175</xdr:rowOff>
    </xdr:from>
    <xdr:ext cx="38100" cy="447675"/>
    <xdr:grpSp>
      <xdr:nvGrpSpPr>
        <xdr:cNvPr id="2" name="Shape 2"/>
        <xdr:cNvGrpSpPr/>
      </xdr:nvGrpSpPr>
      <xdr:grpSpPr>
        <a:xfrm>
          <a:off x="5346000" y="3556163"/>
          <a:ext cx="0" cy="447675"/>
          <a:chOff x="5346000" y="3556163"/>
          <a:chExt cx="0" cy="447675"/>
        </a:xfrm>
      </xdr:grpSpPr>
      <xdr:cxnSp>
        <xdr:nvCxnSpPr>
          <xdr:cNvPr id="206" name="Shape 206"/>
          <xdr:cNvCxnSpPr/>
        </xdr:nvCxnSpPr>
        <xdr:spPr>
          <a:xfrm>
            <a:off x="5346000" y="3556163"/>
            <a:ext cx="0" cy="447675"/>
          </a:xfrm>
          <a:prstGeom prst="straightConnector1">
            <a:avLst/>
          </a:prstGeom>
          <a:noFill/>
          <a:ln cap="flat" cmpd="sng" w="38100">
            <a:solidFill>
              <a:schemeClr val="lt1"/>
            </a:solidFill>
            <a:prstDash val="solid"/>
            <a:miter lim="800000"/>
            <a:headEnd len="sm" w="sm" type="none"/>
            <a:tailEnd len="sm" w="sm" type="none"/>
          </a:ln>
        </xdr:spPr>
      </xdr:cxnSp>
    </xdr:grpSp>
    <xdr:clientData fLocksWithSheet="0"/>
  </xdr:oneCellAnchor>
</xdr:wsDr>
</file>

<file path=xl/persons/person.xml><?xml version="1.0" encoding="utf-8"?>
<x18tc:personList xmlns:x18tc="http://schemas.microsoft.com/office/spreadsheetml/2018/threadedcomments">
  <x18tc:person displayName="tc={BCB19127-150A-4546-BDDB-F4286867C34A}" id="{c2227f2e-0283-474c-befb-5292a64899de}" providerId="google-sheets"/>
  <x18tc:person displayName="tc={B1E4D265-672E-4F0D-BE20-A8A8F2678F65}" id="{38c2bfff-ed6e-457e-b8f4-e04855dd0687}" providerId="google-sheets"/>
  <x18tc:person displayName="tc={5279790D-34D8-4B60-96E9-CBD804A2EE99}" id="{5ede3fce-736d-4a8c-a6ab-4b636590b5ff}" providerId="google-sheets"/>
  <x18tc:person displayName="tc={152E50A1-6B57-44EE-8F56-ECC8BB69ECB0}" id="{e568db5e-7df8-48a0-9c0c-284ed0e9a2b8}" providerId="google-sheets"/>
  <x18tc:person displayName="tc={EA691DDA-771C-4015-BCDA-77ADEA3A9D31}" id="{3f7b630b-f377-4f5f-af1a-d825ea8472bf}" providerId="google-sheets"/>
  <x18tc:person displayName="tc={8236D9C4-AB1B-47BC-BE58-405022CD009E}" id="{ac9caeac-0c75-4583-81f5-faebc238423f}" providerId="google-sheets"/>
  <x18tc:person displayName="tc={AA92C9E5-E6AB-4B42-A8B9-05540BACBACE}" id="{a711943f-540f-4b7c-9631-8813c19aa9a0}" providerId="google-sheets"/>
  <x18tc:person displayName="tc={6C2569D8-5648-4A63-800F-2DCBE2E4A4A4}" id="{b831dca8-26ab-4d69-a57f-a161fd7327c8}" providerId="google-sheets"/>
  <x18tc:person displayName="tc={1499CBD5-ACBC-45DB-90C1-749DC7E3AB66}" id="{d0a0fc63-8e25-4b62-af67-00fa4ae891d1}" providerId="google-sheets"/>
  <x18tc:person displayName="tc={4A6E69F3-CFBD-4539-8A5B-0C749C7E1CAD}" id="{719d36d4-6a84-4dc0-af66-81a4e54e7115}" providerId="google-sheets"/>
  <x18tc:person displayName="tc={8D8D1A99-6415-41E4-A102-806518854BAD}" id="{f653ad6d-4f32-42f3-a662-009ac4c0dfc3}" providerId="google-sheets"/>
  <x18tc:person displayName="tc={2D832BCC-2D23-4FBA-8800-59BA706A8828}" id="{202f3b44-856a-44b0-801b-7a7b6f945d7c}" providerId="google-sheets"/>
  <x18tc:person displayName="tc={B4D0E3A4-5743-4613-84DC-B188745E7F63}" id="{b616f3bc-59b7-460d-b9e4-11d7940ca594}" providerId="google-sheets"/>
  <x18tc:person displayName="tc={13B199F0-12D6-4C6C-BD60-B218BD5B2A06}" id="{c1affc9c-4c3a-4d8e-b5c4-7b896451d4aa}" providerId="google-sheets"/>
  <x18tc:person displayName="tc={0029ED71-179F-4AB8-B5F9-9CB95F882850}" id="{e8c9a55b-ba8a-44a9-93a4-d4531dd32ef3}" providerId="google-sheets"/>
  <x18tc:person displayName="tc={88800B4C-E3E3-40EC-9D65-49B421E84300}" id="{24a35259-3116-4cb3-8bd4-742209b51116}" providerId="google-sheets"/>
  <x18tc:person displayName="tc={EFB1EBA2-E08F-4409-8D64-E051112F2580}" id="{6e7de301-c3c8-4721-9e23-369ce4f84c00}" providerId="google-sheets"/>
  <x18tc:person displayName="tc={F3659044-A267-4C8F-8644-9E47AD663DFD}" id="{585ea92f-529a-4598-8a6f-c704189edb62}" providerId="google-sheets"/>
  <x18tc:person displayName="tc={8AFCF116-E924-4D2F-A376-345F0C954450}" id="{b9d93a4c-be2e-489c-992c-18b89fc2e2f2}" providerId="google-sheets"/>
  <x18tc:person displayName="tc={581C6104-2103-4B0A-8430-5CBA5F59A871}" id="{7369f59a-a1f3-41e5-8cc7-3890ee3b434e}" providerId="google-sheets"/>
  <x18tc:person displayName="tc={3C0F006D-BBFA-4AE7-B74F-931CE6AB4ACE}" id="{8ee5aac7-f4ba-4c9e-b762-04869078aa62}" providerId="google-sheets"/>
  <x18tc:person displayName="tc={14D85522-EA3F-4CD7-88C2-54378C22D4CE}" id="{e7e70ff3-4bd7-476e-8de5-3f4114748a6f}" providerId="google-sheets"/>
  <x18tc:person displayName="tc={C855F588-92BB-41F0-8A6C-8F7F299773B1}" id="{bae9ded3-50d6-4a3b-acb3-972178792033}" providerId="google-sheets"/>
  <x18tc:person displayName="tc={8632FB96-80A9-4BC6-A013-0BB2ECE696A4}" id="{6e06f06b-bce4-40e0-b80a-e7e921003f57}" providerId="google-sheets"/>
  <x18tc:person displayName="tc={A2120EAC-884E-430B-B2E2-8E4F270DCD33}" id="{7b70a9bb-bb10-4ef8-9fdc-a6563d8b3fd1}" providerId="google-sheets"/>
  <x18tc:person displayName="tc={8A5FC834-D3C4-4EF8-8EA1-21CFB3396C83}" id="{d8e03110-9d03-4a88-9d7d-91370cedde81}" providerId="google-sheets"/>
  <x18tc:person displayName="tc={E7C0E3C1-B21B-4EF6-A531-798E18B67BC8}" id="{f4b86892-7ee2-4934-8e97-763fdd1cf0ad}" providerId="google-sheets"/>
  <x18tc:person displayName="tc={C7DFCABA-048A-4143-8A0E-7C5DAD0F7F7B}" id="{61775401-7662-4116-8934-c08d84594196}" providerId="google-sheets"/>
  <x18tc:person displayName="tc={05262680-6522-42F9-832D-8F8A38FD1A18}" id="{e8b17091-9eae-4898-be48-d3e8b47a1b39}" providerId="google-sheets"/>
  <x18tc:person displayName="tc={07735A6F-54B4-4EA0-BF42-509277F8FF33}" id="{733a02a1-7987-45bd-bfc0-e2b7e07d5ae5}" providerId="google-sheets"/>
  <x18tc:person displayName="tc={4D10F791-1194-4102-9417-64C9FF98AC8F}" id="{bb8857c4-f884-48b6-a397-1a70f6bae5dc}" providerId="google-sheets"/>
  <x18tc:person displayName="tc={DEAA6A99-BFEE-4C59-A02E-BF08AE152370}" id="{bb64a557-728b-487f-a38c-4fc999250f6e}" providerId="google-sheets"/>
  <x18tc:person displayName="tc={E89449CB-0DAB-4859-A124-FDD1A398DC98}" id="{f4c943a0-4bf7-46fa-a96a-8291b3786e4b}" providerId="google-sheets"/>
  <x18tc:person displayName="tc={79A18024-8208-4307-9383-CBF895D44EBB}" id="{1cc62d6e-69b6-445d-b4f7-f205078d299c}" providerId="google-sheets"/>
  <x18tc:person displayName="tc={F76A4260-CD11-4CE4-A59E-5B59625C13C6}" id="{1473a251-096d-4873-8e26-8c4b82a85dee}" providerId="google-sheets"/>
  <x18tc:person displayName="tc={19BD2979-BDF4-4675-B105-0EC8CA86BCC5}" id="{2326ca01-daa5-49ab-9c35-cd2e9343f2ee}" providerId="google-sheets"/>
  <x18tc:person displayName="tc={A3258B7D-366B-4083-AF5F-0EE246F32659}" id="{1aad0fe1-8883-4863-92a3-b11de0cea2d7}" providerId="google-sheets"/>
  <x18tc:person displayName="tc={ECF08E35-6976-441F-AE51-EEE39BB522CD}" id="{f34865ca-a3b0-4c5f-9afd-96a28ca90f20}" providerId="google-sheets"/>
  <x18tc:person displayName="tc={9D224B09-0A04-4F88-9329-3A32AC52F68A}" id="{98856eb1-f796-4bb0-92bc-535b4c3e5d08}" providerId="google-sheets"/>
  <x18tc:person displayName="tc={D805D5A5-2B54-45E8-B9F4-0B8F9F54C038}" id="{1f7bc1f5-67df-4f1a-b067-5b4aca21cd6f}" providerId="google-sheets"/>
  <x18tc:person displayName="tc={9AD633FC-D922-469A-B43F-E2461E6A7968}" id="{db6dda6e-f6d2-4046-83da-2626db6c0869}" providerId="google-sheets"/>
  <x18tc:person displayName="tc={2C20B72F-DD16-4473-B66D-82EA221CC9F1}" id="{66837a8c-a692-4cf6-b860-e95d3127da4b}" providerId="google-sheets"/>
  <x18tc:person displayName="tc={511C5BB8-4A46-4EF4-ABD2-DC647EAB829E}" id="{55ab602f-4ec6-4134-993c-1d03c43665c1}" providerId="google-sheets"/>
  <x18tc:person displayName="tc={BCF2632A-80EB-46F0-B23F-4F1E661FA6A5}" id="{2838fb31-59f4-4dd3-b140-0af3bcc262c2}" providerId="google-sheets"/>
  <x18tc:person displayName="tc={3D96EFE8-295D-439F-8C6D-D8E12F243E90}" id="{aaa4d25a-64fe-4c9d-b2b1-0e7d8510381a}" providerId="google-sheets"/>
  <x18tc:person displayName="tc={02B8BFAA-13D1-4BB6-BC90-C36CDE763007}" id="{05e3b62c-af2c-497b-b003-73529cbaa95c}" providerId="google-sheets"/>
  <x18tc:person displayName="tc={D1FAC6C5-4E4A-498C-BBB2-ADD3DA9859BF}" id="{738a440e-7e06-4b4e-994a-99d3e8abd688}" providerId="google-sheets"/>
  <x18tc:person displayName="tc={A19EB959-91DB-4271-9B63-98E8221DCBA3}" id="{f8f510a7-c54b-4a73-9e08-24b38f8614fd}" providerId="google-sheets"/>
  <x18tc:person displayName="tc={9B70D7D0-42EB-4535-8F26-E3D8CC648BAB}" id="{69ec4b6e-7307-409f-889a-b0aee33dba06}" providerId="google-sheets"/>
  <x18tc:person displayName="tc={8053323F-2FB4-4724-AF0F-89B3A5AB6756}" id="{2abe8347-7111-47fd-bf81-1169c1effa77}" providerId="google-sheets"/>
  <x18tc:person displayName="tc={0A46C273-6F6E-484A-85CF-991E0B46677A}" id="{78cfdfc6-94b4-4ad7-8b06-f65a713a295d}" providerId="google-sheets"/>
  <x18tc:person displayName="tc={B37318CD-EB8C-46A6-AC82-F703515CDD85}" id="{e4cff386-109a-4c6e-889d-aa7834bf4760}" providerId="google-sheets"/>
  <x18tc:person displayName="tc={E634E185-F7B9-42D7-9AFC-45658A5F36C0}" id="{24727e7e-0874-496c-976a-9d1357aaf876}" providerId="google-sheets"/>
  <x18tc:person displayName="tc={106389D2-FF2C-4486-947B-BF93E0C3D616}" id="{96587734-7a0b-4df6-8338-fccc5b746426}" providerId="google-sheets"/>
  <x18tc:person displayName="tc={1E54DE64-4892-40E9-85CE-F0F556A5EEF7}" id="{d6ee921a-1b32-4e93-bd32-74c01503ea66}" providerId="google-sheets"/>
  <x18tc:person displayName="tc={0CCEA066-44BA-4015-A123-5D8EBB1C0589}" id="{be986e8e-b3e2-4d61-9744-f1b6ed1dc61b}" providerId="google-sheets"/>
  <x18tc:person displayName="tc={291D0070-E9F5-4A8C-9CB3-0BDA24DCAC05}" id="{5ba1241c-63ef-46cb-9ceb-07560f4d90b2}" providerId="google-sheets"/>
  <x18tc:person displayName="tc={F616DD96-6BF3-473A-921C-ACBD7D994CA4}" id="{76da1495-6dc5-4f86-81be-c730366711ab}" providerId="google-sheets"/>
  <x18tc:person displayName="tc={B8D094FE-E942-451B-A6AB-A7F2F87D3E88}" id="{d45263dd-983a-4ba9-a024-7dd1cf7db609}" providerId="google-sheets"/>
  <x18tc:person displayName="tc={6FB12ECF-2B82-4FA1-A172-D162A5BA2BE7}" id="{3bf89f1e-7846-4f85-9603-413d8061dd97}" providerId="google-sheets"/>
  <x18tc:person displayName="tc={FA0DCBC7-2AD7-42FB-BD53-B196412DC2B4}" id="{7bba5fca-cb37-4115-b771-696279c96109}" providerId="google-sheets"/>
  <x18tc:person displayName="tc={C5BC73D5-C2E6-48E2-8C7D-64048645379B}" id="{241a7ada-27e1-445b-a1e8-452e3103df86}" providerId="google-sheets"/>
  <x18tc:person displayName="tc={F0FB76B0-9541-4628-A28F-1D9324924FA8}" id="{2aecff63-c806-434d-a2cd-6abea99add1e}" providerId="google-sheets"/>
  <x18tc:person displayName="tc={9BADB680-8E74-40DA-9506-3B062009653A}" id="{5ecfd8ed-d3cc-4c86-ad22-b80646018075}" providerId="google-sheets"/>
  <x18tc:person displayName="tc={BC22C01A-BDEC-468B-8751-35CF9EB219DC}" id="{7b584e5a-ae66-4223-94b4-2f3a0fa3aa89}" providerId="google-sheets"/>
  <x18tc:person displayName="tc={C7A81EE5-E534-4F13-BBE4-3264942C8BC9}" id="{26319299-3133-4023-823e-d47dd6d8ad2a}" providerId="google-sheets"/>
  <x18tc:person displayName="tc={A26000D8-5FCC-4FBB-9641-9080594B6A31}" id="{185a3750-0aaf-418a-8588-4bc414e83605}" providerId="google-sheets"/>
  <x18tc:person displayName="tc={FBBE08DB-7DA4-4758-A212-DF226FC3F96D}" id="{7bba3dc8-bf58-4bd0-b9bd-3612400e6827}" providerId="google-sheets"/>
  <x18tc:person displayName="tc={F4FBFCCB-6947-4A28-85D7-A4E23BE3CC14}" id="{35680d08-9cea-40ec-85cd-53071e4e611d}" providerId="google-sheets"/>
  <x18tc:person displayName="tc={77BBF8A9-E254-4575-8D3C-4D33AB9FD1BD}" id="{7f1602ae-5dcb-487f-8bf7-d592ba1a310d}" providerId="google-sheets"/>
  <x18tc:person displayName="tc={99D2435E-AA67-49B4-B6F8-67669EB8ACFD}" id="{061998d2-e742-4340-930d-61d556d3fb61}" providerId="google-sheets"/>
  <x18tc:person displayName="tc={ECB2CC8F-B46E-4E65-A631-D7BF24580951}" id="{e5f1fe36-5d54-4cb5-91ce-583ad502b90f}" providerId="google-sheets"/>
  <x18tc:person displayName="tc={8A6D56BD-1A6B-45FE-A350-CB09497F59A7}" id="{ae8548e6-3493-401f-a4b0-0301dd5d7f26}" providerId="google-sheets"/>
  <x18tc:person displayName="tc={6891E1A6-3E9B-412F-AC27-31643DEBAE44}" id="{95356044-b01b-452a-b30b-da1f602699a1}" providerId="google-sheets"/>
  <x18tc:person displayName="tc={30F0907E-D969-42D4-A100-A316797036FC}" id="{c53e0aac-674f-478d-99ac-2eae4db4b527}" providerId="google-sheets"/>
  <x18tc:person displayName="tc={179283D2-3E06-4A96-8B12-9B1FD859A748}" id="{c296abec-21c6-43ba-8303-893d15a51223}" providerId="google-sheets"/>
  <x18tc:person displayName="tc={50B56989-A261-4998-A078-AA668EC0AEA8}" id="{41a832bb-2ba8-4e5f-bcf5-a191cf8e3797}" providerId="google-sheets"/>
  <x18tc:person displayName="tc={6E2024E2-FCB1-4DA1-ADD1-9EEDBB2379B1}" id="{90d0e9f7-2fd3-49e8-82d5-3b265f01d32e}" providerId="google-sheets"/>
  <x18tc:person displayName="tc={DCCEC84C-0940-4168-AEB6-2C348BC3A9BD}" id="{559f32ac-8d4b-4915-9ba7-03fb25c83c59}" providerId="google-sheets"/>
  <x18tc:person displayName="tc={C10ECB65-EA55-4035-A700-7C5E08081D68}" id="{35b54313-b3f8-4670-a385-77a840c0ffab}" providerId="google-sheets"/>
  <x18tc:person displayName="tc={26F66363-E234-4185-9C15-7460F72054F0}" id="{4fcd50a5-5d7c-4342-b98d-328a6f845a3b}" providerId="google-sheets"/>
  <x18tc:person displayName="tc={D5C232EC-C2E9-4243-A2AC-F37DDB7FC0E5}" id="{4c34808a-ccd6-4c8a-8295-d069048f0f8c}" providerId="google-sheets"/>
  <x18tc:person displayName="tc={30CF5297-2CDC-4FCC-9A5E-DEEE07875610}" id="{0c7f31df-c4e9-43c8-850b-17cc7360cd34}" providerId="google-sheets"/>
  <x18tc:person displayName="tc={8A04D337-26D6-4CA9-B541-63CF704EAF40}" id="{e4b6bbd3-f4dd-4ffc-bbce-b6f7cea2a635}" providerId="google-sheets"/>
  <x18tc:person displayName="tc={DE8734DB-0C77-4102-9E99-4A59EBDAA45E}" id="{a0fc9e2d-ace3-41c4-8557-d1e19aab3476}" providerId="google-sheets"/>
  <x18tc:person displayName="tc={963F83EB-9BEF-4DD4-A26F-F0FB3A964E40}" id="{56f858b1-f8a2-469d-ad11-4adfea41e3de}" providerId="google-sheets"/>
  <x18tc:person displayName="tc={9BE218A9-0541-4F1C-9077-20DCD2272C2E}" id="{1d395383-c015-4dcd-b632-031e9637fae3}" providerId="google-sheets"/>
  <x18tc:person displayName="tc={B135B8BF-E48E-4B73-9C8D-525D54898334}" id="{45d7d4f6-f5e6-470c-8e38-47a36356b7c5}" providerId="google-sheets"/>
  <x18tc:person displayName="tc={D57EDA92-B501-4454-B185-361130355943}" id="{e84ed449-6408-4606-95a8-0c1d1cdf4df1}" providerId="google-sheets"/>
  <x18tc:person displayName="tc={F0A63CD0-C084-42A0-93BD-38ACCF6BE253}" id="{e5df3aed-cfae-4a33-8cd9-ca575136b2d7}" providerId="google-sheets"/>
  <x18tc:person displayName="tc={247AD83C-7047-4F3D-9C02-4579C0A94AA4}" id="{250a0066-50ee-443b-8863-5d7e3e01a27a}" providerId="google-sheets"/>
  <x18tc:person displayName="tc={56ED1D05-D521-429A-A030-9CC657193A43}" id="{d33bee8d-6bba-42ae-92f4-b465aa8b0a0d}" providerId="google-sheets"/>
  <x18tc:person displayName="tc={826CF7F8-0163-42C3-95A7-966A8AA6EFC5}" id="{e7631ab6-13e2-42d0-b16d-a306aefd8de5}" providerId="google-sheets"/>
  <x18tc:person displayName="tc={6F777BBF-2B7B-4584-910B-24701D861448}" id="{e6460151-388f-4df7-ad64-d994310ec52f}" providerId="google-sheets"/>
  <x18tc:person displayName="tc={4BE9F40F-7181-4C19-89CB-919AFF7A9245}" id="{12d67900-5c9b-4356-ba1b-388eb6afc2f5}" providerId="google-sheets"/>
  <x18tc:person displayName="tc={5081FFA3-D708-4CCA-A76B-2A5F90D9BD6B}" id="{814d7cce-4941-4453-bafa-cc04cf16efb3}" providerId="google-sheets"/>
  <x18tc:person displayName="tc={F16977A0-D55F-44E1-BCB3-96D9848A4944}" id="{ba5e7a53-f0bf-49fc-bd37-4127a4c1c799}" providerId="google-sheets"/>
  <x18tc:person displayName="tc={80246A25-D640-47F9-BCE4-68629BE1B031}" id="{ec35aca7-191f-490b-9ca4-4269461bef5b}" providerId="google-sheets"/>
  <x18tc:person displayName="tc={24DBCE6D-9280-4371-BCFA-05699C46D9EC}" id="{944a014e-64da-405a-b2a4-4b4c62a7dd66}" providerId="google-sheets"/>
  <x18tc:person displayName="tc={F3040E42-CC88-460D-AF7C-9E9E76D444FB}" id="{45b9e207-8753-49e4-999c-e483b082166f}" providerId="google-sheets"/>
  <x18tc:person displayName="tc={7EBC0A81-F636-4C23-B4C4-4DDF38D05243}" id="{588d6e1c-c37b-4029-af7a-7b6dec7c02de}" providerId="google-sheets"/>
  <x18tc:person displayName="tc={F6085AF4-9EA0-465E-A0BD-DCBDD8E7E41A}" id="{088afcd7-0b32-4c77-b5f5-64b4dfd8b59b}" providerId="google-sheets"/>
  <x18tc:person displayName="tc={208CC8E4-83AF-4943-B6F8-A0EBF57DE411}" id="{b69ce0d0-4d98-4669-b8ab-04dc337c6e19}" providerId="google-sheets"/>
  <x18tc:person displayName="tc={3E10C137-6FDB-4F67-8120-8517D4E7A695}" id="{b8daccf4-b128-4a8e-ad50-3a8f5bedce22}" providerId="google-sheets"/>
  <x18tc:person displayName="tc={A3933C81-D645-4777-B36E-28FA08112672}" id="{4db2e333-1836-46a8-bb97-00f47c2dc9a2}" providerId="google-sheets"/>
  <x18tc:person displayName="tc={17E1D3F7-E607-4D33-ABE7-308D09F70CCE}" id="{5fa1817b-977a-4be4-887c-91e194efc037}" providerId="google-sheets"/>
  <x18tc:person displayName="tc={84A95BBE-E7E6-43BC-BE05-8222EC6B68C7}" id="{8d261dae-46bc-4d2f-ab52-f1b01c6fafa2}" providerId="google-sheets"/>
  <x18tc:person displayName="tc={E74A02C6-DFBD-432B-A855-3E087A453A09}" id="{40fa2a18-99bd-4afb-b20f-388a4dae6357}" providerId="google-sheets"/>
  <x18tc:person displayName="tc={3E44B04F-2813-4BB2-936B-C9CC01256ED7}" id="{0921c014-e137-4b39-b611-3ea5a17bcb50}" providerId="google-sheets"/>
  <x18tc:person displayName="tc={A5710A50-7B4F-46C9-96D6-8A33DED34030}" id="{77ca22e8-383c-4f51-aa37-b4261e012d59}" providerId="google-sheets"/>
  <x18tc:person displayName="tc={F7233A42-127C-44DD-9371-966EC53E0EC7}" id="{12162d75-6ec1-423e-84c1-ca854d9ad697}" providerId="google-sheets"/>
  <x18tc:person displayName="tc={354C6BFC-66F7-4225-ACD7-AB171A4E8BA7}" id="{b3b53783-5df9-4d75-81e1-54bc7b6fa149}" providerId="google-sheets"/>
  <x18tc:person displayName="tc={34D2FE23-B743-4525-8AF9-BC02AD0E04CF}" id="{7c2985ed-390b-499c-90c5-f8adb9baae6d}" providerId="google-sheets"/>
  <x18tc:person displayName="tc={222C18D2-AAE3-4732-B810-8C24254AB815}" id="{a0a95da7-e5ff-4e7e-924e-0361f4c87152}" providerId="google-sheets"/>
  <x18tc:person displayName="tc={0493F1C2-A519-4F37-9327-3A6317489D6B}" id="{63e60972-18b7-460e-9c08-d7d76bfc639d}" providerId="google-sheets"/>
  <x18tc:person displayName="tc={3361789B-9545-4B92-89DF-13E8FBACB627}" id="{e5480933-e0dc-4ddd-92cb-fe537ce0fe66}" providerId="google-sheets"/>
  <x18tc:person displayName="tc={9D98D439-0456-475E-B4F6-63F6FE267AB1}" id="{d0a25966-968c-49f5-a181-fe3c2846069f}" providerId="google-sheets"/>
  <x18tc:person displayName="tc={A1D34730-8720-41F7-B9BA-D2DCCD6A8C75}" id="{df213614-cd72-4675-b7ea-536a6609e01a}" providerId="google-sheets"/>
  <x18tc:person displayName="tc={8374ED06-9C4E-439C-8F79-EC9856025128}" id="{f101193c-9844-438f-a81b-5121e4fafb20}" providerId="google-sheets"/>
  <x18tc:person displayName="tc={55EAE5A2-1315-4D4F-AD8A-8F90365A3CFD}" id="{a0998fe7-118e-46fd-86fd-a88799a3c6c4}" providerId="google-sheets"/>
  <x18tc:person displayName="tc={28E4B31D-3252-4721-B8BF-10DA41E51740}" id="{0001e910-010a-4938-8fde-2d90c5f42bd3}" providerId="google-sheets"/>
  <x18tc:person displayName="tc={8295A5F2-B410-4393-A96F-5AD90DD42DF0}" id="{c56f0707-9586-4f7d-a295-ed3d8de44dcb}" providerId="google-sheets"/>
  <x18tc:person displayName="tc={CB15E887-2FFF-4D37-985E-B44366B31A98}" id="{770684fc-4b1c-4a08-9ba8-ac37994d0ffe}" providerId="google-sheets"/>
  <x18tc:person displayName="tc={91BED853-A848-4CC1-8BA3-A205DB104816}" id="{b3336d2e-bb66-42aa-b14f-6be4d649527b}" providerId="google-sheets"/>
  <x18tc:person displayName="tc={B8C6C227-5434-4784-AE9A-A5A2D0EAE9AD}" id="{76f7c653-82c2-466a-b2ab-36600f6cd2a9}" providerId="google-sheets"/>
  <x18tc:person displayName="tc={7FED23F1-A38B-40DA-829E-38A2C71DDE30}" id="{af466a24-c633-4ca0-ace8-b6a775f29aa5}" providerId="google-sheets"/>
  <x18tc:person displayName="tc={E136BCC0-87B0-415D-B89E-F215757F47D2}" id="{2a751af0-2ac7-4044-b2ab-adf827e887d6}" providerId="google-sheets"/>
  <x18tc:person displayName="tc={BE01EF8A-53B2-4F8A-97F6-20438580C274}" id="{1899c59f-585b-41bd-a60b-e2aa59b74b27}" providerId="google-sheets"/>
  <x18tc:person displayName="tc={414A3C6F-87DC-4BC3-A879-8B0C81441823}" id="{036a3d85-2665-463b-b6e3-4541229eb7ef}" providerId="google-sheets"/>
  <x18tc:person displayName="tc={C8CD2825-49F8-49B5-B50B-08F14218EFFA}" id="{0d893ddf-e833-4d2f-aaaa-153d7093ec2a}" providerId="google-sheets"/>
  <x18tc:person displayName="tc={27451087-FFC7-4161-8C68-A5348A8A8694}" id="{05ceaaed-b393-406e-b73c-aad1996946b7}" providerId="google-sheets"/>
  <x18tc:person displayName="tc={5815E61F-E66E-40C4-B561-91A3DB323EC2}" id="{b80583ec-11bb-4ae5-87a2-ac8090a300e3}" providerId="google-sheets"/>
  <x18tc:person displayName="tc={E8921267-D816-424F-85FB-CDB5D4CA620E}" id="{00cafda2-bb60-4073-86db-6da8c211f876}" providerId="google-sheets"/>
  <x18tc:person displayName="tc={D4E1D5D2-95B7-4D17-AC98-35C13F1B7F7C}" id="{1c1b30ed-876b-4e0e-8a20-0ff5a006b0ce}" providerId="google-sheets"/>
  <x18tc:person displayName="tc={22BCC875-EC98-42AB-9BAC-6531D376620E}" id="{664c07ac-4100-45de-bf2b-bade63360a68}" providerId="google-sheets"/>
  <x18tc:person displayName="tc={0F77DD7F-4E23-4A95-8D71-EBDDB925781F}" id="{f56ff5bd-cb91-41f9-82ab-c868a9ddcec4}" providerId="google-sheets"/>
  <x18tc:person displayName="tc={820FA0D6-EA42-4B0A-BFB2-72A4562CC42D}" id="{6b57019f-96a9-4771-81f1-86990e4804b9}" providerId="google-sheets"/>
  <x18tc:person displayName="tc={7A12D7CA-B442-413D-8540-F9FF1348CF35}" id="{130737ef-4e06-4e02-b390-0a2e7a1a7bde}" providerId="google-sheets"/>
  <x18tc:person displayName="tc={514C7F25-EA65-47F3-B033-E02CF6CC3BCF}" id="{7b0f4535-49c8-421b-b7cc-36072a4a0d26}" providerId="google-sheets"/>
  <x18tc:person displayName="tc={50E3C338-8DF6-4D09-AA7E-3A0F36616DF1}" id="{13985439-4722-4f27-b21e-d03f4e0ccaaa}" providerId="google-sheets"/>
  <x18tc:person displayName="tc={35266D83-A6FB-4927-806B-16A2F08691E5}" id="{8833014a-0021-4466-8a04-7a5c7a93b028}" providerId="google-sheets"/>
  <x18tc:person displayName="tc={0301EA18-78C3-4915-A2D6-3AB5987F77A9}" id="{c20f1cd7-822a-43ee-861a-e85e67c0dd39}" providerId="google-sheets"/>
  <x18tc:person displayName="tc={D2634005-ADF0-451C-9618-8F4A9549C434}" id="{f641a68a-5024-4a22-b34a-649bcc40ca58}" providerId="google-sheets"/>
  <x18tc:person displayName="tc={AC5B3870-717A-461B-BB42-8779F4CAB575}" id="{36952934-3271-4568-aae2-5ec498412f49}" providerId="google-sheets"/>
  <x18tc:person displayName="tc={5C03CAFC-E143-4FB2-940E-83D237C54E65}" id="{378e93e0-b6a1-4fe8-9371-913bd72203d1}" providerId="google-sheets"/>
  <x18tc:person displayName="tc={3A6030EA-4C80-4D2B-A2A6-6ACCF5E5427A}" id="{b7bd40f3-247e-4ef7-88bf-1abf855a7148}" providerId="google-sheets"/>
  <x18tc:person displayName="tc={CEFA5E3C-7A91-4F62-8E40-949BB6124483}" id="{337d37f7-a91f-4d2c-9216-895000277f8e}" providerId="google-sheets"/>
  <x18tc:person displayName="tc={6D957B66-4D29-4BFD-A18B-AD39875D5782}" id="{7aa8e224-91cb-4b0d-8975-036fa018e993}" providerId="google-sheets"/>
  <x18tc:person displayName="tc={85FD59EA-647C-433E-9C4C-F872DB1D5ACF}" id="{dd9de6a6-24c6-4644-a199-8280d8b938b0}" providerId="google-sheets"/>
  <x18tc:person displayName="tc={161A5769-B105-4EFE-8D68-70442532F9AB}" id="{b9f805de-1ce1-4d8c-b20e-8b5db8bfc87d}" providerId="google-sheets"/>
  <x18tc:person displayName="tc={9BC95EB0-56D2-4FD6-BDE6-9E7B70FE9EB7}" id="{00d34d38-9165-4f85-83ff-7c91010fd77a}" providerId="google-sheets"/>
  <x18tc:person displayName="tc={E2CA55B4-7345-4DCE-B219-01EC52269DFA}" id="{62283b31-07a9-4092-b9d9-57592ea9978d}" providerId="google-sheets"/>
  <x18tc:person displayName="tc={0ED1D167-AE5F-4F9F-ABB3-984264D75E39}" id="{8e999962-9f0b-4a52-81aa-2288f586ee3c}" providerId="google-sheets"/>
  <x18tc:person displayName="tc={C4890ADB-FA9A-45E3-9B8F-19164660BA40}" id="{b9c4012e-3080-4b0f-9ec2-739540be5982}" providerId="google-sheets"/>
  <x18tc:person displayName="tc={03D55DED-F9FA-4D06-B882-2783E42126A3}" id="{38ba90a8-90e9-4ffe-9a1d-3e980352e089}" providerId="google-sheets"/>
  <x18tc:person displayName="tc={8B426584-A3B6-4DEF-B3DE-C38F03CCF607}" id="{12fb4b9a-aacc-4a31-bc45-e7278c45080b}" providerId="google-sheets"/>
  <x18tc:person displayName="tc={41C9FAF1-2949-4E8D-94BF-02B5A02C9353}" id="{10a10fa9-b9bf-4295-9bd6-e01223f0dac5}" providerId="google-sheets"/>
  <x18tc:person displayName="tc={1A2F07CD-8784-4E1E-9D5D-0CB157514B5B}" id="{b592ca98-456b-4d7b-85dd-03796e574a66}" providerId="google-sheets"/>
  <x18tc:person displayName="tc={83471135-3A7E-4ECE-BBCA-0D2CE8CB31E3}" id="{e302fe17-2ecb-4f23-971c-a90da0262829}" providerId="google-sheets"/>
  <x18tc:person displayName="tc={ED0EB930-594D-403A-B8B6-69E10B65DFBA}" id="{6e6f03b5-4b54-453c-922d-695d0f88050f}" providerId="google-sheets"/>
  <x18tc:person displayName="tc={D81682F1-9F62-4653-8098-84FA316D8E9F}" id="{bc74b6c2-6fb7-4e0b-9690-27a856aeef42}" providerId="google-sheets"/>
  <x18tc:person displayName="tc={2D6D9B4E-7756-4DD9-9877-10AE953F3CD7}" id="{121bfd6f-e4ba-43dc-a57e-698a8cd4f84b}" providerId="google-sheets"/>
  <x18tc:person displayName="tc={58DFAB11-E642-4299-9ABE-388FFE61EC42}" id="{58701d87-d374-4374-b719-9c621a769528}" providerId="google-sheets"/>
  <x18tc:person displayName="tc={0B7D5DCF-6547-4B4B-A53C-987B0AD7A770}" id="{0ccb5683-580a-4829-83ea-ed8377e5f978}" providerId="google-sheets"/>
  <x18tc:person displayName="tc={DDA42174-930A-42B3-888E-DB16F59B097C}" id="{58777255-82d2-4a3c-bfe5-aff1dbccd587}" providerId="google-sheets"/>
  <x18tc:person displayName="tc={3E53B506-0A77-4B4D-BF54-F79F24922008}" id="{a099d966-cddf-498f-9bc4-672d9c01db27}" providerId="google-sheets"/>
  <x18tc:person displayName="tc={4589BC48-F5EE-4B91-A640-ACA9D1F147EB}" id="{fc3d8367-038c-4930-9b8d-c3a3405dcfa3}" providerId="google-sheets"/>
  <x18tc:person displayName="tc={DDD078C3-5B1E-4C11-BE45-E897C870B7E1}" id="{fc85752f-2519-4b76-a197-b65251953d74}" providerId="google-sheets"/>
  <x18tc:person displayName="tc={61375AB2-F766-41F5-BB58-AF391564B52A}" id="{fb26e553-2005-4e51-974d-e5c572e82574}" providerId="google-sheets"/>
  <x18tc:person displayName="tc={F1678EBB-FADB-424F-A233-3A5E28B5AAD7}" id="{ff433da8-4305-48df-87a3-f1dedb668afc}" providerId="google-sheets"/>
  <x18tc:person displayName="tc={18B84DC0-3CEE-464B-87C0-D482020404FE}" id="{14ad0e48-d915-42c2-8fb4-82931fcfc522}" providerId="google-sheets"/>
  <x18tc:person displayName="tc={CB6C7EBC-B94C-4AE7-B306-00C1405F0A51}" id="{7d278a2f-1625-4f0f-bfa6-45000653f0f3}" providerId="google-sheets"/>
  <x18tc:person displayName="tc={81D148AB-782D-4931-B94E-2D37BBFC87E9}" id="{8d1db0b7-e612-44dc-bc2b-b478716436c1}" providerId="google-sheets"/>
  <x18tc:person displayName="tc={06A5C2B8-337E-43DD-A721-B798F03E6CED}" id="{ae89fa5a-812a-4b95-aedb-a24e79f86147}" providerId="google-sheets"/>
  <x18tc:person displayName="tc={9A9BEDF5-277E-4ED3-80B0-9366EEB56A66}" id="{cf5911e9-d1c6-4bd9-b31b-50c2a259d101}" providerId="google-sheets"/>
  <x18tc:person displayName="tc={4E4ABF3C-F288-475B-9212-61906CC29664}" id="{303ba254-48b6-43c9-ae96-d3a705a0d6ed}" providerId="google-sheets"/>
  <x18tc:person displayName="tc={CB517E1D-BBDB-436D-9A02-C0007CA3F003}" id="{1ab4953d-6806-4edf-98c3-1e4c9697ba1f}" providerId="google-sheets"/>
  <x18tc:person displayName="tc={266B538F-8319-4B59-A601-65ED4B8213DD}" id="{e7ae8c15-6810-44eb-ab6b-f17ee61ff447}" providerId="google-sheets"/>
  <x18tc:person displayName="tc={DF5AFEA3-D9E8-4502-A297-61B9F7BC5AB8}" id="{0267e2cc-c535-458d-9043-93812c0f8eeb}" providerId="google-sheets"/>
  <x18tc:person displayName="tc={569254A5-5471-4CAA-A05A-473C587C477F}" id="{5b681a68-50cc-4f87-a285-297a01c3f206}" providerId="google-sheets"/>
  <x18tc:person displayName="tc={BD30BFCA-6958-457B-8EB3-9F112828E5D7}" id="{eb284bc1-08a7-4d4a-89a6-bc0ccbc38b56}" providerId="google-sheets"/>
  <x18tc:person displayName="tc={15BD06CE-C32B-4777-8E0A-6AABBC138E34}" id="{164810ab-09bb-4630-a355-29c0b472962e}" providerId="google-sheets"/>
  <x18tc:person displayName="tc={4D62E0B0-C047-411A-8B4D-AE2F27024D85}" id="{4dcc859b-360a-4236-a516-6a3652040d02}" providerId="google-sheets"/>
  <x18tc:person displayName="tc={BC2BD0F3-79A3-4CC6-99C5-74D013E1E9AF}" id="{adc39837-1c3f-4f62-aec6-8d3d3b55cdfc}" providerId="google-sheets"/>
  <x18tc:person displayName="tc={BE558F7D-13A9-48E5-A42E-5FBA9E0877C0}" id="{f6a9af6a-5782-498c-a476-7f36bdb1f780}" providerId="google-sheets"/>
  <x18tc:person displayName="tc={E134FDA5-32FD-48BC-8CA1-687BEB64581E}" id="{610f9535-48d8-4b6e-985e-9ec3697135ad}" providerId="google-sheets"/>
  <x18tc:person displayName="tc={702113C2-122F-424D-B405-462A5FC89D11}" id="{e58c8513-1864-4a79-9966-f580e4135323}" providerId="google-sheets"/>
  <x18tc:person displayName="tc={59AC34B9-2A80-4E42-BA3D-115F93D15520}" id="{c96068c9-f6b2-4709-b731-3eab833dfb50}" providerId="google-sheets"/>
  <x18tc:person displayName="tc={82D207FE-2590-406A-83F0-1D4F0D2D6ADA}" id="{0d2eb238-46e7-4c7a-bb43-80fe70542518}" providerId="google-sheets"/>
  <x18tc:person displayName="tc={AD111940-F9D8-439F-AAEA-1CB53E1A97D5}" id="{19ce3905-17b3-4873-8428-a757e6850c22}" providerId="google-sheets"/>
  <x18tc:person displayName="tc={1CBF71BA-7E50-4EAE-BF87-76D8C96EF522}" id="{cf8a33e2-5435-40b6-90eb-62e7ca15c52f}" providerId="google-sheets"/>
  <x18tc:person displayName="tc={263C4112-D443-4ECE-828D-8E853A2F3C47}" id="{558bd88c-7b88-4b0e-86cd-7b88a7a2a29b}" providerId="google-sheets"/>
  <x18tc:person displayName="tc={7A698DDB-2755-4CD7-BBF3-E6E9CF1DCF03}" id="{6c391030-dd87-4be6-8eca-e0010b4783c1}" providerId="google-sheets"/>
  <x18tc:person displayName="tc={60CE209C-048B-4EBC-B49B-A0183BCB96D7}" id="{a12da689-629b-4a47-9197-74bcb5c746fd}" providerId="google-sheets"/>
  <x18tc:person displayName="tc={B915B898-4292-47D2-8CA9-E7EF2EBBF439}" id="{4ed987ed-e26b-4fc5-8ea9-fda0cfeeee55}" providerId="google-sheets"/>
  <x18tc:person displayName="tc={BF81A81B-CD66-4ACD-AC9F-40D83FF505CC}" id="{65f9b783-4dd2-4ced-96e8-9c7333b0690b}" providerId="google-sheets"/>
  <x18tc:person displayName="tc={029CEC46-472E-43ED-90EE-C4DB35219E65}" id="{8433d0f9-6731-4c6a-aec5-56c8027c110e}" providerId="google-sheets"/>
  <x18tc:person displayName="tc={35EBDC3E-4237-4293-8749-D9A9E3C8C8A8}" id="{0fb725cb-40b2-422c-9195-1c975a07dd83}" providerId="google-sheets"/>
  <x18tc:person displayName="tc={13C8E18C-6A8D-4C72-A797-2B76473FE780}" id="{5a735149-40a0-4872-bfb7-67b3021e9081}" providerId="google-sheets"/>
  <x18tc:person displayName="tc={A29C552B-F1C0-476F-9E89-6B787553155F}" id="{12ce0051-789c-48b7-9731-cebdeba059b6}" providerId="google-sheets"/>
  <x18tc:person displayName="tc={68688F5E-3F1D-47FD-8605-1BF3559EB23C}" id="{619bd3af-aeb0-40f6-8012-000e60134709}" providerId="google-sheets"/>
  <x18tc:person displayName="tc={56FB98D9-FF69-494D-B952-89EC981B676E}" id="{b8e3c4b7-198d-480f-b9b7-45b9860685d7}" providerId="google-sheets"/>
  <x18tc:person displayName="tc={B172BCFE-46B3-4DA7-AA64-07F66FE19F7C}" id="{f1c999df-61ad-4167-bd28-4c39b227c187}" providerId="google-sheets"/>
  <x18tc:person displayName="tc={5C2D70EC-2B06-45E8-A435-ABC5FDFECEB1}" id="{d664a822-d61d-431a-83ed-ab9766b0daa9}" providerId="google-sheets"/>
  <x18tc:person displayName="tc={EF7A46E1-0D5C-46DB-9C67-3C340558E0A6}" id="{e75b6adb-207c-417a-b227-09ed0f1d0983}" providerId="google-sheets"/>
  <x18tc:person displayName="tc={D5E33244-CB03-4D7B-92E5-0EF90BBB5F8D}" id="{0e8e6cf3-b672-4a1b-9abb-0d23c55471a4}" providerId="google-sheets"/>
  <x18tc:person displayName="tc={22D171E2-A852-49E5-B283-3DFA5A0E2295}" id="{3a50c2f7-5f1d-4fb7-953f-3b3cad759b3d}" providerId="google-sheets"/>
  <x18tc:person displayName="tc={4204A22E-E3D7-45E9-9BF8-80F0DFDE98F6}" id="{f5545d51-4bdc-40d3-8712-8d692655784d}" providerId="google-sheets"/>
  <x18tc:person displayName="tc={B880019D-E0CE-4812-8AC3-59B10D0E8A5A}" id="{40e978c8-f5f2-4bbe-a479-ff36f95f2386}" providerId="google-sheets"/>
  <x18tc:person displayName="tc={A1411A1C-52BC-41FD-9FDD-62719DEA86F9}" id="{deb41651-282f-4dc6-983e-c9f1354187a3}" providerId="google-sheets"/>
  <x18tc:person displayName="tc={82F9B662-C966-4B37-AC85-3D570B7CC0A2}" id="{904a6c00-ad8f-498c-b721-3a93f5d1bacd}" providerId="google-sheets"/>
  <x18tc:person displayName="tc={E30CA9D3-C5EF-4506-9EAA-1C3961F377E7}" id="{e1b45a35-2b1f-4027-aa5d-910c9ec2a8e9}" providerId="google-sheets"/>
  <x18tc:person displayName="tc={6F482BFD-3AAB-4106-A0F9-14519CD8E3DF}" id="{65709b37-7157-41c0-a36f-37a6167405b9}" providerId="google-sheets"/>
  <x18tc:person displayName="tc={158D72FF-4628-4D26-A6FE-129FCE952F3A}" id="{90ea147a-b04f-4473-9685-ddb62414027f}" providerId="google-sheets"/>
  <x18tc:person displayName="tc={0F3EACB5-50EB-4A30-9E7A-021619D9F612}" id="{1b594783-4ab1-4c58-a8b2-7301d34a93da}" providerId="google-sheets"/>
  <x18tc:person displayName="tc={175B205D-E9DD-4A8E-9208-8AE00C7665BF}" id="{8fa4c430-1ab5-4abe-bb49-2af4cdcc4a91}" providerId="google-sheets"/>
  <x18tc:person displayName="tc={5A9F3DB1-7986-42BC-B308-3737EDEC290E}" id="{6cde34fd-f99b-48d0-8f70-a07b4d4fa8cf}" providerId="google-sheets"/>
  <x18tc:person displayName="tc={7A3F21DB-862D-46CF-A262-ECBABAA32AF3}" id="{0b20f146-b536-4588-8ad7-ef778a908d75}" providerId="google-sheets"/>
  <x18tc:person displayName="tc={0EB2030F-0E46-470C-AF9D-76E29B4EBC62}" id="{85c0eeb7-9c95-490a-8adb-fd6aae72e42b}" providerId="google-sheets"/>
  <x18tc:person displayName="tc={51B8FBAC-34BC-4631-8710-DDD25E88194B}" id="{e0c4f2d4-a335-4308-b335-816b8d56fe0b}" providerId="google-sheets"/>
  <x18tc:person displayName="tc={EB6589C4-CB4B-40D8-8F64-77CE74663A37}" id="{3de8eb34-7785-4631-bd2c-07ce51bb131d}" providerId="google-sheets"/>
  <x18tc:person displayName="tc={BEC93294-84AB-4370-A715-D3629B4E3DE2}" id="{31dab5df-95b4-49a7-8c0e-40b3af02dc4d}" providerId="google-sheets"/>
  <x18tc:person displayName="tc={9EE6761B-1614-4EE9-A83D-0B4071B98354}" id="{8c7c6cc4-8253-4636-b742-d95e0be87f60}" providerId="google-sheets"/>
  <x18tc:person displayName="tc={B6CB6660-7C93-4F2A-9414-8BDD2A24C749}" id="{aa114e3a-54f5-42a3-b11f-92491b2cab27}" providerId="google-sheets"/>
  <x18tc:person displayName="tc={9DA6A948-BC38-43BD-8131-DD8D4A82F99E}" id="{c9645bd2-e402-4176-ba56-d0de57b51c71}" providerId="google-sheets"/>
  <x18tc:person displayName="tc={52C74642-52EA-491C-8F8B-03788277340C}" id="{a8525006-2182-4146-be60-d31bdc9ce40a}" providerId="google-sheets"/>
  <x18tc:person displayName="Nashon Omondi Muok" id="{5cb482dd-c481-48e5-bc31-53b2c104795e}" providerId="google-sheets"/>
  <x18tc:person displayName="tc={9D5C82E2-85A2-4F13-BBA2-9776A50DB683}" id="{e6034c98-0861-4a2b-b04c-f1d334725758}" providerId="google-sheets"/>
  <x18tc:person displayName="tc={E5198AF9-AD07-4E19-A5F6-C6E53A8E02F4}" id="{520c63d3-52ec-4383-8c36-1acfd123a010}" providerId="google-sheets"/>
  <x18tc:person displayName="tc={6EC01F8B-BC4F-4EBD-8C6E-6AC3D06FA78B}" id="{bd4a9302-a893-4710-9d0d-767a6fbe2193}" providerId="google-sheets"/>
  <x18tc:person displayName="tc={838986E0-52D9-4F49-A5CC-BA0E5C81185F}" id="{d5e599b2-ee45-47de-8d5c-68475203ac35}" providerId="google-sheets"/>
  <x18tc:person displayName="tc={9C42C7A0-110A-45D4-AAD4-E273CDAF00F7}" id="{e862bce9-1ac0-4be2-a458-1b3cb861f92b}" providerId="google-sheets"/>
  <x18tc:person displayName="tc={942F126A-7348-4BB8-9EDF-150079153772}" id="{0df58e03-14ef-4b97-bcad-3e9d9741865b}" providerId="google-sheets"/>
  <x18tc:person displayName="tc={6748C69C-1848-4F7D-A703-37BE0509921B}" id="{cdd91211-c877-42fd-906d-40589b73171b}" providerId="google-sheets"/>
  <x18tc:person displayName="tc={9DF4B334-43AF-483C-91ED-DE62B1232A93}" id="{a7d08b25-52ef-44bb-97a8-29ab235f8129}" providerId="google-sheets"/>
  <x18tc:person displayName="tc={FE0F8367-C2BC-4B59-8D91-C48BF5B569D9}" id="{2b233e27-1710-41f6-97c8-73a1fdf3fc20}" providerId="google-sheets"/>
  <x18tc:person displayName="tc={23843884-6F32-40F4-BDD1-7923823CC925}" id="{3f23fdfe-8f26-4602-b50d-feecb3ead2b2}" providerId="google-sheets"/>
  <x18tc:person displayName="tc={365D1A17-EF19-47DD-A524-7EAD84AD8117}" id="{de791586-8f11-49dc-b765-9dd2d48e14c5}" providerId="google-sheets"/>
  <x18tc:person displayName="tc={A524E421-81E9-48D3-B803-C343397D99F8}" id="{49ae3d4c-3a71-410c-9a9a-6318b42ea37b}" providerId="google-sheets"/>
  <x18tc:person displayName="tc={0B4434ED-DA92-4F5F-97E1-6C26DAD5337A}" id="{f50e2f11-c308-45a7-8467-62915a4c4812}" providerId="google-sheets"/>
  <x18tc:person displayName="tc={EE2F285B-F914-4001-8EFE-E3A118C62076}" id="{4c89f0bc-41a7-492d-8169-f1b15a2c67cb}" providerId="google-sheets"/>
  <x18tc:person displayName="tc={DE16C22A-E82A-400C-BA34-32271DDD2D1F}" id="{5fd64578-a0e6-4ca6-8808-26ce9beed707}" providerId="google-sheets"/>
  <x18tc:person displayName="tc={41FE78F2-E1E9-41CA-8305-6CF87327C685}" id="{b31b45ee-868e-4f40-9524-0dc439bf8084}" providerId="google-sheets"/>
  <x18tc:person displayName="tc={D704631D-BCFE-4E4A-9F24-F23006C22D3F}" id="{aa40dd50-b45b-4032-98b9-b221d4d82505}" providerId="google-sheets"/>
  <x18tc:person displayName="tc={7E78F5CD-A8C7-4175-8781-9597B00DAAE4}" id="{e9692918-e401-4135-bcdf-749bc2cd17f3}" providerId="google-sheets"/>
  <x18tc:person displayName="tc={E8A7E0CF-8430-4C31-B427-0C643E9A3711}" id="{79416eb0-245f-49ad-ae4c-7c58c376ef54}" providerId="google-sheets"/>
  <x18tc:person displayName="tc={8DA8E957-BE7A-431D-A5A5-96E476D0B7A9}" id="{9b008e78-3707-46b7-8992-03f4f630e65a}" providerId="google-sheets"/>
  <x18tc:person displayName="tc={8B80A9E7-4D21-49A3-9C94-D1FDCBA55B82}" id="{4bc5d320-63c7-4be1-afe9-051d87a9fd02}" providerId="google-sheets"/>
  <x18tc:person displayName="tc={7F8E821A-6978-4116-9880-29EEA7B4E1FB}" id="{26cf362d-d306-46a1-a322-011111b74eca}" providerId="google-sheets"/>
  <x18tc:person displayName="tc={ED6A2911-246C-4A27-A4EB-28AC59D5F425}" id="{c3508a5d-55ae-4f7f-b5c3-3186b2f1703f}" providerId="google-sheets"/>
  <x18tc:person displayName="tc={E568ED36-26CD-449D-A03A-418B1E28ED53}" id="{5f079114-355d-4166-b06d-cf43ab028e38}" providerId="google-sheets"/>
  <x18tc:person displayName="tc={CF2163B4-E140-4C28-AABD-9C3DCF1E8CD8}" id="{55ea2d0c-3395-4bac-9ee7-04b7d5b9b3b3}" providerId="google-sheets"/>
  <x18tc:person displayName="tc={978699D2-41AE-4647-B230-7706BA222FED}" id="{2c67eedd-ab89-4940-b242-931db39cc18e}" providerId="google-sheets"/>
  <x18tc:person displayName="tc={1C6BA5F2-6F04-4B82-9029-7C2567E18067}" id="{2a731829-0e08-4b66-8ffa-70df240d7b15}" providerId="google-sheets"/>
  <x18tc:person displayName="tc={B3672E0A-187F-4679-9178-C71C784E870C}" id="{e119d033-b918-42a8-9f43-cf762025c304}" providerId="google-sheets"/>
  <x18tc:person displayName="tc={8B79FEC1-BC25-4A26-A1C4-302951E6B992}" id="{e0ba1435-e151-42c0-918a-c3af044f10de}" providerId="google-sheets"/>
  <x18tc:person displayName="tc={C5DBAF61-6CDA-427E-A005-C93D1C0F13AA}" id="{8051c1b0-c2c2-48dc-aefc-eeda1f115c26}" providerId="google-sheets"/>
  <x18tc:person displayName="tc={D29F7F1E-8D37-4182-B1C5-4195D45B734F}" id="{0e15e504-0e77-410f-8793-00196f769b1f}" providerId="google-sheets"/>
  <x18tc:person displayName="tc={0495114B-3C8B-4E06-9753-D44284E53403}" id="{1a2944ff-9079-4c0b-b791-41ea2cbcefc4}" providerId="google-sheets"/>
  <x18tc:person displayName="tc={01B16E22-7666-4198-B8E0-D07009D15626}" id="{40fd7507-9690-46af-87ab-324de3e4672a}" providerId="google-sheets"/>
  <x18tc:person displayName="tc={0299B2E9-1790-4214-8281-A13A5FFE5247}" id="{e12d184a-fa37-474e-b60f-d9c0b48b4356}" providerId="google-sheets"/>
  <x18tc:person displayName="tc={39BC8D3C-29EB-4874-9D12-662EB8B2A863}" id="{d434bd78-f436-4d1e-a88a-dff6b1106901}" providerId="google-sheets"/>
  <x18tc:person displayName="tc={707DCFCD-8A18-4E85-AFA7-D16510A2A2E6}" id="{6bfdec76-571d-4d8f-852a-82b5ae0f77d3}" providerId="google-sheets"/>
  <x18tc:person displayName="tc={D3985536-22E2-49BF-BC35-DC90E98761D7}" id="{14db9453-ee5d-44a4-b7c9-73bcdd0bc1ae}" providerId="google-sheets"/>
  <x18tc:person displayName="tc={529F7FAB-0D01-48BA-809C-218EE901485B}" id="{eeecf3a5-2efb-48df-96b9-18de87c2682e}" providerId="google-sheets"/>
  <x18tc:person displayName="tc={8D694B30-1A4A-4AD3-8010-1A881DACD179}" id="{3adeecef-ee91-46d2-b5b8-0cf4953c0840}" providerId="google-sheets"/>
  <x18tc:person displayName="tc={EE456187-32F4-495A-A80B-A3D9CB3E5555}" id="{2c6f0669-c20f-4d73-b037-05132b11f292}" providerId="google-sheets"/>
  <x18tc:person displayName="tc={D8A01E7C-59AC-4A72-9A8D-6FFFA60CDE12}" id="{8e338292-3bc0-4094-afd7-ca0f8a0a5360}" providerId="google-sheets"/>
  <x18tc:person displayName="tc={65DB1BF8-F099-4EB4-99E4-B575EBBBFB7A}" id="{d3540e3c-96ba-4690-ae1e-62698051f72b}" providerId="google-sheets"/>
  <x18tc:person displayName="tc={57CC2B5B-9BDF-4854-8D09-FEE293027DD7}" id="{4a18ee96-0311-482b-9827-afc14906f8d1}" providerId="google-sheets"/>
  <x18tc:person displayName="tc={0C8D5ABD-1896-4A0C-AE94-16CCE61C2246}" id="{d18d5026-50c8-44ff-ab89-b8f1e7d5442b}" providerId="google-sheets"/>
  <x18tc:person displayName="tc={FB946CA7-2B69-46B0-B94D-4EEF7B6D48D5}" id="{ab62370e-085a-4bf2-9596-b355b75dded5}" providerId="google-sheets"/>
  <x18tc:person displayName="tc={860E6D2B-86A5-4367-9E4B-433FD32EB998}" id="{e007a404-439b-480a-bd9a-532497824f90}" providerId="google-sheets"/>
  <x18tc:person displayName="tc={823FE3B6-DEFE-4AD0-B9FD-9848FEEAFD75}" id="{ac5d8dcf-d295-4576-b11e-8c12fef5d9eb}" providerId="google-sheets"/>
  <x18tc:person displayName="tc={B6396D8E-F2F3-42CD-9872-C26CAA6916A8}" id="{5e4700ce-4468-4f28-8165-3a96a1fdeafc}" providerId="google-sheets"/>
  <x18tc:person displayName="tc={C9E7CD82-037B-4C3B-8BEF-4322ACBFE97D}" id="{e7e474ef-93ad-4e3a-ba17-222021073cf8}" providerId="google-sheets"/>
  <x18tc:person displayName="tc={6D78294B-0FAB-49EC-A484-C697BD1A43EE}" id="{7fa6e3a0-0b70-4b86-be88-a51c35f730ee}" providerId="google-sheets"/>
  <x18tc:person displayName="tc={AC7AC975-EAA7-4F23-9F2E-0D1C27205123}" id="{3ac026cb-0324-4b91-923e-3a6e3c219028}" providerId="google-sheets"/>
  <x18tc:person displayName="tc={5A033576-332D-4A70-AB30-8859465FD438}" id="{b79e7d95-dfaa-4291-85df-281b227e8299}" providerId="google-sheets"/>
  <x18tc:person displayName="tc={6CC3EA35-4704-4334-B99E-9C9732B89105}" id="{297c5e45-20ba-47db-ba0f-b64c739c104b}" providerId="google-sheets"/>
  <x18tc:person displayName="tc={0F7E7F4A-034D-4460-8385-E72CCB39F200}" id="{e4c06995-b734-4551-9041-7b2a9d039647}" providerId="google-sheets"/>
  <x18tc:person displayName="tc={B7662407-9CAF-4AF7-8109-301E2DC201F6}" id="{cf87115f-c21e-49b5-9c89-688d4f2a2580}" providerId="google-sheets"/>
  <x18tc:person displayName="tc={AAF06D48-AE71-4324-B332-CFF8D9EFAAA6}" id="{36e0ec75-07f0-4f9c-9351-fcc07c14c944}" providerId="google-sheets"/>
  <x18tc:person displayName="tc={D4E360DE-2C9A-4E9E-82D6-4A494E62C90F}" id="{8e286d7d-c9b8-4dcc-9ee6-722b1be8e65b}" providerId="google-sheets"/>
  <x18tc:person displayName="tc={9FB8B774-CE53-4725-AC49-2C7C47756668}" id="{a0c818e3-3fb9-4cea-bbb9-b24e5de4723b}" providerId="google-sheets"/>
  <x18tc:person displayName="tc={649175E9-9D17-42F4-8958-7E20E0A89258}" id="{f89ee930-211f-4645-b7fd-95f7920db2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 dT="2026-02-15T16:33:51.00" personId="{b31b45ee-868e-4f40-9524-0dc439bf8084}" id="{95176bdf-ee19-4b3f-9e35-977da9658a61}"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11" dT="2026-02-15T16:33:51.00" personId="{e4b6bbd3-f4dd-4ffc-bbce-b6f7cea2a635}" id="{a66edc97-a719-48a8-a3e7-85d9eae769a9}"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30" dT="2026-02-15T16:33:51.00" personId="{eb284bc1-08a7-4d4a-89a6-bc0ccbc38b56}" id="{0bc51683-9cd4-468f-931b-2898827ecf06}"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C44" dT="2026-02-15T16:33:51.00" personId="{e1b45a35-2b1f-4027-aa5d-910c9ec2a8e9}" id="{ec35c53f-4f67-41d5-a2ba-f1073758f4f8}" done="0">
    <x18tc:text xml:space="preserve">[Threaded comment]
Your version of Excel allows you to read this threaded comment; however, any edits to it will get removed if the file is opened in a newer version of Excel. Learn more: https://go.microsoft.com/fwlink/?linkid=870924
Comment:
    Land Use Inadiquacy</x18tc:text>
    <x18tc:extLst>
      <ext uri="{F7C98A9C-CBB3-438F-8F68-D28B6AF4A901}">
        <xltc2:checksum/>
        <xltc2:hyperlink startIndex="189" length="46" url="https://go.microsoft.com/fwlink/?linkid=870924"/>
      </ext>
    </x18tc:extLst>
  </x18tc:threadedComment>
  <x18tc:threadedComment ref="D36" dT="2026-02-15T16:33:51.00" personId="{4c34808a-ccd6-4c8a-8295-d069048f0f8c}" id="{e3c6fb57-30f2-488c-822c-996d56ede151}"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52" dT="2026-02-15T16:33:51.00" personId="{dd9de6a6-24c6-4644-a199-8280d8b938b0}" id="{3fa85728-fa8e-4bac-b275-e68295dde33f}" done="0">
    <x18tc:text xml:space="preserve">[Threaded comment]
Your version of Excel allows you to read this threaded comment; however, any edits to it will get removed if the file is opened in a newer version of Excel. Learn more: https://go.microsoft.com/fwlink/?linkid=870924
Comment:
    Earthquakes/volcanic activities</x18tc:text>
    <x18tc:extLst>
      <ext uri="{F7C98A9C-CBB3-438F-8F68-D28B6AF4A901}">
        <xltc2:checksum/>
        <xltc2:hyperlink startIndex="189" length="46" url="https://go.microsoft.com/fwlink/?linkid=870924"/>
      </ext>
    </x18tc:extLst>
  </x18tc:threadedComment>
  <x18tc:threadedComment ref="D19" dT="2026-02-15T16:33:51.00" personId="{58777255-82d2-4a3c-bfe5-aff1dbccd587}" id="{49fb8c0d-c475-4a71-bf97-ca855960d97c}"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40" dT="2026-02-15T16:33:51.00" personId="{7d278a2f-1625-4f0f-bfa6-45000653f0f3}" id="{3efef5ef-f407-4b6b-abbd-c1c9f15e3371}"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24" dT="2026-02-15T16:33:51.00" personId="{19ce3905-17b3-4873-8428-a757e6850c22}" id="{bd376a5a-b04d-49e6-bae2-23923be495b8}"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5" dT="2026-02-15T16:33:51.00" personId="{0fb725cb-40b2-422c-9195-1c975a07dd83}" id="{d3fbf13e-a1e2-4062-b65c-1e89a346df44}"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61" dT="2026-02-15T16:33:51.00" personId="{f34865ca-a3b0-4c5f-9afd-96a28ca90f20}" id="{ef8c7410-b31e-44f0-9380-405cb6d59d70}"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D26" dT="2026-02-15T16:33:51.00" personId="{b8daccf4-b128-4a8e-ad50-3a8f5bedce22}" id="{bdd61599-0239-45e1-adfd-588a13edd5ca}"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D24" dT="2026-02-15T16:33:51.00" personId="{6c391030-dd87-4be6-8eca-e0010b4783c1}" id="{d92c9245-1ba6-4de9-802c-8fc4e7dbd2af}"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D39" dT="2026-02-15T16:33:51.00" personId="{4a18ee96-0311-482b-9827-afc14906f8d1}" id="{6cabe3cd-55b7-4af6-a21d-6678701cc355}"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D29" dT="2026-02-15T16:33:51.00" personId="{d0a25966-968c-49f5-a181-fe3c2846069f}" id="{728a257a-ba98-4f5a-8e3e-d45815583b60}"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D67" dT="2026-02-15T16:33:51.00" personId="{f4b86892-7ee2-4934-8e97-763fdd1cf0ad}" id="{8254b632-88a0-455e-84e5-70b9b429b6cc}"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D49" dT="2026-02-15T16:33:51.00" personId="{05ceaaed-b393-406e-b73c-aad1996946b7}" id="{9ea660ca-1cba-45fb-b535-6313943a5bc6}"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D65" dT="2026-02-15T16:33:51.00" personId="{cf8a33e2-5435-40b6-90eb-62e7ca15c52f}" id="{3869fe41-e9e5-4d94-ad12-b1a6600266c7}"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D64" dT="2026-02-15T16:33:51.00" personId="{e119d033-b918-42a8-9f43-cf762025c304}" id="{5690d6ec-38e8-4289-aaf1-d21efc74dbd4}"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D53" dT="2026-02-15T16:33:51.00" personId="{b9d93a4c-be2e-489c-992c-18b89fc2e2f2}" id="{62e7ccbb-3ee9-4778-adb4-df5def16348e}"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D50" dT="2026-02-15T16:33:51.00" personId="{8fa4c430-1ab5-4abe-bb49-2af4cdcc4a91}" id="{d3500ff3-f625-41f7-8b87-8f7b32ca1d27}"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D62" dT="2026-02-15T16:33:51.00" personId="{35b54313-b3f8-4670-a385-77a840c0ffab}" id="{d884d678-e242-44a8-82ec-16cdfb5c996f}"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D55" dT="2026-02-15T16:33:51.00" personId="{a0c818e3-3fb9-4cea-bbb9-b24e5de4723b}" id="{f8692375-f644-432a-9f96-327b59f4feba}"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D33" dT="2026-02-15T16:33:51.00" personId="{7fa6e3a0-0b70-4b86-be88-a51c35f730ee}" id="{4765fd20-08f1-4538-ae30-67e8db2d911e}"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D66" dT="2026-02-15T16:33:51.00" personId="{d434bd78-f436-4d1e-a88a-dff6b1106901}" id="{b8528bf3-b237-490d-8ce4-42de0ee41980}"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D20" dT="2026-02-15T16:33:51.00" personId="{d6ee921a-1b32-4e93-bd32-74c01503ea66}" id="{97259ebb-fdb8-43c7-a64a-7b8fc9a943c3}"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D21" dT="2026-02-15T16:33:51.00" personId="{a0a95da7-e5ff-4e7e-924e-0361f4c87152}" id="{2d632ad8-ccd5-407d-8c7a-f38d8092d38c}"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D27" dT="2026-02-15T16:33:51.00" personId="{1a2944ff-9079-4c0b-b791-41ea2cbcefc4}" id="{0c60581f-b5f6-4acb-a3f8-c218e45d0fd3}"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D60" dT="2026-02-15T16:33:51.00" personId="{e8b17091-9eae-4898-be48-d3e8b47a1b39}" id="{400a93a6-6a11-46c8-bb2d-6a1de2e4b79c}"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D41" dT="2026-02-15T16:33:51.00" personId="{e7e70ff3-4bd7-476e-8de5-3f4114748a6f}" id="{58b95338-7feb-42ed-8859-475e7990ef9f}"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D28" dT="2026-02-15T16:33:51.00" personId="{5fd64578-a0e6-4ca6-8808-26ce9beed707}" id="{94ee87f9-3a7f-4b14-bd43-792efb041b03}"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D59" dT="2026-02-15T16:33:51.00" personId="{b9c4012e-3080-4b0f-9ec2-739540be5982}" id="{9c95b6a7-61b8-4011-927b-12f1a34dc8a3}"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C48" dT="2026-02-15T16:33:51.00" personId="{5cb482dd-c481-48e5-bc31-53b2c104795e}" id="{bece3f18-8381-4559-af7c-87b09f15af78}" done="0">
    <x18tc:text xml:space="preserve">User
Ecology and Biodiversity System</x18tc:text>
  </x18tc:threadedComment>
  <x18tc:threadedComment ref="D63" dT="2026-02-15T16:33:51.00" personId="{b592ca98-456b-4d7b-85dd-03796e574a66}" id="{b2098cf7-b172-487b-bf38-a341e04352b7}"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6" dT="2026-02-15T16:33:51.00" personId="{e5df3aed-cfae-4a33-8cd9-ca575136b2d7}" id="{e25d25be-0599-43a5-ba92-2e6f7c66fdba}"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D27" dT="2026-02-15T16:33:51.00" personId="{7c2985ed-390b-499c-90c5-f8adb9baae6d}" id="{a2f84f22-29e2-49fc-8d06-73a7f1eb3d73}"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D49" dT="2026-02-15T16:33:51.00" personId="{69ec4b6e-7307-409f-889a-b0aee33dba06}" id="{849635c0-1860-42f0-a879-ad0bab67917f}"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D26" dT="2026-02-15T16:33:51.00" personId="{ac5d8dcf-d295-4576-b11e-8c12fef5d9eb}" id="{4a2c8ee4-2a6b-4f32-a073-413a622c99e8}"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D59" dT="2026-02-15T16:33:51.00" personId="{e862bce9-1ac0-4be2-a458-1b3cb861f92b}" id="{9b59197d-efaa-4adc-a65c-f5ac007791b6}"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D41" dT="2026-02-15T16:33:51.00" personId="{3ac026cb-0324-4b91-923e-3a6e3c219028}" id="{5d6e1353-9924-4e94-9f2f-fcf7919c3978}"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D63" dT="2026-02-15T16:33:51.00" personId="{7bba5fca-cb37-4115-b771-696279c96109}" id="{3bde22dc-fba4-41ec-ad15-aa0bccc477e4}"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D55" dT="2026-02-15T16:33:51.00" personId="{24a35259-3116-4cb3-8bd4-742209b51116}" id="{5ec0ee56-b584-4007-844b-96698e5cc4c7}"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D25" dT="2026-02-15T16:33:51.00" personId="{202f3b44-856a-44b0-801b-7a7b6f945d7c}" id="{bd01e5f8-e677-4528-a916-9fb90411f4e5}"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28" dT="2026-02-15T16:33:51.00" personId="{aaa4d25a-64fe-4c9d-b2b1-0e7d8510381a}" id="{957150f9-8803-4fb4-a1b5-9b5309077b81}"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D53" dT="2026-02-15T16:33:51.00" personId="{45d7d4f6-f5e6-470c-8e38-47a36356b7c5}" id="{2dc891c4-5ccf-4feb-a36f-ae6b05e18ea6}"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D65" dT="2026-02-15T16:33:51.00" personId="{deb41651-282f-4dc6-983e-c9f1354187a3}" id="{1b749de8-6ab0-49f9-8ca9-52e0a12a1509}"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D21" dT="2026-02-15T16:33:51.00" personId="{31dab5df-95b4-49a7-8c0e-40b3af02dc4d}" id="{e70e6dce-f433-4472-bc8d-35cb21cde949}"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D33" dT="2026-02-15T16:33:51.00" personId="{be986e8e-b3e2-4d61-9744-f1b6ed1dc61b}" id="{9b44c26f-d067-40a4-bfa7-7acc795dc050}"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D61" dT="2026-02-15T16:33:51.00" personId="{e7631ab6-13e2-42d0-b16d-a306aefd8de5}" id="{ffd8a8b5-3987-441f-a1f0-66b542370a34}"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D24" dT="2026-02-15T16:33:51.00" personId="{76f7c653-82c2-466a-b2ab-36600f6cd2a9}" id="{ce4b3989-faab-4fb2-9e86-0aaf377b9fbe}"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D39" dT="2026-02-15T16:33:51.00" personId="{061998d2-e742-4340-930d-61d556d3fb61}" id="{cae59f8c-bd1a-4138-9d11-5c8a1dcd22b9}"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D29" dT="2026-02-15T16:33:51.00" personId="{3a50c2f7-5f1d-4fb7-953f-3b3cad759b3d}" id="{ed113e6f-baae-48a3-bf9b-48255e9aef04}"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D50" dT="2026-02-15T16:33:51.00" personId="{f8f510a7-c54b-4a73-9e08-24b38f8614fd}" id="{e8a975a0-880c-48ad-a8c9-5a6f4822d91d}"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D60" dT="2026-02-15T16:33:51.00" personId="{76da1495-6dc5-4f86-81be-c730366711ab}" id="{e2eb3c6c-a604-4893-b258-be286ef214d0}"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D62" dT="2026-02-15T16:33:51.00" personId="{cdd91211-c877-42fd-906d-40589b73171b}" id="{b079b2f0-ac8f-460e-977f-772dd644ae20}"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D67" dT="2026-02-15T16:33:51.00" personId="{c296abec-21c6-43ba-8303-893d15a51223}" id="{a8b77517-008f-4f38-9a20-3c630d9414b9}"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D64" dT="2026-02-15T16:33:51.00" personId="{de791586-8f11-49dc-b765-9dd2d48e14c5}" id="{b0a239d4-0813-4ed6-8d8f-2290e3d41525}"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D20" dT="2026-02-15T16:33:51.00" personId="{bb64a557-728b-487f-a38c-4fc999250f6e}" id="{683b3a62-6313-49d5-b4f4-3d8b26489608}"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9" dT="2026-02-15T16:33:51.00" personId="{6e06f06b-bce4-40e0-b80a-e7e921003f57}" id="{dc2bbde8-fb54-4286-936e-617c27aa37bc}"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D53" dT="2026-02-15T16:33:51.00" personId="{4c89f0bc-41a7-492d-8169-f1b15a2c67cb}" id="{948adb7e-72d3-4774-9a30-1de7b1d873ce}"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D65" dT="2026-02-15T16:33:51.00" personId="{45b9e207-8753-49e4-999c-e483b082166f}" id="{f87b8b0b-8cab-4548-b12f-1c855cabb3a4}"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D28" dT="2026-02-15T16:33:51.00" personId="{5e4700ce-4468-4f28-8165-3a96a1fdeafc}" id="{426dedc9-6e76-4f71-ae5c-1bcd33215a23}"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D33" dT="2026-02-15T16:33:51.00" personId="{719d36d4-6a84-4dc0-af66-81a4e54e7115}" id="{b1363afe-4c55-43f0-aa39-d67d996a4582}"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D25" dT="2026-02-15T16:33:51.00" personId="{d33bee8d-6bba-42ae-92f4-b465aa8b0a0d}" id="{44c6d616-d694-4403-a9b7-d2bb07849b95}"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62" dT="2026-02-15T16:33:51.00" personId="{a0998fe7-118e-46fd-86fd-a88799a3c6c4}" id="{b3cc66c9-9af5-4a61-b2ed-8d289240759f}"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D66" dT="2026-02-15T16:33:51.00" personId="{0c7f31df-c4e9-43c8-850b-17cc7360cd34}" id="{e8140a9f-4eb7-4501-845b-d7dc16fe061f}"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D29" dT="2026-02-15T16:33:51.00" personId="{14db9453-ee5d-44a4-b7c9-73bcdd0bc1ae}" id="{e022c45f-986e-4f1f-bdee-702185ea65a0}"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D20" dT="2026-02-15T16:33:51.00" personId="{af466a24-c633-4ca0-ace8-b6a775f29aa5}" id="{4597677e-5137-438c-abe8-bccac3f6a914}"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D61" dT="2026-02-15T16:33:51.00" personId="{90d0e9f7-2fd3-49e8-82d5-3b265f01d32e}" id="{33fb97d7-cfd0-4e94-8b07-54257560a5f8}"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D60" dT="2026-02-15T16:33:51.00" personId="{f50e2f11-c308-45a7-8467-62915a4c4812}" id="{47dd61ad-2a91-49be-af97-5d3d867bdd2b}"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D63" dT="2026-02-15T16:33:51.00" personId="{38c2bfff-ed6e-457e-b8f4-e04855dd0687}" id="{d929d542-bf4d-4ce7-94c0-bcaa9e1c1a81}"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D21" dT="2026-02-15T16:33:51.00" personId="{664c07ac-4100-45de-bf2b-bade63360a68}" id="{8e11584c-ceb8-4a97-9197-a76ef8517d26}"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D24" dT="2026-02-15T16:33:51.00" personId="{e6034c98-0861-4a2b-b04c-f1d334725758}" id="{6ea3f5f5-8fac-493e-a699-e228e61915f7}"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D41" dT="2026-02-15T16:33:51.00" personId="{8e999962-9f0b-4a52-81aa-2288f586ee3c}" id="{ef03389a-124d-49cc-a8aa-29a174289161}"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D49" dT="2026-02-15T16:33:51.00" personId="{d0a0fc63-8e25-4b62-af67-00fa4ae891d1}" id="{988bbc1f-35cd-4ef4-ab11-8ac5cdf76330}"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D50" dT="2026-02-15T16:33:51.00" personId="{eeecf3a5-2efb-48df-96b9-18de87c2682e}" id="{99864397-3ce9-48e7-97b8-e7f458665f38}"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D64" dT="2026-02-15T16:33:51.00" personId="{3f7b630b-f377-4f5f-af1a-d825ea8472bf}" id="{92ebb325-363f-4436-a436-6404dd91ff49}"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D67" dT="2026-02-15T16:33:51.00" personId="{1d395383-c015-4dcd-b632-031e9637fae3}" id="{3428bf68-4ab2-490c-9276-9b5cea2b85aa}"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D27" dT="2026-02-15T16:33:51.00" personId="{7aa8e224-91cb-4b0d-8975-036fa018e993}" id="{46f293d9-0d9f-42ba-af6b-a4b6d34b976e}"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D26" dT="2026-02-15T16:33:51.00" personId="{85c0eeb7-9c95-490a-8adb-fd6aae72e42b}" id="{6f36fbb7-88b9-451e-9f97-c14a4f2bcb27}"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D59" dT="2026-02-15T16:33:51.00" personId="{944a014e-64da-405a-b2a4-4b4c62a7dd66}" id="{e515b8c2-875d-45da-b523-ae68f17c2f63}"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D55" dT="2026-02-15T16:33:51.00" personId="{e8c9a55b-ba8a-44a9-93a4-d4531dd32ef3}" id="{5510f5fb-92a9-4f44-a6c4-16eb287fb4f2}"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1" dT="2026-02-15T16:33:51.00" personId="{2b233e27-1710-41f6-97c8-73a1fdf3fc20}" id="{1ce1cb56-44db-42c1-90fb-e04a84a8f4c5}"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G56" dT="2026-02-15T16:33:51.00" personId="{b8e3c4b7-198d-480f-b9b7-45b9860685d7}" id="{ef432bec-e00f-4a84-94cb-c8fdffa3fc93}"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X76" dT="2026-02-15T16:33:51.00" personId="{78cfdfc6-94b4-4ad7-8b06-f65a713a295d}" id="{de1cc355-3766-4b00-a7c8-7fa649021b95}"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L88" dT="2026-02-15T16:33:51.00" personId="{e302fe17-2ecb-4f23-971c-a90da0262829}" id="{41b2c78b-b3d3-4fa7-a88a-33e89b020915}"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D88" dT="2026-02-15T16:33:51.00" personId="{2aecff63-c806-434d-a2cd-6abea99add1e}" id="{033c1c2e-fc28-4291-a66b-b62dd5b3c903}"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W120" dT="2026-02-15T16:33:51.00" personId="{250a0066-50ee-443b-8863-5d7e3e01a27a}" id="{57f51b1f-980e-47a4-8e3e-0aba7f1a4055}"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P152" dT="2026-02-15T16:33:51.00" personId="{c53e0aac-674f-478d-99ac-2eae4db4b527}" id="{c8931699-2689-468e-be51-65f675132765}"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Y73" dT="2026-02-15T16:33:51.00" personId="{61775401-7662-4116-8934-c08d84594196}" id="{525812a3-7c32-4044-af98-206e305726ef}"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AA149" dT="2026-02-15T16:33:51.00" personId="{bae9ded3-50d6-4a3b-acb3-972178792033}" id="{3041ea03-5456-4fea-9451-3b5a79544612}"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AA60" dT="2026-02-15T16:33:51.00" personId="{1f7bc1f5-67df-4f1a-b067-5b4aca21cd6f}" id="{5b1e5c9d-9860-4971-ba2a-60a6520a7f12}"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P134" dT="2026-02-15T16:33:51.00" personId="{b7bd40f3-247e-4ef7-88bf-1abf855a7148}" id="{fcc655c1-8a93-4ac1-8350-bb704fb5bfb0}" done="0">
    <x18tc:text xml:space="preserve">[Threaded comment]
Your version of Excel allows you to read this threaded comment; however, any edits to it will get removed if the file is opened in a newer version of Excel. Learn more: https://go.microsoft.com/fwlink/?linkid=870924
Comment:
    Ecology, biodiversity and settlement realm</x18tc:text>
    <x18tc:extLst>
      <ext uri="{F7C98A9C-CBB3-438F-8F68-D28B6AF4A901}">
        <xltc2:checksum/>
        <xltc2:hyperlink startIndex="189" length="46" url="https://go.microsoft.com/fwlink/?linkid=870924"/>
      </ext>
    </x18tc:extLst>
  </x18tc:threadedComment>
  <x18tc:threadedComment ref="I121" dT="2026-02-15T16:33:51.00" personId="{8e286d7d-c9b8-4dcc-9ee6-722b1be8e65b}" id="{a11704e6-0b8a-42b6-9c91-f6ebfe828ce5}"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D121" dT="2026-02-15T16:33:51.00" personId="{66837a8c-a692-4cf6-b860-e95d3127da4b}" id="{1e914997-3c29-40c6-9329-17646ed5088a}"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W59" dT="2026-02-15T16:33:51.00" personId="{7b0f4535-49c8-421b-b7cc-36072a4a0d26}" id="{2014f556-1309-435e-9187-7c90e8a77a48}"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Z92" dT="2026-02-15T16:33:51.00" personId="{5ecfd8ed-d3cc-4c86-ad22-b80646018075}" id="{19498c82-d9dc-495d-9404-dba116b4e053}"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W91" dT="2026-02-15T16:33:51.00" personId="{f56ff5bd-cb91-41f9-82ab-c868a9ddcec4}" id="{3f5e2c31-cf2f-4ec0-84fd-2d684e9f965f}"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L92" dT="2026-02-15T16:33:51.00" personId="{40fd7507-9690-46af-87ab-324de3e4672a}" id="{677aa9e4-1643-453c-85cb-eead3de608d3}"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P121" dT="2026-02-15T16:33:51.00" personId="{b831dca8-26ab-4d69-a57f-a161fd7327c8}" id="{388b6fd8-be52-405b-8a24-d4a8d7aca464}"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X60" dT="2026-02-15T16:33:51.00" personId="{b80583ec-11bb-4ae5-87a2-ac8090a300e3}" id="{1bbd6d42-c94d-4c92-a29d-18d49ceaccf4}"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Z75" dT="2026-02-15T16:33:51.00" personId="{7369f59a-a1f3-41e5-8cc7-3890ee3b434e}" id="{cbb1be76-4a9d-405f-96aa-dacb1aa6de5c}"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G89" dT="2026-02-15T16:33:51.00" personId="{96587734-7a0b-4df6-8338-fccc5b746426}" id="{78e0f484-e467-4f1f-aea6-3ffb1ad54a47}"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D42" dT="2026-02-15T16:33:51.00" personId="{4dcc859b-360a-4236-a516-6a3652040d02}" id="{877a0ae1-f42f-4476-8a71-331dcba91f0c}"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I120" dT="2026-02-15T16:33:51.00" personId="{8d1db0b7-e612-44dc-bc2b-b478716436c1}" id="{87eeb30a-4fcf-4a08-9592-498f126a6677}"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L152" dT="2026-02-15T16:33:51.00" personId="{db6dda6e-f6d2-4046-83da-2626db6c0869}" id="{07d05027-1cf0-4c7c-bebc-4d2179510e9a}"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L148" dT="2026-02-15T16:33:51.00" personId="{f1c999df-61ad-4167-bd28-4c39b227c187}" id="{1fefbd64-9235-4518-b6eb-f6a44abc906a}"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Y89" dT="2026-02-15T16:33:51.00" personId="{0e8e6cf3-b672-4a1b-9abb-0d23c55471a4}" id="{1537fc64-171f-4df0-b8a0-66497412d225}"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I76" dT="2026-02-15T16:33:51.00" personId="{12162d75-6ec1-423e-84c1-ca854d9ad697}" id="{57605e66-6bcb-44d3-8a89-9f776ce614c4}"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D39" dT="2026-02-15T16:33:51.00" personId="{c96068c9-f6b2-4709-b731-3eab833dfb50}" id="{97aa4b52-ba3e-423c-976c-b11d061ef1b7}"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D40" dT="2026-02-15T16:33:51.00" personId="{2326ca01-daa5-49ab-9c35-cd2e9343f2ee}" id="{02018a63-a8ea-4345-aa25-3e2a6b93823c}"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I92" dT="2026-02-15T16:33:51.00" personId="{ff433da8-4305-48df-87a3-f1dedb668afc}" id="{c88f86e7-546f-4edb-bb2f-9003c27587d9}"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L56" dT="2026-02-15T16:33:51.00" personId="{c9645bd2-e402-4176-ba56-d0de57b51c71}" id="{40c5994f-404a-4dfc-a45b-ca4a56a06b0e}"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P76" dT="2026-02-15T16:33:51.00" personId="{0b20f146-b536-4588-8ad7-ef778a908d75}" id="{532cd904-eb69-4a8e-9694-f65a6bdbde69}"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Y149" dT="2026-02-15T16:33:51.00" personId="{fb26e553-2005-4e51-974d-e5c572e82574}" id="{030c8006-224f-43f9-b8b8-8df92a429370}"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L117" dT="2026-02-15T16:33:51.00" personId="{df213614-cd72-4675-b7ea-536a6609e01a}" id="{805bfcb4-080a-4b9b-a002-a20145b4a38e}"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Z60" dT="2026-02-15T16:33:51.00" personId="{0df58e03-14ef-4b97-bcad-3e9d9741865b}" id="{4f9074cf-e52f-43de-910b-09d9af4868fb}"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AA118" dT="2026-02-15T16:33:51.00" personId="{8433d0f9-6731-4c6a-aec5-56c8027c110e}" id="{60d35bf0-fdc4-446f-b35e-11a0d086b5ec}"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AA117" dT="2026-02-15T16:33:51.00" personId="{5a735149-40a0-4872-bfb7-67b3021e9081}" id="{daf3d624-8fb4-450c-8953-a941973b699b}"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W151" dT="2026-02-15T16:33:51.00" personId="{904a6c00-ad8f-498c-b721-3a93f5d1bacd}" id="{84d761ab-acf2-47e4-8077-f67dd993175f}"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F76" dT="2026-02-15T16:33:51.00" personId="{58701d87-d374-4374-b719-9c621a769528}" id="{5d00310f-009d-4283-b6f0-c254c8de521e}"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G72" dT="2026-02-15T16:33:51.00" personId="{8833014a-0021-4466-8a04-7a5c7a93b028}" id="{1a563f4d-857c-4d00-95a3-d03b022f9362}"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41" dT="2026-02-15T16:33:51.00" personId="{1b594783-4ab1-4c58-a8b2-7301d34a93da}" id="{c9c90ddd-a2ba-41fe-88e9-8381b2a260dc}"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F60" dT="2026-02-15T16:33:51.00" personId="{a0fc9e2d-ace3-41c4-8557-d1e19aab3476}" id="{ea208c92-8466-4cdb-af7f-733fb3280a97}"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S117" dT="2026-02-15T16:33:51.00" personId="{7b70a9bb-bb10-4ef8-9fdc-a6563d8b3fd1}" id="{5912df3c-f215-467f-9b7e-40f6d1d671c2}"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X92" dT="2026-02-15T16:33:51.00" personId="{d8e03110-9d03-4a88-9d7d-91370cedde81}" id="{3185d395-e856-41cc-b09a-0b5d60dada33}"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G149" dT="2026-02-15T16:33:51.00" personId="{337d37f7-a91f-4d2c-9216-895000277f8e}" id="{5c147176-e4bd-4e2e-b935-b4368b8b25e4}"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Z59" dT="2026-02-15T16:33:51.00" personId="{f653ad6d-4f32-42f3-a662-009ac4c0dfc3}" id="{bb801125-ad1f-4c9d-ba1e-992d8722a74f}"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D117" dT="2026-02-15T16:33:51.00" personId="{1cc62d6e-69b6-445d-b4f7-f205078d299c}" id="{2c44c4a6-c364-479d-a330-0f61390431d5}"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Y88" dT="2026-02-15T16:33:51.00" personId="{4ed987ed-e26b-4fc5-8ea9-fda0cfeeee55}" id="{aeb4e49b-8187-4efc-b95d-35b5360f8edd}"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D152" dT="2026-02-15T16:33:51.00" personId="{738a440e-7e06-4b4e-994a-99d3e8abd688}" id="{ef2f436b-6cc7-4832-a600-ed2a360201b8}"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Y117" dT="2026-02-15T16:33:51.00" personId="{98856eb1-f796-4bb0-92bc-535b4c3e5d08}" id="{6f2c6d35-faa3-40c7-ae76-514e9988acb4}"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M44" dT="2026-02-15T16:33:51.00" personId="{121bfd6f-e4ba-43dc-a57e-698a8cd4f84b}" id="{7c0719dd-a41d-46a2-a485-b9b896e582c4}" done="0">
    <x18tc:text xml:space="preserve">[Threaded comment]
Your version of Excel allows you to read this threaded comment; however, any edits to it will get removed if the file is opened in a newer version of Excel. Learn more: https://go.microsoft.com/fwlink/?linkid=870924
Comment:
    Earthquakes/volcanic activities</x18tc:text>
    <x18tc:extLst>
      <ext uri="{F7C98A9C-CBB3-438F-8F68-D28B6AF4A901}">
        <xltc2:checksum/>
        <xltc2:hyperlink startIndex="189" length="46" url="https://go.microsoft.com/fwlink/?linkid=870924"/>
      </ext>
    </x18tc:extLst>
  </x18tc:threadedComment>
  <x18tc:threadedComment ref="AA147" dT="2026-02-15T16:33:51.00" personId="{e0c4f2d4-a335-4308-b335-816b8d56fe0b}" id="{bf9ad552-c462-4a4e-8aae-aecd32fdc4e8}"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I91" dT="2026-02-15T16:33:51.00" personId="{cf87115f-c21e-49b5-9c89-688d4f2a2580}" id="{edd80e69-bfa9-4430-b79b-1ff856bf2ad3}"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Z71" dT="2026-02-15T16:33:51.00" personId="{adc39837-1c3f-4f62-aec6-8d3d3b55cdfc}" id="{02430213-6198-4936-aba9-2bf7e84f9da6}"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F92" dT="2026-02-15T16:33:51.00" personId="{55ea2d0c-3395-4bac-9ee7-04b7d5b9b3b3}" id="{dbeceeeb-9d6b-4998-ac6c-0ef8b471678d}"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F59" dT="2026-02-15T16:33:51.00" personId="{5ba1241c-63ef-46cb-9ceb-07560f4d90b2}" id="{60c4759c-382f-4207-a2df-f353c60ab10f}"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AB76" dT="2026-02-15T16:33:51.00" personId="{bc74b6c2-6fb7-4e0b-9690-27a856aeef42}" id="{58175a29-d0d1-4455-850e-5d44bed8f1ae}"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I151" dT="2026-02-15T16:33:51.00" personId="{7bba3dc8-bf58-4bd0-b9bd-3612400e6827}" id="{5b31ddcb-6c75-484a-bf92-b09f1f280b26}"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Z151" dT="2026-02-15T16:33:51.00" personId="{a8525006-2182-4146-be60-d31bdc9ce40a}" id="{3f126714-7b7b-45ae-b442-f7f8495f3961}"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G118" dT="2026-02-15T16:33:51.00" personId="{6cde34fd-f99b-48d0-8f70-a07b4d4fa8cf}" id="{a757cbd8-63c3-4197-acdc-f322d010cdb9}"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AA116" dT="2026-02-15T16:33:51.00" personId="{e6460151-388f-4df7-ad64-d994310ec52f}" id="{1224cf37-19c9-4042-98bf-909a00b7da71}"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L60" dT="2026-02-15T16:33:51.00" personId="{56f858b1-f8a2-469d-ad11-4adfea41e3de}" id="{2b91bbbc-e07b-4596-af0a-83a9a843cce9}"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AB92" dT="2026-02-15T16:33:51.00" personId="{c2227f2e-0283-474c-befb-5292a64899de}" id="{7eb52b6f-4ced-46f2-af6b-ecd25f99b89e}"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Y118" dT="2026-02-15T16:33:51.00" personId="{2c6f0669-c20f-4d73-b037-05132b11f292}" id="{39c397a8-efcc-4afe-a8ec-8f7e698b2881}"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G73" dT="2026-02-15T16:33:51.00" personId="{619bd3af-aeb0-40f6-8012-000e60134709}" id="{29f92e56-3d30-4377-a940-8ebe3925d79a}"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S72" dT="2026-02-15T16:33:51.00" personId="{5ede3fce-736d-4a8c-a6ab-4b636590b5ff}" id="{b30680ee-cebd-435f-9d1f-ca4a26f80772}"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X121" dT="2026-02-15T16:33:51.00" personId="{1aad0fe1-8883-4863-92a3-b11de0cea2d7}" id="{6481a576-df9d-42ec-8158-3c59e84f5e74}"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I75" dT="2026-02-15T16:33:51.00" personId="{d45263dd-983a-4ba9-a024-7dd1cf7db609}" id="{b535ece3-1335-4b81-9e2d-07b24c9b98d2}"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P60" dT="2026-02-15T16:33:51.00" personId="{6e6f03b5-4b54-453c-922d-695d0f88050f}" id="{08a2456b-cde5-4be2-9b93-5eb81c0bdcf3}"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F120" dT="2026-02-15T16:33:51.00" personId="{0e15e504-0e77-410f-8793-00196f769b1f}" id="{9cdd68cd-7f46-4223-b3ff-91da90177845}"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D36" dT="2026-02-15T16:33:51.00" personId="{90ea147a-b04f-4473-9685-ddb62414027f}" id="{34387d34-b42e-439c-ad5c-5a0daa5efea1}"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Z76" dT="2026-02-15T16:33:51.00" personId="{559f32ac-8d4b-4915-9ba7-03fb25c83c59}" id="{ecfc6f94-6026-4a54-9671-3ec54abe8661}"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I60" dT="2026-02-15T16:33:51.00" personId="{b69ce0d0-4d98-4669-b8ab-04dc337c6e19}" id="{00cebf59-3a01-4c47-96f0-ffdbccc03b2a}"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Z87" dT="2026-02-15T16:33:51.00" personId="{26319299-3133-4023-823e-d47dd6d8ad2a}" id="{a3192568-12e7-4421-9e2a-de02d0ab7d76}"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G88" dT="2026-02-15T16:33:51.00" personId="{241a7ada-27e1-445b-a1e8-452e3103df86}" id="{46b6629b-1c2b-4f08-ad40-c1d0f5c5d71a}"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L72" dT="2026-02-15T16:33:51.00" personId="{0001e910-010a-4938-8fde-2d90c5f42bd3}" id="{5f4c5793-9af8-4840-b404-0867c082d2ea}"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AA87" dT="2026-02-15T16:33:51.00" personId="{2c67eedd-ab89-4940-b242-931db39cc18e}" id="{00d7db59-b751-4a00-9dd0-f9305afd519b}"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P92" dT="2026-02-15T16:33:51.00" personId="{2a731829-0e08-4b66-8ffa-70df240d7b15}" id="{dfa5cbc8-a094-406d-be5a-240e3b97ea12}"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F152" dT="2026-02-15T16:33:51.00" personId="{ac9caeac-0c75-4583-81f5-faebc238423f}" id="{bd023458-30c2-4383-93cd-552cb3720412}"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D76" dT="2026-02-15T16:33:51.00" personId="{8c7c6cc4-8253-4636-b742-d95e0be87f60}" id="{551757c2-2e55-4eca-9b4b-6ab4e3b21a19}"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AA71" dT="2026-02-15T16:33:51.00" personId="{e84ed449-6408-4606-95a8-0c1d1cdf4df1}" id="{3bc5f4f7-b186-4660-b4db-8ad2f705e919}"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L121" dT="2026-02-15T16:33:51.00" personId="{036a3d85-2665-463b-b6e3-4541229eb7ef}" id="{80de2f0f-6dc5-40b0-8307-07b96d51793c}"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F121" dT="2026-02-15T16:33:51.00" personId="{3bf89f1e-7846-4f85-9603-413d8061dd97}" id="{0af85529-72c7-4fc8-be1a-d5ae5bab9559}"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Y72" dT="2026-02-15T16:33:51.00" personId="{5fa1817b-977a-4be4-887c-91e194efc037}" id="{d87d1d47-a7e1-4787-9950-9db1f0b81555}"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AA152" dT="2026-02-15T16:33:51.00" personId="{14ad0e48-d915-42c2-8fb4-82931fcfc522}" id="{321519f7-b1b0-4678-83a7-9287e84ce137}"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D60" dT="2026-02-15T16:33:51.00" personId="{2a751af0-2ac7-4044-b2ab-adf827e887d6}" id="{4c91c0e6-ed35-47bf-a762-98dc6520394e}"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D92" dT="2026-02-15T16:33:51.00" personId="{00d34d38-9165-4f85-83ff-7c91010fd77a}" id="{345ee8e9-fdab-4463-974c-a2b2ffd75226}"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AA72" dT="2026-02-15T16:33:51.00" personId="{05e3b62c-af2c-497b-b003-73529cbaa95c}" id="{a6e4ddf3-f811-4134-a0ce-f295259cefe7}"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F75" dT="2026-02-15T16:33:51.00" personId="{f6a9af6a-5782-498c-a476-7f36bdb1f780}" id="{ff3d0301-073a-4a7b-a6c3-42aacc2a4c21}"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AA56" dT="2026-02-15T16:33:51.00" personId="{6e7de301-c3c8-4721-9e23-369ce4f84c00}" id="{86b79e4e-18b1-4214-8383-531ac14f86ac}"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L76" dT="2026-02-15T16:33:51.00" personId="{f4c943a0-4bf7-46fa-a96a-8291b3786e4b}" id="{67bad9eb-39f9-4233-af83-2b8f4a385ad0}"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AA88" dT="2026-02-15T16:33:51.00" personId="{d664a822-d61d-431a-83ed-ab9766b0daa9}" id="{87138a82-c37b-4e9e-8d92-908a7c44b4f1}"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Z116" dT="2026-02-15T16:33:51.00" personId="{303ba254-48b6-43c9-ae96-d3a705a0d6ed}" id="{536460e6-9fc7-4a0f-9282-d47448da598d}"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Z121" dT="2026-02-15T16:33:51.00" personId="{0d2eb238-46e7-4c7a-bb43-80fe70542518}" id="{850b1fc2-eb04-4479-8ded-3d46c9cd6270}"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Y57" dT="2026-02-15T16:33:51.00" personId="{2abe8347-7111-47fd-bf81-1169c1effa77}" id="{a8feb763-56a0-4979-a49b-cf8059fe167f}"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G148" dT="2026-02-15T16:33:51.00" personId="{f641a68a-5024-4a22-b34a-649bcc40ca58}" id="{0fcd47b9-eef0-48d6-88a7-110790c23c60}"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56" dT="2026-02-15T16:33:51.00" personId="{36e0ec75-07f0-4f9c-9351-fcc07c14c944}" id="{016bd9e5-c3f2-4663-b6e8-cbb21b5f9415}"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AA57" dT="2026-02-15T16:33:51.00" personId="{a7d08b25-52ef-44bb-97a8-29ab235f8129}" id="{a03b7f8d-a126-4c89-97d7-09f9991088ce}"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AA55" dT="2026-02-15T16:33:51.00" personId="{35680d08-9cea-40ec-85cd-53071e4e611d}" id="{159de93b-b5ac-44e4-94fa-7e33880597b1}"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Z120" dT="2026-02-15T16:33:51.00" personId="{d18d5026-50c8-44ff-ab89-b8f1e7d5442b}" id="{0ae8c3d2-decd-4f53-83c6-7e6b730fa701}"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I152" dT="2026-02-15T16:33:51.00" personId="{088afcd7-0b32-4c77-b5f5-64b4dfd8b59b}" id="{d3cb3ece-313b-4297-9639-c79c66a0d4b7}"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W75" dT="2026-02-15T16:33:51.00" personId="{62283b31-07a9-4092-b9d9-57592ea9978d}" id="{67c1a1fa-59ff-45f9-a940-317e23146940}"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AB121" dT="2026-02-15T16:33:51.00" personId="{ec35aca7-191f-490b-9ca4-4269461bef5b}" id="{6c62d4ff-7c44-4985-9b09-c83d8186f4c2}"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AB152" dT="2026-02-15T16:33:51.00" personId="{6b57019f-96a9-4771-81f1-86990e4804b9}" id="{239f7faa-e1f2-4356-b5fd-882105684c22}"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P110" dT="2026-02-15T16:33:51.00" personId="{f89ee930-211f-4645-b7fd-95f7920db2b2}" id="{1b2e4614-04e4-4c3a-bdf5-363bb02a7f3e}" done="0">
    <x18tc:text xml:space="preserve">[Threaded comment]
Your version of Excel allows you to read this threaded comment; however, any edits to it will get removed if the file is opened in a newer version of Excel. Learn more: https://go.microsoft.com/fwlink/?linkid=870924
Comment:
    Ecology, biodiversity and settlement realm</x18tc:text>
    <x18tc:extLst>
      <ext uri="{F7C98A9C-CBB3-438F-8F68-D28B6AF4A901}">
        <xltc2:checksum/>
        <xltc2:hyperlink startIndex="189" length="46" url="https://go.microsoft.com/fwlink/?linkid=870924"/>
      </ext>
    </x18tc:extLst>
  </x18tc:threadedComment>
  <x18tc:threadedComment ref="S148" dT="2026-02-15T16:33:51.00" personId="{36952934-3271-4568-aae2-5ec498412f49}" id="{1bc307e6-0f07-434a-91a4-7510de4b38fe}"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AA121" dT="2026-02-15T16:33:51.00" personId="{0921c014-e137-4b39-b611-3ea5a17bcb50}" id="{64960b9a-4475-4c97-a4cf-c0b22a3b8d79}"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G117" dT="2026-02-15T16:33:51.00" personId="{f101193c-9844-438f-a81b-5121e4fafb20}" id="{9dded937-24c7-4399-a524-cf2629f755c3}"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D37" dT="2026-02-15T16:33:51.00" personId="{b616f3bc-59b7-460d-b9e4-11d7940ca594}" id="{32f2fbbc-755e-418f-9fe1-186d0ef3dc6a}"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AA89" dT="2026-02-15T16:33:51.00" personId="{bb8857c4-f884-48b6-a397-1a70f6bae5dc}" id="{43b23fbb-2954-43d9-b291-e6bdadd877bd}"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X152" dT="2026-02-15T16:33:51.00" personId="{fc3d8367-038c-4930-9b8d-c3a3405dcfa3}" id="{a196577e-a68a-40fe-be4d-a04e0f313a43}"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S56" dT="2026-02-15T16:33:51.00" personId="{3f23fdfe-8f26-4602-b50d-feecb3ead2b2}" id="{07734759-c000-4dba-bfac-30eb490eecf0}"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S88" dT="2026-02-15T16:33:51.00" personId="{12d67900-5c9b-4356-ba1b-388eb6afc2f5}" id="{e65fb707-3f68-4229-b41b-8c035ae1bc76}"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D38" dT="2026-02-15T16:33:51.00" personId="{c20f1cd7-822a-43ee-861a-e85e67c0dd39}" id="{b690a260-a5f0-409a-8255-ab98d82cea67}" done="0">
    <x18tc:text xml:space="preserve">[Threaded comment]
Your version of Excel allows you to read this threaded comment; however, any edits to it will get removed if the file is opened in a newer version of Excel. Learn more: https://go.microsoft.com/fwlink/?linkid=870924
Comment:
    Applicability or Frequency</x18tc:text>
    <x18tc:extLst>
      <ext uri="{F7C98A9C-CBB3-438F-8F68-D28B6AF4A901}">
        <xltc2:checksum/>
        <xltc2:hyperlink startIndex="189" length="46" url="https://go.microsoft.com/fwlink/?linkid=870924"/>
      </ext>
    </x18tc:extLst>
  </x18tc:threadedComment>
  <x18tc:threadedComment ref="AB60" dT="2026-02-15T16:33:51.00" personId="{297c5e45-20ba-47db-ba0f-b64c739c104b}" id="{dd1eba1a-240c-4167-ac15-69198fd9f62f}"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Z91" dT="2026-02-15T16:33:51.00" personId="{4fcd50a5-5d7c-4342-b98d-328a6f845a3b}" id="{7c882e8f-17e7-48dc-a915-1d0f47ca4db1}"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Z152" dT="2026-02-15T16:33:51.00" personId="{d5e599b2-ee45-47de-8d5c-68475203ac35}" id="{9494164f-9891-4f07-89c0-37d21aff3e21}"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AA76" dT="2026-02-15T16:33:51.00" personId="{e5f1fe36-5d54-4cb5-91ce-583ad502b90f}" id="{79d6b771-2f3e-449c-9f04-dcdc74adba00}"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I59" dT="2026-02-15T16:33:51.00" personId="{558bd88c-7b88-4b0e-86cd-7b88a7a2a29b}" id="{055607f8-c22f-40bc-817b-dd590d91bd7e}"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F151" dT="2026-02-15T16:33:51.00" personId="{77ca22e8-383c-4f51-aa37-b4261e012d59}" id="{55a80526-761e-42d2-9a9e-2813923d08c8}"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P106" dT="2026-02-15T16:33:51.00" personId="{00cafda2-bb60-4073-86db-6da8c211f876}" id="{b45456a8-3405-40e3-8913-fc3abaa94dab}" done="0">
    <x18tc:text xml:space="preserve">[Threaded comment]
Your version of Excel allows you to read this threaded comment; however, any edits to it will get removed if the file is opened in a newer version of Excel. Learn more: https://go.microsoft.com/fwlink/?linkid=870924
Comment:
    Ecology, biodiversity and settlement realm</x18tc:text>
    <x18tc:extLst>
      <ext uri="{F7C98A9C-CBB3-438F-8F68-D28B6AF4A901}">
        <xltc2:checksum/>
        <xltc2:hyperlink startIndex="189" length="46" url="https://go.microsoft.com/fwlink/?linkid=870924"/>
      </ext>
    </x18tc:extLst>
  </x18tc:threadedComment>
  <x18tc:threadedComment ref="AA73" dT="2026-02-15T16:33:51.00" personId="{8ee5aac7-f4ba-4c9e-b762-04869078aa62}" id="{05a31232-b2b8-4d10-8c20-8968bd1e0998}"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G57" dT="2026-02-15T16:33:51.00" personId="{e007a404-439b-480a-bd9a-532497824f90}" id="{987d998c-a040-43f8-8246-e872bc5ed387}"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D72" dT="2026-02-15T16:33:51.00" personId="{a099d966-cddf-498f-9bc4-672d9c01db27}" id="{630ee89c-4d49-43a2-b8cf-d3e9d4d19df0}"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Y148" dT="2026-02-15T16:33:51.00" personId="{12ce0051-789c-48b7-9731-cebdeba059b6}" id="{06e44f7d-d8c5-49fb-b171-86d0af80f4ab}"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Z55" dT="2026-02-15T16:33:51.00" personId="{a12da689-629b-4a47-9197-74bcb5c746fd}" id="{e2b4d822-c911-495e-9d95-345e9dd271b5}"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AA148" dT="2026-02-15T16:33:51.00" personId="{63e60972-18b7-460e-9c08-d7d76bfc639d}" id="{1db12b8c-4bc8-4033-8468-27e94f3c0650}"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Z147" dT="2026-02-15T16:33:51.00" personId="{1899c59f-585b-41bd-a60b-e2aa59b74b27}" id="{1a5b6654-b508-4dd4-9bff-097b0162ab3f}"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Y56" dT="2026-02-15T16:33:51.00" personId="{fc85752f-2519-4b76-a197-b65251953d74}" id="{38c96e4a-c5bd-4b44-8710-0f9221fa9ad0}"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D148" dT="2026-02-15T16:33:51.00" personId="{520c63d3-52ec-4383-8c36-1acfd123a010}" id="{fa6f11e2-9978-43f5-9934-c4266ffefa83}"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AA92" dT="2026-02-15T16:33:51.00" personId="{770684fc-4b1c-4a08-9ba8-ac37994d0ffe}" id="{f0f90313-4520-40ec-94c4-10e195723b75}"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6" dT="2026-02-15T16:33:51.00" personId="{2838fb31-59f4-4dd3-b140-0af3bcc262c2}" id="{ca59a3a8-c621-4fd8-8119-435af30a9b4b}"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F27" dT="2026-02-15T16:33:51.00" personId="{733a02a1-7987-45bd-bfc0-e2b7e07d5ae5}" id="{21d376da-db7b-4edf-88bd-2da4e94be4a3}"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G24" dT="2026-02-15T16:33:51.00" personId="{55ab602f-4ec6-4134-993c-1d03c43665c1}" id="{47bcf272-17ef-40a1-b42e-d25b45e19c46}"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Y24" dT="2026-02-15T16:33:51.00" personId="{130737ef-4e06-4e02-b390-0a2e7a1a7bde}" id="{3482fcbb-bfdd-4a84-b1fc-7e281ac207ea}"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C90" dT="2026-02-15T16:33:51.00" personId="{3de8eb34-7785-4631-bd2c-07ce51bb131d}" id="{d6fe3d50-fc93-4a40-9afc-49eba626fd21}"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C66" dT="2026-02-15T16:33:51.00" personId="{1ab4953d-6806-4edf-98c3-1e4c9697ba1f}" id="{cbd95974-1653-4752-9c9a-f1c76626569b}"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P16" dT="2026-02-15T16:33:51.00" personId="{65f9b783-4dd2-4ced-96e8-9c7333b0690b}" id="{7e910980-8de9-4df6-b033-b8a14d9aae1d}"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C88" dT="2026-02-15T16:33:51.00" personId="{1473a251-096d-4873-8e26-8c4b82a85dee}" id="{f697dd7d-4e34-43db-bba3-70f6158d109a}"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X27" dT="2026-02-15T16:33:51.00" personId="{0d893ddf-e833-4d2f-aaaa-153d7093ec2a}" id="{fc0ed1be-a3b4-43d1-8edb-b1dceae340d9}"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L12" dT="2026-02-15T16:33:51.00" personId="{26cf362d-d306-46a1-a322-011111b74eca}" id="{4e62ba5a-0d40-4048-bf17-bf78f297cdee}"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D23" dT="2026-02-15T16:33:51.00" personId="{40fa2a18-99bd-4afb-b20f-388a4dae6357}" id="{3f1d468e-60ed-44e1-949e-a952d037e1b6}"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AB27" dT="2026-02-15T16:33:51.00" personId="{a711943f-540f-4b7c-9631-8813c19aa9a0}" id="{21b994ef-ca86-450a-b314-bd815c8419bb}"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AA22" dT="2026-02-15T16:33:51.00" personId="{e5480933-e0dc-4ddd-92cb-fe537ce0fe66}" id="{0e4935bb-df6d-4cd0-a25b-4504d0481eb3}"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P27" dT="2026-02-15T16:33:51.00" personId="{b79e7d95-dfaa-4291-85df-281b227e8299}" id="{f85fef35-a115-4c75-a34e-45933e46116c}" done="0">
    <x18tc:text xml:space="preserve">[Threaded comment]
Your version of Excel allows you to read this threaded comment; however, any edits to it will get removed if the file is opened in a newer version of Excel. Learn more: https://go.microsoft.com/fwlink/?linkid=870924
Comment:
    Health facilities operations</x18tc:text>
    <x18tc:extLst>
      <ext uri="{F7C98A9C-CBB3-438F-8F68-D28B6AF4A901}">
        <xltc2:checksum/>
        <xltc2:hyperlink startIndex="189" length="46" url="https://go.microsoft.com/fwlink/?linkid=870924"/>
      </ext>
    </x18tc:extLst>
  </x18tc:threadedComment>
  <x18tc:threadedComment ref="G13" dT="2026-02-15T16:33:51.00" personId="{b3b53783-5df9-4d75-81e1-54bc7b6fa149}" id="{10225b50-0a88-41ba-8725-f92b06cf74f5}"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C94" dT="2026-02-15T16:33:51.00" personId="{65709b37-7157-41c0-a36f-37a6167405b9}" id="{03e5d218-03a4-4fa6-a94a-813c567cbb53}"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C89" dT="2026-02-15T16:33:51.00" personId="{185a3750-0aaf-418a-8588-4bc414e83605}" id="{1d3961ec-09bb-4f9f-afc4-9ed9e69badbe}"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L16" dT="2026-02-15T16:33:51.00" personId="{588d6e1c-c37b-4029-af7a-7b6dec7c02de}" id="{2fd42362-7b17-4fa6-a822-bce10a8d16ae}"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X16" dT="2026-02-15T16:33:51.00" personId="{e7e474ef-93ad-4e3a-ba17-222021073cf8}" id="{b5bb1700-0cc1-40a8-aae9-e289e8559a01}"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AA13" dT="2026-02-15T16:33:51.00" personId="{f5545d51-4bdc-40d3-8712-8d692655784d}" id="{faaa74f2-eaaf-4fd7-9565-eeef7ffebc3a}"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C47" dT="2026-02-15T16:33:51.00" personId="{8e338292-3bc0-4094-afd7-ca0f8a0a5360}" id="{c157e6fe-a204-442d-9892-f54f88262edd}"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D27" dT="2026-02-15T16:33:51.00" personId="{40e978c8-f5f2-4bbe-a479-ff36f95f2386}" id="{9cd571d7-6f42-415c-8b94-b10dc15206ce}"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Y23" dT="2026-02-15T16:33:51.00" personId="{aa114e3a-54f5-42a3-b11f-92491b2cab27}" id="{66bfc6d6-ab73-4d0e-a0cd-94dc073ced26}"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W15" dT="2026-02-15T16:33:51.00" personId="{5b681a68-50cc-4f87-a285-297a01c3f206}" id="{cfd41f03-7787-4e7c-be2d-3ac04ec6abcb}"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Z26" dT="2026-02-15T16:33:51.00" personId="{c1affc9c-4c3a-4d8e-b5c4-7b896451d4aa}" id="{60927e4a-25b9-4d24-ac67-198f469e54ab}"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L27" dT="2026-02-15T16:33:51.00" personId="{e4cff386-109a-4c6e-889d-aa7834bf4760}" id="{75f31647-962c-4b94-96bd-c4aaf8cc132d}" done="0">
    <x18tc:text xml:space="preserve">[Threaded comment]
Your version of Excel allows you to read this threaded comment; however, any edits to it will get removed if the file is opened in a newer version of Excel. Learn more: https://go.microsoft.com/fwlink/?linkid=870924
Comment:
    Resources / resources planning</x18tc:text>
    <x18tc:extLst>
      <ext uri="{F7C98A9C-CBB3-438F-8F68-D28B6AF4A901}">
        <xltc2:checksum/>
        <xltc2:hyperlink startIndex="189" length="46" url="https://go.microsoft.com/fwlink/?linkid=870924"/>
      </ext>
    </x18tc:extLst>
  </x18tc:threadedComment>
  <x18tc:threadedComment ref="F15" dT="2026-02-15T16:33:51.00" personId="{12fb4b9a-aacc-4a31-bc45-e7278c45080b}" id="{2e57ef2e-ac43-4b08-bc69-9480983d1c2d}"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C87" dT="2026-02-15T16:33:51.00" personId="{e58c8513-1864-4a79-9966-f580e4135323}" id="{9006e602-c14d-48f6-a891-756faf2dacd1}"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W26" dT="2026-02-15T16:33:51.00" personId="{aa40dd50-b45b-4032-98b9-b221d4d82505}" id="{eed0ef58-2fdc-4cc2-8469-b12de7f46e06}"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I15" dT="2026-02-15T16:33:51.00" personId="{814d7cce-4941-4453-bafa-cc04cf16efb3}" id="{001d6def-345d-41d4-8a25-7b3cfba17148}"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AA11" dT="2026-02-15T16:33:51.00" personId="{9b008e78-3707-46b7-8992-03f4f630e65a}" id="{51a0bd49-fc04-40a9-93dc-c6580c58d96a}"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G23" dT="2026-02-15T16:33:51.00" personId="{8051c1b0-c2c2-48dc-aefc-eeda1f115c26}" id="{bdf8b0f9-153b-4c5a-9971-3051b4e310d7}"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I26" dT="2026-02-15T16:33:51.00" personId="{e9692918-e401-4135-bcdf-749bc2cd17f3}" id="{2cf4f0e7-d3f0-4838-b26a-314ae171e63f}"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C52" dT="2026-02-15T16:33:51.00" personId="{ab62370e-085a-4bf2-9596-b355b75dded5}" id="{b64de722-ed49-496a-ac71-9af5f2e96626}"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I16" dT="2026-02-15T16:33:51.00" personId="{41a832bb-2ba8-4e5f-bcf5-a191cf8e3797}" id="{fe80178d-dbe8-4940-81f4-1a6764978a98}"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P9" dT="2026-02-15T16:33:51.00" personId="{378e93e0-b6a1-4fe8-9371-913bd72203d1}" id="{9bdd5d13-181b-4698-ab89-d7c4f07f2a8d}" done="0">
    <x18tc:text xml:space="preserve">[Threaded comment]
Your version of Excel allows you to read this threaded comment; however, any edits to it will get removed if the file is opened in a newer version of Excel. Learn more: https://go.microsoft.com/fwlink/?linkid=870924
Comment:
    Ecology, biodiversity and settlement realm</x18tc:text>
    <x18tc:extLst>
      <ext uri="{F7C98A9C-CBB3-438F-8F68-D28B6AF4A901}">
        <xltc2:checksum/>
        <xltc2:hyperlink startIndex="189" length="46" url="https://go.microsoft.com/fwlink/?linkid=870924"/>
      </ext>
    </x18tc:extLst>
  </x18tc:threadedComment>
  <x18tc:threadedComment ref="Y12" dT="2026-02-15T16:33:51.00" personId="{8d261dae-46bc-4d2f-ab52-f1b01c6fafa2}" id="{83dccafd-b4dd-4709-b19d-624915ece2cc}"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F16" dT="2026-02-15T16:33:51.00" personId="{e12d184a-fa37-474e-b60f-d9c0b48b4356}" id="{504104ca-04ed-40bc-bd16-fa6d0f192090}" done="0">
    <x18tc:text xml:space="preserve">[Threaded comment]
Your version of Excel allows you to read this threaded comment; however, any edits to it will get removed if the file is opened in a newer version of Excel. Learn more: https://go.microsoft.com/fwlink/?linkid=870924
Comment:
    Awareness and information</x18tc:text>
    <x18tc:extLst>
      <ext uri="{F7C98A9C-CBB3-438F-8F68-D28B6AF4A901}">
        <xltc2:checksum/>
        <xltc2:hyperlink startIndex="189" length="46" url="https://go.microsoft.com/fwlink/?linkid=870924"/>
      </ext>
    </x18tc:extLst>
  </x18tc:threadedComment>
  <x18tc:threadedComment ref="C77" dT="2026-02-15T16:33:51.00" personId="{7f1602ae-5dcb-487f-8bf7-d592ba1a310d}" id="{072b6bda-6cea-4f72-a00a-90e60605f4bb}" done="0">
    <x18tc:text xml:space="preserve">[Threaded comment]
Your version of Excel allows you to read this threaded comment; however, any edits to it will get removed if the file is opened in a newer version of Excel. Learn more: https://go.microsoft.com/fwlink/?linkid=870924
Comment:
    Natural Vegetation</x18tc:text>
    <x18tc:extLst>
      <ext uri="{F7C98A9C-CBB3-438F-8F68-D28B6AF4A901}">
        <xltc2:checksum/>
        <xltc2:hyperlink startIndex="189" length="46" url="https://go.microsoft.com/fwlink/?linkid=870924"/>
      </ext>
    </x18tc:extLst>
  </x18tc:threadedComment>
  <x18tc:threadedComment ref="C48" dT="2026-02-15T16:33:51.00" personId="{e75b6adb-207c-417a-b227-09ed0f1d0983}" id="{35bdaf51-f342-46b0-9ca7-d941c47d950e}" done="0">
    <x18tc:text xml:space="preserve">[Threaded comment]
Your version of Excel allows you to read this threaded comment; however, any edits to it will get removed if the file is opened in a newer version of Excel. Learn more: https://go.microsoft.com/fwlink/?linkid=870924
Comment:
    Acces to finance / insurance</x18tc:text>
    <x18tc:extLst>
      <ext uri="{F7C98A9C-CBB3-438F-8F68-D28B6AF4A901}">
        <xltc2:checksum/>
        <xltc2:hyperlink startIndex="189" length="46" url="https://go.microsoft.com/fwlink/?linkid=870924"/>
      </ext>
    </x18tc:extLst>
  </x18tc:threadedComment>
  <x18tc:threadedComment ref="Z16" dT="2026-02-15T16:33:51.00" personId="{ae8548e6-3493-401f-a4b0-0301dd5d7f26}" id="{0aba59ae-6b21-41a8-b529-2bb3db089732}"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AA24" dT="2026-02-15T16:33:51.00" personId="{13985439-4722-4f27-b21e-d03f4e0ccaaa}" id="{a35e8191-012f-490e-a770-1788a923d844}"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C80" dT="2026-02-15T16:33:51.00" personId="{95356044-b01b-452a-b30b-da1f602699a1}" id="{7fbe65d1-1f69-45dd-8a8e-bfaaf5df59e6}" done="0">
    <x18tc:text xml:space="preserve">[Threaded comment]
Your version of Excel allows you to read this threaded comment; however, any edits to it will get removed if the file is opened in a newer version of Excel. Learn more: https://go.microsoft.com/fwlink/?linkid=870924
Comment:
    Natural water bodies</x18tc:text>
    <x18tc:extLst>
      <ext uri="{F7C98A9C-CBB3-438F-8F68-D28B6AF4A901}">
        <xltc2:checksum/>
        <xltc2:hyperlink startIndex="189" length="46" url="https://go.microsoft.com/fwlink/?linkid=870924"/>
      </ext>
    </x18tc:extLst>
  </x18tc:threadedComment>
  <x18tc:threadedComment ref="C53" dT="2026-02-15T16:33:51.00" personId="{e568db5e-7df8-48a0-9c0c-284ed0e9a2b8}" id="{a16e1190-d912-4a73-abfc-c10b21b2819f}"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L23" dT="2026-02-15T16:33:51.00" personId="{4bc5d320-63c7-4be1-afe9-051d87a9fd02}" id="{1c86d451-6f00-4084-956d-08b964ed0d2c}" done="0">
    <x18tc:text xml:space="preserve">[Threaded comment]
Your version of Excel allows you to read this threaded comment; however, any edits to it will get removed if the file is opened in a newer version of Excel. Learn more: https://go.microsoft.com/fwlink/?linkid=870924
Comment:
    Solid waste management</x18tc:text>
    <x18tc:extLst>
      <ext uri="{F7C98A9C-CBB3-438F-8F68-D28B6AF4A901}">
        <xltc2:checksum/>
        <xltc2:hyperlink startIndex="189" length="46" url="https://go.microsoft.com/fwlink/?linkid=870924"/>
      </ext>
    </x18tc:extLst>
  </x18tc:threadedComment>
  <x18tc:threadedComment ref="G12" dT="2026-02-15T16:33:51.00" personId="{e7ae8c15-6810-44eb-ab6b-f17ee61ff447}" id="{c8636315-e032-4594-9063-cedc866cc029}" done="0">
    <x18tc:text xml:space="preserve">[Threaded comment]
Your version of Excel allows you to read this threaded comment; however, any edits to it will get removed if the file is opened in a newer version of Excel. Learn more: https://go.microsoft.com/fwlink/?linkid=870924
Comment:
    Safety/Land use planning and control</x18tc:text>
    <x18tc:extLst>
      <ext uri="{F7C98A9C-CBB3-438F-8F68-D28B6AF4A901}">
        <xltc2:checksum/>
        <xltc2:hyperlink startIndex="189" length="46" url="https://go.microsoft.com/fwlink/?linkid=870924"/>
      </ext>
    </x18tc:extLst>
  </x18tc:threadedComment>
  <x18tc:threadedComment ref="Y13" dT="2026-02-15T16:33:51.00" personId="{c3508a5d-55ae-4f7f-b5c3-3186b2f1703f}" id="{5ddb640b-a8f4-4646-8d68-41c61b308568}" done="0">
    <x18tc:text xml:space="preserve">[Threaded comment]
Your version of Excel allows you to read this threaded comment; however, any edits to it will get removed if the file is opened in a newer version of Excel. Learn more: https://go.microsoft.com/fwlink/?linkid=870924
Comment:
    Potable water treatment</x18tc:text>
    <x18tc:extLst>
      <ext uri="{F7C98A9C-CBB3-438F-8F68-D28B6AF4A901}">
        <xltc2:checksum/>
        <xltc2:hyperlink startIndex="189" length="46" url="https://go.microsoft.com/fwlink/?linkid=870924"/>
      </ext>
    </x18tc:extLst>
  </x18tc:threadedComment>
  <x18tc:threadedComment ref="D12" dT="2026-02-15T16:33:51.00" personId="{cf5911e9-d1c6-4bd9-b31b-50c2a259d101}" id="{8b3488ee-08e6-4a6b-8b2f-39537d5da394}"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S23" dT="2026-02-15T16:33:51.00" personId="{0ccb5683-580a-4829-83ea-ed8377e5f978}" id="{327cea64-cdd6-4603-951c-a7efd54a5b12}"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I27" dT="2026-02-15T16:33:51.00" personId="{164810ab-09bb-4630-a355-29c0b472962e}" id="{c77b8ea3-1608-4342-8d4f-a7cdedd2384e}" done="0">
    <x18tc:text xml:space="preserve">[Threaded comment]
Your version of Excel allows you to read this threaded comment; however, any edits to it will get removed if the file is opened in a newer version of Excel. Learn more: https://go.microsoft.com/fwlink/?linkid=870924
Comment:
    Engagement county-community</x18tc:text>
    <x18tc:extLst>
      <ext uri="{F7C98A9C-CBB3-438F-8F68-D28B6AF4A901}">
        <xltc2:checksum/>
        <xltc2:hyperlink startIndex="189" length="46" url="https://go.microsoft.com/fwlink/?linkid=870924"/>
      </ext>
    </x18tc:extLst>
  </x18tc:threadedComment>
  <x18tc:threadedComment ref="C82" dT="2026-02-15T16:33:51.00" personId="{38ba90a8-90e9-4ffe-9a1d-3e980352e089}" id="{d36d57d2-7d74-43f6-99f3-f017a396f9f1}"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Z27" dT="2026-02-15T16:33:51.00" personId="{e0ba1435-e151-42c0-918a-c3af044f10de}" id="{b5ceba74-9ee7-48e9-91e1-a3709d2067bc}"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C60" dT="2026-02-15T16:33:51.00" personId="{4db2e333-1836-46a8-bb97-00f47c2dc9a2}" id="{50467406-c9c5-48b1-8fb4-033258ee8d33}" done="0">
    <x18tc:text xml:space="preserve">[Threaded comment]
Your version of Excel allows you to read this threaded comment; however, any edits to it will get removed if the file is opened in a newer version of Excel. Learn more: https://go.microsoft.com/fwlink/?linkid=870924
Comment:
    Storm water drainage</x18tc:text>
    <x18tc:extLst>
      <ext uri="{F7C98A9C-CBB3-438F-8F68-D28B6AF4A901}">
        <xltc2:checksum/>
        <xltc2:hyperlink startIndex="189" length="46" url="https://go.microsoft.com/fwlink/?linkid=870924"/>
      </ext>
    </x18tc:extLst>
  </x18tc:threadedComment>
  <x18tc:threadedComment ref="AA16" dT="2026-02-15T16:33:51.00" personId="{ba5e7a53-f0bf-49fc-bd37-4127a4c1c799}" id="{88260e84-5c84-45b6-93ce-9b331ed852ae}"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Z22" dT="2026-02-15T16:33:51.00" personId="{79416eb0-245f-49ad-ae4c-7c58c376ef54}" id="{ae35986e-8704-40d2-b48b-5512596f0e41}"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D16" dT="2026-02-15T16:33:51.00" personId="{6bfdec76-571d-4d8f-852a-82b5ae0f77d3}" id="{2d6deb4b-5606-42d7-9abd-c15328f8683b}"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C93" dT="2026-02-15T16:33:51.00" personId="{5f079114-355d-4166-b06d-cf43ab028e38}" id="{fd562298-55fd-4e1f-a95b-b5e7afe89fad}"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C55" dT="2026-02-15T16:33:51.00" personId="{24727e7e-0874-496c-976a-9d1357aaf876}" id="{fe2f2e25-f22f-412f-be9e-f675c01fc2e6}" done="0">
    <x18tc:text xml:space="preserve">[Threaded comment]
Your version of Excel allows you to read this threaded comment; however, any edits to it will get removed if the file is opened in a newer version of Excel. Learn more: https://go.microsoft.com/fwlink/?linkid=870924
Comment:
    Access to health services</x18tc:text>
    <x18tc:extLst>
      <ext uri="{F7C98A9C-CBB3-438F-8F68-D28B6AF4A901}">
        <xltc2:checksum/>
        <xltc2:hyperlink startIndex="189" length="46" url="https://go.microsoft.com/fwlink/?linkid=870924"/>
      </ext>
    </x18tc:extLst>
  </x18tc:threadedComment>
  <x18tc:threadedComment ref="C68" dT="2026-02-15T16:33:51.00" personId="{d3540e3c-96ba-4690-ae1e-62698051f72b}" id="{054d8d7b-d61b-4dfc-a34c-d542a1ca3cf7}" done="0">
    <x18tc:text xml:space="preserve">[Threaded comment]
Your version of Excel allows you to read this threaded comment; however, any edits to it will get removed if the file is opened in a newer version of Excel. Learn more: https://go.microsoft.com/fwlink/?linkid=870924
Comment:
    Roads and transport/mobility</x18tc:text>
    <x18tc:extLst>
      <ext uri="{F7C98A9C-CBB3-438F-8F68-D28B6AF4A901}">
        <xltc2:checksum/>
        <xltc2:hyperlink startIndex="189" length="46" url="https://go.microsoft.com/fwlink/?linkid=870924"/>
      </ext>
    </x18tc:extLst>
  </x18tc:threadedComment>
  <x18tc:threadedComment ref="S12" dT="2026-02-15T16:33:51.00" personId="{c56f0707-9586-4f7d-a295-ed3d8de44dcb}" id="{73063e88-36ff-4cc6-963c-93b4211ae261}"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C91" dT="2026-02-15T16:33:51.00" personId="{bd4a9302-a893-4710-9d0d-767a6fbe2193}" id="{83d767ca-07c2-4bdf-9f34-f8aadab13075}" done="0">
    <x18tc:text xml:space="preserve">[Threaded comment]
Your version of Excel allows you to read this threaded comment; however, any edits to it will get removed if the file is opened in a newer version of Excel. Learn more: https://go.microsoft.com/fwlink/?linkid=870924
Comment:
    Disaster preparedness</x18tc:text>
    <x18tc:extLst>
      <ext uri="{F7C98A9C-CBB3-438F-8F68-D28B6AF4A901}">
        <xltc2:checksum/>
        <xltc2:hyperlink startIndex="189" length="46" url="https://go.microsoft.com/fwlink/?linkid=870924"/>
      </ext>
    </x18tc:extLst>
  </x18tc:threadedComment>
  <x18tc:threadedComment ref="C51" dT="2026-02-15T16:33:51.00" personId="{7b584e5a-ae66-4223-94b4-2f3a0fa3aa89}" id="{1d8bb28c-9fe6-4783-944a-b6412782f658}" done="0">
    <x18tc:text xml:space="preserve">[Threaded comment]
Your version of Excel allows you to read this threaded comment; however, any edits to it will get removed if the file is opened in a newer version of Excel. Learn more: https://go.microsoft.com/fwlink/?linkid=870924
Comment:
    Water Borne / vector borne / heat born diseases</x18tc:text>
    <x18tc:extLst>
      <ext uri="{F7C98A9C-CBB3-438F-8F68-D28B6AF4A901}">
        <xltc2:checksum/>
        <xltc2:hyperlink startIndex="189" length="46" url="https://go.microsoft.com/fwlink/?linkid=870924"/>
      </ext>
    </x18tc:extLst>
  </x18tc:threadedComment>
  <x18tc:threadedComment ref="Z15" dT="2026-02-15T16:33:51.00" personId="{49ae3d4c-3a71-410c-9a9a-6318b42ea37b}" id="{439e43e6-c315-4aca-8007-36c72029aeec}" done="0">
    <x18tc:text xml:space="preserve">[Threaded comment]
Your version of Excel allows you to read this threaded comment; however, any edits to it will get removed if the file is opened in a newer version of Excel. Learn more: https://go.microsoft.com/fwlink/?linkid=870924
Comment:
    Ecosystem functionalyty / Riparian reserves</x18tc:text>
    <x18tc:extLst>
      <ext uri="{F7C98A9C-CBB3-438F-8F68-D28B6AF4A901}">
        <xltc2:checksum/>
        <xltc2:hyperlink startIndex="189" length="46" url="https://go.microsoft.com/fwlink/?linkid=870924"/>
      </ext>
    </x18tc:extLst>
  </x18tc:threadedComment>
  <x18tc:threadedComment ref="C54" dT="2026-02-15T16:33:51.00" personId="{3adeecef-ee91-46d2-b5b8-0cf4953c0840}" id="{5a844197-db1a-43b0-9236-f60262adc84f}" done="0">
    <x18tc:text xml:space="preserve">[Threaded comment]
Your version of Excel allows you to read this threaded comment; however, any edits to it will get removed if the file is opened in a newer version of Excel. Learn more: https://go.microsoft.com/fwlink/?linkid=870924
Comment:
    Liquid waste management</x18tc:text>
    <x18tc:extLst>
      <ext uri="{F7C98A9C-CBB3-438F-8F68-D28B6AF4A901}">
        <xltc2:checksum/>
        <xltc2:hyperlink startIndex="189" length="46" url="https://go.microsoft.com/fwlink/?linkid=870924"/>
      </ext>
    </x18tc:extLst>
  </x18tc:threadedComment>
  <x18tc:threadedComment ref="AA12" dT="2026-02-15T16:33:51.00" personId="{b9f805de-1ce1-4d8c-b20e-8b5db8bfc87d}" id="{56e9ff81-4fc4-4ccb-bc2e-e69b6edea0b9}"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AB16" dT="2026-02-15T16:33:51.00" personId="{585ea92f-529a-4598-8a6f-c704189edb62}" id="{e44960ed-b8ba-4b49-ad1e-2b43dcd369fd}" done="0">
    <x18tc:text xml:space="preserve">[Threaded comment]
Your version of Excel allows you to read this threaded comment; however, any edits to it will get removed if the file is opened in a newer version of Excel. Learn more: https://go.microsoft.com/fwlink/?linkid=870924
Comment:
    Public finance / Maintenance</x18tc:text>
    <x18tc:extLst>
      <ext uri="{F7C98A9C-CBB3-438F-8F68-D28B6AF4A901}">
        <xltc2:checksum/>
        <xltc2:hyperlink startIndex="189" length="46" url="https://go.microsoft.com/fwlink/?linkid=870924"/>
      </ext>
    </x18tc:extLst>
  </x18tc:threadedComment>
  <x18tc:threadedComment ref="C92" dT="2026-02-15T16:33:51.00" personId="{b3336d2e-bb66-42aa-b14f-6be4d649527b}" id="{8e2a6713-c616-4d95-8c5d-ccf8538ba709}" done="0">
    <x18tc:text xml:space="preserve">[Threaded comment]
Your version of Excel allows you to read this threaded comment; however, any edits to it will get removed if the file is opened in a newer version of Excel. Learn more: https://go.microsoft.com/fwlink/?linkid=870924
Comment:
    Disaster response</x18tc:text>
    <x18tc:extLst>
      <ext uri="{F7C98A9C-CBB3-438F-8F68-D28B6AF4A901}">
        <xltc2:checksum/>
        <xltc2:hyperlink startIndex="189" length="46" url="https://go.microsoft.com/fwlink/?linkid=870924"/>
      </ext>
    </x18tc:extLst>
  </x18tc:threadedComment>
  <x18tc:threadedComment ref="C56" dT="2026-02-15T16:33:51.00" personId="{ae89fa5a-812a-4b95-aedb-a24e79f86147}" id="{576250c6-0b50-4aef-8f87-6178a7115ed4}"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 ref="C86" dT="2026-02-15T16:33:51.00" personId="{610f9535-48d8-4b6e-985e-9ec3697135ad}" id="{c40936d2-3b01-4ca5-8b74-6ecbd556a738}" done="0">
    <x18tc:text xml:space="preserve">[Threaded comment]
Your version of Excel allows you to read this threaded comment; however, any edits to it will get removed if the file is opened in a newer version of Excel. Learn more: https://go.microsoft.com/fwlink/?linkid=870924
Comment:
    Early warning system or mechanism</x18tc:text>
    <x18tc:extLst>
      <ext uri="{F7C98A9C-CBB3-438F-8F68-D28B6AF4A901}">
        <xltc2:checksum/>
        <xltc2:hyperlink startIndex="189" length="46" url="https://go.microsoft.com/fwlink/?linkid=870924"/>
      </ext>
    </x18tc:extLst>
  </x18tc:threadedComment>
  <x18tc:threadedComment ref="AA27" dT="2026-02-15T16:33:51.00" personId="{e4c06995-b734-4551-9041-7b2a9d039647}" id="{6ac70a1d-13ff-4493-8c24-1b3dc7beb9db}" done="0">
    <x18tc:text xml:space="preserve">[Threaded comment]
Your version of Excel allows you to read this threaded comment; however, any edits to it will get removed if the file is opened in a newer version of Excel. Learn more: https://go.microsoft.com/fwlink/?linkid=870924
Comment:
    Public finance / recovery grants</x18tc:text>
    <x18tc:extLst>
      <ext uri="{F7C98A9C-CBB3-438F-8F68-D28B6AF4A901}">
        <xltc2:checksum/>
        <xltc2:hyperlink startIndex="189" length="46" url="https://go.microsoft.com/fwlink/?linkid=870924"/>
      </ext>
    </x18tc:extLst>
  </x18tc:threadedComment>
  <x18tc:threadedComment ref="C76" dT="2026-02-15T16:33:51.00" personId="{0267e2cc-c535-458d-9043-93812c0f8eeb}" id="{7676b475-e3fb-4678-9647-f56c689233bf}" done="0">
    <x18tc:text xml:space="preserve">[Threaded comment]
Your version of Excel allows you to read this threaded comment; however, any edits to it will get removed if the file is opened in a newer version of Excel. Learn more: https://go.microsoft.com/fwlink/?linkid=870924
Comment:
    Land cover and permeability</x18tc:text>
    <x18tc:extLst>
      <ext uri="{F7C98A9C-CBB3-438F-8F68-D28B6AF4A901}">
        <xltc2:checksum/>
        <xltc2:hyperlink startIndex="189" length="46" url="https://go.microsoft.com/fwlink/?linkid=870924"/>
      </ext>
    </x18tc:extLst>
  </x18tc:threadedComment>
  <x18tc:threadedComment ref="Z11" dT="2026-02-15T16:33:51.00" personId="{1c1b30ed-876b-4e0e-8a20-0ff5a006b0ce}" id="{5dc4ef03-b3d1-40fe-9811-fb832a1450b0}" done="0">
    <x18tc:text xml:space="preserve">[Threaded comment]
Your version of Excel allows you to read this threaded comment; however, any edits to it will get removed if the file is opened in a newer version of Excel. Learn more: https://go.microsoft.com/fwlink/?linkid=870924
Comment:
    Water for irrigation/and other domestic uses</x18tc:text>
    <x18tc:extLst>
      <ext uri="{F7C98A9C-CBB3-438F-8F68-D28B6AF4A901}">
        <xltc2:checksum/>
        <xltc2:hyperlink startIndex="189" length="46" url="https://go.microsoft.com/fwlink/?linkid=870924"/>
      </ext>
    </x18tc:extLst>
  </x18tc:threadedComment>
  <x18tc:threadedComment ref="AA23" dT="2026-02-15T16:33:51.00" personId="{10a10fa9-b9bf-4295-9bd6-e01223f0dac5}" id="{e3bfd2f8-f990-4785-bcc9-1ced4ddb01bc}" done="0">
    <x18tc:text xml:space="preserve">[Threaded comment]
Your version of Excel allows you to read this threaded comment; however, any edits to it will get removed if the file is opened in a newer version of Excel. Learn more: https://go.microsoft.com/fwlink/?linkid=870924
Comment:
    Access to healthy environment</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ri.org/resources/maps/aqueduct-water-risk-atla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8.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57"/>
    <col customWidth="1" min="2" max="2" width="5.14"/>
    <col customWidth="1" min="3" max="6" width="9.14"/>
    <col customWidth="1" min="7" max="7" width="6.57"/>
    <col customWidth="1" min="8" max="26" width="9.14"/>
    <col customWidth="1" min="27" max="27" width="6.43"/>
    <col customWidth="1" min="28" max="28"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ht="30.0" customHeight="1">
      <c r="A2" s="1"/>
      <c r="B2" s="1"/>
      <c r="C2" s="2" t="s">
        <v>0</v>
      </c>
      <c r="D2" s="3"/>
      <c r="E2" s="3"/>
      <c r="F2" s="3"/>
      <c r="G2" s="3"/>
      <c r="H2" s="3"/>
      <c r="I2" s="3"/>
      <c r="J2" s="3"/>
      <c r="K2" s="3"/>
      <c r="L2" s="3"/>
      <c r="M2" s="3"/>
      <c r="N2" s="3"/>
      <c r="O2" s="3"/>
      <c r="P2" s="3"/>
      <c r="Q2" s="3"/>
      <c r="R2" s="3"/>
      <c r="S2" s="3"/>
      <c r="T2" s="3"/>
      <c r="U2" s="3"/>
      <c r="V2" s="3"/>
      <c r="W2" s="3"/>
      <c r="X2" s="3"/>
      <c r="Y2" s="3"/>
      <c r="Z2" s="3"/>
      <c r="AA2" s="4"/>
      <c r="AB2" s="1"/>
    </row>
    <row r="3" ht="6.75" customHeight="1">
      <c r="A3" s="5"/>
      <c r="B3" s="6"/>
      <c r="C3" s="6"/>
      <c r="D3" s="6"/>
      <c r="E3" s="6"/>
      <c r="F3" s="6"/>
      <c r="G3" s="6"/>
      <c r="H3" s="6"/>
      <c r="I3" s="6"/>
      <c r="J3" s="6"/>
      <c r="K3" s="6"/>
      <c r="L3" s="6"/>
      <c r="M3" s="6"/>
      <c r="N3" s="6"/>
      <c r="O3" s="6"/>
      <c r="P3" s="6"/>
      <c r="Q3" s="6"/>
      <c r="R3" s="6"/>
      <c r="S3" s="6"/>
      <c r="T3" s="6"/>
      <c r="U3" s="6"/>
      <c r="V3" s="6"/>
      <c r="W3" s="6"/>
      <c r="X3" s="6"/>
      <c r="Y3" s="6"/>
      <c r="Z3" s="1"/>
      <c r="AA3" s="1"/>
      <c r="AB3" s="1"/>
    </row>
    <row r="4" ht="24.0" customHeight="1">
      <c r="A4" s="5"/>
      <c r="B4" s="1"/>
      <c r="C4" s="7" t="s">
        <v>1</v>
      </c>
      <c r="D4" s="3"/>
      <c r="E4" s="3"/>
      <c r="F4" s="3"/>
      <c r="G4" s="3"/>
      <c r="H4" s="3"/>
      <c r="I4" s="3"/>
      <c r="J4" s="3"/>
      <c r="K4" s="3"/>
      <c r="L4" s="3"/>
      <c r="M4" s="3"/>
      <c r="N4" s="3"/>
      <c r="O4" s="3"/>
      <c r="P4" s="3"/>
      <c r="Q4" s="3"/>
      <c r="R4" s="3"/>
      <c r="S4" s="3"/>
      <c r="T4" s="3"/>
      <c r="U4" s="3"/>
      <c r="V4" s="3"/>
      <c r="W4" s="3"/>
      <c r="X4" s="3"/>
      <c r="Y4" s="3"/>
      <c r="Z4" s="3"/>
      <c r="AA4" s="4"/>
      <c r="AB4" s="1"/>
    </row>
    <row r="5" ht="15.75" customHeight="1">
      <c r="A5" s="5"/>
      <c r="B5" s="8"/>
      <c r="C5" s="8"/>
      <c r="D5" s="8"/>
      <c r="E5" s="8"/>
      <c r="F5" s="8"/>
      <c r="G5" s="8"/>
      <c r="H5" s="8"/>
      <c r="I5" s="8"/>
      <c r="J5" s="8"/>
      <c r="K5" s="8"/>
      <c r="L5" s="8"/>
      <c r="M5" s="8"/>
      <c r="N5" s="8"/>
      <c r="O5" s="8"/>
      <c r="P5" s="8"/>
      <c r="Q5" s="8"/>
      <c r="R5" s="8"/>
      <c r="S5" s="8"/>
      <c r="T5" s="8"/>
      <c r="U5" s="8"/>
      <c r="V5" s="8"/>
      <c r="W5" s="8"/>
      <c r="X5" s="8"/>
      <c r="Y5" s="8"/>
      <c r="Z5" s="8"/>
      <c r="AA5" s="8"/>
      <c r="AB5" s="8"/>
    </row>
    <row r="6" ht="7.5" customHeight="1">
      <c r="A6" s="9"/>
      <c r="B6" s="10"/>
      <c r="C6" s="11"/>
      <c r="D6" s="11"/>
      <c r="E6" s="11"/>
      <c r="F6" s="11"/>
      <c r="G6" s="11"/>
      <c r="H6" s="11"/>
      <c r="I6" s="11"/>
      <c r="J6" s="11"/>
      <c r="K6" s="11"/>
      <c r="L6" s="11"/>
      <c r="M6" s="11"/>
      <c r="N6" s="12"/>
      <c r="O6" s="10"/>
      <c r="P6" s="11"/>
      <c r="Q6" s="11"/>
      <c r="R6" s="11"/>
      <c r="S6" s="11"/>
      <c r="T6" s="11"/>
      <c r="U6" s="11"/>
      <c r="V6" s="11"/>
      <c r="W6" s="11"/>
      <c r="X6" s="11"/>
      <c r="Y6" s="11"/>
      <c r="Z6" s="11"/>
      <c r="AA6" s="12"/>
      <c r="AB6" s="13"/>
    </row>
    <row r="7" ht="21.0" customHeight="1">
      <c r="A7" s="9"/>
      <c r="B7" s="14"/>
      <c r="C7" s="15"/>
      <c r="D7" s="16" t="s">
        <v>2</v>
      </c>
      <c r="E7" s="17" t="s">
        <v>3</v>
      </c>
      <c r="F7" s="3"/>
      <c r="G7" s="3"/>
      <c r="H7" s="3"/>
      <c r="I7" s="3"/>
      <c r="J7" s="3"/>
      <c r="K7" s="3"/>
      <c r="L7" s="3"/>
      <c r="M7" s="3"/>
      <c r="N7" s="18"/>
      <c r="O7" s="19"/>
      <c r="P7" s="13"/>
      <c r="Q7" s="16" t="s">
        <v>4</v>
      </c>
      <c r="R7" s="17" t="s">
        <v>3</v>
      </c>
      <c r="S7" s="3"/>
      <c r="T7" s="3"/>
      <c r="U7" s="3"/>
      <c r="V7" s="3"/>
      <c r="W7" s="3"/>
      <c r="X7" s="3"/>
      <c r="Y7" s="3"/>
      <c r="Z7" s="3"/>
      <c r="AA7" s="18"/>
      <c r="AB7" s="13"/>
    </row>
    <row r="8" ht="21.0" customHeight="1">
      <c r="A8" s="9"/>
      <c r="B8" s="14"/>
      <c r="C8" s="15"/>
      <c r="D8" s="16" t="s">
        <v>5</v>
      </c>
      <c r="E8" s="17" t="s">
        <v>3</v>
      </c>
      <c r="F8" s="3"/>
      <c r="G8" s="3"/>
      <c r="H8" s="3"/>
      <c r="I8" s="3"/>
      <c r="J8" s="3"/>
      <c r="K8" s="3"/>
      <c r="L8" s="3"/>
      <c r="M8" s="3"/>
      <c r="N8" s="18"/>
      <c r="O8" s="19"/>
      <c r="P8" s="13"/>
      <c r="Q8" s="16" t="s">
        <v>6</v>
      </c>
      <c r="R8" s="17"/>
      <c r="S8" s="3"/>
      <c r="T8" s="3"/>
      <c r="U8" s="3"/>
      <c r="V8" s="3"/>
      <c r="W8" s="3"/>
      <c r="X8" s="3"/>
      <c r="Y8" s="3"/>
      <c r="Z8" s="3"/>
      <c r="AA8" s="18"/>
      <c r="AB8" s="13"/>
    </row>
    <row r="9" ht="21.0" customHeight="1">
      <c r="A9" s="9"/>
      <c r="B9" s="14"/>
      <c r="C9" s="15"/>
      <c r="D9" s="16" t="s">
        <v>7</v>
      </c>
      <c r="E9" s="17" t="s">
        <v>3</v>
      </c>
      <c r="F9" s="3"/>
      <c r="G9" s="3"/>
      <c r="H9" s="3"/>
      <c r="I9" s="3"/>
      <c r="J9" s="3"/>
      <c r="K9" s="3"/>
      <c r="L9" s="3"/>
      <c r="M9" s="3"/>
      <c r="N9" s="18"/>
      <c r="O9" s="19"/>
      <c r="P9" s="13"/>
      <c r="Q9" s="16" t="s">
        <v>8</v>
      </c>
      <c r="R9" s="17" t="s">
        <v>3</v>
      </c>
      <c r="S9" s="3"/>
      <c r="T9" s="3"/>
      <c r="U9" s="3"/>
      <c r="V9" s="3"/>
      <c r="W9" s="3"/>
      <c r="X9" s="3"/>
      <c r="Y9" s="3"/>
      <c r="Z9" s="3"/>
      <c r="AA9" s="18"/>
      <c r="AB9" s="13"/>
    </row>
    <row r="10" ht="7.5" customHeight="1">
      <c r="A10" s="9"/>
      <c r="B10" s="20"/>
      <c r="C10" s="21"/>
      <c r="D10" s="22"/>
      <c r="E10" s="22"/>
      <c r="F10" s="22"/>
      <c r="G10" s="22"/>
      <c r="H10" s="22"/>
      <c r="I10" s="22"/>
      <c r="J10" s="22"/>
      <c r="K10" s="22"/>
      <c r="L10" s="22"/>
      <c r="M10" s="22"/>
      <c r="N10" s="23"/>
      <c r="O10" s="20"/>
      <c r="P10" s="22"/>
      <c r="Q10" s="22"/>
      <c r="R10" s="22"/>
      <c r="S10" s="22"/>
      <c r="T10" s="22"/>
      <c r="U10" s="22"/>
      <c r="V10" s="22"/>
      <c r="W10" s="22"/>
      <c r="X10" s="22"/>
      <c r="Y10" s="22"/>
      <c r="Z10" s="22"/>
      <c r="AA10" s="23"/>
      <c r="AB10" s="13"/>
    </row>
    <row r="11" ht="12.0"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row>
    <row r="12" ht="9.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ht="13.5" customHeight="1">
      <c r="A34" s="1"/>
      <c r="B34" s="1"/>
      <c r="C34" s="1"/>
      <c r="D34" s="1"/>
      <c r="E34" s="1"/>
      <c r="F34" s="1"/>
      <c r="G34" s="1"/>
      <c r="H34" s="25" t="s">
        <v>9</v>
      </c>
      <c r="I34" s="26"/>
      <c r="J34" s="26"/>
      <c r="K34" s="26"/>
      <c r="L34" s="26"/>
      <c r="M34" s="26"/>
      <c r="N34" s="26"/>
      <c r="O34" s="26"/>
      <c r="P34" s="26"/>
      <c r="Q34" s="26"/>
      <c r="R34" s="26"/>
      <c r="S34" s="26"/>
      <c r="T34" s="26"/>
      <c r="U34" s="26"/>
      <c r="V34" s="26"/>
      <c r="W34" s="26"/>
      <c r="X34" s="26"/>
      <c r="Y34" s="26"/>
      <c r="Z34" s="26"/>
      <c r="AA34" s="27"/>
      <c r="AB34" s="1"/>
    </row>
    <row r="35" ht="14.25" customHeight="1">
      <c r="A35" s="1"/>
      <c r="B35" s="1"/>
      <c r="C35" s="1"/>
      <c r="D35" s="1"/>
      <c r="E35" s="1"/>
      <c r="F35" s="1"/>
      <c r="G35" s="1"/>
      <c r="H35" s="28"/>
      <c r="AA35" s="29"/>
      <c r="AB35" s="1"/>
    </row>
    <row r="36" ht="15.75" customHeight="1">
      <c r="A36" s="1"/>
      <c r="B36" s="1"/>
      <c r="C36" s="1"/>
      <c r="D36" s="1"/>
      <c r="E36" s="1"/>
      <c r="F36" s="1"/>
      <c r="G36" s="1"/>
      <c r="H36" s="28"/>
      <c r="AA36" s="29"/>
      <c r="AB36" s="1"/>
    </row>
    <row r="37" ht="15.75" customHeight="1">
      <c r="A37" s="1"/>
      <c r="B37" s="1"/>
      <c r="C37" s="1"/>
      <c r="D37" s="1"/>
      <c r="E37" s="1"/>
      <c r="F37" s="1"/>
      <c r="G37" s="1"/>
      <c r="H37" s="28"/>
      <c r="AA37" s="29"/>
      <c r="AB37" s="1"/>
    </row>
    <row r="38" ht="15.75" customHeight="1">
      <c r="A38" s="1"/>
      <c r="B38" s="1"/>
      <c r="C38" s="1"/>
      <c r="D38" s="1"/>
      <c r="E38" s="1"/>
      <c r="F38" s="1"/>
      <c r="G38" s="1"/>
      <c r="H38" s="30"/>
      <c r="I38" s="31"/>
      <c r="J38" s="31"/>
      <c r="K38" s="31"/>
      <c r="L38" s="31"/>
      <c r="M38" s="31"/>
      <c r="N38" s="31"/>
      <c r="O38" s="31"/>
      <c r="P38" s="31"/>
      <c r="Q38" s="31"/>
      <c r="R38" s="31"/>
      <c r="S38" s="31"/>
      <c r="T38" s="31"/>
      <c r="U38" s="31"/>
      <c r="V38" s="31"/>
      <c r="W38" s="31"/>
      <c r="X38" s="31"/>
      <c r="Y38" s="31"/>
      <c r="Z38" s="31"/>
      <c r="AA38" s="32"/>
      <c r="AB38" s="1"/>
    </row>
    <row r="39" ht="15.75" customHeight="1">
      <c r="A39" s="1"/>
      <c r="B39" s="1"/>
      <c r="C39" s="1"/>
      <c r="D39" s="1"/>
      <c r="E39" s="1"/>
      <c r="F39" s="1"/>
      <c r="G39" s="33"/>
      <c r="H39" s="26"/>
      <c r="I39" s="26"/>
      <c r="J39" s="26"/>
      <c r="K39" s="26"/>
      <c r="L39" s="26"/>
      <c r="M39" s="26"/>
      <c r="N39" s="26"/>
      <c r="O39" s="26"/>
      <c r="P39" s="26"/>
      <c r="Q39" s="26"/>
      <c r="R39" s="26"/>
      <c r="S39" s="26"/>
      <c r="T39" s="26"/>
      <c r="U39" s="27"/>
      <c r="V39" s="34"/>
      <c r="W39" s="34"/>
      <c r="X39" s="34"/>
      <c r="Y39" s="34"/>
      <c r="Z39" s="34"/>
      <c r="AA39" s="34"/>
      <c r="AB39" s="1"/>
    </row>
    <row r="40" ht="15.75" customHeight="1">
      <c r="A40" s="1"/>
      <c r="B40" s="1"/>
      <c r="C40" s="1"/>
      <c r="D40" s="1"/>
      <c r="E40" s="1"/>
      <c r="F40" s="1"/>
      <c r="G40" s="28"/>
      <c r="U40" s="29"/>
      <c r="V40" s="34"/>
      <c r="W40" s="34"/>
      <c r="X40" s="34"/>
      <c r="Y40" s="34"/>
      <c r="Z40" s="34"/>
      <c r="AA40" s="34"/>
      <c r="AB40" s="1"/>
    </row>
    <row r="41" ht="15.75" customHeight="1">
      <c r="A41" s="1"/>
      <c r="B41" s="1"/>
      <c r="C41" s="1"/>
      <c r="D41" s="1"/>
      <c r="E41" s="1"/>
      <c r="F41" s="1"/>
      <c r="G41" s="28"/>
      <c r="U41" s="29"/>
      <c r="V41" s="34"/>
      <c r="W41" s="34"/>
      <c r="X41" s="34"/>
      <c r="Y41" s="34"/>
      <c r="Z41" s="34"/>
      <c r="AA41" s="34"/>
      <c r="AB41" s="1"/>
    </row>
    <row r="42" ht="15.75" customHeight="1">
      <c r="A42" s="1"/>
      <c r="B42" s="1"/>
      <c r="C42" s="1"/>
      <c r="D42" s="1"/>
      <c r="E42" s="1"/>
      <c r="F42" s="1"/>
      <c r="G42" s="28"/>
      <c r="U42" s="29"/>
      <c r="V42" s="34"/>
      <c r="W42" s="34"/>
      <c r="X42" s="34"/>
      <c r="Y42" s="34"/>
      <c r="Z42" s="34"/>
      <c r="AA42" s="34"/>
      <c r="AB42" s="1"/>
    </row>
    <row r="43" ht="15.75" customHeight="1">
      <c r="A43" s="1"/>
      <c r="B43" s="1"/>
      <c r="C43" s="1"/>
      <c r="D43" s="1"/>
      <c r="E43" s="1"/>
      <c r="F43" s="1"/>
      <c r="G43" s="28"/>
      <c r="U43" s="29"/>
      <c r="V43" s="34"/>
      <c r="W43" s="34"/>
      <c r="X43" s="34"/>
      <c r="Y43" s="34"/>
      <c r="Z43" s="34"/>
      <c r="AA43" s="34"/>
      <c r="AB43" s="1"/>
    </row>
    <row r="44" ht="15.75" customHeight="1">
      <c r="A44" s="1"/>
      <c r="B44" s="1"/>
      <c r="C44" s="1"/>
      <c r="D44" s="1"/>
      <c r="E44" s="1"/>
      <c r="F44" s="1"/>
      <c r="G44" s="28"/>
      <c r="U44" s="29"/>
      <c r="V44" s="34"/>
      <c r="W44" s="34"/>
      <c r="X44" s="34"/>
      <c r="Y44" s="34"/>
      <c r="Z44" s="34"/>
      <c r="AA44" s="34"/>
      <c r="AB44" s="1"/>
    </row>
    <row r="45" ht="15.75" customHeight="1">
      <c r="A45" s="1"/>
      <c r="B45" s="1"/>
      <c r="C45" s="1"/>
      <c r="D45" s="1"/>
      <c r="E45" s="1"/>
      <c r="F45" s="1"/>
      <c r="G45" s="28"/>
      <c r="U45" s="29"/>
      <c r="V45" s="34"/>
      <c r="W45" s="34"/>
      <c r="X45" s="34"/>
      <c r="Y45" s="34"/>
      <c r="Z45" s="34"/>
      <c r="AA45" s="34"/>
      <c r="AB45" s="1"/>
    </row>
    <row r="46" ht="15.75" customHeight="1">
      <c r="A46" s="1"/>
      <c r="B46" s="1"/>
      <c r="C46" s="1"/>
      <c r="D46" s="1"/>
      <c r="E46" s="1"/>
      <c r="F46" s="1"/>
      <c r="G46" s="28"/>
      <c r="U46" s="29"/>
      <c r="V46" s="34"/>
      <c r="W46" s="34"/>
      <c r="X46" s="34"/>
      <c r="Y46" s="34"/>
      <c r="Z46" s="34"/>
      <c r="AA46" s="34"/>
      <c r="AB46" s="1"/>
    </row>
    <row r="47" ht="15.75" customHeight="1">
      <c r="A47" s="1"/>
      <c r="B47" s="1"/>
      <c r="C47" s="1"/>
      <c r="D47" s="1"/>
      <c r="E47" s="1"/>
      <c r="F47" s="1"/>
      <c r="G47" s="28"/>
      <c r="U47" s="29"/>
      <c r="V47" s="34"/>
      <c r="W47" s="34"/>
      <c r="X47" s="34"/>
      <c r="Y47" s="34"/>
      <c r="Z47" s="34"/>
      <c r="AA47" s="34"/>
      <c r="AB47" s="1"/>
    </row>
    <row r="48" ht="15.75" customHeight="1">
      <c r="A48" s="1"/>
      <c r="B48" s="1"/>
      <c r="C48" s="1"/>
      <c r="D48" s="1"/>
      <c r="E48" s="1"/>
      <c r="F48" s="1"/>
      <c r="G48" s="28"/>
      <c r="U48" s="29"/>
      <c r="V48" s="34"/>
      <c r="W48" s="34"/>
      <c r="X48" s="34"/>
      <c r="Y48" s="34"/>
      <c r="Z48" s="34"/>
      <c r="AA48" s="34"/>
      <c r="AB48" s="1"/>
    </row>
    <row r="49" ht="15.75" customHeight="1">
      <c r="A49" s="1"/>
      <c r="B49" s="1"/>
      <c r="C49" s="1"/>
      <c r="D49" s="1"/>
      <c r="E49" s="1"/>
      <c r="F49" s="1"/>
      <c r="G49" s="28"/>
      <c r="U49" s="29"/>
      <c r="V49" s="34"/>
      <c r="W49" s="34"/>
      <c r="X49" s="34"/>
      <c r="Y49" s="34"/>
      <c r="Z49" s="34"/>
      <c r="AA49" s="34"/>
      <c r="AB49" s="1"/>
    </row>
    <row r="50" ht="15.75" customHeight="1">
      <c r="A50" s="1"/>
      <c r="B50" s="1"/>
      <c r="C50" s="1"/>
      <c r="D50" s="1"/>
      <c r="E50" s="1"/>
      <c r="F50" s="1"/>
      <c r="G50" s="28"/>
      <c r="U50" s="29"/>
      <c r="V50" s="34"/>
      <c r="W50" s="34"/>
      <c r="X50" s="34"/>
      <c r="Y50" s="34"/>
      <c r="Z50" s="34"/>
      <c r="AA50" s="34"/>
      <c r="AB50" s="1"/>
    </row>
    <row r="51" ht="15.75" customHeight="1">
      <c r="A51" s="1"/>
      <c r="B51" s="1"/>
      <c r="C51" s="1"/>
      <c r="D51" s="1"/>
      <c r="E51" s="1"/>
      <c r="F51" s="1"/>
      <c r="G51" s="28"/>
      <c r="U51" s="29"/>
      <c r="V51" s="34"/>
      <c r="W51" s="34"/>
      <c r="X51" s="34"/>
      <c r="Y51" s="34"/>
      <c r="Z51" s="34"/>
      <c r="AA51" s="34"/>
      <c r="AB51" s="1"/>
    </row>
    <row r="52" ht="15.75" customHeight="1">
      <c r="A52" s="1"/>
      <c r="B52" s="1"/>
      <c r="C52" s="1"/>
      <c r="D52" s="1"/>
      <c r="E52" s="1"/>
      <c r="F52" s="1"/>
      <c r="G52" s="28"/>
      <c r="U52" s="29"/>
      <c r="V52" s="34"/>
      <c r="W52" s="34"/>
      <c r="X52" s="34"/>
      <c r="Y52" s="34"/>
      <c r="Z52" s="34"/>
      <c r="AA52" s="34"/>
      <c r="AB52" s="1"/>
    </row>
    <row r="53" ht="15.75" customHeight="1">
      <c r="A53" s="5"/>
      <c r="B53" s="8"/>
      <c r="C53" s="8"/>
      <c r="D53" s="8"/>
      <c r="E53" s="8"/>
      <c r="F53" s="8"/>
      <c r="G53" s="30"/>
      <c r="H53" s="31"/>
      <c r="I53" s="31"/>
      <c r="J53" s="31"/>
      <c r="K53" s="31"/>
      <c r="L53" s="31"/>
      <c r="M53" s="31"/>
      <c r="N53" s="31"/>
      <c r="O53" s="31"/>
      <c r="P53" s="31"/>
      <c r="Q53" s="31"/>
      <c r="R53" s="31"/>
      <c r="S53" s="31"/>
      <c r="T53" s="31"/>
      <c r="U53" s="32"/>
      <c r="V53" s="8"/>
      <c r="W53" s="8"/>
      <c r="X53" s="8"/>
      <c r="Y53" s="8"/>
      <c r="Z53" s="8"/>
      <c r="AA53" s="8"/>
      <c r="AB53" s="8"/>
    </row>
    <row r="54" ht="14.25" customHeight="1">
      <c r="A54" s="1"/>
      <c r="B54" s="1"/>
      <c r="C54" s="1"/>
      <c r="D54" s="35"/>
      <c r="E54" s="1"/>
      <c r="F54" s="1"/>
      <c r="G54" s="1"/>
      <c r="H54" s="34"/>
      <c r="I54" s="34"/>
      <c r="J54" s="34"/>
      <c r="K54" s="34"/>
      <c r="L54" s="34"/>
      <c r="M54" s="34"/>
      <c r="N54" s="34"/>
      <c r="O54" s="34"/>
      <c r="P54" s="34"/>
      <c r="Q54" s="34"/>
      <c r="R54" s="34"/>
      <c r="S54" s="34"/>
      <c r="T54" s="34"/>
      <c r="U54" s="34"/>
      <c r="V54" s="1"/>
      <c r="W54" s="1"/>
      <c r="X54" s="1"/>
      <c r="Y54" s="1"/>
      <c r="Z54" s="1"/>
      <c r="AA54" s="1"/>
      <c r="AB54" s="1"/>
    </row>
    <row r="55" ht="14.25" customHeight="1">
      <c r="A55" s="1"/>
      <c r="B55" s="1"/>
      <c r="C55" s="1"/>
      <c r="D55" s="1"/>
      <c r="E55" s="1"/>
      <c r="F55" s="1"/>
      <c r="G55" s="8"/>
      <c r="H55" s="8"/>
      <c r="I55" s="8"/>
      <c r="J55" s="8"/>
      <c r="K55" s="8"/>
      <c r="L55" s="8"/>
      <c r="M55" s="8"/>
      <c r="N55" s="8"/>
      <c r="O55" s="8"/>
      <c r="P55" s="8"/>
      <c r="Q55" s="8"/>
      <c r="R55" s="8"/>
      <c r="S55" s="8"/>
      <c r="T55" s="8"/>
      <c r="U55" s="8"/>
      <c r="V55" s="1"/>
      <c r="W55" s="1"/>
      <c r="X55" s="1"/>
      <c r="Y55" s="1"/>
      <c r="Z55" s="1"/>
      <c r="AA55" s="1"/>
      <c r="AB55" s="1"/>
    </row>
    <row r="56" ht="19.5" customHeight="1">
      <c r="A56" s="5"/>
      <c r="B56" s="8"/>
      <c r="C56" s="8"/>
      <c r="D56" s="8"/>
      <c r="E56" s="8"/>
      <c r="F56" s="8"/>
      <c r="G56" s="1"/>
      <c r="H56" s="1"/>
      <c r="I56" s="1"/>
      <c r="J56" s="1"/>
      <c r="K56" s="1"/>
      <c r="L56" s="1"/>
      <c r="M56" s="1"/>
      <c r="N56" s="1"/>
      <c r="O56" s="1"/>
      <c r="P56" s="1"/>
      <c r="Q56" s="1"/>
      <c r="R56" s="1"/>
      <c r="S56" s="1"/>
      <c r="T56" s="1"/>
      <c r="U56" s="1"/>
      <c r="V56" s="8"/>
      <c r="W56" s="8"/>
      <c r="X56" s="8"/>
      <c r="Y56" s="8"/>
      <c r="Z56" s="8"/>
      <c r="AA56" s="8"/>
      <c r="AB56" s="8"/>
    </row>
    <row r="57" ht="14.25" customHeight="1">
      <c r="A57" s="5"/>
      <c r="B57" s="8"/>
      <c r="C57" s="8"/>
      <c r="D57" s="8"/>
      <c r="E57" s="8"/>
      <c r="F57" s="8"/>
      <c r="G57" s="1"/>
      <c r="H57" s="1"/>
      <c r="I57" s="1"/>
      <c r="J57" s="1"/>
      <c r="K57" s="1"/>
      <c r="L57" s="1"/>
      <c r="M57" s="1"/>
      <c r="N57" s="1"/>
      <c r="O57" s="1"/>
      <c r="P57" s="1"/>
      <c r="Q57" s="1"/>
      <c r="R57" s="1"/>
      <c r="S57" s="1"/>
      <c r="T57" s="1"/>
      <c r="U57" s="1"/>
      <c r="V57" s="8"/>
      <c r="W57" s="8"/>
      <c r="X57" s="8"/>
      <c r="Y57" s="8"/>
      <c r="Z57" s="8"/>
      <c r="AA57" s="8"/>
      <c r="AB57" s="8"/>
    </row>
    <row r="58" ht="14.25" hidden="1" customHeight="1">
      <c r="A58" s="1"/>
      <c r="B58" s="1"/>
      <c r="C58" s="1"/>
      <c r="D58" s="1"/>
      <c r="E58" s="1"/>
      <c r="F58" s="1"/>
      <c r="G58" s="8"/>
      <c r="H58" s="8"/>
      <c r="I58" s="8"/>
      <c r="J58" s="8"/>
      <c r="K58" s="8"/>
      <c r="L58" s="8"/>
      <c r="M58" s="8"/>
      <c r="N58" s="8"/>
      <c r="O58" s="8"/>
      <c r="P58" s="8"/>
      <c r="Q58" s="8"/>
      <c r="R58" s="8"/>
      <c r="S58" s="8"/>
      <c r="T58" s="8"/>
      <c r="U58" s="8"/>
      <c r="V58" s="1"/>
      <c r="W58" s="1"/>
      <c r="X58" s="1"/>
      <c r="Y58" s="1"/>
      <c r="Z58" s="1"/>
      <c r="AA58" s="1"/>
      <c r="AB58" s="1"/>
    </row>
    <row r="59" ht="14.25" hidden="1" customHeight="1">
      <c r="A59" s="1"/>
      <c r="B59" s="1"/>
      <c r="C59" s="1"/>
      <c r="D59" s="1"/>
      <c r="E59" s="1"/>
      <c r="F59" s="1"/>
      <c r="G59" s="8"/>
      <c r="H59" s="8"/>
      <c r="I59" s="8"/>
      <c r="J59" s="8"/>
      <c r="K59" s="8"/>
      <c r="L59" s="8"/>
      <c r="M59" s="8"/>
      <c r="N59" s="8"/>
      <c r="O59" s="8"/>
      <c r="P59" s="8"/>
      <c r="Q59" s="8"/>
      <c r="R59" s="8"/>
      <c r="S59" s="8"/>
      <c r="T59" s="8"/>
      <c r="U59" s="8"/>
      <c r="V59" s="1"/>
      <c r="W59" s="1"/>
      <c r="X59" s="1"/>
      <c r="Y59" s="1"/>
      <c r="Z59" s="1"/>
      <c r="AA59" s="1"/>
      <c r="AB59" s="1"/>
    </row>
    <row r="60" ht="14.25" hidden="1"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4.25" hidden="1"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4.25" hidden="1"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4.25" hidden="1"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4.25" hidden="1"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4.25" hidden="1"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4.25" hidden="1"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4.25" hidden="1"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4.25" hidden="1"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4.2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4.25" hidden="1"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4.25" hidden="1"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4.25" hidden="1"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4.2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4.2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4.25" hidden="1"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4.25" hidden="1"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4.25" hidden="1"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4.2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4.2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4.25" hidden="1"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4.25" hidden="1"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4.25" hidden="1"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4.2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4.2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4.25" hidden="1"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4.25" hidden="1"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4.25" hidden="1"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4.2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4.2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4.25" hidden="1"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4.25" hidden="1"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4.25" hidden="1"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4.2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4.2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4.25" hidden="1"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4.2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4.2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4.2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4.2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4.2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4.2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4.2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4.2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4.2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4.2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4.2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4.2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4.2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4.2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4.2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4.2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4.2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4.2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4.2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4.2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4.2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4.2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4.2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4.2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4.2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4.2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4.2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4.2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4.2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4.2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4.2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4.25" hidden="1" customHeight="1">
      <c r="A127" s="36"/>
      <c r="B127" s="36"/>
      <c r="C127" s="36"/>
      <c r="D127" s="36"/>
      <c r="E127" s="36"/>
      <c r="F127" s="36"/>
      <c r="G127" s="1"/>
      <c r="H127" s="1"/>
      <c r="I127" s="1"/>
      <c r="J127" s="1"/>
      <c r="K127" s="1"/>
      <c r="L127" s="1"/>
      <c r="M127" s="1"/>
      <c r="N127" s="1"/>
      <c r="O127" s="1"/>
      <c r="P127" s="1"/>
      <c r="Q127" s="1"/>
      <c r="R127" s="1"/>
      <c r="S127" s="1"/>
      <c r="T127" s="1"/>
      <c r="U127" s="1"/>
      <c r="V127" s="36"/>
      <c r="W127" s="36"/>
      <c r="X127" s="36"/>
      <c r="Y127" s="36"/>
      <c r="Z127" s="36"/>
      <c r="AA127" s="36"/>
      <c r="AB127" s="36"/>
    </row>
    <row r="128" ht="14.25" hidden="1" customHeight="1">
      <c r="A128" s="36"/>
      <c r="B128" s="36"/>
      <c r="C128" s="36"/>
      <c r="D128" s="36"/>
      <c r="E128" s="36"/>
      <c r="F128" s="36"/>
      <c r="G128" s="1"/>
      <c r="H128" s="1"/>
      <c r="I128" s="1"/>
      <c r="J128" s="1"/>
      <c r="K128" s="1"/>
      <c r="L128" s="1"/>
      <c r="M128" s="1"/>
      <c r="N128" s="1"/>
      <c r="O128" s="1"/>
      <c r="P128" s="1"/>
      <c r="Q128" s="1"/>
      <c r="R128" s="1"/>
      <c r="S128" s="1"/>
      <c r="T128" s="1"/>
      <c r="U128" s="1"/>
      <c r="V128" s="36"/>
      <c r="W128" s="36"/>
      <c r="X128" s="36"/>
      <c r="Y128" s="36"/>
      <c r="Z128" s="36"/>
      <c r="AA128" s="36"/>
      <c r="AB128" s="36"/>
    </row>
    <row r="129"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row>
    <row r="130"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row>
    <row r="131"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row>
    <row r="132"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row>
    <row r="133"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row>
    <row r="134"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row>
    <row r="135"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row>
    <row r="13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row>
    <row r="137"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row>
    <row r="138"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row>
    <row r="139"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row>
    <row r="140"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row>
    <row r="141"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row>
    <row r="142"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row>
    <row r="143"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row>
    <row r="144"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row>
    <row r="145"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row>
    <row r="14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row>
    <row r="147"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row>
    <row r="148"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row>
    <row r="149"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row>
    <row r="150"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row>
    <row r="151"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row>
    <row r="152"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row>
    <row r="153"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row>
    <row r="154"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row>
    <row r="155"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row>
    <row r="15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row>
    <row r="157"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row>
    <row r="158"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row>
    <row r="159"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row>
    <row r="160"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row>
    <row r="161"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row>
    <row r="162"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row>
    <row r="163"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row>
    <row r="164"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row>
    <row r="165"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row>
    <row r="16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row>
    <row r="167"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row>
    <row r="168"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row>
    <row r="169"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row>
    <row r="170"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row>
    <row r="171"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row>
    <row r="172"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row>
    <row r="173"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row>
    <row r="174"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row>
    <row r="175"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row>
    <row r="17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row>
    <row r="177"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row>
    <row r="178"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row>
    <row r="179"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row>
    <row r="180"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row>
    <row r="181"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row>
    <row r="182"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row>
    <row r="183"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row>
    <row r="184"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row>
    <row r="185"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row>
    <row r="18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row>
    <row r="187"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row>
    <row r="188"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row>
    <row r="189"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row>
    <row r="190"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row>
    <row r="191"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row>
    <row r="192"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row>
    <row r="193"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row>
    <row r="194"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row>
    <row r="195"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row>
    <row r="19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row>
    <row r="197"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row>
    <row r="198"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row>
    <row r="199"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row>
    <row r="200"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row>
    <row r="201"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row>
    <row r="202"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row>
    <row r="203"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row>
    <row r="204"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row>
    <row r="205"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row>
    <row r="20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row>
    <row r="207"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row>
    <row r="208"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row>
    <row r="209"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row>
    <row r="210"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row>
    <row r="211"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row>
    <row r="212"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row>
    <row r="213"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row>
    <row r="214"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row>
    <row r="215"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row>
    <row r="21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row>
    <row r="217"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row>
    <row r="218"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row>
    <row r="219"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row>
    <row r="220"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row>
    <row r="221"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row>
    <row r="222"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row>
    <row r="223"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row>
    <row r="224"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row>
    <row r="225"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row>
    <row r="2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row>
    <row r="227"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row>
    <row r="228"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row>
    <row r="229"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row>
    <row r="230"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row>
    <row r="231"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row>
    <row r="232"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row>
    <row r="233"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row>
    <row r="234"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row>
    <row r="235"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row>
    <row r="23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row>
    <row r="237"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row>
    <row r="238"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row>
    <row r="239"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row>
    <row r="240"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row>
    <row r="241"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row>
    <row r="242"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row>
    <row r="243"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row>
    <row r="244"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row>
    <row r="245"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row>
    <row r="24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row>
    <row r="247"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row>
    <row r="248"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row>
    <row r="249"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row>
    <row r="250"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row>
    <row r="251"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row>
    <row r="252"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row>
    <row r="253"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row>
    <row r="254"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row>
    <row r="255"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row>
    <row r="25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row>
    <row r="257"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row>
    <row r="258"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row>
    <row r="259"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row>
    <row r="260"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row>
    <row r="261"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row>
    <row r="262"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row>
    <row r="263"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row>
    <row r="264"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row>
    <row r="265"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row>
    <row r="26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row>
    <row r="267"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row>
    <row r="268"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row>
    <row r="269"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row>
    <row r="270"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row>
    <row r="271"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row>
    <row r="272"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row>
    <row r="273"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row>
    <row r="274"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row>
    <row r="275"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row>
    <row r="27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row>
    <row r="277"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row>
    <row r="278"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row>
    <row r="279"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row>
    <row r="280"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row>
    <row r="281"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row>
    <row r="282"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row>
    <row r="283"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row>
    <row r="284"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row>
    <row r="285"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row>
    <row r="28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row>
    <row r="287"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row>
    <row r="288"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row>
    <row r="289"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row>
    <row r="290"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row>
    <row r="291"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row>
    <row r="292"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row>
    <row r="293"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row>
    <row r="294"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row>
    <row r="295"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row>
    <row r="29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row>
    <row r="297"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row>
    <row r="298"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row>
    <row r="299"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row>
    <row r="300"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row>
    <row r="301"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row>
    <row r="302"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row>
    <row r="303"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row>
    <row r="304"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row>
    <row r="305"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row>
    <row r="30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row>
    <row r="307"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row>
    <row r="308"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row>
    <row r="309"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row>
    <row r="310"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row>
    <row r="311"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row>
    <row r="312"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row>
    <row r="313"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row>
    <row r="314"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row>
    <row r="315"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row>
    <row r="31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row>
    <row r="317"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row>
    <row r="318"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row>
    <row r="319"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row>
    <row r="320"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row>
    <row r="321"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row>
    <row r="322"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row>
    <row r="323"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row>
    <row r="324"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row>
    <row r="325"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row>
    <row r="3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row>
    <row r="327"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row>
    <row r="328"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row>
    <row r="329"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row>
    <row r="330"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row>
    <row r="331"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row>
    <row r="332"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row>
    <row r="333"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row>
    <row r="334"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row>
    <row r="335"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row>
    <row r="33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row>
    <row r="337"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row>
    <row r="338"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row>
    <row r="339"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row>
    <row r="340"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row>
    <row r="341"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row>
    <row r="342"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row>
    <row r="343"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row>
    <row r="344"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row>
    <row r="345"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row>
    <row r="34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row>
    <row r="347"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row>
    <row r="348"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row>
    <row r="349"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row>
    <row r="350"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row>
    <row r="351"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row>
    <row r="352"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row>
    <row r="353"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row>
    <row r="354"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row>
    <row r="355"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row>
    <row r="35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row>
    <row r="357"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row>
    <row r="358"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row>
    <row r="359"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row>
    <row r="360"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row>
    <row r="361"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row>
    <row r="362"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row>
    <row r="363"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row>
    <row r="364"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row>
    <row r="365"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row>
    <row r="36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row>
    <row r="367"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row>
    <row r="368"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row>
    <row r="369"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row>
    <row r="370"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row>
    <row r="371"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row>
    <row r="372"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row>
    <row r="373"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row>
    <row r="374"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row>
    <row r="375"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row>
    <row r="37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row>
    <row r="377"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row>
    <row r="378"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row>
    <row r="379"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row>
    <row r="380"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row>
    <row r="381"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row>
    <row r="382"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row>
    <row r="383"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row>
    <row r="384"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row>
    <row r="385"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row>
    <row r="38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row>
    <row r="387"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row>
    <row r="388"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row>
    <row r="389"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row>
    <row r="390"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row>
    <row r="391"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row>
    <row r="392"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row>
    <row r="393"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row>
    <row r="394"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row>
    <row r="395"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row>
    <row r="39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row>
    <row r="397"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row>
    <row r="398"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row>
    <row r="399"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row>
    <row r="400"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row>
    <row r="401"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row>
    <row r="402"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row>
    <row r="403"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row>
    <row r="404"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row>
    <row r="405"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row>
    <row r="40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row>
    <row r="407"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row>
    <row r="408"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row>
    <row r="409"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row>
    <row r="410"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row>
    <row r="411"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row>
    <row r="412"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row>
    <row r="413"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row>
    <row r="414"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row>
    <row r="415"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row>
    <row r="41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row>
    <row r="417"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row>
    <row r="418"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row>
    <row r="419"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row>
    <row r="420"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row>
    <row r="421"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row>
    <row r="422"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row>
    <row r="423"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row>
    <row r="424"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row>
    <row r="570"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row>
    <row r="571"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row>
    <row r="572"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row>
    <row r="573"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row>
    <row r="574"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row>
    <row r="575"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row>
    <row r="57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row>
    <row r="577"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row>
    <row r="578"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row>
    <row r="579"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row>
    <row r="580"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row>
    <row r="581"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row>
    <row r="582"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row>
    <row r="583"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row>
    <row r="584"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row>
    <row r="585"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row>
    <row r="58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row>
    <row r="587"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row>
    <row r="588"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row>
    <row r="589"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row>
    <row r="590"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row>
    <row r="591"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row>
    <row r="592"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row>
    <row r="593"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row>
    <row r="594"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row>
    <row r="595"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row>
    <row r="59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row>
    <row r="597"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row>
    <row r="598"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row>
    <row r="599"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row>
    <row r="600"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row>
    <row r="601"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row>
    <row r="602"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row>
    <row r="603"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row>
    <row r="604"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row>
    <row r="605"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row>
    <row r="60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row>
    <row r="607"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row>
    <row r="608"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row>
    <row r="609"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row>
    <row r="610"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row>
    <row r="611"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row>
    <row r="612"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row>
    <row r="613"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row>
    <row r="614"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row>
    <row r="615"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row>
    <row r="61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row>
    <row r="617"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row>
    <row r="618"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row>
    <row r="619"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row>
    <row r="620"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row>
    <row r="621"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row>
    <row r="622"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row>
    <row r="623"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row>
    <row r="624"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row>
    <row r="625"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row>
    <row r="6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row>
    <row r="627"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row>
    <row r="628"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row>
    <row r="629"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row>
    <row r="630"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row>
    <row r="631"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row>
    <row r="632"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row>
    <row r="633"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row>
    <row r="634"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row>
    <row r="635"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row>
    <row r="63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row>
    <row r="637"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row>
    <row r="638"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row>
    <row r="639"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row>
    <row r="640"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row>
    <row r="641"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row>
    <row r="642"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row>
    <row r="643"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row>
    <row r="644"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row>
    <row r="645"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row>
    <row r="64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row>
    <row r="647"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row>
    <row r="648"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row>
    <row r="649"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row>
    <row r="650"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row>
    <row r="651"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row>
    <row r="652"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row>
    <row r="653"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row>
    <row r="654"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row>
    <row r="655"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row>
    <row r="65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row>
    <row r="657"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row>
    <row r="658"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row>
    <row r="659"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row>
    <row r="660"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row>
    <row r="661"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row>
    <row r="662"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row>
    <row r="663"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row>
    <row r="664"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row>
    <row r="665"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row>
    <row r="66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row>
    <row r="667"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row>
    <row r="668"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row>
    <row r="669"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row>
    <row r="670"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row>
    <row r="671"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row>
    <row r="672"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row>
    <row r="673"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row>
    <row r="674"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row>
    <row r="675"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row>
    <row r="67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row>
    <row r="677"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row>
    <row r="678"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row>
    <row r="679"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row>
    <row r="680"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row>
    <row r="681"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row>
    <row r="682"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row>
    <row r="683"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row>
    <row r="684"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row>
    <row r="685"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row>
    <row r="68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row>
    <row r="687"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row>
    <row r="688"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row>
    <row r="689"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row>
    <row r="690"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row>
    <row r="691"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row>
    <row r="692"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row>
    <row r="693"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row>
    <row r="694"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row>
    <row r="695"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row>
    <row r="69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row>
    <row r="697"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row>
    <row r="698"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row>
    <row r="699"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row>
    <row r="700"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row>
    <row r="701"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row>
    <row r="702"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row>
    <row r="703"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row>
    <row r="704"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row>
    <row r="705"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row>
    <row r="70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row>
    <row r="707"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row>
    <row r="708"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row>
    <row r="709"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row>
    <row r="710"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row>
    <row r="711"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row>
    <row r="712"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row>
    <row r="713"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row>
    <row r="714"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row>
    <row r="715"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row>
    <row r="71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row>
    <row r="717"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row>
    <row r="718"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row>
    <row r="719"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row>
    <row r="720"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row>
    <row r="721"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row>
    <row r="722"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row>
    <row r="723"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row>
    <row r="724"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row>
    <row r="725"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row>
    <row r="7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row>
    <row r="727"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row>
    <row r="728"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row>
    <row r="729"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row>
    <row r="730"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row>
    <row r="731"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row>
    <row r="732"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row>
    <row r="733"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row>
    <row r="734"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row>
    <row r="735"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row>
    <row r="73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row>
    <row r="737"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row>
    <row r="738"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row>
    <row r="739"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row>
    <row r="740"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row>
    <row r="741"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row>
    <row r="742"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row>
    <row r="743"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row>
    <row r="744"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row>
    <row r="745"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row>
    <row r="74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row>
    <row r="747"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row>
    <row r="748"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row>
    <row r="749"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row>
    <row r="750"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row>
    <row r="751"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row>
    <row r="752"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row>
    <row r="753"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row>
    <row r="754"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row>
    <row r="755"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row>
    <row r="75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row>
    <row r="757"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row>
    <row r="758"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row>
    <row r="759"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row>
    <row r="760"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row>
    <row r="761"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row>
    <row r="762"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row>
    <row r="763"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row>
    <row r="764"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row>
    <row r="765"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row>
    <row r="76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row>
    <row r="767"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row>
    <row r="768"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row>
    <row r="769"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row>
    <row r="770"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row>
    <row r="771"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row>
    <row r="772"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row>
    <row r="773"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row>
    <row r="774"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row>
    <row r="775"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row>
    <row r="77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row>
    <row r="777"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row>
    <row r="778"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row>
    <row r="779"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row>
    <row r="780"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row>
    <row r="781"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row>
    <row r="782"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row>
    <row r="783"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row>
    <row r="784"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row>
    <row r="785"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row>
    <row r="78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row>
    <row r="787"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row>
    <row r="788"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row>
    <row r="789"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row>
    <row r="790"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row>
    <row r="791"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row>
    <row r="792"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row>
    <row r="793"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row>
    <row r="794"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row>
    <row r="795"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row>
    <row r="79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row>
    <row r="797"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row>
    <row r="798"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row>
    <row r="799"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row>
    <row r="800"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row>
    <row r="801"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row>
    <row r="802"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row>
    <row r="803"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row>
    <row r="804"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row>
    <row r="805"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row>
    <row r="80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row>
    <row r="807"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row>
    <row r="808"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row>
    <row r="809"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row>
    <row r="810"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row>
    <row r="811"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row>
    <row r="812"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row>
    <row r="813"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row>
    <row r="814"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row>
    <row r="815"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row>
    <row r="81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row>
    <row r="817"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row>
    <row r="818"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row>
    <row r="819"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row>
    <row r="820"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row>
    <row r="821"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row>
    <row r="822"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row>
    <row r="823"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row>
    <row r="824"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row>
    <row r="825"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row>
    <row r="8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row>
    <row r="827"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row>
    <row r="828"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row>
    <row r="829"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row>
    <row r="830"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row>
    <row r="831"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row>
    <row r="832"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row>
    <row r="833"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row>
    <row r="834"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row>
    <row r="835"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row>
    <row r="83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row>
    <row r="837"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row>
    <row r="838"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row>
    <row r="839"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row>
    <row r="840"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row>
    <row r="841"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row>
    <row r="842"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row>
    <row r="843"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row>
    <row r="844"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row>
    <row r="845"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row>
    <row r="84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row>
    <row r="847"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row>
    <row r="848"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row>
    <row r="849"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row>
    <row r="850"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row>
    <row r="851"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row>
    <row r="852"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row>
    <row r="853"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row>
    <row r="854"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row>
    <row r="855"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row>
    <row r="85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row>
    <row r="857"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row>
    <row r="858"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row>
    <row r="859"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row>
    <row r="860"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row>
    <row r="861"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row>
    <row r="862"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row>
    <row r="863"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row>
    <row r="864"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row>
    <row r="865"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row>
    <row r="86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row>
    <row r="867"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row>
    <row r="868"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row>
    <row r="869"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row>
    <row r="870"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row>
    <row r="871"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row>
    <row r="872"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row>
    <row r="873"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row>
    <row r="874"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row>
    <row r="875"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row>
    <row r="87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row>
    <row r="877"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row>
    <row r="878"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row>
    <row r="879"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row>
    <row r="880"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row>
    <row r="881"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row>
    <row r="882"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row>
    <row r="883"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row>
    <row r="884"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row>
    <row r="885"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row>
    <row r="88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row>
    <row r="887"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row>
    <row r="888"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row>
    <row r="889"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row>
    <row r="890"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row>
    <row r="891"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row>
    <row r="892"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row>
    <row r="893"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row>
    <row r="894"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row>
    <row r="895"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row>
    <row r="89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row>
    <row r="897"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row>
    <row r="898"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row>
    <row r="899"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row>
    <row r="900"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row>
    <row r="901"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row>
    <row r="902"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row>
    <row r="903"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row>
    <row r="904"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row>
    <row r="905"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row>
    <row r="90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row>
    <row r="907"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row>
    <row r="908"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row>
    <row r="909"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row>
    <row r="910"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row>
    <row r="911"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row>
    <row r="912"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row>
    <row r="913"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row>
    <row r="914"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row>
    <row r="915"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row>
    <row r="91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row>
    <row r="917"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row>
    <row r="918"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row>
    <row r="919"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row>
    <row r="920"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row>
    <row r="921"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row>
    <row r="922"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row>
    <row r="923"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row>
    <row r="924"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row>
    <row r="925"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row>
    <row r="9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row>
    <row r="927"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row>
    <row r="928"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row>
    <row r="929"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row>
    <row r="930"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row>
    <row r="931"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row>
    <row r="932"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row>
    <row r="933"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row>
    <row r="934"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row>
    <row r="935"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row>
    <row r="93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row>
    <row r="937"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row>
    <row r="938"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row>
    <row r="939"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row>
    <row r="940"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row>
    <row r="941"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row>
    <row r="942"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row>
    <row r="943"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row>
    <row r="944"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row>
    <row r="945"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row>
    <row r="94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row>
    <row r="947"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row>
    <row r="948"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row>
    <row r="949"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row>
    <row r="950"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row>
    <row r="951"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row>
    <row r="952"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row>
    <row r="953"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row>
    <row r="954"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row>
    <row r="955"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row>
    <row r="95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row>
    <row r="957"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row>
    <row r="958"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row>
    <row r="959"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row>
    <row r="960"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row>
    <row r="961"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row>
    <row r="962"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row>
    <row r="963"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row>
    <row r="964"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row>
    <row r="965"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row>
    <row r="96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row>
    <row r="967"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row>
    <row r="968"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row>
    <row r="969"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row>
    <row r="970"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row>
    <row r="971"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row>
    <row r="972"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row>
    <row r="973"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row>
    <row r="974"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row>
    <row r="975"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row>
    <row r="97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row>
    <row r="977"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row>
    <row r="978"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row>
    <row r="979"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row>
    <row r="980"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row>
    <row r="981"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row>
    <row r="982"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row>
    <row r="983"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row>
    <row r="984"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row>
    <row r="985"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row>
    <row r="98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row>
    <row r="987"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row>
    <row r="988"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row>
    <row r="989"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row>
    <row r="990"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row>
    <row r="991"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row>
    <row r="992"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row>
    <row r="993"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row>
    <row r="994"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row>
    <row r="995"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row>
    <row r="99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row>
    <row r="997"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row>
    <row r="998"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row>
    <row r="999"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row>
    <row r="1000"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row>
  </sheetData>
  <mergeCells count="10">
    <mergeCell ref="R9:AA9"/>
    <mergeCell ref="H34:AA38"/>
    <mergeCell ref="G39:U53"/>
    <mergeCell ref="C2:AA2"/>
    <mergeCell ref="C4:AA4"/>
    <mergeCell ref="E7:N7"/>
    <mergeCell ref="R7:AA7"/>
    <mergeCell ref="E8:N8"/>
    <mergeCell ref="R8:AA8"/>
    <mergeCell ref="E9:N9"/>
  </mergeCells>
  <printOptions/>
  <pageMargins bottom="0.7480314960629921" footer="0.0" header="0.0" left="0.7086614173228347" right="0.7086614173228347" top="0.7480314960629921"/>
  <pageSetup paperSize="9" orientation="landscape"/>
  <headerFooter>
    <oddFooter>&amp;R#000000C2 - Safaricom Internal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9.14"/>
    <col customWidth="1" min="2" max="2" width="7.43"/>
    <col customWidth="1" min="3" max="10" width="9.14"/>
    <col customWidth="1" min="11" max="11" width="3.43"/>
    <col customWidth="1" min="12" max="19" width="9.14"/>
    <col customWidth="1" min="20" max="20" width="12.57"/>
    <col customWidth="1" min="21" max="21" width="16.14"/>
    <col customWidth="1" min="22" max="22" width="13.57"/>
    <col customWidth="1" min="23" max="23" width="11.57"/>
    <col customWidth="1" min="24" max="37" width="9.14"/>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ht="20.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4.2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4.25" customHeight="1">
      <c r="A7" s="1"/>
      <c r="B7" s="37" t="s">
        <v>10</v>
      </c>
      <c r="C7" s="38"/>
      <c r="D7" s="38"/>
      <c r="E7" s="38"/>
      <c r="F7" s="38"/>
      <c r="G7" s="38"/>
      <c r="H7" s="38"/>
      <c r="I7" s="38"/>
      <c r="J7" s="38"/>
      <c r="K7" s="38"/>
      <c r="L7" s="38"/>
      <c r="M7" s="38"/>
      <c r="N7" s="38"/>
      <c r="O7" s="38"/>
      <c r="P7" s="38"/>
      <c r="Q7" s="38"/>
      <c r="R7" s="38"/>
      <c r="S7" s="38"/>
      <c r="T7" s="38"/>
      <c r="U7" s="38"/>
      <c r="V7" s="38"/>
      <c r="W7" s="38"/>
      <c r="X7" s="1"/>
      <c r="Y7" s="1"/>
      <c r="Z7" s="1"/>
      <c r="AA7" s="1"/>
      <c r="AB7" s="1"/>
      <c r="AC7" s="1"/>
      <c r="AD7" s="1"/>
      <c r="AE7" s="1"/>
      <c r="AF7" s="1"/>
      <c r="AG7" s="1"/>
      <c r="AH7" s="1"/>
      <c r="AI7" s="1"/>
      <c r="AJ7" s="1"/>
      <c r="AK7" s="1"/>
    </row>
    <row r="8" ht="34.5" customHeight="1">
      <c r="A8" s="1"/>
      <c r="B8" s="39" t="s">
        <v>11</v>
      </c>
      <c r="C8" s="26"/>
      <c r="D8" s="26"/>
      <c r="E8" s="26"/>
      <c r="F8" s="26"/>
      <c r="G8" s="26"/>
      <c r="H8" s="26"/>
      <c r="I8" s="26"/>
      <c r="J8" s="26"/>
      <c r="K8" s="26"/>
      <c r="L8" s="26"/>
      <c r="M8" s="26"/>
      <c r="N8" s="26"/>
      <c r="O8" s="26"/>
      <c r="P8" s="26"/>
      <c r="Q8" s="26"/>
      <c r="R8" s="26"/>
      <c r="S8" s="26"/>
      <c r="T8" s="26"/>
      <c r="U8" s="26"/>
      <c r="V8" s="26"/>
      <c r="W8" s="27"/>
      <c r="X8" s="1"/>
      <c r="Y8" s="1"/>
      <c r="Z8" s="1"/>
      <c r="AA8" s="1"/>
      <c r="AB8" s="1"/>
      <c r="AC8" s="1"/>
      <c r="AD8" s="1"/>
      <c r="AE8" s="1"/>
      <c r="AF8" s="1"/>
      <c r="AG8" s="1"/>
      <c r="AH8" s="1"/>
      <c r="AI8" s="1"/>
      <c r="AJ8" s="1"/>
      <c r="AK8" s="1"/>
    </row>
    <row r="9" ht="34.5" customHeight="1">
      <c r="A9" s="1"/>
      <c r="B9" s="28"/>
      <c r="W9" s="29"/>
      <c r="X9" s="1"/>
      <c r="Y9" s="1"/>
      <c r="Z9" s="1"/>
      <c r="AA9" s="1"/>
      <c r="AB9" s="1"/>
      <c r="AC9" s="1"/>
      <c r="AD9" s="1"/>
      <c r="AE9" s="1"/>
      <c r="AF9" s="1"/>
      <c r="AG9" s="1"/>
      <c r="AH9" s="1"/>
      <c r="AI9" s="1"/>
      <c r="AJ9" s="1"/>
      <c r="AK9" s="1"/>
    </row>
    <row r="10" ht="34.5" customHeight="1">
      <c r="A10" s="1"/>
      <c r="B10" s="28"/>
      <c r="W10" s="29"/>
      <c r="X10" s="1"/>
      <c r="Y10" s="1"/>
      <c r="Z10" s="1"/>
      <c r="AA10" s="1"/>
      <c r="AB10" s="1"/>
      <c r="AC10" s="1"/>
      <c r="AD10" s="1"/>
      <c r="AE10" s="1"/>
      <c r="AF10" s="1"/>
      <c r="AG10" s="1"/>
      <c r="AH10" s="1"/>
      <c r="AI10" s="1"/>
      <c r="AJ10" s="1"/>
      <c r="AK10" s="1"/>
    </row>
    <row r="11" ht="34.5" customHeight="1">
      <c r="A11" s="1"/>
      <c r="B11" s="30"/>
      <c r="C11" s="31"/>
      <c r="D11" s="31"/>
      <c r="E11" s="31"/>
      <c r="F11" s="31"/>
      <c r="G11" s="31"/>
      <c r="H11" s="31"/>
      <c r="I11" s="31"/>
      <c r="J11" s="31"/>
      <c r="K11" s="31"/>
      <c r="L11" s="31"/>
      <c r="M11" s="31"/>
      <c r="N11" s="31"/>
      <c r="O11" s="31"/>
      <c r="P11" s="31"/>
      <c r="Q11" s="31"/>
      <c r="R11" s="31"/>
      <c r="S11" s="31"/>
      <c r="T11" s="31"/>
      <c r="U11" s="31"/>
      <c r="V11" s="31"/>
      <c r="W11" s="32"/>
      <c r="X11" s="1"/>
      <c r="Y11" s="1"/>
      <c r="Z11" s="1"/>
      <c r="AA11" s="1"/>
      <c r="AB11" s="1"/>
      <c r="AC11" s="1"/>
      <c r="AD11" s="1"/>
      <c r="AE11" s="1"/>
      <c r="AF11" s="1"/>
      <c r="AG11" s="1"/>
      <c r="AH11" s="1"/>
      <c r="AI11" s="1"/>
      <c r="AJ11" s="1"/>
      <c r="AK11" s="1"/>
    </row>
    <row r="12" ht="14.25" customHeight="1">
      <c r="A12" s="1"/>
      <c r="B12" s="37" t="s">
        <v>12</v>
      </c>
      <c r="C12" s="38"/>
      <c r="D12" s="38"/>
      <c r="E12" s="38"/>
      <c r="F12" s="38"/>
      <c r="G12" s="38"/>
      <c r="H12" s="38"/>
      <c r="I12" s="38"/>
      <c r="J12" s="38"/>
      <c r="K12" s="38"/>
      <c r="L12" s="38"/>
      <c r="M12" s="38"/>
      <c r="N12" s="38"/>
      <c r="O12" s="38"/>
      <c r="P12" s="38"/>
      <c r="Q12" s="38"/>
      <c r="R12" s="38"/>
      <c r="S12" s="38"/>
      <c r="T12" s="38"/>
      <c r="U12" s="38"/>
      <c r="V12" s="38"/>
      <c r="W12" s="38"/>
      <c r="X12" s="1"/>
      <c r="Y12" s="1"/>
      <c r="Z12" s="1"/>
      <c r="AA12" s="1"/>
      <c r="AB12" s="1"/>
      <c r="AC12" s="1"/>
      <c r="AD12" s="1"/>
      <c r="AE12" s="1"/>
      <c r="AF12" s="1"/>
      <c r="AG12" s="1"/>
      <c r="AH12" s="1"/>
      <c r="AI12" s="1"/>
      <c r="AJ12" s="1"/>
      <c r="AK12" s="1"/>
    </row>
    <row r="13" ht="14.25" customHeight="1">
      <c r="A13" s="1"/>
      <c r="B13" s="40" t="s">
        <v>13</v>
      </c>
      <c r="C13" s="3"/>
      <c r="D13" s="3"/>
      <c r="E13" s="3"/>
      <c r="F13" s="3"/>
      <c r="G13" s="3"/>
      <c r="H13" s="3"/>
      <c r="I13" s="3"/>
      <c r="J13" s="3"/>
      <c r="K13" s="3"/>
      <c r="L13" s="3"/>
      <c r="M13" s="3"/>
      <c r="N13" s="3"/>
      <c r="O13" s="3"/>
      <c r="P13" s="3"/>
      <c r="Q13" s="3"/>
      <c r="R13" s="3"/>
      <c r="S13" s="3"/>
      <c r="T13" s="3"/>
      <c r="U13" s="3"/>
      <c r="V13" s="3"/>
      <c r="W13" s="4"/>
      <c r="X13" s="1"/>
      <c r="Y13" s="1"/>
      <c r="Z13" s="1"/>
      <c r="AA13" s="1"/>
      <c r="AB13" s="1"/>
      <c r="AC13" s="1"/>
      <c r="AD13" s="1"/>
      <c r="AE13" s="1"/>
      <c r="AF13" s="1"/>
      <c r="AG13" s="1"/>
      <c r="AH13" s="1"/>
      <c r="AI13" s="1"/>
      <c r="AJ13" s="1"/>
      <c r="AK13" s="1"/>
    </row>
    <row r="14" ht="14.25" customHeight="1">
      <c r="A14" s="1"/>
      <c r="B14" s="41" t="s">
        <v>14</v>
      </c>
      <c r="C14" s="42" t="s">
        <v>15</v>
      </c>
      <c r="D14" s="26"/>
      <c r="E14" s="26"/>
      <c r="F14" s="26"/>
      <c r="G14" s="26"/>
      <c r="H14" s="26"/>
      <c r="I14" s="26"/>
      <c r="J14" s="26"/>
      <c r="K14" s="26"/>
      <c r="L14" s="26"/>
      <c r="M14" s="26"/>
      <c r="N14" s="26"/>
      <c r="O14" s="26"/>
      <c r="P14" s="26"/>
      <c r="Q14" s="26"/>
      <c r="R14" s="26"/>
      <c r="S14" s="26"/>
      <c r="T14" s="26"/>
      <c r="U14" s="26"/>
      <c r="V14" s="26"/>
      <c r="W14" s="27"/>
      <c r="X14" s="1"/>
      <c r="Y14" s="1"/>
      <c r="Z14" s="1"/>
      <c r="AA14" s="1"/>
      <c r="AB14" s="1"/>
      <c r="AC14" s="1"/>
      <c r="AD14" s="1"/>
      <c r="AE14" s="1"/>
      <c r="AF14" s="1"/>
      <c r="AG14" s="1"/>
      <c r="AH14" s="1"/>
      <c r="AI14" s="1"/>
      <c r="AJ14" s="1"/>
      <c r="AK14" s="1"/>
    </row>
    <row r="15" ht="14.25" customHeight="1">
      <c r="A15" s="1"/>
      <c r="B15" s="41"/>
      <c r="C15" s="28"/>
      <c r="W15" s="29"/>
      <c r="X15" s="1"/>
      <c r="Y15" s="1"/>
      <c r="Z15" s="1"/>
      <c r="AA15" s="1"/>
      <c r="AB15" s="1"/>
      <c r="AC15" s="1"/>
      <c r="AD15" s="1"/>
      <c r="AE15" s="1"/>
      <c r="AF15" s="1"/>
      <c r="AG15" s="1"/>
      <c r="AH15" s="1"/>
      <c r="AI15" s="1"/>
      <c r="AJ15" s="1"/>
      <c r="AK15" s="1"/>
    </row>
    <row r="16" ht="14.25" customHeight="1">
      <c r="A16" s="1"/>
      <c r="B16" s="41" t="s">
        <v>14</v>
      </c>
      <c r="C16" s="28"/>
      <c r="W16" s="29"/>
      <c r="X16" s="1"/>
      <c r="Y16" s="1"/>
      <c r="Z16" s="1"/>
      <c r="AA16" s="1"/>
      <c r="AB16" s="1"/>
      <c r="AC16" s="1"/>
      <c r="AD16" s="1"/>
      <c r="AE16" s="1"/>
      <c r="AF16" s="1"/>
      <c r="AG16" s="1"/>
      <c r="AH16" s="1"/>
      <c r="AI16" s="1"/>
      <c r="AJ16" s="1"/>
      <c r="AK16" s="1"/>
    </row>
    <row r="17" ht="14.25" customHeight="1">
      <c r="A17" s="1"/>
      <c r="B17" s="41" t="s">
        <v>14</v>
      </c>
      <c r="C17" s="28"/>
      <c r="W17" s="29"/>
      <c r="X17" s="1"/>
      <c r="Y17" s="1"/>
      <c r="Z17" s="1"/>
      <c r="AA17" s="1"/>
      <c r="AB17" s="1"/>
      <c r="AC17" s="1"/>
      <c r="AD17" s="1"/>
      <c r="AE17" s="1"/>
      <c r="AF17" s="1"/>
      <c r="AG17" s="1"/>
      <c r="AH17" s="1"/>
      <c r="AI17" s="1"/>
      <c r="AJ17" s="1"/>
      <c r="AK17" s="1"/>
    </row>
    <row r="18" ht="14.25" customHeight="1">
      <c r="A18" s="1"/>
      <c r="B18" s="41"/>
      <c r="C18" s="28"/>
      <c r="W18" s="29"/>
      <c r="X18" s="1"/>
      <c r="Y18" s="1"/>
      <c r="Z18" s="1"/>
      <c r="AA18" s="1"/>
      <c r="AB18" s="1"/>
      <c r="AC18" s="1"/>
      <c r="AD18" s="1"/>
      <c r="AE18" s="1"/>
      <c r="AF18" s="1"/>
      <c r="AG18" s="1"/>
      <c r="AH18" s="1"/>
      <c r="AI18" s="1"/>
      <c r="AJ18" s="1"/>
      <c r="AK18" s="1"/>
    </row>
    <row r="19" ht="14.25" customHeight="1">
      <c r="A19" s="1"/>
      <c r="B19" s="41" t="s">
        <v>14</v>
      </c>
      <c r="C19" s="28"/>
      <c r="W19" s="29"/>
      <c r="X19" s="1"/>
      <c r="Y19" s="1"/>
      <c r="Z19" s="1"/>
      <c r="AA19" s="1"/>
      <c r="AB19" s="1"/>
      <c r="AC19" s="1"/>
      <c r="AD19" s="1"/>
      <c r="AE19" s="1"/>
      <c r="AF19" s="1"/>
      <c r="AG19" s="1"/>
      <c r="AH19" s="1"/>
      <c r="AI19" s="1"/>
      <c r="AJ19" s="1"/>
      <c r="AK19" s="1"/>
    </row>
    <row r="20" ht="14.25" customHeight="1">
      <c r="A20" s="1"/>
      <c r="B20" s="43"/>
      <c r="C20" s="28"/>
      <c r="W20" s="29"/>
      <c r="X20" s="1"/>
      <c r="Y20" s="1"/>
      <c r="Z20" s="1"/>
      <c r="AA20" s="1"/>
      <c r="AB20" s="1"/>
      <c r="AC20" s="1"/>
      <c r="AD20" s="1"/>
      <c r="AE20" s="1"/>
      <c r="AF20" s="1"/>
      <c r="AG20" s="1"/>
      <c r="AH20" s="1"/>
      <c r="AI20" s="1"/>
      <c r="AJ20" s="1"/>
      <c r="AK20" s="1"/>
    </row>
    <row r="21" ht="14.25" customHeight="1">
      <c r="A21" s="1"/>
      <c r="B21" s="41" t="s">
        <v>14</v>
      </c>
      <c r="C21" s="28"/>
      <c r="W21" s="29"/>
      <c r="X21" s="1"/>
      <c r="Y21" s="1"/>
      <c r="Z21" s="1"/>
      <c r="AA21" s="1"/>
      <c r="AB21" s="1"/>
      <c r="AC21" s="1"/>
      <c r="AD21" s="1"/>
      <c r="AE21" s="1"/>
      <c r="AF21" s="1"/>
      <c r="AG21" s="1"/>
      <c r="AH21" s="1"/>
      <c r="AI21" s="1"/>
      <c r="AJ21" s="1"/>
      <c r="AK21" s="1"/>
    </row>
    <row r="22" ht="14.25" customHeight="1">
      <c r="A22" s="1"/>
      <c r="B22" s="41" t="s">
        <v>14</v>
      </c>
      <c r="C22" s="28"/>
      <c r="W22" s="29"/>
      <c r="X22" s="1"/>
      <c r="Y22" s="1"/>
      <c r="Z22" s="1"/>
      <c r="AA22" s="1"/>
      <c r="AB22" s="1"/>
      <c r="AC22" s="1"/>
      <c r="AD22" s="1"/>
      <c r="AE22" s="1"/>
      <c r="AF22" s="1"/>
      <c r="AG22" s="1"/>
      <c r="AH22" s="1"/>
      <c r="AI22" s="1"/>
      <c r="AJ22" s="1"/>
      <c r="AK22" s="1"/>
    </row>
    <row r="23" ht="14.25" customHeight="1">
      <c r="A23" s="1"/>
      <c r="B23" s="41"/>
      <c r="C23" s="28"/>
      <c r="W23" s="29"/>
      <c r="X23" s="1"/>
      <c r="Y23" s="1"/>
      <c r="Z23" s="1"/>
      <c r="AA23" s="1"/>
      <c r="AB23" s="1"/>
      <c r="AC23" s="1"/>
      <c r="AD23" s="1"/>
      <c r="AE23" s="1"/>
      <c r="AF23" s="1"/>
      <c r="AG23" s="1"/>
      <c r="AH23" s="1"/>
      <c r="AI23" s="1"/>
      <c r="AJ23" s="1"/>
      <c r="AK23" s="1"/>
    </row>
    <row r="24" ht="14.25" customHeight="1">
      <c r="A24" s="1"/>
      <c r="B24" s="43"/>
      <c r="C24" s="30"/>
      <c r="D24" s="31"/>
      <c r="E24" s="31"/>
      <c r="F24" s="31"/>
      <c r="G24" s="31"/>
      <c r="H24" s="31"/>
      <c r="I24" s="31"/>
      <c r="J24" s="31"/>
      <c r="K24" s="31"/>
      <c r="L24" s="31"/>
      <c r="M24" s="31"/>
      <c r="N24" s="31"/>
      <c r="O24" s="31"/>
      <c r="P24" s="31"/>
      <c r="Q24" s="31"/>
      <c r="R24" s="31"/>
      <c r="S24" s="31"/>
      <c r="T24" s="31"/>
      <c r="U24" s="31"/>
      <c r="V24" s="31"/>
      <c r="W24" s="32"/>
      <c r="X24" s="1"/>
      <c r="Y24" s="1"/>
      <c r="Z24" s="1"/>
      <c r="AA24" s="1"/>
      <c r="AB24" s="1"/>
      <c r="AC24" s="1"/>
      <c r="AD24" s="1"/>
      <c r="AE24" s="1"/>
      <c r="AF24" s="1"/>
      <c r="AG24" s="1"/>
      <c r="AH24" s="1"/>
      <c r="AI24" s="1"/>
      <c r="AJ24" s="1"/>
      <c r="AK24" s="1"/>
    </row>
    <row r="25" ht="12.0" customHeight="1">
      <c r="A25" s="1"/>
      <c r="B25" s="44"/>
      <c r="C25" s="44"/>
      <c r="D25" s="44"/>
      <c r="E25" s="44"/>
      <c r="F25" s="44"/>
      <c r="G25" s="44"/>
      <c r="H25" s="44"/>
      <c r="I25" s="44"/>
      <c r="J25" s="44"/>
      <c r="K25" s="44"/>
      <c r="L25" s="44"/>
      <c r="M25" s="44"/>
      <c r="N25" s="44"/>
      <c r="O25" s="44"/>
      <c r="P25" s="44"/>
      <c r="Q25" s="44"/>
      <c r="R25" s="44"/>
      <c r="S25" s="44"/>
      <c r="T25" s="44"/>
      <c r="U25" s="44"/>
      <c r="V25" s="44"/>
      <c r="W25" s="44"/>
      <c r="X25" s="1"/>
      <c r="Y25" s="1"/>
      <c r="Z25" s="1"/>
      <c r="AA25" s="1"/>
      <c r="AB25" s="1"/>
      <c r="AC25" s="1"/>
      <c r="AD25" s="1"/>
      <c r="AE25" s="1"/>
      <c r="AF25" s="1"/>
      <c r="AG25" s="1"/>
      <c r="AH25" s="1"/>
      <c r="AI25" s="1"/>
      <c r="AJ25" s="1"/>
      <c r="AK25" s="1"/>
    </row>
    <row r="26" ht="14.25" customHeight="1">
      <c r="A26" s="1"/>
      <c r="B26" s="42" t="s">
        <v>16</v>
      </c>
      <c r="C26" s="26"/>
      <c r="D26" s="26"/>
      <c r="E26" s="26"/>
      <c r="F26" s="26"/>
      <c r="G26" s="26"/>
      <c r="H26" s="26"/>
      <c r="I26" s="26"/>
      <c r="J26" s="26"/>
      <c r="K26" s="26"/>
      <c r="L26" s="26"/>
      <c r="M26" s="26"/>
      <c r="N26" s="26"/>
      <c r="O26" s="26"/>
      <c r="P26" s="26"/>
      <c r="Q26" s="26"/>
      <c r="R26" s="26"/>
      <c r="S26" s="26"/>
      <c r="T26" s="26"/>
      <c r="U26" s="26"/>
      <c r="V26" s="26"/>
      <c r="W26" s="27"/>
      <c r="X26" s="1"/>
      <c r="Y26" s="1"/>
      <c r="Z26" s="1"/>
      <c r="AA26" s="1"/>
      <c r="AB26" s="1"/>
      <c r="AC26" s="1"/>
      <c r="AD26" s="1"/>
      <c r="AE26" s="1"/>
      <c r="AF26" s="1"/>
      <c r="AG26" s="1"/>
      <c r="AH26" s="1"/>
      <c r="AI26" s="1"/>
      <c r="AJ26" s="1"/>
      <c r="AK26" s="1"/>
    </row>
    <row r="27" ht="17.25" customHeight="1">
      <c r="A27" s="1"/>
      <c r="B27" s="28"/>
      <c r="W27" s="29"/>
      <c r="X27" s="1"/>
      <c r="Y27" s="1"/>
      <c r="Z27" s="1"/>
      <c r="AA27" s="1"/>
      <c r="AB27" s="1"/>
      <c r="AC27" s="1"/>
      <c r="AD27" s="1"/>
      <c r="AE27" s="1"/>
      <c r="AF27" s="1"/>
      <c r="AG27" s="1"/>
      <c r="AH27" s="1"/>
      <c r="AI27" s="1"/>
      <c r="AJ27" s="1"/>
      <c r="AK27" s="1"/>
    </row>
    <row r="28" ht="17.25" customHeight="1">
      <c r="A28" s="1"/>
      <c r="B28" s="28"/>
      <c r="W28" s="29"/>
      <c r="X28" s="1"/>
      <c r="Y28" s="1"/>
      <c r="Z28" s="1"/>
      <c r="AA28" s="1"/>
      <c r="AB28" s="1"/>
      <c r="AC28" s="1"/>
      <c r="AD28" s="1"/>
      <c r="AE28" s="1"/>
      <c r="AF28" s="1"/>
      <c r="AG28" s="1"/>
      <c r="AH28" s="1"/>
      <c r="AI28" s="1"/>
      <c r="AJ28" s="1"/>
      <c r="AK28" s="1"/>
    </row>
    <row r="29" ht="14.25" customHeight="1">
      <c r="A29" s="1"/>
      <c r="B29" s="30"/>
      <c r="C29" s="31"/>
      <c r="D29" s="31"/>
      <c r="E29" s="31"/>
      <c r="F29" s="31"/>
      <c r="G29" s="31"/>
      <c r="H29" s="31"/>
      <c r="I29" s="31"/>
      <c r="J29" s="31"/>
      <c r="K29" s="31"/>
      <c r="L29" s="31"/>
      <c r="M29" s="31"/>
      <c r="N29" s="31"/>
      <c r="O29" s="31"/>
      <c r="P29" s="31"/>
      <c r="Q29" s="31"/>
      <c r="R29" s="31"/>
      <c r="S29" s="31"/>
      <c r="T29" s="31"/>
      <c r="U29" s="31"/>
      <c r="V29" s="31"/>
      <c r="W29" s="32"/>
      <c r="X29" s="1"/>
      <c r="Y29" s="1"/>
      <c r="Z29" s="1"/>
      <c r="AA29" s="1"/>
      <c r="AB29" s="1"/>
      <c r="AC29" s="1"/>
      <c r="AD29" s="1"/>
      <c r="AE29" s="1"/>
      <c r="AF29" s="1"/>
      <c r="AG29" s="1"/>
      <c r="AH29" s="1"/>
      <c r="AI29" s="1"/>
      <c r="AJ29" s="1"/>
      <c r="AK29" s="1"/>
    </row>
    <row r="30" ht="15.0" customHeight="1">
      <c r="A30" s="1"/>
      <c r="B30" s="44"/>
      <c r="C30" s="44"/>
      <c r="D30" s="44"/>
      <c r="E30" s="44"/>
      <c r="F30" s="44"/>
      <c r="G30" s="44"/>
      <c r="H30" s="44"/>
      <c r="I30" s="44"/>
      <c r="J30" s="44"/>
      <c r="K30" s="44"/>
      <c r="L30" s="44"/>
      <c r="M30" s="44"/>
      <c r="N30" s="44"/>
      <c r="O30" s="44"/>
      <c r="P30" s="44"/>
      <c r="Q30" s="44"/>
      <c r="R30" s="44"/>
      <c r="S30" s="44"/>
      <c r="T30" s="44"/>
      <c r="U30" s="44"/>
      <c r="V30" s="44"/>
      <c r="W30" s="44"/>
      <c r="X30" s="1"/>
      <c r="Y30" s="1"/>
      <c r="Z30" s="1"/>
      <c r="AA30" s="1"/>
      <c r="AB30" s="1"/>
      <c r="AC30" s="1"/>
      <c r="AD30" s="1"/>
      <c r="AE30" s="1"/>
      <c r="AF30" s="1"/>
      <c r="AG30" s="1"/>
      <c r="AH30" s="1"/>
      <c r="AI30" s="1"/>
      <c r="AJ30" s="1"/>
      <c r="AK30" s="1"/>
    </row>
    <row r="31" ht="15.0" customHeight="1">
      <c r="A31" s="1"/>
      <c r="B31" s="37" t="s">
        <v>17</v>
      </c>
      <c r="C31" s="38"/>
      <c r="D31" s="38"/>
      <c r="E31" s="38"/>
      <c r="F31" s="38"/>
      <c r="G31" s="38"/>
      <c r="H31" s="38"/>
      <c r="I31" s="38"/>
      <c r="J31" s="38"/>
      <c r="K31" s="38"/>
      <c r="L31" s="38"/>
      <c r="M31" s="38"/>
      <c r="N31" s="38"/>
      <c r="O31" s="38"/>
      <c r="P31" s="38"/>
      <c r="Q31" s="38"/>
      <c r="R31" s="38"/>
      <c r="S31" s="38"/>
      <c r="T31" s="38"/>
      <c r="U31" s="38"/>
      <c r="V31" s="38"/>
      <c r="W31" s="38"/>
      <c r="X31" s="1"/>
      <c r="Y31" s="1"/>
      <c r="Z31" s="1"/>
      <c r="AA31" s="1"/>
      <c r="AB31" s="1"/>
      <c r="AC31" s="1"/>
      <c r="AD31" s="1"/>
      <c r="AE31" s="1"/>
      <c r="AF31" s="1"/>
      <c r="AG31" s="1"/>
      <c r="AH31" s="1"/>
      <c r="AI31" s="1"/>
      <c r="AJ31" s="1"/>
      <c r="AK31" s="1"/>
    </row>
    <row r="32" ht="14.25" customHeight="1">
      <c r="A32" s="1"/>
      <c r="B32" s="42" t="s">
        <v>18</v>
      </c>
      <c r="C32" s="26"/>
      <c r="D32" s="26"/>
      <c r="E32" s="26"/>
      <c r="F32" s="26"/>
      <c r="G32" s="26"/>
      <c r="H32" s="26"/>
      <c r="I32" s="26"/>
      <c r="J32" s="26"/>
      <c r="K32" s="26"/>
      <c r="L32" s="26"/>
      <c r="M32" s="26"/>
      <c r="N32" s="26"/>
      <c r="O32" s="26"/>
      <c r="P32" s="26"/>
      <c r="Q32" s="26"/>
      <c r="R32" s="26"/>
      <c r="S32" s="26"/>
      <c r="T32" s="26"/>
      <c r="U32" s="26"/>
      <c r="V32" s="26"/>
      <c r="W32" s="27"/>
      <c r="X32" s="1"/>
      <c r="Y32" s="1"/>
      <c r="Z32" s="1"/>
      <c r="AA32" s="1"/>
      <c r="AB32" s="1"/>
      <c r="AC32" s="1"/>
      <c r="AD32" s="1"/>
      <c r="AE32" s="1"/>
      <c r="AF32" s="1"/>
      <c r="AG32" s="1"/>
      <c r="AH32" s="1"/>
      <c r="AI32" s="1"/>
      <c r="AJ32" s="1"/>
      <c r="AK32" s="1"/>
    </row>
    <row r="33" ht="14.25" customHeight="1">
      <c r="A33" s="1"/>
      <c r="B33" s="28"/>
      <c r="W33" s="29"/>
      <c r="X33" s="1"/>
      <c r="Y33" s="1"/>
      <c r="Z33" s="1"/>
      <c r="AA33" s="1"/>
      <c r="AB33" s="1"/>
      <c r="AC33" s="1"/>
      <c r="AD33" s="1"/>
      <c r="AE33" s="1"/>
      <c r="AF33" s="1"/>
      <c r="AG33" s="1"/>
      <c r="AH33" s="1"/>
      <c r="AI33" s="1"/>
      <c r="AJ33" s="1"/>
      <c r="AK33" s="1"/>
    </row>
    <row r="34" ht="14.25" customHeight="1">
      <c r="A34" s="1"/>
      <c r="B34" s="28"/>
      <c r="W34" s="29"/>
      <c r="X34" s="1"/>
      <c r="Y34" s="1"/>
      <c r="Z34" s="1"/>
      <c r="AA34" s="1"/>
      <c r="AB34" s="1"/>
      <c r="AC34" s="1"/>
      <c r="AD34" s="1"/>
      <c r="AE34" s="1"/>
      <c r="AF34" s="1"/>
      <c r="AG34" s="1"/>
      <c r="AH34" s="1"/>
      <c r="AI34" s="1"/>
      <c r="AJ34" s="1"/>
      <c r="AK34" s="1"/>
    </row>
    <row r="35" ht="14.25" customHeight="1">
      <c r="A35" s="1"/>
      <c r="B35" s="28"/>
      <c r="W35" s="29"/>
      <c r="X35" s="1"/>
      <c r="Y35" s="1"/>
      <c r="Z35" s="1"/>
      <c r="AA35" s="1"/>
      <c r="AB35" s="1"/>
      <c r="AC35" s="1"/>
      <c r="AD35" s="1"/>
      <c r="AE35" s="1"/>
      <c r="AF35" s="1"/>
      <c r="AG35" s="1"/>
      <c r="AH35" s="1"/>
      <c r="AI35" s="1"/>
      <c r="AJ35" s="1"/>
      <c r="AK35" s="1"/>
    </row>
    <row r="36" ht="14.25" customHeight="1">
      <c r="A36" s="1"/>
      <c r="B36" s="28"/>
      <c r="W36" s="29"/>
      <c r="X36" s="1"/>
      <c r="Y36" s="1"/>
      <c r="Z36" s="1"/>
      <c r="AA36" s="1"/>
      <c r="AB36" s="1"/>
      <c r="AC36" s="1"/>
      <c r="AD36" s="1"/>
      <c r="AE36" s="1"/>
      <c r="AF36" s="1"/>
      <c r="AG36" s="1"/>
      <c r="AH36" s="1"/>
      <c r="AI36" s="1"/>
      <c r="AJ36" s="1"/>
      <c r="AK36" s="1"/>
    </row>
    <row r="37" ht="14.25" customHeight="1">
      <c r="A37" s="1"/>
      <c r="B37" s="28"/>
      <c r="W37" s="29"/>
      <c r="X37" s="1"/>
      <c r="Y37" s="1"/>
      <c r="Z37" s="1"/>
      <c r="AA37" s="1"/>
      <c r="AB37" s="1"/>
      <c r="AC37" s="1"/>
      <c r="AD37" s="1"/>
      <c r="AE37" s="1"/>
      <c r="AF37" s="1"/>
      <c r="AG37" s="1"/>
      <c r="AH37" s="1"/>
      <c r="AI37" s="1"/>
      <c r="AJ37" s="1"/>
      <c r="AK37" s="1"/>
    </row>
    <row r="38" ht="14.25" customHeight="1">
      <c r="A38" s="1"/>
      <c r="B38" s="28"/>
      <c r="W38" s="29"/>
      <c r="X38" s="1"/>
      <c r="Y38" s="1"/>
      <c r="Z38" s="1"/>
      <c r="AA38" s="1"/>
      <c r="AB38" s="1"/>
      <c r="AC38" s="1"/>
      <c r="AD38" s="1"/>
      <c r="AE38" s="1"/>
      <c r="AF38" s="1"/>
      <c r="AG38" s="1"/>
      <c r="AH38" s="1"/>
      <c r="AI38" s="1"/>
      <c r="AJ38" s="1"/>
      <c r="AK38" s="1"/>
    </row>
    <row r="39" ht="14.25" customHeight="1">
      <c r="A39" s="1"/>
      <c r="B39" s="28"/>
      <c r="W39" s="29"/>
      <c r="X39" s="1"/>
      <c r="Y39" s="1"/>
      <c r="Z39" s="1"/>
      <c r="AA39" s="1"/>
      <c r="AB39" s="1"/>
      <c r="AC39" s="1"/>
      <c r="AD39" s="1"/>
      <c r="AE39" s="1"/>
      <c r="AF39" s="1"/>
      <c r="AG39" s="1"/>
      <c r="AH39" s="1"/>
      <c r="AI39" s="1"/>
      <c r="AJ39" s="1"/>
      <c r="AK39" s="1"/>
    </row>
    <row r="40" ht="14.25" customHeight="1">
      <c r="A40" s="1"/>
      <c r="B40" s="28"/>
      <c r="W40" s="29"/>
      <c r="X40" s="1"/>
      <c r="Y40" s="1"/>
      <c r="Z40" s="1"/>
      <c r="AA40" s="1"/>
      <c r="AB40" s="1"/>
      <c r="AC40" s="1"/>
      <c r="AD40" s="1"/>
      <c r="AE40" s="1"/>
      <c r="AF40" s="1"/>
      <c r="AG40" s="1"/>
      <c r="AH40" s="1"/>
      <c r="AI40" s="1"/>
      <c r="AJ40" s="1"/>
      <c r="AK40" s="1"/>
    </row>
    <row r="41" ht="14.25" customHeight="1">
      <c r="A41" s="1"/>
      <c r="B41" s="28"/>
      <c r="W41" s="29"/>
      <c r="X41" s="1"/>
      <c r="Y41" s="1"/>
      <c r="Z41" s="1"/>
      <c r="AA41" s="1"/>
      <c r="AB41" s="1"/>
      <c r="AC41" s="1"/>
      <c r="AD41" s="1"/>
      <c r="AE41" s="1"/>
      <c r="AF41" s="1"/>
      <c r="AG41" s="1"/>
      <c r="AH41" s="1"/>
      <c r="AI41" s="1"/>
      <c r="AJ41" s="1"/>
      <c r="AK41" s="1"/>
    </row>
    <row r="42" ht="14.25" customHeight="1">
      <c r="A42" s="1"/>
      <c r="B42" s="28"/>
      <c r="W42" s="29"/>
      <c r="X42" s="1"/>
      <c r="Y42" s="1"/>
      <c r="Z42" s="1"/>
      <c r="AA42" s="1"/>
      <c r="AB42" s="1"/>
      <c r="AC42" s="1"/>
      <c r="AD42" s="1"/>
      <c r="AE42" s="1"/>
      <c r="AF42" s="1"/>
      <c r="AG42" s="1"/>
      <c r="AH42" s="1"/>
      <c r="AI42" s="1"/>
      <c r="AJ42" s="1"/>
      <c r="AK42" s="1"/>
    </row>
    <row r="43" ht="14.25" customHeight="1">
      <c r="A43" s="1"/>
      <c r="B43" s="28"/>
      <c r="W43" s="29"/>
      <c r="X43" s="1"/>
      <c r="Y43" s="1"/>
      <c r="Z43" s="1"/>
      <c r="AA43" s="1"/>
      <c r="AB43" s="1"/>
      <c r="AC43" s="1"/>
      <c r="AD43" s="1"/>
      <c r="AE43" s="1"/>
      <c r="AF43" s="1"/>
      <c r="AG43" s="1"/>
      <c r="AH43" s="1"/>
      <c r="AI43" s="1"/>
      <c r="AJ43" s="1"/>
      <c r="AK43" s="1"/>
    </row>
    <row r="44" ht="14.25" customHeight="1">
      <c r="A44" s="1"/>
      <c r="B44" s="30"/>
      <c r="C44" s="31"/>
      <c r="D44" s="31"/>
      <c r="E44" s="31"/>
      <c r="F44" s="31"/>
      <c r="G44" s="31"/>
      <c r="H44" s="31"/>
      <c r="I44" s="31"/>
      <c r="J44" s="31"/>
      <c r="K44" s="31"/>
      <c r="L44" s="31"/>
      <c r="M44" s="31"/>
      <c r="N44" s="31"/>
      <c r="O44" s="31"/>
      <c r="P44" s="31"/>
      <c r="Q44" s="31"/>
      <c r="R44" s="31"/>
      <c r="S44" s="31"/>
      <c r="T44" s="31"/>
      <c r="U44" s="31"/>
      <c r="V44" s="31"/>
      <c r="W44" s="32"/>
      <c r="X44" s="1"/>
      <c r="Y44" s="1"/>
      <c r="Z44" s="1"/>
      <c r="AA44" s="1"/>
      <c r="AB44" s="1"/>
      <c r="AC44" s="1"/>
      <c r="AD44" s="1"/>
      <c r="AE44" s="1"/>
      <c r="AF44" s="1"/>
      <c r="AG44" s="1"/>
      <c r="AH44" s="1"/>
      <c r="AI44" s="1"/>
      <c r="AJ44" s="1"/>
      <c r="AK44" s="1"/>
    </row>
    <row r="45" ht="15.0" customHeight="1">
      <c r="A45" s="1"/>
      <c r="B45" s="44"/>
      <c r="C45" s="44"/>
      <c r="D45" s="44"/>
      <c r="E45" s="44"/>
      <c r="F45" s="44"/>
      <c r="G45" s="44"/>
      <c r="H45" s="44"/>
      <c r="I45" s="44"/>
      <c r="J45" s="44"/>
      <c r="K45" s="44"/>
      <c r="L45" s="44"/>
      <c r="M45" s="44"/>
      <c r="N45" s="44"/>
      <c r="O45" s="44"/>
      <c r="P45" s="44"/>
      <c r="Q45" s="44"/>
      <c r="R45" s="44"/>
      <c r="S45" s="44"/>
      <c r="T45" s="44"/>
      <c r="U45" s="44"/>
      <c r="V45" s="44"/>
      <c r="W45" s="44"/>
      <c r="X45" s="1"/>
      <c r="Y45" s="1"/>
      <c r="Z45" s="1"/>
      <c r="AA45" s="1"/>
      <c r="AB45" s="1"/>
      <c r="AC45" s="1"/>
      <c r="AD45" s="1"/>
      <c r="AE45" s="1"/>
      <c r="AF45" s="1"/>
      <c r="AG45" s="1"/>
      <c r="AH45" s="1"/>
      <c r="AI45" s="1"/>
      <c r="AJ45" s="1"/>
      <c r="AK45" s="1"/>
    </row>
    <row r="46" ht="15.0" customHeight="1">
      <c r="A46" s="1"/>
      <c r="B46" s="37" t="s">
        <v>19</v>
      </c>
      <c r="C46" s="38"/>
      <c r="D46" s="38"/>
      <c r="E46" s="38"/>
      <c r="F46" s="38"/>
      <c r="G46" s="38"/>
      <c r="H46" s="38"/>
      <c r="I46" s="38"/>
      <c r="J46" s="38"/>
      <c r="K46" s="38"/>
      <c r="L46" s="38"/>
      <c r="M46" s="38"/>
      <c r="N46" s="38"/>
      <c r="O46" s="38"/>
      <c r="P46" s="38"/>
      <c r="Q46" s="38"/>
      <c r="R46" s="38"/>
      <c r="S46" s="38"/>
      <c r="T46" s="38"/>
      <c r="U46" s="38"/>
      <c r="V46" s="38"/>
      <c r="W46" s="38"/>
      <c r="X46" s="1"/>
      <c r="Y46" s="1"/>
      <c r="Z46" s="1"/>
      <c r="AA46" s="1"/>
      <c r="AB46" s="1"/>
      <c r="AC46" s="1"/>
      <c r="AD46" s="1"/>
      <c r="AE46" s="1"/>
      <c r="AF46" s="1"/>
      <c r="AG46" s="1"/>
      <c r="AH46" s="1"/>
      <c r="AI46" s="1"/>
      <c r="AJ46" s="1"/>
      <c r="AK46" s="1"/>
    </row>
    <row r="47" ht="19.5" customHeight="1">
      <c r="A47" s="1"/>
      <c r="B47" s="40" t="s">
        <v>20</v>
      </c>
      <c r="C47" s="3"/>
      <c r="D47" s="3"/>
      <c r="E47" s="3"/>
      <c r="F47" s="3"/>
      <c r="G47" s="3"/>
      <c r="H47" s="3"/>
      <c r="I47" s="3"/>
      <c r="J47" s="3"/>
      <c r="K47" s="3"/>
      <c r="L47" s="3"/>
      <c r="M47" s="3"/>
      <c r="N47" s="3"/>
      <c r="O47" s="3"/>
      <c r="P47" s="3"/>
      <c r="Q47" s="3"/>
      <c r="R47" s="3"/>
      <c r="S47" s="3"/>
      <c r="T47" s="3"/>
      <c r="U47" s="3"/>
      <c r="V47" s="3"/>
      <c r="W47" s="4"/>
      <c r="X47" s="1"/>
      <c r="Y47" s="1"/>
      <c r="Z47" s="1"/>
      <c r="AA47" s="1"/>
      <c r="AB47" s="1"/>
      <c r="AC47" s="1"/>
      <c r="AD47" s="1"/>
      <c r="AE47" s="1"/>
      <c r="AF47" s="1"/>
      <c r="AG47" s="1"/>
      <c r="AH47" s="1"/>
      <c r="AI47" s="1"/>
      <c r="AJ47" s="1"/>
      <c r="AK47" s="1"/>
    </row>
    <row r="48" ht="20.25" customHeight="1">
      <c r="A48" s="1"/>
      <c r="B48" s="41">
        <v>1.0</v>
      </c>
      <c r="C48" s="45" t="s">
        <v>21</v>
      </c>
      <c r="D48" s="45"/>
      <c r="E48" s="45"/>
      <c r="F48" s="45"/>
      <c r="G48" s="45"/>
      <c r="H48" s="45"/>
      <c r="I48" s="45"/>
      <c r="J48" s="45"/>
      <c r="K48" s="45"/>
      <c r="L48" s="46" t="s">
        <v>22</v>
      </c>
      <c r="M48" s="47"/>
      <c r="N48" s="47"/>
      <c r="O48" s="47"/>
      <c r="P48" s="47"/>
      <c r="Q48" s="47"/>
      <c r="R48" s="47"/>
      <c r="S48" s="47"/>
      <c r="T48" s="47"/>
      <c r="U48" s="48"/>
      <c r="V48" s="48"/>
      <c r="W48" s="48"/>
      <c r="X48" s="1"/>
      <c r="Y48" s="1"/>
      <c r="Z48" s="1"/>
      <c r="AA48" s="1"/>
      <c r="AB48" s="1"/>
      <c r="AC48" s="1"/>
      <c r="AD48" s="1"/>
      <c r="AE48" s="1"/>
      <c r="AF48" s="1"/>
      <c r="AG48" s="1"/>
      <c r="AH48" s="1"/>
      <c r="AI48" s="1"/>
      <c r="AJ48" s="1"/>
      <c r="AK48" s="1"/>
    </row>
    <row r="49" ht="15.0" customHeight="1">
      <c r="A49" s="1"/>
      <c r="B49" s="48"/>
      <c r="C49" s="48"/>
      <c r="D49" s="48"/>
      <c r="E49" s="48"/>
      <c r="F49" s="48"/>
      <c r="G49" s="48"/>
      <c r="H49" s="48"/>
      <c r="I49" s="48"/>
      <c r="J49" s="48"/>
      <c r="K49" s="48"/>
      <c r="L49" s="48"/>
      <c r="M49" s="48"/>
      <c r="N49" s="48"/>
      <c r="O49" s="48"/>
      <c r="P49" s="48"/>
      <c r="Q49" s="48"/>
      <c r="R49" s="48"/>
      <c r="S49" s="48"/>
      <c r="T49" s="48"/>
      <c r="U49" s="48"/>
      <c r="V49" s="48"/>
      <c r="W49" s="48"/>
      <c r="X49" s="1"/>
      <c r="Y49" s="1"/>
      <c r="Z49" s="1"/>
      <c r="AA49" s="1"/>
      <c r="AB49" s="1"/>
      <c r="AC49" s="1"/>
      <c r="AD49" s="1"/>
      <c r="AE49" s="1"/>
      <c r="AF49" s="1"/>
      <c r="AG49" s="1"/>
      <c r="AH49" s="1"/>
      <c r="AI49" s="1"/>
      <c r="AJ49" s="1"/>
      <c r="AK49" s="1"/>
    </row>
    <row r="50" ht="14.25" hidden="1" customHeight="1">
      <c r="A50" s="1"/>
      <c r="B50" s="49"/>
      <c r="C50" s="3"/>
      <c r="D50" s="3"/>
      <c r="E50" s="3"/>
      <c r="F50" s="3"/>
      <c r="G50" s="3"/>
      <c r="H50" s="3"/>
      <c r="I50" s="3"/>
      <c r="J50" s="3"/>
      <c r="K50" s="3"/>
      <c r="L50" s="3"/>
      <c r="M50" s="3"/>
      <c r="N50" s="3"/>
      <c r="O50" s="3"/>
      <c r="P50" s="3"/>
      <c r="Q50" s="3"/>
      <c r="R50" s="3"/>
      <c r="S50" s="3"/>
      <c r="T50" s="3"/>
      <c r="U50" s="3"/>
      <c r="V50" s="3"/>
      <c r="W50" s="4"/>
      <c r="X50" s="1"/>
      <c r="Y50" s="1"/>
      <c r="Z50" s="1"/>
      <c r="AA50" s="1"/>
      <c r="AB50" s="1"/>
      <c r="AC50" s="1"/>
      <c r="AD50" s="1"/>
      <c r="AE50" s="1"/>
      <c r="AF50" s="1"/>
      <c r="AG50" s="1"/>
      <c r="AH50" s="1"/>
      <c r="AI50" s="1"/>
      <c r="AJ50" s="1"/>
      <c r="AK50" s="1"/>
    </row>
    <row r="51" ht="14.25" customHeight="1">
      <c r="A51" s="1"/>
      <c r="B51" s="37" t="s">
        <v>23</v>
      </c>
      <c r="C51" s="50"/>
      <c r="D51" s="50"/>
      <c r="E51" s="50"/>
      <c r="F51" s="50"/>
      <c r="G51" s="50"/>
      <c r="H51" s="50"/>
      <c r="I51" s="50"/>
      <c r="J51" s="50"/>
      <c r="K51" s="50"/>
      <c r="L51" s="50"/>
      <c r="M51" s="50"/>
      <c r="N51" s="50"/>
      <c r="O51" s="50"/>
      <c r="P51" s="50"/>
      <c r="Q51" s="50"/>
      <c r="R51" s="50"/>
      <c r="S51" s="50"/>
      <c r="T51" s="50"/>
      <c r="U51" s="50"/>
      <c r="V51" s="50"/>
      <c r="W51" s="50"/>
      <c r="X51" s="1"/>
      <c r="Y51" s="1"/>
      <c r="Z51" s="1"/>
      <c r="AA51" s="1"/>
      <c r="AB51" s="1"/>
      <c r="AC51" s="1"/>
      <c r="AD51" s="1"/>
      <c r="AE51" s="1"/>
      <c r="AF51" s="1"/>
      <c r="AG51" s="1"/>
      <c r="AH51" s="1"/>
      <c r="AI51" s="1"/>
      <c r="AJ51" s="1"/>
      <c r="AK51" s="1"/>
    </row>
    <row r="52" ht="66.0" customHeight="1">
      <c r="A52" s="1"/>
      <c r="B52" s="51" t="s">
        <v>24</v>
      </c>
      <c r="C52" s="26"/>
      <c r="D52" s="26"/>
      <c r="E52" s="26"/>
      <c r="F52" s="26"/>
      <c r="G52" s="26"/>
      <c r="H52" s="26"/>
      <c r="I52" s="26"/>
      <c r="J52" s="26"/>
      <c r="K52" s="26"/>
      <c r="L52" s="26"/>
      <c r="M52" s="26"/>
      <c r="N52" s="26"/>
      <c r="O52" s="26"/>
      <c r="P52" s="26"/>
      <c r="Q52" s="26"/>
      <c r="R52" s="26"/>
      <c r="S52" s="26"/>
      <c r="T52" s="26"/>
      <c r="U52" s="26"/>
      <c r="V52" s="26"/>
      <c r="W52" s="27"/>
      <c r="X52" s="1"/>
      <c r="Y52" s="1"/>
      <c r="Z52" s="1"/>
      <c r="AA52" s="1"/>
      <c r="AB52" s="1"/>
      <c r="AC52" s="1"/>
      <c r="AD52" s="1"/>
      <c r="AE52" s="1"/>
      <c r="AF52" s="1"/>
      <c r="AG52" s="1"/>
      <c r="AH52" s="1"/>
      <c r="AI52" s="1"/>
      <c r="AJ52" s="1"/>
      <c r="AK52" s="1"/>
    </row>
    <row r="53" ht="2.25" customHeight="1">
      <c r="A53" s="1"/>
      <c r="B53" s="28"/>
      <c r="W53" s="29"/>
      <c r="X53" s="1"/>
      <c r="Y53" s="1"/>
      <c r="Z53" s="1"/>
      <c r="AA53" s="1"/>
      <c r="AB53" s="1"/>
      <c r="AC53" s="1"/>
      <c r="AD53" s="1"/>
      <c r="AE53" s="1"/>
      <c r="AF53" s="1"/>
      <c r="AG53" s="1"/>
      <c r="AH53" s="1"/>
      <c r="AI53" s="1"/>
      <c r="AJ53" s="1"/>
      <c r="AK53" s="1"/>
    </row>
    <row r="54" ht="14.25" customHeight="1">
      <c r="A54" s="1"/>
      <c r="B54" s="30"/>
      <c r="C54" s="31"/>
      <c r="D54" s="31"/>
      <c r="E54" s="31"/>
      <c r="F54" s="31"/>
      <c r="G54" s="31"/>
      <c r="H54" s="31"/>
      <c r="I54" s="31"/>
      <c r="J54" s="31"/>
      <c r="K54" s="31"/>
      <c r="L54" s="31"/>
      <c r="M54" s="31"/>
      <c r="N54" s="31"/>
      <c r="O54" s="31"/>
      <c r="P54" s="31"/>
      <c r="Q54" s="31"/>
      <c r="R54" s="31"/>
      <c r="S54" s="31"/>
      <c r="T54" s="31"/>
      <c r="U54" s="31"/>
      <c r="V54" s="31"/>
      <c r="W54" s="32"/>
      <c r="X54" s="1"/>
      <c r="Y54" s="1"/>
      <c r="Z54" s="1"/>
      <c r="AA54" s="1"/>
      <c r="AB54" s="1"/>
      <c r="AC54" s="1"/>
      <c r="AD54" s="1"/>
      <c r="AE54" s="1"/>
      <c r="AF54" s="1"/>
      <c r="AG54" s="1"/>
      <c r="AH54" s="1"/>
      <c r="AI54" s="1"/>
      <c r="AJ54" s="1"/>
      <c r="AK54" s="1"/>
    </row>
    <row r="55" ht="17.25" customHeight="1">
      <c r="A55" s="1"/>
      <c r="B55" s="52" t="s">
        <v>25</v>
      </c>
      <c r="C55" s="26"/>
      <c r="D55" s="26"/>
      <c r="E55" s="26"/>
      <c r="F55" s="26"/>
      <c r="G55" s="26"/>
      <c r="H55" s="26"/>
      <c r="I55" s="26"/>
      <c r="J55" s="26"/>
      <c r="K55" s="26"/>
      <c r="L55" s="26"/>
      <c r="M55" s="26"/>
      <c r="N55" s="26"/>
      <c r="O55" s="26"/>
      <c r="P55" s="26"/>
      <c r="Q55" s="26"/>
      <c r="R55" s="26"/>
      <c r="S55" s="26"/>
      <c r="T55" s="26"/>
      <c r="U55" s="26"/>
      <c r="V55" s="26"/>
      <c r="W55" s="27"/>
      <c r="X55" s="1"/>
      <c r="Y55" s="1"/>
      <c r="Z55" s="1"/>
      <c r="AA55" s="1"/>
      <c r="AB55" s="1"/>
      <c r="AC55" s="1"/>
      <c r="AD55" s="1"/>
      <c r="AE55" s="1"/>
      <c r="AF55" s="1"/>
      <c r="AG55" s="1"/>
      <c r="AH55" s="1"/>
      <c r="AI55" s="1"/>
      <c r="AJ55" s="1"/>
      <c r="AK55" s="1"/>
    </row>
    <row r="56" ht="17.25" customHeight="1">
      <c r="A56" s="1"/>
      <c r="B56" s="28"/>
      <c r="W56" s="29"/>
      <c r="X56" s="1"/>
      <c r="Y56" s="1"/>
      <c r="Z56" s="1"/>
      <c r="AA56" s="1"/>
      <c r="AB56" s="1"/>
      <c r="AC56" s="1"/>
      <c r="AD56" s="1"/>
      <c r="AE56" s="1"/>
      <c r="AF56" s="1"/>
      <c r="AG56" s="1"/>
      <c r="AH56" s="1"/>
      <c r="AI56" s="1"/>
      <c r="AJ56" s="1"/>
      <c r="AK56" s="1"/>
    </row>
    <row r="57" ht="17.25" customHeight="1">
      <c r="A57" s="1"/>
      <c r="B57" s="28"/>
      <c r="W57" s="29"/>
      <c r="X57" s="1"/>
      <c r="Y57" s="1"/>
      <c r="Z57" s="1"/>
      <c r="AA57" s="1"/>
      <c r="AB57" s="1"/>
      <c r="AC57" s="1"/>
      <c r="AD57" s="1"/>
      <c r="AE57" s="1"/>
      <c r="AF57" s="1"/>
      <c r="AG57" s="1"/>
      <c r="AH57" s="1"/>
      <c r="AI57" s="1"/>
      <c r="AJ57" s="1"/>
      <c r="AK57" s="1"/>
    </row>
    <row r="58" ht="19.5" customHeight="1">
      <c r="A58" s="1"/>
      <c r="B58" s="28"/>
      <c r="W58" s="29"/>
      <c r="X58" s="1"/>
      <c r="Y58" s="1"/>
      <c r="Z58" s="1"/>
      <c r="AA58" s="1"/>
      <c r="AB58" s="1"/>
      <c r="AC58" s="1"/>
      <c r="AD58" s="1"/>
      <c r="AE58" s="1"/>
      <c r="AF58" s="1"/>
      <c r="AG58" s="1"/>
      <c r="AH58" s="1"/>
      <c r="AI58" s="1"/>
      <c r="AJ58" s="1"/>
      <c r="AK58" s="1"/>
    </row>
    <row r="59" ht="19.5" customHeight="1">
      <c r="A59" s="1"/>
      <c r="B59" s="28"/>
      <c r="W59" s="29"/>
      <c r="X59" s="1"/>
      <c r="Y59" s="1"/>
      <c r="Z59" s="1"/>
      <c r="AA59" s="1"/>
      <c r="AB59" s="1"/>
      <c r="AC59" s="1"/>
      <c r="AD59" s="1"/>
      <c r="AE59" s="1"/>
      <c r="AF59" s="1"/>
      <c r="AG59" s="1"/>
      <c r="AH59" s="1"/>
      <c r="AI59" s="1"/>
      <c r="AJ59" s="1"/>
      <c r="AK59" s="1"/>
    </row>
    <row r="60" ht="12.75" customHeight="1">
      <c r="A60" s="1"/>
      <c r="B60" s="28"/>
      <c r="W60" s="29"/>
      <c r="X60" s="1"/>
      <c r="Y60" s="1"/>
      <c r="Z60" s="1"/>
      <c r="AA60" s="1"/>
      <c r="AB60" s="1"/>
      <c r="AC60" s="1"/>
      <c r="AD60" s="1"/>
      <c r="AE60" s="1"/>
      <c r="AF60" s="1"/>
      <c r="AG60" s="1"/>
      <c r="AH60" s="1"/>
      <c r="AI60" s="1"/>
      <c r="AJ60" s="1"/>
      <c r="AK60" s="1"/>
    </row>
    <row r="61" ht="17.25" customHeight="1">
      <c r="A61" s="1"/>
      <c r="B61" s="30"/>
      <c r="C61" s="31"/>
      <c r="D61" s="31"/>
      <c r="E61" s="31"/>
      <c r="F61" s="31"/>
      <c r="G61" s="31"/>
      <c r="H61" s="31"/>
      <c r="I61" s="31"/>
      <c r="J61" s="31"/>
      <c r="K61" s="31"/>
      <c r="L61" s="31"/>
      <c r="M61" s="31"/>
      <c r="N61" s="31"/>
      <c r="O61" s="31"/>
      <c r="P61" s="31"/>
      <c r="Q61" s="31"/>
      <c r="R61" s="31"/>
      <c r="S61" s="31"/>
      <c r="T61" s="31"/>
      <c r="U61" s="31"/>
      <c r="V61" s="31"/>
      <c r="W61" s="32"/>
      <c r="X61" s="1"/>
      <c r="Y61" s="1"/>
      <c r="Z61" s="1"/>
      <c r="AA61" s="1"/>
      <c r="AB61" s="1"/>
      <c r="AC61" s="1"/>
      <c r="AD61" s="1"/>
      <c r="AE61" s="1"/>
      <c r="AF61" s="1"/>
      <c r="AG61" s="1"/>
      <c r="AH61" s="1"/>
      <c r="AI61" s="1"/>
      <c r="AJ61" s="1"/>
      <c r="AK61" s="1"/>
    </row>
    <row r="62" ht="17.25" customHeight="1">
      <c r="A62" s="1"/>
      <c r="B62" s="53"/>
      <c r="C62" s="53"/>
      <c r="D62" s="53"/>
      <c r="E62" s="53"/>
      <c r="F62" s="53"/>
      <c r="G62" s="53"/>
      <c r="H62" s="53"/>
      <c r="I62" s="53"/>
      <c r="J62" s="53"/>
      <c r="K62" s="53"/>
      <c r="L62" s="53"/>
      <c r="M62" s="53"/>
      <c r="N62" s="53"/>
      <c r="O62" s="53"/>
      <c r="P62" s="53"/>
      <c r="Q62" s="53"/>
      <c r="R62" s="53"/>
      <c r="S62" s="53"/>
      <c r="T62" s="54"/>
      <c r="U62" s="54"/>
      <c r="V62" s="53"/>
      <c r="W62" s="53"/>
      <c r="X62" s="1"/>
      <c r="Y62" s="1"/>
      <c r="Z62" s="1"/>
      <c r="AA62" s="1"/>
      <c r="AB62" s="1"/>
      <c r="AC62" s="1"/>
      <c r="AD62" s="1"/>
      <c r="AE62" s="1"/>
      <c r="AF62" s="1"/>
      <c r="AG62" s="1"/>
      <c r="AH62" s="1"/>
      <c r="AI62" s="1"/>
      <c r="AJ62" s="1"/>
      <c r="AK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4.25" customHeight="1">
      <c r="A66" s="1"/>
      <c r="B66" s="1"/>
      <c r="C66" s="1"/>
      <c r="D66" s="1"/>
      <c r="E66" s="1"/>
      <c r="F66" s="1"/>
      <c r="G66" s="1"/>
      <c r="H66" s="1"/>
      <c r="I66" s="1"/>
      <c r="J66" s="1"/>
      <c r="K66" s="1"/>
      <c r="L66" s="1"/>
      <c r="M66" s="1"/>
      <c r="N66" s="1"/>
      <c r="O66" s="1"/>
      <c r="P66" s="1"/>
      <c r="Q66" s="1"/>
      <c r="R66" s="1"/>
      <c r="S66" s="1"/>
      <c r="T66" s="1"/>
      <c r="U66" s="55" t="s">
        <v>26</v>
      </c>
      <c r="V66" s="1"/>
      <c r="W66" s="1"/>
      <c r="X66" s="1"/>
      <c r="Y66" s="1"/>
      <c r="Z66" s="1"/>
      <c r="AA66" s="1"/>
      <c r="AB66" s="1"/>
      <c r="AC66" s="1"/>
      <c r="AD66" s="1"/>
      <c r="AE66" s="1"/>
      <c r="AF66" s="1"/>
      <c r="AG66" s="1"/>
      <c r="AH66" s="1"/>
      <c r="AI66" s="1"/>
      <c r="AJ66" s="1"/>
      <c r="AK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sheetData>
  <mergeCells count="9">
    <mergeCell ref="B52:W54"/>
    <mergeCell ref="B55:W61"/>
    <mergeCell ref="B8:W11"/>
    <mergeCell ref="B13:W13"/>
    <mergeCell ref="C14:W24"/>
    <mergeCell ref="B26:W29"/>
    <mergeCell ref="B32:W44"/>
    <mergeCell ref="B47:W47"/>
    <mergeCell ref="B50:W50"/>
  </mergeCells>
  <hyperlinks>
    <hyperlink r:id="rId1" ref="L48"/>
  </hyperlinks>
  <printOptions/>
  <pageMargins bottom="0.7480314960629921" footer="0.0" header="0.0" left="0.03937007874015748" right="0.03937007874015748" top="0.7480314960629921"/>
  <pageSetup orientation="portrait"/>
  <headerFooter>
    <oddFooter>&amp;R#000000C2 - Safaricom Internal</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2" width="2.0"/>
    <col customWidth="1" min="3" max="3" width="20.0"/>
    <col customWidth="1" min="4" max="4" width="27.43"/>
    <col customWidth="1" min="5" max="5" width="100.14"/>
    <col customWidth="1" min="6" max="6" width="89.0"/>
    <col customWidth="1" min="7" max="7" width="22.0"/>
    <col customWidth="1" min="8" max="8" width="24.86"/>
    <col customWidth="1" hidden="1" min="9" max="9" width="11.57"/>
    <col customWidth="1" hidden="1" min="10" max="10" width="29.57"/>
    <col customWidth="1" hidden="1" min="11" max="11" width="17.14"/>
    <col customWidth="1" min="12" max="26" width="8.71"/>
  </cols>
  <sheetData>
    <row r="1" ht="14.25" customHeight="1">
      <c r="A1" s="56"/>
      <c r="B1" s="1"/>
      <c r="C1" s="1"/>
      <c r="D1" s="1"/>
      <c r="E1" s="1"/>
      <c r="F1" s="1"/>
      <c r="G1" s="1"/>
      <c r="H1" s="56"/>
      <c r="I1" s="57"/>
      <c r="J1" s="57"/>
      <c r="K1" s="57"/>
      <c r="L1" s="58"/>
      <c r="M1" s="58"/>
      <c r="N1" s="58"/>
      <c r="O1" s="58"/>
      <c r="P1" s="58"/>
      <c r="Q1" s="58"/>
      <c r="R1" s="58"/>
      <c r="S1" s="58"/>
      <c r="T1" s="58"/>
      <c r="U1" s="58"/>
      <c r="V1" s="58"/>
      <c r="W1" s="58"/>
      <c r="X1" s="58"/>
      <c r="Y1" s="58"/>
      <c r="Z1" s="58"/>
    </row>
    <row r="2" ht="14.25" customHeight="1">
      <c r="A2" s="56"/>
      <c r="B2" s="1"/>
      <c r="C2" s="1"/>
      <c r="D2" s="1"/>
      <c r="E2" s="1"/>
      <c r="F2" s="1"/>
      <c r="G2" s="1"/>
      <c r="H2" s="56"/>
      <c r="I2" s="57"/>
      <c r="J2" s="57"/>
      <c r="K2" s="57"/>
      <c r="L2" s="58"/>
      <c r="M2" s="58"/>
      <c r="N2" s="58"/>
      <c r="O2" s="58"/>
      <c r="P2" s="58"/>
      <c r="Q2" s="58"/>
      <c r="R2" s="58"/>
      <c r="S2" s="58"/>
      <c r="T2" s="58"/>
      <c r="U2" s="58"/>
      <c r="V2" s="58"/>
      <c r="W2" s="58"/>
      <c r="X2" s="58"/>
      <c r="Y2" s="58"/>
      <c r="Z2" s="58"/>
    </row>
    <row r="3" ht="14.25" customHeight="1">
      <c r="A3" s="56"/>
      <c r="B3" s="1"/>
      <c r="C3" s="1"/>
      <c r="D3" s="1"/>
      <c r="E3" s="1"/>
      <c r="F3" s="1"/>
      <c r="G3" s="1"/>
      <c r="H3" s="56"/>
      <c r="I3" s="57"/>
      <c r="J3" s="57"/>
      <c r="K3" s="57"/>
      <c r="L3" s="58"/>
      <c r="M3" s="58"/>
      <c r="N3" s="58"/>
      <c r="O3" s="58"/>
      <c r="P3" s="58"/>
      <c r="Q3" s="58"/>
      <c r="R3" s="58"/>
      <c r="S3" s="58"/>
      <c r="T3" s="58"/>
      <c r="U3" s="58"/>
      <c r="V3" s="58"/>
      <c r="W3" s="58"/>
      <c r="X3" s="58"/>
      <c r="Y3" s="58"/>
      <c r="Z3" s="58"/>
    </row>
    <row r="4" ht="14.25" customHeight="1">
      <c r="A4" s="56"/>
      <c r="B4" s="1"/>
      <c r="C4" s="1"/>
      <c r="D4" s="1"/>
      <c r="E4" s="1"/>
      <c r="F4" s="1"/>
      <c r="G4" s="1"/>
      <c r="H4" s="56"/>
      <c r="I4" s="57"/>
      <c r="J4" s="57"/>
      <c r="K4" s="57"/>
      <c r="L4" s="58"/>
      <c r="M4" s="58"/>
      <c r="N4" s="58"/>
      <c r="O4" s="58"/>
      <c r="P4" s="58"/>
      <c r="Q4" s="58"/>
      <c r="R4" s="58"/>
      <c r="S4" s="58"/>
      <c r="T4" s="58"/>
      <c r="U4" s="58"/>
      <c r="V4" s="58"/>
      <c r="W4" s="58"/>
      <c r="X4" s="58"/>
      <c r="Y4" s="58"/>
      <c r="Z4" s="58"/>
    </row>
    <row r="5" ht="14.25" customHeight="1">
      <c r="A5" s="56"/>
      <c r="B5" s="1"/>
      <c r="C5" s="1"/>
      <c r="D5" s="1"/>
      <c r="E5" s="1"/>
      <c r="F5" s="1"/>
      <c r="G5" s="1"/>
      <c r="H5" s="56"/>
      <c r="I5" s="57"/>
      <c r="J5" s="57"/>
      <c r="K5" s="57"/>
      <c r="L5" s="58"/>
      <c r="M5" s="58"/>
      <c r="N5" s="58"/>
      <c r="O5" s="58"/>
      <c r="P5" s="58"/>
      <c r="Q5" s="58"/>
      <c r="R5" s="58"/>
      <c r="S5" s="58"/>
      <c r="T5" s="58"/>
      <c r="U5" s="58"/>
      <c r="V5" s="58"/>
      <c r="W5" s="58"/>
      <c r="X5" s="58"/>
      <c r="Y5" s="58"/>
      <c r="Z5" s="58"/>
    </row>
    <row r="6" ht="14.25" customHeight="1">
      <c r="A6" s="59"/>
      <c r="B6" s="60"/>
      <c r="C6" s="60"/>
      <c r="D6" s="60"/>
      <c r="E6" s="60"/>
      <c r="F6" s="60"/>
      <c r="G6" s="60"/>
      <c r="H6" s="59"/>
      <c r="I6" s="61"/>
      <c r="J6" s="61"/>
      <c r="K6" s="61"/>
      <c r="L6" s="62"/>
      <c r="M6" s="62"/>
      <c r="N6" s="63"/>
      <c r="O6" s="63"/>
      <c r="P6" s="63"/>
      <c r="Q6" s="63"/>
      <c r="R6" s="63"/>
      <c r="S6" s="63"/>
      <c r="T6" s="63"/>
      <c r="U6" s="63"/>
      <c r="V6" s="63"/>
      <c r="W6" s="63"/>
      <c r="X6" s="63"/>
      <c r="Y6" s="63"/>
      <c r="Z6" s="62"/>
    </row>
    <row r="7" ht="33.75" customHeight="1">
      <c r="A7" s="59"/>
      <c r="B7" s="60"/>
      <c r="C7" s="60"/>
      <c r="D7" s="60"/>
      <c r="E7" s="60"/>
      <c r="F7" s="64" t="s">
        <v>27</v>
      </c>
      <c r="G7" s="60"/>
      <c r="H7" s="59"/>
      <c r="I7" s="61"/>
      <c r="J7" s="61"/>
      <c r="K7" s="61"/>
      <c r="L7" s="62"/>
      <c r="M7" s="62"/>
      <c r="N7" s="63"/>
      <c r="O7" s="63"/>
      <c r="P7" s="63"/>
      <c r="Q7" s="63"/>
      <c r="R7" s="63"/>
      <c r="S7" s="63"/>
      <c r="T7" s="63"/>
      <c r="U7" s="63"/>
      <c r="V7" s="63"/>
      <c r="W7" s="63"/>
      <c r="X7" s="63"/>
      <c r="Y7" s="63"/>
      <c r="Z7" s="62"/>
    </row>
    <row r="8" ht="36.0" customHeight="1">
      <c r="A8" s="59"/>
      <c r="B8" s="65" t="s">
        <v>28</v>
      </c>
      <c r="C8" s="3"/>
      <c r="D8" s="3"/>
      <c r="E8" s="4"/>
      <c r="F8" s="66"/>
      <c r="G8" s="66"/>
      <c r="H8" s="59"/>
      <c r="I8" s="61"/>
      <c r="J8" s="67" t="s">
        <v>29</v>
      </c>
      <c r="K8" s="61"/>
      <c r="L8" s="62"/>
      <c r="M8" s="62"/>
      <c r="N8" s="63"/>
      <c r="O8" s="63"/>
      <c r="P8" s="63"/>
      <c r="Q8" s="63"/>
      <c r="R8" s="63"/>
      <c r="S8" s="63"/>
      <c r="T8" s="63"/>
      <c r="U8" s="63"/>
      <c r="V8" s="63"/>
      <c r="W8" s="63"/>
      <c r="X8" s="63"/>
      <c r="Y8" s="63"/>
      <c r="Z8" s="62"/>
    </row>
    <row r="9" ht="15.75" customHeight="1">
      <c r="A9" s="59"/>
      <c r="B9" s="60"/>
      <c r="C9" s="60"/>
      <c r="D9" s="60"/>
      <c r="E9" s="60"/>
      <c r="F9" s="60"/>
      <c r="G9" s="60"/>
      <c r="H9" s="59"/>
      <c r="I9" s="61"/>
      <c r="J9" s="61" t="s">
        <v>30</v>
      </c>
      <c r="K9" s="61"/>
      <c r="L9" s="62"/>
      <c r="M9" s="62"/>
      <c r="N9" s="63"/>
      <c r="O9" s="63"/>
      <c r="P9" s="63"/>
      <c r="Q9" s="63"/>
      <c r="R9" s="63"/>
      <c r="S9" s="63"/>
      <c r="T9" s="63"/>
      <c r="U9" s="63"/>
      <c r="V9" s="63"/>
      <c r="W9" s="63"/>
      <c r="X9" s="63"/>
      <c r="Y9" s="63"/>
      <c r="Z9" s="62"/>
    </row>
    <row r="10" ht="23.25" customHeight="1">
      <c r="A10" s="59"/>
      <c r="B10" s="68" t="s">
        <v>31</v>
      </c>
      <c r="C10" s="69"/>
      <c r="D10" s="70"/>
      <c r="E10" s="71" t="s">
        <v>32</v>
      </c>
      <c r="F10" s="71" t="s">
        <v>33</v>
      </c>
      <c r="G10" s="72" t="s">
        <v>34</v>
      </c>
      <c r="H10" s="73" t="s">
        <v>35</v>
      </c>
      <c r="I10" s="74" t="s">
        <v>36</v>
      </c>
      <c r="J10" s="75" t="s">
        <v>37</v>
      </c>
      <c r="K10" s="76" t="s">
        <v>38</v>
      </c>
      <c r="L10" s="62"/>
      <c r="M10" s="62"/>
      <c r="N10" s="63"/>
      <c r="O10" s="63"/>
      <c r="P10" s="63"/>
      <c r="Q10" s="63"/>
      <c r="R10" s="63"/>
      <c r="S10" s="63"/>
      <c r="T10" s="63"/>
      <c r="U10" s="63"/>
      <c r="V10" s="63"/>
      <c r="W10" s="63"/>
      <c r="X10" s="63"/>
      <c r="Y10" s="63"/>
      <c r="Z10" s="62"/>
    </row>
    <row r="11" ht="15.75" customHeight="1">
      <c r="A11" s="77">
        <v>1.0</v>
      </c>
      <c r="B11" s="78">
        <v>1.0</v>
      </c>
      <c r="C11" s="79" t="s">
        <v>39</v>
      </c>
      <c r="D11" s="80" t="s">
        <v>40</v>
      </c>
      <c r="E11" s="81" t="s">
        <v>41</v>
      </c>
      <c r="F11" s="82" t="s">
        <v>42</v>
      </c>
      <c r="G11" s="83" t="s">
        <v>43</v>
      </c>
      <c r="H11" s="84" t="str">
        <f t="shared" ref="H11:H12" si="1">IF(OR(G11=$J$11,G11=$J$12,G11=$J$13),$J$9,$J$8)</f>
        <v/>
      </c>
      <c r="I11" s="74">
        <f t="shared" ref="I11:I12" si="2">IF(G11=$J$11,$K$11,IF(G11=$J$12,$K$12,$K$13))</f>
        <v>3</v>
      </c>
      <c r="J11" s="61" t="s">
        <v>44</v>
      </c>
      <c r="K11" s="61">
        <v>3.0</v>
      </c>
      <c r="L11" s="62"/>
      <c r="M11" s="62"/>
      <c r="N11" s="63"/>
      <c r="O11" s="63"/>
      <c r="P11" s="63"/>
      <c r="Q11" s="63"/>
      <c r="R11" s="63"/>
      <c r="S11" s="63"/>
      <c r="T11" s="63"/>
      <c r="U11" s="63"/>
      <c r="V11" s="63"/>
      <c r="W11" s="63"/>
      <c r="X11" s="63"/>
      <c r="Y11" s="63"/>
      <c r="Z11" s="62"/>
    </row>
    <row r="12" ht="15.75" customHeight="1">
      <c r="A12" s="77">
        <f t="shared" ref="A12:A13" si="3">A11+1</f>
        <v>2</v>
      </c>
      <c r="B12" s="85"/>
      <c r="C12" s="86"/>
      <c r="D12" s="80" t="s">
        <v>45</v>
      </c>
      <c r="E12" s="81" t="s">
        <v>46</v>
      </c>
      <c r="F12" s="82" t="s">
        <v>47</v>
      </c>
      <c r="G12" s="83" t="s">
        <v>48</v>
      </c>
      <c r="H12" s="84" t="str">
        <f t="shared" si="1"/>
        <v/>
      </c>
      <c r="I12" s="74">
        <f t="shared" si="2"/>
        <v>1</v>
      </c>
      <c r="J12" s="61" t="s">
        <v>48</v>
      </c>
      <c r="K12" s="61">
        <v>1.0</v>
      </c>
      <c r="L12" s="62"/>
      <c r="M12" s="62"/>
      <c r="N12" s="63"/>
      <c r="O12" s="63"/>
      <c r="P12" s="63"/>
      <c r="Q12" s="63"/>
      <c r="R12" s="63"/>
      <c r="S12" s="63"/>
      <c r="T12" s="63"/>
      <c r="U12" s="63"/>
      <c r="V12" s="63"/>
      <c r="W12" s="63"/>
      <c r="X12" s="63"/>
      <c r="Y12" s="63"/>
      <c r="Z12" s="62"/>
    </row>
    <row r="13" ht="15.75" customHeight="1">
      <c r="A13" s="77">
        <f t="shared" si="3"/>
        <v>3</v>
      </c>
      <c r="B13" s="87"/>
      <c r="C13" s="88"/>
      <c r="D13" s="80" t="s">
        <v>49</v>
      </c>
      <c r="E13" s="81" t="s">
        <v>50</v>
      </c>
      <c r="F13" s="82" t="s">
        <v>51</v>
      </c>
      <c r="G13" s="83" t="s">
        <v>52</v>
      </c>
      <c r="H13" s="84" t="str">
        <f>IF(OR(G13=$J$16,G13=$J$17,G13=$J$18),$J$9,$J$8)</f>
        <v/>
      </c>
      <c r="I13" s="74">
        <f>IF(G13=$J$16,$K$16,IF(G13=$J$17,$K$17,$K$18))</f>
        <v>1</v>
      </c>
      <c r="J13" s="61" t="s">
        <v>43</v>
      </c>
      <c r="K13" s="61">
        <v>3.0</v>
      </c>
      <c r="L13" s="62"/>
      <c r="M13" s="62"/>
      <c r="N13" s="63"/>
      <c r="O13" s="63"/>
      <c r="P13" s="63"/>
      <c r="Q13" s="63"/>
      <c r="R13" s="63"/>
      <c r="S13" s="63"/>
      <c r="T13" s="63"/>
      <c r="U13" s="63"/>
      <c r="V13" s="63"/>
      <c r="W13" s="63"/>
      <c r="X13" s="63"/>
      <c r="Y13" s="63"/>
      <c r="Z13" s="62"/>
    </row>
    <row r="14" ht="15.75" customHeight="1">
      <c r="A14" s="77"/>
      <c r="B14" s="89"/>
      <c r="C14" s="89"/>
      <c r="D14" s="89"/>
      <c r="E14" s="89"/>
      <c r="F14" s="89"/>
      <c r="G14" s="89"/>
      <c r="H14" s="90"/>
      <c r="I14" s="61" t="str">
        <f>""</f>
        <v/>
      </c>
      <c r="J14" s="61"/>
      <c r="K14" s="61"/>
      <c r="L14" s="62"/>
      <c r="M14" s="62"/>
      <c r="N14" s="63"/>
      <c r="O14" s="63"/>
      <c r="P14" s="63"/>
      <c r="Q14" s="63"/>
      <c r="R14" s="63"/>
      <c r="S14" s="63"/>
      <c r="T14" s="63"/>
      <c r="U14" s="63"/>
      <c r="V14" s="63"/>
      <c r="W14" s="63"/>
      <c r="X14" s="63"/>
      <c r="Y14" s="63"/>
      <c r="Z14" s="62"/>
    </row>
    <row r="15" ht="15.75" customHeight="1">
      <c r="A15" s="77">
        <f t="shared" ref="A15:A17" si="4">A14+1</f>
        <v>1</v>
      </c>
      <c r="B15" s="78">
        <v>2.0</v>
      </c>
      <c r="C15" s="78" t="s">
        <v>53</v>
      </c>
      <c r="D15" s="80" t="s">
        <v>40</v>
      </c>
      <c r="E15" s="81" t="s">
        <v>54</v>
      </c>
      <c r="F15" s="82" t="s">
        <v>55</v>
      </c>
      <c r="G15" s="83" t="s">
        <v>48</v>
      </c>
      <c r="H15" s="84" t="str">
        <f t="shared" ref="H15:H16" si="5">IF(OR(G15=$J$11,G15=$J$12,G15=$J$13),$J$9,$J$8)</f>
        <v/>
      </c>
      <c r="I15" s="74">
        <f t="shared" ref="I15:I16" si="6">IF(G15=$J$11,$K$11,IF(G15=$J$12,$K$12,$K$13))</f>
        <v>1</v>
      </c>
      <c r="J15" s="75" t="s">
        <v>56</v>
      </c>
      <c r="K15" s="76" t="s">
        <v>57</v>
      </c>
      <c r="L15" s="62"/>
      <c r="M15" s="62"/>
      <c r="N15" s="63"/>
      <c r="O15" s="63"/>
      <c r="P15" s="63"/>
      <c r="Q15" s="63"/>
      <c r="R15" s="63"/>
      <c r="S15" s="63"/>
      <c r="T15" s="63"/>
      <c r="U15" s="63"/>
      <c r="V15" s="63"/>
      <c r="W15" s="63"/>
      <c r="X15" s="63"/>
      <c r="Y15" s="63"/>
      <c r="Z15" s="62"/>
    </row>
    <row r="16" ht="15.75" customHeight="1">
      <c r="A16" s="77">
        <f t="shared" si="4"/>
        <v>2</v>
      </c>
      <c r="B16" s="85"/>
      <c r="C16" s="85"/>
      <c r="D16" s="80" t="s">
        <v>45</v>
      </c>
      <c r="E16" s="81" t="s">
        <v>58</v>
      </c>
      <c r="F16" s="82" t="s">
        <v>59</v>
      </c>
      <c r="G16" s="83" t="s">
        <v>48</v>
      </c>
      <c r="H16" s="84" t="str">
        <f t="shared" si="5"/>
        <v/>
      </c>
      <c r="I16" s="74">
        <f t="shared" si="6"/>
        <v>1</v>
      </c>
      <c r="J16" s="61" t="s">
        <v>60</v>
      </c>
      <c r="K16" s="61">
        <v>3.0</v>
      </c>
      <c r="L16" s="62"/>
      <c r="M16" s="62"/>
      <c r="N16" s="63"/>
      <c r="O16" s="63"/>
      <c r="P16" s="63"/>
      <c r="Q16" s="63"/>
      <c r="R16" s="63"/>
      <c r="S16" s="63"/>
      <c r="T16" s="63"/>
      <c r="U16" s="63"/>
      <c r="V16" s="63"/>
      <c r="W16" s="63"/>
      <c r="X16" s="63"/>
      <c r="Y16" s="63"/>
      <c r="Z16" s="62"/>
    </row>
    <row r="17" ht="15.75" customHeight="1">
      <c r="A17" s="77">
        <f t="shared" si="4"/>
        <v>3</v>
      </c>
      <c r="B17" s="87"/>
      <c r="C17" s="87"/>
      <c r="D17" s="80" t="s">
        <v>49</v>
      </c>
      <c r="E17" s="81" t="s">
        <v>61</v>
      </c>
      <c r="F17" s="82" t="s">
        <v>62</v>
      </c>
      <c r="G17" s="83" t="s">
        <v>52</v>
      </c>
      <c r="H17" s="84" t="str">
        <f>IF(OR(G17=$J$16,G17=$J$17,G17=$J$18),$J$9,$J$8)</f>
        <v/>
      </c>
      <c r="I17" s="74">
        <f>IF(G17=$J$16,$K$16,IF(G17=$J$17,$K$17,$K$18))</f>
        <v>1</v>
      </c>
      <c r="J17" s="61" t="s">
        <v>63</v>
      </c>
      <c r="K17" s="61">
        <v>2.0</v>
      </c>
      <c r="L17" s="62"/>
      <c r="M17" s="62"/>
      <c r="N17" s="63"/>
      <c r="O17" s="63"/>
      <c r="P17" s="63"/>
      <c r="Q17" s="63"/>
      <c r="R17" s="63"/>
      <c r="S17" s="63"/>
      <c r="T17" s="63"/>
      <c r="U17" s="63"/>
      <c r="V17" s="63"/>
      <c r="W17" s="63"/>
      <c r="X17" s="63"/>
      <c r="Y17" s="63"/>
      <c r="Z17" s="62"/>
    </row>
    <row r="18" ht="15.75" customHeight="1">
      <c r="A18" s="77"/>
      <c r="B18" s="89"/>
      <c r="C18" s="89"/>
      <c r="D18" s="89"/>
      <c r="E18" s="89"/>
      <c r="F18" s="89"/>
      <c r="G18" s="89"/>
      <c r="H18" s="90"/>
      <c r="I18" s="74"/>
      <c r="J18" s="61" t="s">
        <v>52</v>
      </c>
      <c r="K18" s="61">
        <v>1.0</v>
      </c>
      <c r="L18" s="62"/>
      <c r="M18" s="62"/>
      <c r="N18" s="63"/>
      <c r="O18" s="63"/>
      <c r="P18" s="63"/>
      <c r="Q18" s="63"/>
      <c r="R18" s="63"/>
      <c r="S18" s="63"/>
      <c r="T18" s="63"/>
      <c r="U18" s="63"/>
      <c r="V18" s="63"/>
      <c r="W18" s="63"/>
      <c r="X18" s="63"/>
      <c r="Y18" s="63"/>
      <c r="Z18" s="62"/>
    </row>
    <row r="19" ht="15.75" customHeight="1">
      <c r="A19" s="77">
        <f t="shared" ref="A19:A22" si="7">A18+1</f>
        <v>1</v>
      </c>
      <c r="B19" s="78">
        <v>3.0</v>
      </c>
      <c r="C19" s="79" t="s">
        <v>64</v>
      </c>
      <c r="D19" s="80" t="s">
        <v>40</v>
      </c>
      <c r="E19" s="81" t="s">
        <v>65</v>
      </c>
      <c r="F19" s="82" t="s">
        <v>66</v>
      </c>
      <c r="G19" s="83" t="s">
        <v>52</v>
      </c>
      <c r="H19" s="84" t="str">
        <f t="shared" ref="H19:H20" si="8">IF(OR(G19=$J$31,G19=$J$32,G19=$J$33),$J$9,$J$8)</f>
        <v/>
      </c>
      <c r="I19" s="74">
        <f>IF(G19=$J$16,$K$16,IF(G19=$J$17,$K$17,$K$18))</f>
        <v>1</v>
      </c>
      <c r="J19" s="61"/>
      <c r="K19" s="91"/>
      <c r="L19" s="62"/>
      <c r="M19" s="62"/>
      <c r="N19" s="63"/>
      <c r="O19" s="63"/>
      <c r="P19" s="63"/>
      <c r="Q19" s="63"/>
      <c r="R19" s="63"/>
      <c r="S19" s="63"/>
      <c r="T19" s="63"/>
      <c r="U19" s="63"/>
      <c r="V19" s="63"/>
      <c r="W19" s="63"/>
      <c r="X19" s="63"/>
      <c r="Y19" s="63"/>
      <c r="Z19" s="62"/>
    </row>
    <row r="20" ht="15.75" customHeight="1">
      <c r="A20" s="77">
        <f t="shared" si="7"/>
        <v>2</v>
      </c>
      <c r="B20" s="85"/>
      <c r="C20" s="86"/>
      <c r="D20" s="80" t="s">
        <v>67</v>
      </c>
      <c r="E20" s="81" t="s">
        <v>68</v>
      </c>
      <c r="F20" s="82" t="s">
        <v>69</v>
      </c>
      <c r="G20" s="83" t="s">
        <v>60</v>
      </c>
      <c r="H20" s="84" t="str">
        <f t="shared" si="8"/>
        <v/>
      </c>
      <c r="I20" s="74">
        <f>IF(G20=$J$31,$K$31,IF(G20=$J$32,$K$32,$K$33))</f>
        <v>1</v>
      </c>
      <c r="J20" s="75" t="s">
        <v>70</v>
      </c>
      <c r="K20" s="76" t="s">
        <v>57</v>
      </c>
      <c r="L20" s="62"/>
      <c r="M20" s="62"/>
      <c r="N20" s="63"/>
      <c r="O20" s="63"/>
      <c r="P20" s="63"/>
      <c r="Q20" s="63"/>
      <c r="R20" s="63"/>
      <c r="S20" s="63"/>
      <c r="T20" s="63"/>
      <c r="U20" s="63"/>
      <c r="V20" s="63"/>
      <c r="W20" s="63"/>
      <c r="X20" s="63"/>
      <c r="Y20" s="63"/>
      <c r="Z20" s="62"/>
    </row>
    <row r="21" ht="15.75" customHeight="1">
      <c r="A21" s="77">
        <f t="shared" si="7"/>
        <v>3</v>
      </c>
      <c r="B21" s="85"/>
      <c r="C21" s="86"/>
      <c r="D21" s="80" t="s">
        <v>45</v>
      </c>
      <c r="E21" s="81" t="s">
        <v>71</v>
      </c>
      <c r="F21" s="82" t="s">
        <v>72</v>
      </c>
      <c r="G21" s="83" t="s">
        <v>73</v>
      </c>
      <c r="H21" s="84" t="str">
        <f>IF(OR(G21=$J$26,G21=$J$27,G21=$J$28),$J$9,$J$8)</f>
        <v/>
      </c>
      <c r="I21" s="74">
        <f>IF(G21=$J$26,$K$26,IF(G21=$J$27,$K$27,$K$28))</f>
        <v>1</v>
      </c>
      <c r="J21" s="61" t="s">
        <v>74</v>
      </c>
      <c r="K21" s="61">
        <v>3.0</v>
      </c>
      <c r="L21" s="62"/>
      <c r="M21" s="62"/>
      <c r="N21" s="63"/>
      <c r="O21" s="63"/>
      <c r="P21" s="63"/>
      <c r="Q21" s="63"/>
      <c r="R21" s="63"/>
      <c r="S21" s="63"/>
      <c r="T21" s="63"/>
      <c r="U21" s="63"/>
      <c r="V21" s="63"/>
      <c r="W21" s="63"/>
      <c r="X21" s="63"/>
      <c r="Y21" s="63"/>
      <c r="Z21" s="62"/>
    </row>
    <row r="22" ht="15.75" customHeight="1">
      <c r="A22" s="77">
        <f t="shared" si="7"/>
        <v>4</v>
      </c>
      <c r="B22" s="87"/>
      <c r="C22" s="88"/>
      <c r="D22" s="80" t="s">
        <v>49</v>
      </c>
      <c r="E22" s="81" t="s">
        <v>75</v>
      </c>
      <c r="F22" s="82" t="s">
        <v>76</v>
      </c>
      <c r="G22" s="83" t="s">
        <v>52</v>
      </c>
      <c r="H22" s="84" t="str">
        <f>IF(OR(G22=$J$31,G22=$J$32,G22=$J$33),$J$9,$J$8)</f>
        <v/>
      </c>
      <c r="I22" s="74">
        <f>IF(G22=$J$16,$K$16,IF(G22=$J$17,$K$17,$K$18))</f>
        <v>1</v>
      </c>
      <c r="J22" s="61" t="s">
        <v>63</v>
      </c>
      <c r="K22" s="61">
        <v>2.0</v>
      </c>
      <c r="L22" s="62"/>
      <c r="M22" s="62"/>
      <c r="N22" s="63"/>
      <c r="O22" s="63"/>
      <c r="P22" s="63"/>
      <c r="Q22" s="63"/>
      <c r="R22" s="63"/>
      <c r="S22" s="63"/>
      <c r="T22" s="63"/>
      <c r="U22" s="63"/>
      <c r="V22" s="63"/>
      <c r="W22" s="63"/>
      <c r="X22" s="63"/>
      <c r="Y22" s="63"/>
      <c r="Z22" s="62"/>
    </row>
    <row r="23" ht="15.75" customHeight="1">
      <c r="A23" s="77"/>
      <c r="B23" s="89"/>
      <c r="C23" s="89"/>
      <c r="D23" s="89"/>
      <c r="E23" s="89"/>
      <c r="F23" s="89"/>
      <c r="G23" s="89"/>
      <c r="H23" s="90"/>
      <c r="I23" s="61"/>
      <c r="J23" s="61" t="s">
        <v>77</v>
      </c>
      <c r="K23" s="61">
        <v>1.0</v>
      </c>
      <c r="L23" s="62"/>
      <c r="M23" s="62"/>
      <c r="N23" s="63"/>
      <c r="O23" s="63"/>
      <c r="P23" s="63"/>
      <c r="Q23" s="63"/>
      <c r="R23" s="63"/>
      <c r="S23" s="63"/>
      <c r="T23" s="63"/>
      <c r="U23" s="63"/>
      <c r="V23" s="63"/>
      <c r="W23" s="63"/>
      <c r="X23" s="63"/>
      <c r="Y23" s="63"/>
      <c r="Z23" s="62"/>
    </row>
    <row r="24" ht="15.75" customHeight="1">
      <c r="A24" s="77">
        <f t="shared" ref="A24:A28" si="9">A23+1</f>
        <v>1</v>
      </c>
      <c r="B24" s="78">
        <v>4.0</v>
      </c>
      <c r="C24" s="78" t="s">
        <v>78</v>
      </c>
      <c r="D24" s="80" t="s">
        <v>40</v>
      </c>
      <c r="E24" s="81" t="s">
        <v>79</v>
      </c>
      <c r="F24" s="82" t="s">
        <v>80</v>
      </c>
      <c r="G24" s="83" t="s">
        <v>52</v>
      </c>
      <c r="H24" s="84" t="str">
        <f>IF(OR(G24=$J$16,G24=$J$17,G24=$J$18),$J$9,$J$8)</f>
        <v/>
      </c>
      <c r="I24" s="74">
        <f>IF(G24=$J$16,$K$16,IF(G24=$J$17,$K$17,$K$18))</f>
        <v>1</v>
      </c>
      <c r="J24" s="61"/>
      <c r="K24" s="61"/>
      <c r="L24" s="62"/>
      <c r="M24" s="62"/>
      <c r="N24" s="63"/>
      <c r="O24" s="63"/>
      <c r="P24" s="63"/>
      <c r="Q24" s="63"/>
      <c r="R24" s="63"/>
      <c r="S24" s="63"/>
      <c r="T24" s="63"/>
      <c r="U24" s="63"/>
      <c r="V24" s="63"/>
      <c r="W24" s="63"/>
      <c r="X24" s="63"/>
      <c r="Y24" s="63"/>
      <c r="Z24" s="62"/>
    </row>
    <row r="25" ht="15.75" customHeight="1">
      <c r="A25" s="77">
        <f t="shared" si="9"/>
        <v>2</v>
      </c>
      <c r="B25" s="85"/>
      <c r="C25" s="85"/>
      <c r="D25" s="80" t="s">
        <v>67</v>
      </c>
      <c r="E25" s="81" t="s">
        <v>81</v>
      </c>
      <c r="F25" s="82" t="s">
        <v>82</v>
      </c>
      <c r="G25" s="83" t="s">
        <v>60</v>
      </c>
      <c r="H25" s="84" t="str">
        <f>IF(OR(G25=$J$31,G25=$J$32,G25=$J$33),$J$9,$J$8)</f>
        <v/>
      </c>
      <c r="I25" s="74">
        <f>IF(G25=$J$31,$K$31,IF(G25=$J$32,$K$32,$K$33))</f>
        <v>1</v>
      </c>
      <c r="J25" s="75" t="s">
        <v>83</v>
      </c>
      <c r="K25" s="76" t="s">
        <v>57</v>
      </c>
      <c r="L25" s="62"/>
      <c r="M25" s="62"/>
      <c r="N25" s="63"/>
      <c r="O25" s="63"/>
      <c r="P25" s="63"/>
      <c r="Q25" s="63"/>
      <c r="R25" s="63"/>
      <c r="S25" s="63"/>
      <c r="T25" s="63"/>
      <c r="U25" s="63"/>
      <c r="V25" s="63"/>
      <c r="W25" s="63"/>
      <c r="X25" s="63"/>
      <c r="Y25" s="63"/>
      <c r="Z25" s="62"/>
    </row>
    <row r="26" ht="15.75" customHeight="1">
      <c r="A26" s="77">
        <f t="shared" si="9"/>
        <v>3</v>
      </c>
      <c r="B26" s="85"/>
      <c r="C26" s="85"/>
      <c r="D26" s="80" t="s">
        <v>45</v>
      </c>
      <c r="E26" s="81" t="s">
        <v>84</v>
      </c>
      <c r="F26" s="82" t="s">
        <v>85</v>
      </c>
      <c r="G26" s="83" t="s">
        <v>86</v>
      </c>
      <c r="H26" s="84" t="str">
        <f>IF(OR(G26=$J$53,G26=$J$54,G26=$J$55),$J$9,$J$8)</f>
        <v/>
      </c>
      <c r="I26" s="74">
        <f>IF(G26=$J$53,$K$53,IF(G26=$J$54,$K$54,$K$55))</f>
        <v>1</v>
      </c>
      <c r="J26" s="61" t="s">
        <v>87</v>
      </c>
      <c r="K26" s="61">
        <v>3.0</v>
      </c>
      <c r="L26" s="62"/>
      <c r="M26" s="62"/>
      <c r="N26" s="63"/>
      <c r="O26" s="63"/>
      <c r="P26" s="63"/>
      <c r="Q26" s="63"/>
      <c r="R26" s="63"/>
      <c r="S26" s="63"/>
      <c r="T26" s="63"/>
      <c r="U26" s="63"/>
      <c r="V26" s="63"/>
      <c r="W26" s="63"/>
      <c r="X26" s="63"/>
      <c r="Y26" s="63"/>
      <c r="Z26" s="62"/>
    </row>
    <row r="27" ht="15.75" customHeight="1">
      <c r="A27" s="77">
        <f t="shared" si="9"/>
        <v>4</v>
      </c>
      <c r="B27" s="85"/>
      <c r="C27" s="85"/>
      <c r="D27" s="80" t="s">
        <v>88</v>
      </c>
      <c r="E27" s="81" t="s">
        <v>89</v>
      </c>
      <c r="F27" s="82" t="s">
        <v>85</v>
      </c>
      <c r="G27" s="83" t="s">
        <v>90</v>
      </c>
      <c r="H27" s="84" t="str">
        <f>IF(OR(G27=$J$58,G27=$J$59,G27=$J$60),$J$9,$J$8)</f>
        <v/>
      </c>
      <c r="I27" s="74">
        <f>IF(G27=$J$58,$K$58,IF(G27=$J$59,$K$59,$K$60))</f>
        <v>1</v>
      </c>
      <c r="J27" s="61" t="s">
        <v>73</v>
      </c>
      <c r="K27" s="61">
        <v>1.0</v>
      </c>
      <c r="L27" s="62"/>
      <c r="M27" s="62"/>
      <c r="N27" s="63"/>
      <c r="O27" s="63"/>
      <c r="P27" s="63"/>
      <c r="Q27" s="63"/>
      <c r="R27" s="63"/>
      <c r="S27" s="63"/>
      <c r="T27" s="63"/>
      <c r="U27" s="63"/>
      <c r="V27" s="63"/>
      <c r="W27" s="63"/>
      <c r="X27" s="63"/>
      <c r="Y27" s="63"/>
      <c r="Z27" s="62"/>
    </row>
    <row r="28" ht="15.75" customHeight="1">
      <c r="A28" s="77">
        <f t="shared" si="9"/>
        <v>5</v>
      </c>
      <c r="B28" s="87"/>
      <c r="C28" s="87"/>
      <c r="D28" s="80" t="s">
        <v>49</v>
      </c>
      <c r="E28" s="81" t="s">
        <v>91</v>
      </c>
      <c r="F28" s="82" t="s">
        <v>92</v>
      </c>
      <c r="G28" s="83" t="s">
        <v>77</v>
      </c>
      <c r="H28" s="84" t="str">
        <f>IF(OR(G28=$J$21,G28=$J$22,G28=$J$23),$J$9,$J$8)</f>
        <v/>
      </c>
      <c r="I28" s="74">
        <f>IF(G28=$J$21,$K$21,IF(G28=$J$22,$K$22,$K$23))</f>
        <v>1</v>
      </c>
      <c r="J28" s="61" t="s">
        <v>93</v>
      </c>
      <c r="K28" s="61">
        <v>2.0</v>
      </c>
      <c r="L28" s="62"/>
      <c r="M28" s="62"/>
      <c r="N28" s="63"/>
      <c r="O28" s="63"/>
      <c r="P28" s="63"/>
      <c r="Q28" s="63"/>
      <c r="R28" s="63"/>
      <c r="S28" s="63"/>
      <c r="T28" s="63"/>
      <c r="U28" s="63"/>
      <c r="V28" s="63"/>
      <c r="W28" s="63"/>
      <c r="X28" s="63"/>
      <c r="Y28" s="63"/>
      <c r="Z28" s="62"/>
    </row>
    <row r="29" ht="15.75" customHeight="1">
      <c r="A29" s="77"/>
      <c r="B29" s="89"/>
      <c r="C29" s="89"/>
      <c r="D29" s="89"/>
      <c r="E29" s="89"/>
      <c r="F29" s="89"/>
      <c r="G29" s="89"/>
      <c r="H29" s="90"/>
      <c r="I29" s="74"/>
      <c r="J29" s="61"/>
      <c r="K29" s="61"/>
      <c r="L29" s="62"/>
      <c r="M29" s="62"/>
      <c r="N29" s="63"/>
      <c r="O29" s="63"/>
      <c r="P29" s="63"/>
      <c r="Q29" s="63"/>
      <c r="R29" s="63"/>
      <c r="S29" s="63"/>
      <c r="T29" s="63"/>
      <c r="U29" s="63"/>
      <c r="V29" s="63"/>
      <c r="W29" s="63"/>
      <c r="X29" s="63"/>
      <c r="Y29" s="63"/>
      <c r="Z29" s="62"/>
    </row>
    <row r="30" ht="15.75" customHeight="1">
      <c r="A30" s="77">
        <f t="shared" ref="A30:A34" si="10">A29+1</f>
        <v>1</v>
      </c>
      <c r="B30" s="78">
        <v>5.0</v>
      </c>
      <c r="C30" s="78" t="s">
        <v>94</v>
      </c>
      <c r="D30" s="80" t="s">
        <v>40</v>
      </c>
      <c r="E30" s="81" t="s">
        <v>95</v>
      </c>
      <c r="F30" s="82" t="s">
        <v>96</v>
      </c>
      <c r="G30" s="83" t="s">
        <v>52</v>
      </c>
      <c r="H30" s="84" t="str">
        <f>IF(OR(G30=$J$16,G30=$J$17,G30=$J$18),$J$9,$J$8)</f>
        <v/>
      </c>
      <c r="I30" s="74">
        <f t="shared" ref="I30:I31" si="11">IF(G30=$J$16,$K$16,IF(G30=$J$17,$K$17,$K$18))</f>
        <v>1</v>
      </c>
      <c r="J30" s="75" t="s">
        <v>97</v>
      </c>
      <c r="K30" s="76" t="s">
        <v>98</v>
      </c>
      <c r="L30" s="62"/>
      <c r="M30" s="62"/>
      <c r="N30" s="63"/>
      <c r="O30" s="63"/>
      <c r="P30" s="63"/>
      <c r="Q30" s="63"/>
      <c r="R30" s="63"/>
      <c r="S30" s="63"/>
      <c r="T30" s="63"/>
      <c r="U30" s="63"/>
      <c r="V30" s="63"/>
      <c r="W30" s="63"/>
      <c r="X30" s="63"/>
      <c r="Y30" s="63"/>
      <c r="Z30" s="62"/>
    </row>
    <row r="31" ht="15.75" customHeight="1">
      <c r="A31" s="77">
        <f t="shared" si="10"/>
        <v>2</v>
      </c>
      <c r="B31" s="85"/>
      <c r="C31" s="85"/>
      <c r="D31" s="80" t="s">
        <v>67</v>
      </c>
      <c r="E31" s="81" t="s">
        <v>99</v>
      </c>
      <c r="F31" s="82" t="s">
        <v>100</v>
      </c>
      <c r="G31" s="83" t="s">
        <v>52</v>
      </c>
      <c r="H31" s="84" t="str">
        <f>IF(OR(G31=$J$31,G31=$J$32,G31=$J$33),$J$9,$J$8)</f>
        <v/>
      </c>
      <c r="I31" s="74">
        <f t="shared" si="11"/>
        <v>1</v>
      </c>
      <c r="J31" s="61" t="s">
        <v>60</v>
      </c>
      <c r="K31" s="61">
        <v>1.0</v>
      </c>
      <c r="L31" s="62"/>
      <c r="M31" s="62"/>
      <c r="N31" s="63"/>
      <c r="O31" s="63"/>
      <c r="P31" s="63"/>
      <c r="Q31" s="63"/>
      <c r="R31" s="63"/>
      <c r="S31" s="63"/>
      <c r="T31" s="63"/>
      <c r="U31" s="63"/>
      <c r="V31" s="63"/>
      <c r="W31" s="63"/>
      <c r="X31" s="63"/>
      <c r="Y31" s="63"/>
      <c r="Z31" s="62"/>
    </row>
    <row r="32" ht="15.75" customHeight="1">
      <c r="A32" s="77">
        <f t="shared" si="10"/>
        <v>3</v>
      </c>
      <c r="B32" s="85"/>
      <c r="C32" s="85"/>
      <c r="D32" s="80" t="s">
        <v>45</v>
      </c>
      <c r="E32" s="81" t="s">
        <v>101</v>
      </c>
      <c r="F32" s="82" t="s">
        <v>102</v>
      </c>
      <c r="G32" s="83" t="s">
        <v>86</v>
      </c>
      <c r="H32" s="84" t="str">
        <f>IF(OR(G32=$J$53,G32=$J$54,G32=$J$55),$J$9,$J$8)</f>
        <v/>
      </c>
      <c r="I32" s="74">
        <f>IF(G32=$J$53,$K$53,IF(G32=$J$54,$K$54,$K$55))</f>
        <v>1</v>
      </c>
      <c r="J32" s="61" t="s">
        <v>63</v>
      </c>
      <c r="K32" s="61">
        <v>2.0</v>
      </c>
      <c r="L32" s="62"/>
      <c r="M32" s="62"/>
      <c r="N32" s="63"/>
      <c r="O32" s="63"/>
      <c r="P32" s="63"/>
      <c r="Q32" s="63"/>
      <c r="R32" s="63"/>
      <c r="S32" s="63"/>
      <c r="T32" s="63"/>
      <c r="U32" s="63"/>
      <c r="V32" s="63"/>
      <c r="W32" s="63"/>
      <c r="X32" s="63"/>
      <c r="Y32" s="63"/>
      <c r="Z32" s="62"/>
    </row>
    <row r="33" ht="15.75" customHeight="1">
      <c r="A33" s="77">
        <f t="shared" si="10"/>
        <v>4</v>
      </c>
      <c r="B33" s="85"/>
      <c r="C33" s="85"/>
      <c r="D33" s="80" t="s">
        <v>88</v>
      </c>
      <c r="E33" s="81" t="s">
        <v>103</v>
      </c>
      <c r="F33" s="82" t="s">
        <v>102</v>
      </c>
      <c r="G33" s="83" t="s">
        <v>90</v>
      </c>
      <c r="H33" s="84" t="str">
        <f>IF(OR(G33=$J$58,G33=$J$59,G33=$J$60),$J$9,$J$8)</f>
        <v/>
      </c>
      <c r="I33" s="74">
        <f>IF(G33=$J$58,$K$58,IF(G33=$J$59,$K$59,$K$60))</f>
        <v>1</v>
      </c>
      <c r="J33" s="61" t="s">
        <v>52</v>
      </c>
      <c r="K33" s="61">
        <v>3.0</v>
      </c>
      <c r="L33" s="62"/>
      <c r="M33" s="62"/>
      <c r="N33" s="63"/>
      <c r="O33" s="63"/>
      <c r="P33" s="63"/>
      <c r="Q33" s="63"/>
      <c r="R33" s="63"/>
      <c r="S33" s="63"/>
      <c r="T33" s="63"/>
      <c r="U33" s="63"/>
      <c r="V33" s="63"/>
      <c r="W33" s="63"/>
      <c r="X33" s="63"/>
      <c r="Y33" s="63"/>
      <c r="Z33" s="62"/>
    </row>
    <row r="34" ht="15.75" customHeight="1">
      <c r="A34" s="77">
        <f t="shared" si="10"/>
        <v>5</v>
      </c>
      <c r="B34" s="87"/>
      <c r="C34" s="87"/>
      <c r="D34" s="80" t="s">
        <v>49</v>
      </c>
      <c r="E34" s="81" t="s">
        <v>104</v>
      </c>
      <c r="F34" s="82" t="s">
        <v>105</v>
      </c>
      <c r="G34" s="83" t="s">
        <v>77</v>
      </c>
      <c r="H34" s="84" t="str">
        <f>IF(OR(G34=$J$21,G34=$J$22,G34=$J$23),$J$9,$J$8)</f>
        <v/>
      </c>
      <c r="I34" s="74">
        <f>IF(G34=$J$21,$K$21,IF(G34=$J$22,$K$22,$K$23))</f>
        <v>1</v>
      </c>
      <c r="J34" s="61"/>
      <c r="K34" s="61"/>
      <c r="L34" s="62"/>
      <c r="M34" s="62"/>
      <c r="N34" s="63"/>
      <c r="O34" s="63"/>
      <c r="P34" s="63"/>
      <c r="Q34" s="63"/>
      <c r="R34" s="63"/>
      <c r="S34" s="63"/>
      <c r="T34" s="63"/>
      <c r="U34" s="63"/>
      <c r="V34" s="63"/>
      <c r="W34" s="63"/>
      <c r="X34" s="63"/>
      <c r="Y34" s="63"/>
      <c r="Z34" s="62"/>
    </row>
    <row r="35" ht="15.75" customHeight="1">
      <c r="A35" s="77"/>
      <c r="B35" s="89"/>
      <c r="C35" s="89"/>
      <c r="D35" s="89"/>
      <c r="E35" s="89"/>
      <c r="F35" s="89"/>
      <c r="G35" s="89"/>
      <c r="H35" s="90"/>
      <c r="I35" s="74"/>
      <c r="J35" s="75" t="s">
        <v>106</v>
      </c>
      <c r="K35" s="76" t="s">
        <v>107</v>
      </c>
      <c r="L35" s="62"/>
      <c r="M35" s="62"/>
      <c r="N35" s="63"/>
      <c r="O35" s="63"/>
      <c r="P35" s="63"/>
      <c r="Q35" s="63"/>
      <c r="R35" s="63"/>
      <c r="S35" s="63"/>
      <c r="T35" s="63"/>
      <c r="U35" s="63"/>
      <c r="V35" s="63"/>
      <c r="W35" s="63"/>
      <c r="X35" s="63"/>
      <c r="Y35" s="63"/>
      <c r="Z35" s="62"/>
    </row>
    <row r="36" ht="15.75" customHeight="1">
      <c r="A36" s="77">
        <f>A28+1</f>
        <v>6</v>
      </c>
      <c r="B36" s="78">
        <v>6.0</v>
      </c>
      <c r="C36" s="78" t="s">
        <v>108</v>
      </c>
      <c r="D36" s="80" t="s">
        <v>40</v>
      </c>
      <c r="E36" s="81" t="s">
        <v>109</v>
      </c>
      <c r="F36" s="82" t="s">
        <v>110</v>
      </c>
      <c r="G36" s="83" t="s">
        <v>48</v>
      </c>
      <c r="H36" s="84" t="str">
        <f t="shared" ref="H36:H37" si="12">IF(OR(G36=$J$11,G36=$J$12,G36=$J$13),$J$9,$J$8)</f>
        <v/>
      </c>
      <c r="I36" s="74">
        <f t="shared" ref="I36:I37" si="13">IF(G36=$J$11,$K$11,IF(G36=$J$12,$K$12,$K$13))</f>
        <v>1</v>
      </c>
      <c r="J36" s="61" t="s">
        <v>111</v>
      </c>
      <c r="K36" s="61">
        <v>3.0</v>
      </c>
      <c r="L36" s="62"/>
      <c r="M36" s="62"/>
      <c r="N36" s="63"/>
      <c r="O36" s="63"/>
      <c r="P36" s="63"/>
      <c r="Q36" s="63"/>
      <c r="R36" s="63"/>
      <c r="S36" s="63"/>
      <c r="T36" s="63"/>
      <c r="U36" s="63"/>
      <c r="V36" s="63"/>
      <c r="W36" s="63"/>
      <c r="X36" s="63"/>
      <c r="Y36" s="63"/>
      <c r="Z36" s="62"/>
    </row>
    <row r="37" ht="15.75" customHeight="1">
      <c r="A37" s="77">
        <f t="shared" ref="A37:A38" si="14">A36+1</f>
        <v>7</v>
      </c>
      <c r="B37" s="85"/>
      <c r="C37" s="85"/>
      <c r="D37" s="80" t="s">
        <v>45</v>
      </c>
      <c r="E37" s="81" t="s">
        <v>112</v>
      </c>
      <c r="F37" s="82" t="s">
        <v>113</v>
      </c>
      <c r="G37" s="83" t="s">
        <v>48</v>
      </c>
      <c r="H37" s="84" t="str">
        <f t="shared" si="12"/>
        <v/>
      </c>
      <c r="I37" s="74">
        <f t="shared" si="13"/>
        <v>1</v>
      </c>
      <c r="J37" s="61" t="s">
        <v>114</v>
      </c>
      <c r="K37" s="61">
        <v>2.0</v>
      </c>
      <c r="L37" s="62"/>
      <c r="M37" s="62"/>
      <c r="N37" s="63"/>
      <c r="O37" s="63"/>
      <c r="P37" s="63"/>
      <c r="Q37" s="63"/>
      <c r="R37" s="63"/>
      <c r="S37" s="63"/>
      <c r="T37" s="63"/>
      <c r="U37" s="63"/>
      <c r="V37" s="63"/>
      <c r="W37" s="63"/>
      <c r="X37" s="63"/>
      <c r="Y37" s="63"/>
      <c r="Z37" s="62"/>
    </row>
    <row r="38" ht="15.75" customHeight="1">
      <c r="A38" s="77">
        <f t="shared" si="14"/>
        <v>8</v>
      </c>
      <c r="B38" s="85"/>
      <c r="C38" s="85"/>
      <c r="D38" s="80" t="s">
        <v>49</v>
      </c>
      <c r="E38" s="81" t="s">
        <v>115</v>
      </c>
      <c r="F38" s="82" t="s">
        <v>116</v>
      </c>
      <c r="G38" s="83" t="s">
        <v>52</v>
      </c>
      <c r="H38" s="84" t="str">
        <f>IF(OR(G38=$J$16,G38=$J$17,G38=$J$18),$J$9,$J$8)</f>
        <v/>
      </c>
      <c r="I38" s="74">
        <f>IF(G38=$J$16,$K$16,IF(G38=$J$17,$K$17,$K$18))</f>
        <v>1</v>
      </c>
      <c r="J38" s="61" t="s">
        <v>117</v>
      </c>
      <c r="K38" s="61">
        <v>1.0</v>
      </c>
      <c r="L38" s="62"/>
      <c r="M38" s="62"/>
      <c r="N38" s="63"/>
      <c r="O38" s="63"/>
      <c r="P38" s="63"/>
      <c r="Q38" s="63"/>
      <c r="R38" s="63"/>
      <c r="S38" s="63"/>
      <c r="T38" s="63"/>
      <c r="U38" s="63"/>
      <c r="V38" s="63"/>
      <c r="W38" s="63"/>
      <c r="X38" s="63"/>
      <c r="Y38" s="63"/>
      <c r="Z38" s="62"/>
    </row>
    <row r="39" ht="15.75" customHeight="1">
      <c r="A39" s="77"/>
      <c r="B39" s="89"/>
      <c r="C39" s="89"/>
      <c r="D39" s="89"/>
      <c r="E39" s="89"/>
      <c r="F39" s="89"/>
      <c r="G39" s="89"/>
      <c r="H39" s="90"/>
      <c r="I39" s="74"/>
      <c r="J39" s="61"/>
      <c r="K39" s="61"/>
      <c r="L39" s="62"/>
      <c r="M39" s="62"/>
      <c r="N39" s="63"/>
      <c r="O39" s="63"/>
      <c r="P39" s="63"/>
      <c r="Q39" s="63"/>
      <c r="R39" s="63"/>
      <c r="S39" s="63"/>
      <c r="T39" s="63"/>
      <c r="U39" s="63"/>
      <c r="V39" s="63"/>
      <c r="W39" s="63"/>
      <c r="X39" s="63"/>
      <c r="Y39" s="63"/>
      <c r="Z39" s="62"/>
    </row>
    <row r="40" ht="15.75" customHeight="1">
      <c r="A40" s="77">
        <f t="shared" ref="A40:A42" si="15">A39+1</f>
        <v>1</v>
      </c>
      <c r="B40" s="78">
        <v>7.0</v>
      </c>
      <c r="C40" s="78" t="s">
        <v>118</v>
      </c>
      <c r="D40" s="80" t="s">
        <v>40</v>
      </c>
      <c r="E40" s="81" t="s">
        <v>119</v>
      </c>
      <c r="F40" s="82" t="s">
        <v>120</v>
      </c>
      <c r="G40" s="83" t="s">
        <v>117</v>
      </c>
      <c r="H40" s="84" t="str">
        <f>IF(OR(G40=$J$36,G40=$J$37,G40=$J$38),$J$9,$J$8)</f>
        <v/>
      </c>
      <c r="I40" s="74">
        <f>IF(G40=$J$36,$K$36,IF(G40=$J$37,$K$37,$K$38))</f>
        <v>1</v>
      </c>
      <c r="J40" s="61"/>
      <c r="K40" s="61"/>
      <c r="L40" s="62"/>
      <c r="M40" s="62"/>
      <c r="N40" s="63"/>
      <c r="O40" s="63"/>
      <c r="P40" s="63"/>
      <c r="Q40" s="63"/>
      <c r="R40" s="63"/>
      <c r="S40" s="63"/>
      <c r="T40" s="63"/>
      <c r="U40" s="63"/>
      <c r="V40" s="63"/>
      <c r="W40" s="63"/>
      <c r="X40" s="63"/>
      <c r="Y40" s="63"/>
      <c r="Z40" s="62"/>
    </row>
    <row r="41" ht="15.75" customHeight="1">
      <c r="A41" s="77">
        <f t="shared" si="15"/>
        <v>2</v>
      </c>
      <c r="B41" s="85"/>
      <c r="C41" s="85"/>
      <c r="D41" s="80" t="s">
        <v>45</v>
      </c>
      <c r="E41" s="81" t="s">
        <v>121</v>
      </c>
      <c r="F41" s="82" t="s">
        <v>122</v>
      </c>
      <c r="G41" s="83" t="s">
        <v>123</v>
      </c>
      <c r="H41" s="84" t="str">
        <f>IF(OR(G41=$J$42,G41=$J$43,G41=$J$44),$J$9,$J$8)</f>
        <v/>
      </c>
      <c r="I41" s="74">
        <f>IF(G41=$J$42,$K$42,IF(G41=$J$43,$K$43,$K$44))</f>
        <v>1</v>
      </c>
      <c r="J41" s="75" t="s">
        <v>124</v>
      </c>
      <c r="K41" s="76" t="s">
        <v>57</v>
      </c>
      <c r="L41" s="62"/>
      <c r="M41" s="62"/>
      <c r="N41" s="63"/>
      <c r="O41" s="63"/>
      <c r="P41" s="63"/>
      <c r="Q41" s="63"/>
      <c r="R41" s="63"/>
      <c r="S41" s="63"/>
      <c r="T41" s="63"/>
      <c r="U41" s="63"/>
      <c r="V41" s="63"/>
      <c r="W41" s="63"/>
      <c r="X41" s="63"/>
      <c r="Y41" s="63"/>
      <c r="Z41" s="62"/>
    </row>
    <row r="42" ht="15.75" customHeight="1">
      <c r="A42" s="77">
        <f t="shared" si="15"/>
        <v>3</v>
      </c>
      <c r="B42" s="87"/>
      <c r="C42" s="85"/>
      <c r="D42" s="80" t="s">
        <v>49</v>
      </c>
      <c r="E42" s="81" t="s">
        <v>125</v>
      </c>
      <c r="F42" s="82" t="s">
        <v>126</v>
      </c>
      <c r="G42" s="83" t="s">
        <v>52</v>
      </c>
      <c r="H42" s="84" t="str">
        <f>IF(OR(G42=$J$16,G42=$J$17,G42=$J$18),$J$9,$J$8)</f>
        <v/>
      </c>
      <c r="I42" s="74">
        <f>IF(G42=$J$16,$K$16,IF(G42=$J$17,$K$17,$K$18))</f>
        <v>1</v>
      </c>
      <c r="J42" s="61" t="s">
        <v>127</v>
      </c>
      <c r="K42" s="61">
        <v>3.0</v>
      </c>
      <c r="L42" s="62"/>
      <c r="M42" s="62"/>
      <c r="N42" s="63"/>
      <c r="O42" s="63"/>
      <c r="P42" s="63"/>
      <c r="Q42" s="63"/>
      <c r="R42" s="63"/>
      <c r="S42" s="63"/>
      <c r="T42" s="63"/>
      <c r="U42" s="63"/>
      <c r="V42" s="63"/>
      <c r="W42" s="63"/>
      <c r="X42" s="63"/>
      <c r="Y42" s="63"/>
      <c r="Z42" s="62"/>
    </row>
    <row r="43" ht="15.75" customHeight="1">
      <c r="A43" s="77"/>
      <c r="B43" s="89"/>
      <c r="C43" s="89"/>
      <c r="D43" s="89"/>
      <c r="E43" s="89"/>
      <c r="F43" s="89"/>
      <c r="G43" s="89"/>
      <c r="H43" s="90"/>
      <c r="I43" s="74"/>
      <c r="J43" s="61" t="s">
        <v>77</v>
      </c>
      <c r="K43" s="61">
        <v>2.0</v>
      </c>
      <c r="L43" s="62"/>
      <c r="M43" s="62"/>
      <c r="N43" s="63"/>
      <c r="O43" s="63"/>
      <c r="P43" s="63"/>
      <c r="Q43" s="63"/>
      <c r="R43" s="63"/>
      <c r="S43" s="63"/>
      <c r="T43" s="63"/>
      <c r="U43" s="63"/>
      <c r="V43" s="63"/>
      <c r="W43" s="63"/>
      <c r="X43" s="63"/>
      <c r="Y43" s="63"/>
      <c r="Z43" s="62"/>
    </row>
    <row r="44" ht="15.75" customHeight="1">
      <c r="A44" s="77">
        <f t="shared" ref="A44:A46" si="16">A43+1</f>
        <v>1</v>
      </c>
      <c r="B44" s="78">
        <v>8.0</v>
      </c>
      <c r="C44" s="78" t="s">
        <v>128</v>
      </c>
      <c r="D44" s="80" t="s">
        <v>129</v>
      </c>
      <c r="E44" s="81" t="s">
        <v>130</v>
      </c>
      <c r="F44" s="82" t="s">
        <v>131</v>
      </c>
      <c r="G44" s="83" t="s">
        <v>52</v>
      </c>
      <c r="H44" s="84" t="str">
        <f>IF(OR(G44=$J$47,G44=$J$48,G44=$J$49),$J$9,$J$8)</f>
        <v/>
      </c>
      <c r="I44" s="74">
        <f>IF(G44=$J$47,$K$47,IF(G44=$J$48,$K$48,$K$49))</f>
        <v>1</v>
      </c>
      <c r="J44" s="61" t="s">
        <v>123</v>
      </c>
      <c r="K44" s="61">
        <v>1.0</v>
      </c>
      <c r="L44" s="62"/>
      <c r="M44" s="62"/>
      <c r="N44" s="63"/>
      <c r="O44" s="63"/>
      <c r="P44" s="63"/>
      <c r="Q44" s="63"/>
      <c r="R44" s="63"/>
      <c r="S44" s="63"/>
      <c r="T44" s="63"/>
      <c r="U44" s="63"/>
      <c r="V44" s="63"/>
      <c r="W44" s="63"/>
      <c r="X44" s="63"/>
      <c r="Y44" s="63"/>
      <c r="Z44" s="62"/>
    </row>
    <row r="45" ht="15.75" customHeight="1">
      <c r="A45" s="77">
        <f t="shared" si="16"/>
        <v>2</v>
      </c>
      <c r="B45" s="85"/>
      <c r="C45" s="85"/>
      <c r="D45" s="80" t="s">
        <v>49</v>
      </c>
      <c r="E45" s="81" t="s">
        <v>132</v>
      </c>
      <c r="F45" s="82" t="s">
        <v>133</v>
      </c>
      <c r="G45" s="83" t="s">
        <v>52</v>
      </c>
      <c r="H45" s="84" t="str">
        <f>IF(OR(G45=$J$16,G45=$J$17,G45=$J$18),$J$9,$J$8)</f>
        <v/>
      </c>
      <c r="I45" s="74">
        <f t="shared" ref="I45:I46" si="17">IF(G45=$J$16,$K$16,IF(G45=$J$17,$K$17,$K$18))</f>
        <v>1</v>
      </c>
      <c r="J45" s="75"/>
      <c r="K45" s="76"/>
      <c r="L45" s="62"/>
      <c r="M45" s="62"/>
      <c r="N45" s="63"/>
      <c r="O45" s="63"/>
      <c r="P45" s="63"/>
      <c r="Q45" s="63"/>
      <c r="R45" s="63"/>
      <c r="S45" s="63"/>
      <c r="T45" s="63"/>
      <c r="U45" s="63"/>
      <c r="V45" s="63"/>
      <c r="W45" s="63"/>
      <c r="X45" s="63"/>
      <c r="Y45" s="63"/>
      <c r="Z45" s="62"/>
    </row>
    <row r="46" ht="15.75" customHeight="1">
      <c r="A46" s="77">
        <f t="shared" si="16"/>
        <v>3</v>
      </c>
      <c r="B46" s="87"/>
      <c r="C46" s="85"/>
      <c r="D46" s="80" t="s">
        <v>134</v>
      </c>
      <c r="E46" s="81" t="s">
        <v>135</v>
      </c>
      <c r="F46" s="82" t="s">
        <v>136</v>
      </c>
      <c r="G46" s="83" t="s">
        <v>52</v>
      </c>
      <c r="H46" s="84" t="str">
        <f>IF(OR(G46=$J$31,G46=$J$32,G46=$J$33),$J$9,$J$8)</f>
        <v/>
      </c>
      <c r="I46" s="74">
        <f t="shared" si="17"/>
        <v>1</v>
      </c>
      <c r="J46" s="75" t="s">
        <v>137</v>
      </c>
      <c r="K46" s="76" t="s">
        <v>57</v>
      </c>
      <c r="L46" s="62"/>
      <c r="M46" s="62"/>
      <c r="N46" s="63"/>
      <c r="O46" s="63"/>
      <c r="P46" s="63"/>
      <c r="Q46" s="63"/>
      <c r="R46" s="63"/>
      <c r="S46" s="63"/>
      <c r="T46" s="63"/>
      <c r="U46" s="63"/>
      <c r="V46" s="63"/>
      <c r="W46" s="63"/>
      <c r="X46" s="63"/>
      <c r="Y46" s="63"/>
      <c r="Z46" s="62"/>
    </row>
    <row r="47" ht="15.75" customHeight="1">
      <c r="A47" s="77"/>
      <c r="B47" s="89"/>
      <c r="C47" s="89"/>
      <c r="D47" s="89"/>
      <c r="E47" s="89"/>
      <c r="F47" s="89"/>
      <c r="G47" s="89"/>
      <c r="H47" s="90"/>
      <c r="I47" s="74"/>
      <c r="J47" s="61" t="s">
        <v>60</v>
      </c>
      <c r="K47" s="61">
        <v>3.0</v>
      </c>
      <c r="L47" s="62"/>
      <c r="M47" s="62"/>
      <c r="N47" s="63"/>
      <c r="O47" s="63"/>
      <c r="P47" s="63"/>
      <c r="Q47" s="63"/>
      <c r="R47" s="63"/>
      <c r="S47" s="63"/>
      <c r="T47" s="63"/>
      <c r="U47" s="63"/>
      <c r="V47" s="63"/>
      <c r="W47" s="63"/>
      <c r="X47" s="63"/>
      <c r="Y47" s="63"/>
      <c r="Z47" s="62"/>
    </row>
    <row r="48" ht="15.75" customHeight="1">
      <c r="A48" s="77">
        <f t="shared" ref="A48:A55" si="18">A47+1</f>
        <v>1</v>
      </c>
      <c r="B48" s="78">
        <v>9.0</v>
      </c>
      <c r="C48" s="78" t="s">
        <v>138</v>
      </c>
      <c r="D48" s="80" t="s">
        <v>139</v>
      </c>
      <c r="E48" s="81" t="s">
        <v>140</v>
      </c>
      <c r="F48" s="82" t="s">
        <v>141</v>
      </c>
      <c r="G48" s="83" t="s">
        <v>77</v>
      </c>
      <c r="H48" s="84" t="str">
        <f t="shared" ref="H48:H52" si="19">IF(OR(G48=$J$21,G48=$J$22,G48=$J$23),$J$9,$J$8)</f>
        <v/>
      </c>
      <c r="I48" s="74">
        <f t="shared" ref="I48:I52" si="20">IF(G48=$J$21,$K$21,IF(G48=$J$22,$K$22,$K$23))</f>
        <v>1</v>
      </c>
      <c r="J48" s="61" t="s">
        <v>142</v>
      </c>
      <c r="K48" s="61">
        <v>2.0</v>
      </c>
      <c r="L48" s="62"/>
      <c r="M48" s="62"/>
      <c r="N48" s="63"/>
      <c r="O48" s="63"/>
      <c r="P48" s="63"/>
      <c r="Q48" s="63"/>
      <c r="R48" s="63"/>
      <c r="S48" s="63"/>
      <c r="T48" s="63"/>
      <c r="U48" s="63"/>
      <c r="V48" s="63"/>
      <c r="W48" s="63"/>
      <c r="X48" s="63"/>
      <c r="Y48" s="63"/>
      <c r="Z48" s="62"/>
    </row>
    <row r="49" ht="15.75" customHeight="1">
      <c r="A49" s="77">
        <f t="shared" si="18"/>
        <v>2</v>
      </c>
      <c r="B49" s="85"/>
      <c r="C49" s="85"/>
      <c r="D49" s="80" t="s">
        <v>143</v>
      </c>
      <c r="E49" s="81" t="s">
        <v>144</v>
      </c>
      <c r="F49" s="82" t="s">
        <v>145</v>
      </c>
      <c r="G49" s="83" t="s">
        <v>77</v>
      </c>
      <c r="H49" s="84" t="str">
        <f t="shared" si="19"/>
        <v/>
      </c>
      <c r="I49" s="74">
        <f t="shared" si="20"/>
        <v>1</v>
      </c>
      <c r="J49" s="61" t="s">
        <v>52</v>
      </c>
      <c r="K49" s="61">
        <v>1.0</v>
      </c>
      <c r="L49" s="62"/>
      <c r="M49" s="62"/>
      <c r="N49" s="63"/>
      <c r="O49" s="63"/>
      <c r="P49" s="63"/>
      <c r="Q49" s="63"/>
      <c r="R49" s="63"/>
      <c r="S49" s="63"/>
      <c r="T49" s="63"/>
      <c r="U49" s="63"/>
      <c r="V49" s="63"/>
      <c r="W49" s="63"/>
      <c r="X49" s="63"/>
      <c r="Y49" s="63"/>
      <c r="Z49" s="62"/>
    </row>
    <row r="50" ht="15.75" customHeight="1">
      <c r="A50" s="77">
        <f t="shared" si="18"/>
        <v>3</v>
      </c>
      <c r="B50" s="85"/>
      <c r="C50" s="85"/>
      <c r="D50" s="80" t="s">
        <v>146</v>
      </c>
      <c r="E50" s="81" t="s">
        <v>147</v>
      </c>
      <c r="F50" s="82" t="s">
        <v>148</v>
      </c>
      <c r="G50" s="83" t="s">
        <v>77</v>
      </c>
      <c r="H50" s="84" t="str">
        <f t="shared" si="19"/>
        <v/>
      </c>
      <c r="I50" s="74">
        <f t="shared" si="20"/>
        <v>1</v>
      </c>
      <c r="J50" s="61"/>
      <c r="K50" s="61"/>
      <c r="L50" s="62"/>
      <c r="M50" s="62"/>
      <c r="N50" s="63"/>
      <c r="O50" s="63"/>
      <c r="P50" s="63"/>
      <c r="Q50" s="63"/>
      <c r="R50" s="63"/>
      <c r="S50" s="63"/>
      <c r="T50" s="63"/>
      <c r="U50" s="63"/>
      <c r="V50" s="63"/>
      <c r="W50" s="63"/>
      <c r="X50" s="63"/>
      <c r="Y50" s="63"/>
      <c r="Z50" s="62"/>
    </row>
    <row r="51" ht="15.75" customHeight="1">
      <c r="A51" s="77">
        <f t="shared" si="18"/>
        <v>4</v>
      </c>
      <c r="B51" s="85"/>
      <c r="C51" s="85"/>
      <c r="D51" s="80" t="s">
        <v>149</v>
      </c>
      <c r="E51" s="81" t="s">
        <v>150</v>
      </c>
      <c r="F51" s="82" t="s">
        <v>151</v>
      </c>
      <c r="G51" s="83" t="s">
        <v>77</v>
      </c>
      <c r="H51" s="84" t="str">
        <f t="shared" si="19"/>
        <v/>
      </c>
      <c r="I51" s="74">
        <f t="shared" si="20"/>
        <v>1</v>
      </c>
      <c r="J51" s="61"/>
      <c r="K51" s="61"/>
      <c r="L51" s="62"/>
      <c r="M51" s="62"/>
      <c r="N51" s="63"/>
      <c r="O51" s="63"/>
      <c r="P51" s="63"/>
      <c r="Q51" s="63"/>
      <c r="R51" s="63"/>
      <c r="S51" s="63"/>
      <c r="T51" s="63"/>
      <c r="U51" s="63"/>
      <c r="V51" s="63"/>
      <c r="W51" s="63"/>
      <c r="X51" s="63"/>
      <c r="Y51" s="63"/>
      <c r="Z51" s="62"/>
    </row>
    <row r="52" ht="15.75" customHeight="1">
      <c r="A52" s="77">
        <f t="shared" si="18"/>
        <v>5</v>
      </c>
      <c r="B52" s="85"/>
      <c r="C52" s="85"/>
      <c r="D52" s="80" t="s">
        <v>152</v>
      </c>
      <c r="E52" s="81" t="s">
        <v>153</v>
      </c>
      <c r="F52" s="82" t="s">
        <v>154</v>
      </c>
      <c r="G52" s="83" t="s">
        <v>77</v>
      </c>
      <c r="H52" s="84" t="str">
        <f t="shared" si="19"/>
        <v/>
      </c>
      <c r="I52" s="74">
        <f t="shared" si="20"/>
        <v>1</v>
      </c>
      <c r="J52" s="75" t="s">
        <v>155</v>
      </c>
      <c r="K52" s="76" t="s">
        <v>57</v>
      </c>
      <c r="L52" s="62"/>
      <c r="M52" s="62"/>
      <c r="N52" s="63"/>
      <c r="O52" s="63"/>
      <c r="P52" s="63"/>
      <c r="Q52" s="63"/>
      <c r="R52" s="63"/>
      <c r="S52" s="63"/>
      <c r="T52" s="63"/>
      <c r="U52" s="63"/>
      <c r="V52" s="63"/>
      <c r="W52" s="63"/>
      <c r="X52" s="63"/>
      <c r="Y52" s="63"/>
      <c r="Z52" s="62"/>
    </row>
    <row r="53" ht="15.75" customHeight="1">
      <c r="A53" s="77">
        <f t="shared" si="18"/>
        <v>6</v>
      </c>
      <c r="B53" s="85"/>
      <c r="C53" s="85"/>
      <c r="D53" s="80" t="s">
        <v>156</v>
      </c>
      <c r="E53" s="81" t="s">
        <v>157</v>
      </c>
      <c r="F53" s="82" t="s">
        <v>158</v>
      </c>
      <c r="G53" s="83" t="s">
        <v>52</v>
      </c>
      <c r="H53" s="84" t="str">
        <f t="shared" ref="H53:H55" si="21">IF(OR(G53=$J$47,G53=$J$48,G53=$J$49),$J$9,$J$8)</f>
        <v/>
      </c>
      <c r="I53" s="74">
        <f t="shared" ref="I53:I55" si="22">IF(G53=$J$47,$K$47,IF(G53=$J$48,$K$48,$K$49))</f>
        <v>1</v>
      </c>
      <c r="J53" s="61" t="s">
        <v>86</v>
      </c>
      <c r="K53" s="61">
        <v>1.0</v>
      </c>
      <c r="L53" s="62"/>
      <c r="M53" s="62"/>
      <c r="N53" s="63"/>
      <c r="O53" s="63"/>
      <c r="P53" s="63"/>
      <c r="Q53" s="63"/>
      <c r="R53" s="63"/>
      <c r="S53" s="63"/>
      <c r="T53" s="63"/>
      <c r="U53" s="63"/>
      <c r="V53" s="63"/>
      <c r="W53" s="63"/>
      <c r="X53" s="63"/>
      <c r="Y53" s="63"/>
      <c r="Z53" s="62"/>
    </row>
    <row r="54" ht="15.75" customHeight="1">
      <c r="A54" s="77">
        <f t="shared" si="18"/>
        <v>7</v>
      </c>
      <c r="B54" s="85"/>
      <c r="C54" s="85"/>
      <c r="D54" s="80" t="s">
        <v>159</v>
      </c>
      <c r="E54" s="81" t="s">
        <v>160</v>
      </c>
      <c r="F54" s="82" t="s">
        <v>161</v>
      </c>
      <c r="G54" s="83" t="s">
        <v>52</v>
      </c>
      <c r="H54" s="84" t="str">
        <f t="shared" si="21"/>
        <v/>
      </c>
      <c r="I54" s="74">
        <f t="shared" si="22"/>
        <v>1</v>
      </c>
      <c r="J54" s="61" t="s">
        <v>162</v>
      </c>
      <c r="K54" s="61">
        <v>2.0</v>
      </c>
      <c r="L54" s="62"/>
      <c r="M54" s="62"/>
      <c r="N54" s="63"/>
      <c r="O54" s="63"/>
      <c r="P54" s="63"/>
      <c r="Q54" s="63"/>
      <c r="R54" s="63"/>
      <c r="S54" s="63"/>
      <c r="T54" s="63"/>
      <c r="U54" s="63"/>
      <c r="V54" s="63"/>
      <c r="W54" s="63"/>
      <c r="X54" s="63"/>
      <c r="Y54" s="63"/>
      <c r="Z54" s="62"/>
    </row>
    <row r="55" ht="15.75" customHeight="1">
      <c r="A55" s="77">
        <f t="shared" si="18"/>
        <v>8</v>
      </c>
      <c r="B55" s="85"/>
      <c r="C55" s="85"/>
      <c r="D55" s="80" t="s">
        <v>163</v>
      </c>
      <c r="E55" s="81" t="s">
        <v>164</v>
      </c>
      <c r="F55" s="82" t="s">
        <v>165</v>
      </c>
      <c r="G55" s="83" t="s">
        <v>52</v>
      </c>
      <c r="H55" s="84" t="str">
        <f t="shared" si="21"/>
        <v/>
      </c>
      <c r="I55" s="74">
        <f t="shared" si="22"/>
        <v>1</v>
      </c>
      <c r="J55" s="61" t="s">
        <v>166</v>
      </c>
      <c r="K55" s="61">
        <v>3.0</v>
      </c>
      <c r="L55" s="62"/>
      <c r="M55" s="62"/>
      <c r="N55" s="63"/>
      <c r="O55" s="63"/>
      <c r="P55" s="63"/>
      <c r="Q55" s="63"/>
      <c r="R55" s="63"/>
      <c r="S55" s="63"/>
      <c r="T55" s="63"/>
      <c r="U55" s="63"/>
      <c r="V55" s="63"/>
      <c r="W55" s="63"/>
      <c r="X55" s="63"/>
      <c r="Y55" s="63"/>
      <c r="Z55" s="62"/>
    </row>
    <row r="56" ht="28.5" customHeight="1">
      <c r="A56" s="92"/>
      <c r="B56" s="60"/>
      <c r="C56" s="60"/>
      <c r="D56" s="60"/>
      <c r="E56" s="60"/>
      <c r="F56" s="93"/>
      <c r="G56" s="60"/>
      <c r="H56" s="94"/>
      <c r="I56" s="61"/>
      <c r="J56" s="61"/>
      <c r="K56" s="61"/>
      <c r="L56" s="62"/>
      <c r="M56" s="62"/>
      <c r="N56" s="63"/>
      <c r="O56" s="63"/>
      <c r="P56" s="63"/>
      <c r="Q56" s="63"/>
      <c r="R56" s="63"/>
      <c r="S56" s="63"/>
      <c r="T56" s="63"/>
      <c r="U56" s="63"/>
      <c r="V56" s="63"/>
      <c r="W56" s="63"/>
      <c r="X56" s="63"/>
      <c r="Y56" s="63"/>
      <c r="Z56" s="62"/>
    </row>
    <row r="57" ht="15.75" customHeight="1">
      <c r="A57" s="59"/>
      <c r="B57" s="60"/>
      <c r="C57" s="60"/>
      <c r="D57" s="60"/>
      <c r="E57" s="60"/>
      <c r="F57" s="60"/>
      <c r="G57" s="60"/>
      <c r="H57" s="94"/>
      <c r="I57" s="61"/>
      <c r="J57" s="75" t="s">
        <v>167</v>
      </c>
      <c r="K57" s="76" t="s">
        <v>168</v>
      </c>
      <c r="L57" s="62"/>
      <c r="M57" s="62"/>
      <c r="N57" s="63"/>
      <c r="O57" s="63"/>
      <c r="P57" s="63"/>
      <c r="Q57" s="63"/>
      <c r="R57" s="63"/>
      <c r="S57" s="63"/>
      <c r="T57" s="63"/>
      <c r="U57" s="63"/>
      <c r="V57" s="63"/>
      <c r="W57" s="63"/>
      <c r="X57" s="63"/>
      <c r="Y57" s="63"/>
      <c r="Z57" s="62"/>
    </row>
    <row r="58" ht="15.75" hidden="1" customHeight="1">
      <c r="A58" s="92"/>
      <c r="B58" s="60"/>
      <c r="C58" s="93"/>
      <c r="D58" s="93"/>
      <c r="E58" s="60"/>
      <c r="F58" s="93"/>
      <c r="G58" s="60"/>
      <c r="H58" s="94"/>
      <c r="I58" s="61"/>
      <c r="J58" s="61" t="s">
        <v>169</v>
      </c>
      <c r="K58" s="61">
        <v>3.0</v>
      </c>
      <c r="L58" s="62"/>
      <c r="M58" s="62"/>
      <c r="N58" s="63"/>
      <c r="O58" s="63"/>
      <c r="P58" s="63"/>
      <c r="Q58" s="63"/>
      <c r="R58" s="63"/>
      <c r="S58" s="63"/>
      <c r="T58" s="63"/>
      <c r="U58" s="63"/>
      <c r="V58" s="63"/>
      <c r="W58" s="63"/>
      <c r="X58" s="63"/>
      <c r="Y58" s="63"/>
      <c r="Z58" s="62"/>
    </row>
    <row r="59" ht="15.75" hidden="1" customHeight="1">
      <c r="A59" s="92"/>
      <c r="B59" s="60"/>
      <c r="C59" s="60"/>
      <c r="D59" s="60"/>
      <c r="E59" s="60"/>
      <c r="F59" s="60"/>
      <c r="G59" s="60"/>
      <c r="H59" s="59"/>
      <c r="I59" s="61"/>
      <c r="J59" s="61" t="s">
        <v>170</v>
      </c>
      <c r="K59" s="61">
        <v>2.0</v>
      </c>
      <c r="L59" s="62"/>
      <c r="M59" s="62"/>
      <c r="N59" s="63"/>
      <c r="O59" s="63"/>
      <c r="P59" s="63"/>
      <c r="Q59" s="63"/>
      <c r="R59" s="63"/>
      <c r="S59" s="63"/>
      <c r="T59" s="63"/>
      <c r="U59" s="63"/>
      <c r="V59" s="63"/>
      <c r="W59" s="63"/>
      <c r="X59" s="63"/>
      <c r="Y59" s="63"/>
      <c r="Z59" s="62"/>
    </row>
    <row r="60" ht="15.75" hidden="1" customHeight="1">
      <c r="A60" s="92"/>
      <c r="B60" s="93"/>
      <c r="C60" s="60"/>
      <c r="D60" s="60"/>
      <c r="E60" s="60"/>
      <c r="F60" s="60"/>
      <c r="G60" s="60"/>
      <c r="H60" s="59"/>
      <c r="I60" s="61"/>
      <c r="J60" s="61" t="s">
        <v>90</v>
      </c>
      <c r="K60" s="61">
        <v>1.0</v>
      </c>
      <c r="L60" s="62"/>
      <c r="M60" s="62"/>
      <c r="N60" s="63"/>
      <c r="O60" s="63"/>
      <c r="P60" s="63"/>
      <c r="Q60" s="63"/>
      <c r="R60" s="63"/>
      <c r="S60" s="63"/>
      <c r="T60" s="63"/>
      <c r="U60" s="63"/>
      <c r="V60" s="63"/>
      <c r="W60" s="63"/>
      <c r="X60" s="63"/>
      <c r="Y60" s="63"/>
      <c r="Z60" s="62"/>
    </row>
    <row r="61" ht="14.25" hidden="1" customHeight="1">
      <c r="A61" s="95"/>
      <c r="B61" s="96"/>
      <c r="C61" s="97"/>
      <c r="D61" s="97"/>
      <c r="E61" s="97"/>
      <c r="F61" s="97"/>
      <c r="G61" s="97"/>
      <c r="H61" s="59"/>
      <c r="I61" s="61"/>
      <c r="J61" s="61"/>
      <c r="K61" s="61"/>
      <c r="L61" s="62"/>
      <c r="M61" s="62"/>
      <c r="N61" s="63"/>
      <c r="O61" s="63"/>
      <c r="P61" s="63"/>
      <c r="Q61" s="63"/>
      <c r="R61" s="63"/>
      <c r="S61" s="63"/>
      <c r="T61" s="63"/>
      <c r="U61" s="63"/>
      <c r="V61" s="63"/>
      <c r="W61" s="63"/>
      <c r="X61" s="63"/>
      <c r="Y61" s="63"/>
      <c r="Z61" s="62"/>
    </row>
    <row r="62" ht="14.25" hidden="1" customHeight="1">
      <c r="A62" s="95"/>
      <c r="B62" s="97"/>
      <c r="C62" s="97"/>
      <c r="D62" s="97"/>
      <c r="E62" s="97"/>
      <c r="F62" s="97"/>
      <c r="G62" s="97"/>
      <c r="H62" s="59"/>
      <c r="I62" s="61"/>
      <c r="J62" s="61"/>
      <c r="K62" s="61"/>
      <c r="L62" s="62"/>
      <c r="M62" s="62"/>
      <c r="N62" s="63"/>
      <c r="O62" s="63"/>
      <c r="P62" s="63"/>
      <c r="Q62" s="63"/>
      <c r="R62" s="63"/>
      <c r="S62" s="63"/>
      <c r="T62" s="63"/>
      <c r="U62" s="63"/>
      <c r="V62" s="63"/>
      <c r="W62" s="63"/>
      <c r="X62" s="63"/>
      <c r="Y62" s="63"/>
      <c r="Z62" s="62"/>
    </row>
    <row r="63" ht="14.25" hidden="1" customHeight="1">
      <c r="A63" s="95"/>
      <c r="B63" s="97"/>
      <c r="C63" s="97"/>
      <c r="D63" s="97"/>
      <c r="E63" s="97"/>
      <c r="F63" s="97"/>
      <c r="G63" s="97"/>
      <c r="H63" s="59"/>
      <c r="I63" s="61"/>
      <c r="J63" s="61"/>
      <c r="K63" s="61"/>
      <c r="L63" s="62"/>
      <c r="M63" s="62"/>
      <c r="N63" s="63"/>
      <c r="O63" s="63"/>
      <c r="P63" s="63"/>
      <c r="Q63" s="63"/>
      <c r="R63" s="63"/>
      <c r="S63" s="63"/>
      <c r="T63" s="63"/>
      <c r="U63" s="63"/>
      <c r="V63" s="63"/>
      <c r="W63" s="63"/>
      <c r="X63" s="63"/>
      <c r="Y63" s="63"/>
      <c r="Z63" s="62"/>
    </row>
    <row r="64" ht="14.25" hidden="1" customHeight="1">
      <c r="A64" s="62"/>
      <c r="B64" s="97"/>
      <c r="C64" s="97"/>
      <c r="D64" s="97"/>
      <c r="E64" s="97"/>
      <c r="F64" s="97"/>
      <c r="G64" s="97"/>
      <c r="H64" s="59"/>
      <c r="I64" s="61"/>
      <c r="J64" s="61"/>
      <c r="K64" s="61"/>
      <c r="L64" s="62"/>
      <c r="M64" s="62"/>
      <c r="N64" s="63"/>
      <c r="O64" s="63"/>
      <c r="P64" s="63"/>
      <c r="Q64" s="63"/>
      <c r="R64" s="63"/>
      <c r="S64" s="63"/>
      <c r="T64" s="63"/>
      <c r="U64" s="63"/>
      <c r="V64" s="63"/>
      <c r="W64" s="63"/>
      <c r="X64" s="63"/>
      <c r="Y64" s="63"/>
      <c r="Z64" s="62"/>
    </row>
    <row r="65" ht="14.25" hidden="1" customHeight="1">
      <c r="A65" s="62"/>
      <c r="B65" s="97"/>
      <c r="C65" s="97"/>
      <c r="D65" s="97"/>
      <c r="E65" s="97"/>
      <c r="F65" s="97"/>
      <c r="G65" s="97"/>
      <c r="H65" s="59"/>
      <c r="I65" s="61"/>
      <c r="J65" s="61"/>
      <c r="K65" s="61"/>
      <c r="L65" s="62"/>
      <c r="M65" s="62"/>
      <c r="N65" s="63"/>
      <c r="O65" s="63"/>
      <c r="P65" s="63"/>
      <c r="Q65" s="63"/>
      <c r="R65" s="63"/>
      <c r="S65" s="63"/>
      <c r="T65" s="63"/>
      <c r="U65" s="63"/>
      <c r="V65" s="63"/>
      <c r="W65" s="63"/>
      <c r="X65" s="63"/>
      <c r="Y65" s="63"/>
      <c r="Z65" s="62"/>
    </row>
    <row r="66" ht="14.25" hidden="1" customHeight="1">
      <c r="A66" s="62"/>
      <c r="B66" s="97"/>
      <c r="C66" s="97"/>
      <c r="D66" s="97"/>
      <c r="E66" s="97"/>
      <c r="F66" s="97"/>
      <c r="G66" s="97"/>
      <c r="H66" s="59"/>
      <c r="I66" s="61"/>
      <c r="J66" s="61"/>
      <c r="K66" s="61"/>
      <c r="L66" s="62"/>
      <c r="M66" s="62"/>
      <c r="N66" s="63"/>
      <c r="O66" s="63"/>
      <c r="P66" s="63"/>
      <c r="Q66" s="63"/>
      <c r="R66" s="63"/>
      <c r="S66" s="63"/>
      <c r="T66" s="63"/>
      <c r="U66" s="63"/>
      <c r="V66" s="63"/>
      <c r="W66" s="63"/>
      <c r="X66" s="63"/>
      <c r="Y66" s="63"/>
      <c r="Z66" s="62"/>
    </row>
    <row r="67" ht="14.25" hidden="1" customHeight="1">
      <c r="A67" s="62"/>
      <c r="B67" s="97"/>
      <c r="C67" s="97"/>
      <c r="D67" s="97"/>
      <c r="E67" s="97"/>
      <c r="F67" s="97"/>
      <c r="G67" s="97"/>
      <c r="H67" s="59"/>
      <c r="I67" s="61"/>
      <c r="J67" s="61"/>
      <c r="K67" s="61"/>
      <c r="L67" s="62"/>
      <c r="M67" s="62"/>
      <c r="N67" s="63"/>
      <c r="O67" s="63"/>
      <c r="P67" s="63"/>
      <c r="Q67" s="63"/>
      <c r="R67" s="63"/>
      <c r="S67" s="63"/>
      <c r="T67" s="63"/>
      <c r="U67" s="63"/>
      <c r="V67" s="63"/>
      <c r="W67" s="63"/>
      <c r="X67" s="63"/>
      <c r="Y67" s="63"/>
      <c r="Z67" s="62"/>
    </row>
    <row r="68" ht="14.25" hidden="1" customHeight="1">
      <c r="A68" s="62"/>
      <c r="B68" s="97"/>
      <c r="C68" s="97"/>
      <c r="D68" s="97"/>
      <c r="E68" s="97"/>
      <c r="F68" s="97"/>
      <c r="G68" s="97"/>
      <c r="H68" s="59"/>
      <c r="I68" s="61"/>
      <c r="J68" s="61"/>
      <c r="K68" s="61"/>
      <c r="L68" s="62"/>
      <c r="M68" s="62"/>
      <c r="N68" s="63"/>
      <c r="O68" s="63"/>
      <c r="P68" s="63"/>
      <c r="Q68" s="63"/>
      <c r="R68" s="63"/>
      <c r="S68" s="63"/>
      <c r="T68" s="63"/>
      <c r="U68" s="63"/>
      <c r="V68" s="63"/>
      <c r="W68" s="63"/>
      <c r="X68" s="63"/>
      <c r="Y68" s="63"/>
      <c r="Z68" s="62"/>
    </row>
    <row r="69" ht="14.25" hidden="1" customHeight="1">
      <c r="A69" s="62"/>
      <c r="B69" s="97"/>
      <c r="C69" s="97"/>
      <c r="D69" s="97"/>
      <c r="E69" s="97"/>
      <c r="F69" s="97"/>
      <c r="G69" s="97"/>
      <c r="H69" s="59"/>
      <c r="I69" s="61"/>
      <c r="J69" s="61"/>
      <c r="K69" s="61"/>
      <c r="L69" s="62"/>
      <c r="M69" s="62"/>
      <c r="N69" s="63"/>
      <c r="O69" s="63"/>
      <c r="P69" s="63"/>
      <c r="Q69" s="63"/>
      <c r="R69" s="63"/>
      <c r="S69" s="63"/>
      <c r="T69" s="63"/>
      <c r="U69" s="63"/>
      <c r="V69" s="63"/>
      <c r="W69" s="63"/>
      <c r="X69" s="63"/>
      <c r="Y69" s="63"/>
      <c r="Z69" s="62"/>
    </row>
    <row r="70" ht="14.25" hidden="1" customHeight="1">
      <c r="A70" s="62"/>
      <c r="B70" s="97"/>
      <c r="C70" s="97"/>
      <c r="D70" s="97"/>
      <c r="E70" s="97"/>
      <c r="F70" s="97"/>
      <c r="G70" s="97"/>
      <c r="H70" s="59"/>
      <c r="I70" s="61"/>
      <c r="J70" s="61"/>
      <c r="K70" s="61"/>
      <c r="L70" s="62"/>
      <c r="M70" s="62"/>
      <c r="N70" s="63"/>
      <c r="O70" s="63"/>
      <c r="P70" s="63"/>
      <c r="Q70" s="63"/>
      <c r="R70" s="63"/>
      <c r="S70" s="63"/>
      <c r="T70" s="63"/>
      <c r="U70" s="63"/>
      <c r="V70" s="63"/>
      <c r="W70" s="63"/>
      <c r="X70" s="63"/>
      <c r="Y70" s="63"/>
      <c r="Z70" s="62"/>
    </row>
    <row r="71" ht="14.25" hidden="1" customHeight="1">
      <c r="A71" s="62"/>
      <c r="B71" s="97"/>
      <c r="C71" s="97"/>
      <c r="D71" s="97"/>
      <c r="E71" s="97"/>
      <c r="F71" s="97"/>
      <c r="G71" s="97"/>
      <c r="H71" s="59"/>
      <c r="I71" s="61"/>
      <c r="J71" s="61"/>
      <c r="K71" s="61"/>
      <c r="L71" s="62"/>
      <c r="M71" s="62"/>
      <c r="N71" s="63"/>
      <c r="O71" s="63"/>
      <c r="P71" s="63"/>
      <c r="Q71" s="63"/>
      <c r="R71" s="63"/>
      <c r="S71" s="63"/>
      <c r="T71" s="63"/>
      <c r="U71" s="63"/>
      <c r="V71" s="63"/>
      <c r="W71" s="63"/>
      <c r="X71" s="63"/>
      <c r="Y71" s="63"/>
      <c r="Z71" s="62"/>
    </row>
    <row r="72" ht="14.25" hidden="1" customHeight="1">
      <c r="A72" s="62"/>
      <c r="B72" s="97"/>
      <c r="C72" s="97"/>
      <c r="D72" s="97"/>
      <c r="E72" s="97"/>
      <c r="F72" s="97"/>
      <c r="G72" s="97"/>
      <c r="H72" s="59"/>
      <c r="I72" s="61"/>
      <c r="J72" s="61"/>
      <c r="K72" s="61"/>
      <c r="L72" s="62"/>
      <c r="M72" s="62"/>
      <c r="N72" s="63"/>
      <c r="O72" s="63"/>
      <c r="P72" s="63"/>
      <c r="Q72" s="63"/>
      <c r="R72" s="63"/>
      <c r="S72" s="63"/>
      <c r="T72" s="63"/>
      <c r="U72" s="63"/>
      <c r="V72" s="63"/>
      <c r="W72" s="63"/>
      <c r="X72" s="63"/>
      <c r="Y72" s="63"/>
      <c r="Z72" s="62"/>
    </row>
    <row r="73" ht="14.25" hidden="1" customHeight="1">
      <c r="A73" s="62"/>
      <c r="B73" s="97"/>
      <c r="C73" s="97"/>
      <c r="D73" s="97"/>
      <c r="E73" s="97"/>
      <c r="F73" s="97"/>
      <c r="G73" s="97"/>
      <c r="H73" s="59"/>
      <c r="I73" s="61"/>
      <c r="J73" s="61"/>
      <c r="K73" s="61"/>
      <c r="L73" s="62"/>
      <c r="M73" s="62"/>
      <c r="N73" s="63"/>
      <c r="O73" s="63"/>
      <c r="P73" s="63"/>
      <c r="Q73" s="63"/>
      <c r="R73" s="63"/>
      <c r="S73" s="63"/>
      <c r="T73" s="63"/>
      <c r="U73" s="63"/>
      <c r="V73" s="63"/>
      <c r="W73" s="63"/>
      <c r="X73" s="63"/>
      <c r="Y73" s="63"/>
      <c r="Z73" s="62"/>
    </row>
    <row r="74" ht="14.25" hidden="1" customHeight="1">
      <c r="A74" s="62"/>
      <c r="B74" s="97"/>
      <c r="C74" s="97"/>
      <c r="D74" s="97"/>
      <c r="E74" s="97"/>
      <c r="F74" s="97"/>
      <c r="G74" s="97"/>
      <c r="H74" s="59"/>
      <c r="I74" s="61"/>
      <c r="J74" s="61"/>
      <c r="K74" s="61"/>
      <c r="L74" s="62"/>
      <c r="M74" s="62"/>
      <c r="N74" s="63"/>
      <c r="O74" s="63"/>
      <c r="P74" s="63"/>
      <c r="Q74" s="63"/>
      <c r="R74" s="63"/>
      <c r="S74" s="63"/>
      <c r="T74" s="63"/>
      <c r="U74" s="63"/>
      <c r="V74" s="63"/>
      <c r="W74" s="63"/>
      <c r="X74" s="63"/>
      <c r="Y74" s="63"/>
      <c r="Z74" s="62"/>
    </row>
    <row r="75" ht="14.25" hidden="1" customHeight="1">
      <c r="A75" s="62"/>
      <c r="B75" s="97"/>
      <c r="C75" s="97"/>
      <c r="D75" s="97"/>
      <c r="E75" s="97"/>
      <c r="F75" s="97"/>
      <c r="G75" s="97"/>
      <c r="H75" s="59"/>
      <c r="I75" s="61"/>
      <c r="J75" s="61"/>
      <c r="K75" s="61"/>
      <c r="L75" s="62"/>
      <c r="M75" s="62"/>
      <c r="N75" s="63"/>
      <c r="O75" s="63"/>
      <c r="P75" s="63"/>
      <c r="Q75" s="63"/>
      <c r="R75" s="63"/>
      <c r="S75" s="63"/>
      <c r="T75" s="63"/>
      <c r="U75" s="63"/>
      <c r="V75" s="63"/>
      <c r="W75" s="63"/>
      <c r="X75" s="63"/>
      <c r="Y75" s="63"/>
      <c r="Z75" s="62"/>
    </row>
    <row r="76" ht="14.25" hidden="1" customHeight="1">
      <c r="A76" s="62"/>
      <c r="B76" s="97"/>
      <c r="C76" s="97"/>
      <c r="D76" s="97"/>
      <c r="E76" s="97"/>
      <c r="F76" s="97"/>
      <c r="G76" s="97"/>
      <c r="H76" s="59"/>
      <c r="I76" s="61"/>
      <c r="J76" s="61"/>
      <c r="K76" s="61"/>
      <c r="L76" s="62"/>
      <c r="M76" s="62"/>
      <c r="N76" s="63"/>
      <c r="O76" s="63"/>
      <c r="P76" s="63"/>
      <c r="Q76" s="63"/>
      <c r="R76" s="63"/>
      <c r="S76" s="63"/>
      <c r="T76" s="63"/>
      <c r="U76" s="63"/>
      <c r="V76" s="63"/>
      <c r="W76" s="63"/>
      <c r="X76" s="63"/>
      <c r="Y76" s="63"/>
      <c r="Z76" s="62"/>
    </row>
    <row r="77" ht="14.25" hidden="1" customHeight="1">
      <c r="A77" s="62"/>
      <c r="B77" s="97"/>
      <c r="C77" s="97"/>
      <c r="D77" s="97"/>
      <c r="E77" s="97"/>
      <c r="F77" s="97"/>
      <c r="G77" s="97"/>
      <c r="H77" s="59"/>
      <c r="I77" s="61"/>
      <c r="J77" s="61"/>
      <c r="K77" s="61"/>
      <c r="L77" s="62"/>
      <c r="M77" s="62"/>
      <c r="N77" s="63"/>
      <c r="O77" s="63"/>
      <c r="P77" s="63"/>
      <c r="Q77" s="63"/>
      <c r="R77" s="63"/>
      <c r="S77" s="63"/>
      <c r="T77" s="63"/>
      <c r="U77" s="63"/>
      <c r="V77" s="63"/>
      <c r="W77" s="63"/>
      <c r="X77" s="63"/>
      <c r="Y77" s="63"/>
      <c r="Z77" s="62"/>
    </row>
    <row r="78" ht="14.25" hidden="1" customHeight="1">
      <c r="A78" s="62"/>
      <c r="B78" s="97"/>
      <c r="C78" s="97"/>
      <c r="D78" s="97"/>
      <c r="E78" s="97"/>
      <c r="F78" s="97"/>
      <c r="G78" s="97"/>
      <c r="H78" s="59"/>
      <c r="I78" s="61"/>
      <c r="J78" s="61"/>
      <c r="K78" s="61"/>
      <c r="L78" s="62"/>
      <c r="M78" s="62"/>
      <c r="N78" s="63"/>
      <c r="O78" s="63"/>
      <c r="P78" s="63"/>
      <c r="Q78" s="63"/>
      <c r="R78" s="63"/>
      <c r="S78" s="63"/>
      <c r="T78" s="63"/>
      <c r="U78" s="63"/>
      <c r="V78" s="63"/>
      <c r="W78" s="63"/>
      <c r="X78" s="63"/>
      <c r="Y78" s="63"/>
      <c r="Z78" s="62"/>
    </row>
    <row r="79" ht="14.25" hidden="1" customHeight="1">
      <c r="A79" s="62"/>
      <c r="B79" s="97"/>
      <c r="C79" s="97"/>
      <c r="D79" s="97"/>
      <c r="E79" s="97"/>
      <c r="F79" s="97"/>
      <c r="G79" s="97"/>
      <c r="H79" s="59"/>
      <c r="I79" s="61"/>
      <c r="J79" s="61"/>
      <c r="K79" s="61"/>
      <c r="L79" s="62"/>
      <c r="M79" s="62"/>
      <c r="N79" s="63"/>
      <c r="O79" s="63"/>
      <c r="P79" s="63"/>
      <c r="Q79" s="63"/>
      <c r="R79" s="63"/>
      <c r="S79" s="63"/>
      <c r="T79" s="63"/>
      <c r="U79" s="63"/>
      <c r="V79" s="63"/>
      <c r="W79" s="63"/>
      <c r="X79" s="63"/>
      <c r="Y79" s="63"/>
      <c r="Z79" s="62"/>
    </row>
    <row r="80" ht="14.25" hidden="1" customHeight="1">
      <c r="A80" s="62"/>
      <c r="B80" s="97"/>
      <c r="C80" s="97"/>
      <c r="D80" s="97"/>
      <c r="E80" s="97"/>
      <c r="F80" s="97"/>
      <c r="G80" s="97"/>
      <c r="H80" s="59"/>
      <c r="I80" s="61"/>
      <c r="J80" s="61"/>
      <c r="K80" s="61"/>
      <c r="L80" s="62"/>
      <c r="M80" s="62"/>
      <c r="N80" s="63"/>
      <c r="O80" s="63"/>
      <c r="P80" s="63"/>
      <c r="Q80" s="63"/>
      <c r="R80" s="63"/>
      <c r="S80" s="63"/>
      <c r="T80" s="63"/>
      <c r="U80" s="63"/>
      <c r="V80" s="63"/>
      <c r="W80" s="63"/>
      <c r="X80" s="63"/>
      <c r="Y80" s="63"/>
      <c r="Z80" s="62"/>
    </row>
    <row r="81" ht="14.25" hidden="1" customHeight="1">
      <c r="A81" s="62"/>
      <c r="B81" s="97"/>
      <c r="C81" s="97"/>
      <c r="D81" s="97"/>
      <c r="E81" s="97"/>
      <c r="F81" s="97"/>
      <c r="G81" s="97"/>
      <c r="H81" s="59"/>
      <c r="I81" s="61"/>
      <c r="J81" s="61"/>
      <c r="K81" s="61"/>
      <c r="L81" s="62"/>
      <c r="M81" s="62"/>
      <c r="N81" s="63"/>
      <c r="O81" s="63"/>
      <c r="P81" s="63"/>
      <c r="Q81" s="63"/>
      <c r="R81" s="63"/>
      <c r="S81" s="63"/>
      <c r="T81" s="63"/>
      <c r="U81" s="63"/>
      <c r="V81" s="63"/>
      <c r="W81" s="63"/>
      <c r="X81" s="63"/>
      <c r="Y81" s="63"/>
      <c r="Z81" s="62"/>
    </row>
    <row r="82" ht="14.25" hidden="1" customHeight="1">
      <c r="A82" s="62"/>
      <c r="B82" s="97"/>
      <c r="C82" s="97"/>
      <c r="D82" s="97"/>
      <c r="E82" s="97"/>
      <c r="F82" s="97"/>
      <c r="G82" s="97"/>
      <c r="H82" s="59"/>
      <c r="I82" s="61"/>
      <c r="J82" s="61"/>
      <c r="K82" s="61"/>
      <c r="L82" s="62"/>
      <c r="M82" s="62"/>
      <c r="N82" s="63"/>
      <c r="O82" s="63"/>
      <c r="P82" s="63"/>
      <c r="Q82" s="63"/>
      <c r="R82" s="63"/>
      <c r="S82" s="63"/>
      <c r="T82" s="63"/>
      <c r="U82" s="63"/>
      <c r="V82" s="63"/>
      <c r="W82" s="63"/>
      <c r="X82" s="63"/>
      <c r="Y82" s="63"/>
      <c r="Z82" s="62"/>
    </row>
    <row r="83" ht="14.25" hidden="1" customHeight="1">
      <c r="A83" s="62"/>
      <c r="B83" s="97"/>
      <c r="C83" s="97"/>
      <c r="D83" s="97"/>
      <c r="E83" s="97"/>
      <c r="F83" s="97"/>
      <c r="G83" s="97"/>
      <c r="H83" s="59"/>
      <c r="I83" s="61"/>
      <c r="J83" s="61"/>
      <c r="K83" s="61"/>
      <c r="L83" s="62"/>
      <c r="M83" s="62"/>
      <c r="N83" s="63"/>
      <c r="O83" s="63"/>
      <c r="P83" s="63"/>
      <c r="Q83" s="63"/>
      <c r="R83" s="63"/>
      <c r="S83" s="63"/>
      <c r="T83" s="63"/>
      <c r="U83" s="63"/>
      <c r="V83" s="63"/>
      <c r="W83" s="63"/>
      <c r="X83" s="63"/>
      <c r="Y83" s="63"/>
      <c r="Z83" s="62"/>
    </row>
    <row r="84" ht="14.25" hidden="1" customHeight="1">
      <c r="A84" s="62"/>
      <c r="B84" s="97"/>
      <c r="C84" s="97"/>
      <c r="D84" s="97"/>
      <c r="E84" s="97"/>
      <c r="F84" s="97"/>
      <c r="G84" s="97"/>
      <c r="H84" s="59"/>
      <c r="I84" s="61"/>
      <c r="J84" s="61"/>
      <c r="K84" s="61"/>
      <c r="L84" s="62"/>
      <c r="M84" s="62"/>
      <c r="N84" s="63"/>
      <c r="O84" s="63"/>
      <c r="P84" s="63"/>
      <c r="Q84" s="63"/>
      <c r="R84" s="63"/>
      <c r="S84" s="63"/>
      <c r="T84" s="63"/>
      <c r="U84" s="63"/>
      <c r="V84" s="63"/>
      <c r="W84" s="63"/>
      <c r="X84" s="63"/>
      <c r="Y84" s="63"/>
      <c r="Z84" s="62"/>
    </row>
    <row r="85" ht="14.25" hidden="1" customHeight="1">
      <c r="A85" s="62"/>
      <c r="B85" s="97"/>
      <c r="C85" s="97"/>
      <c r="D85" s="97"/>
      <c r="E85" s="97"/>
      <c r="F85" s="97"/>
      <c r="G85" s="97"/>
      <c r="H85" s="59"/>
      <c r="I85" s="61"/>
      <c r="J85" s="61"/>
      <c r="K85" s="61"/>
      <c r="L85" s="62"/>
      <c r="M85" s="62"/>
      <c r="N85" s="63"/>
      <c r="O85" s="63"/>
      <c r="P85" s="63"/>
      <c r="Q85" s="63"/>
      <c r="R85" s="63"/>
      <c r="S85" s="63"/>
      <c r="T85" s="63"/>
      <c r="U85" s="63"/>
      <c r="V85" s="63"/>
      <c r="W85" s="63"/>
      <c r="X85" s="63"/>
      <c r="Y85" s="63"/>
      <c r="Z85" s="62"/>
    </row>
    <row r="86" ht="14.25" hidden="1" customHeight="1">
      <c r="A86" s="62"/>
      <c r="B86" s="97"/>
      <c r="C86" s="97"/>
      <c r="D86" s="97"/>
      <c r="E86" s="97"/>
      <c r="F86" s="97"/>
      <c r="G86" s="97"/>
      <c r="H86" s="59"/>
      <c r="I86" s="61"/>
      <c r="J86" s="61"/>
      <c r="K86" s="61"/>
      <c r="L86" s="62"/>
      <c r="M86" s="62"/>
      <c r="N86" s="63"/>
      <c r="O86" s="63"/>
      <c r="P86" s="63"/>
      <c r="Q86" s="63"/>
      <c r="R86" s="63"/>
      <c r="S86" s="63"/>
      <c r="T86" s="63"/>
      <c r="U86" s="63"/>
      <c r="V86" s="63"/>
      <c r="W86" s="63"/>
      <c r="X86" s="63"/>
      <c r="Y86" s="63"/>
      <c r="Z86" s="62"/>
    </row>
    <row r="87" ht="14.25" hidden="1" customHeight="1">
      <c r="A87" s="62"/>
      <c r="B87" s="97"/>
      <c r="C87" s="97"/>
      <c r="D87" s="97"/>
      <c r="E87" s="97"/>
      <c r="F87" s="97"/>
      <c r="G87" s="97"/>
      <c r="H87" s="59"/>
      <c r="I87" s="61"/>
      <c r="J87" s="61"/>
      <c r="K87" s="61"/>
      <c r="L87" s="62"/>
      <c r="M87" s="62"/>
      <c r="N87" s="63"/>
      <c r="O87" s="63"/>
      <c r="P87" s="63"/>
      <c r="Q87" s="63"/>
      <c r="R87" s="63"/>
      <c r="S87" s="63"/>
      <c r="T87" s="63"/>
      <c r="U87" s="63"/>
      <c r="V87" s="63"/>
      <c r="W87" s="63"/>
      <c r="X87" s="63"/>
      <c r="Y87" s="63"/>
      <c r="Z87" s="62"/>
    </row>
    <row r="88" ht="14.25" hidden="1" customHeight="1">
      <c r="A88" s="62"/>
      <c r="B88" s="97"/>
      <c r="C88" s="97"/>
      <c r="D88" s="97"/>
      <c r="E88" s="97"/>
      <c r="F88" s="97"/>
      <c r="G88" s="97"/>
      <c r="H88" s="59"/>
      <c r="I88" s="61"/>
      <c r="J88" s="61"/>
      <c r="K88" s="61"/>
      <c r="L88" s="62"/>
      <c r="M88" s="62"/>
      <c r="N88" s="63"/>
      <c r="O88" s="63"/>
      <c r="P88" s="63"/>
      <c r="Q88" s="63"/>
      <c r="R88" s="63"/>
      <c r="S88" s="63"/>
      <c r="T88" s="63"/>
      <c r="U88" s="63"/>
      <c r="V88" s="63"/>
      <c r="W88" s="63"/>
      <c r="X88" s="63"/>
      <c r="Y88" s="63"/>
      <c r="Z88" s="62"/>
    </row>
    <row r="89" ht="14.25" hidden="1" customHeight="1">
      <c r="A89" s="62"/>
      <c r="B89" s="97"/>
      <c r="C89" s="97"/>
      <c r="D89" s="97"/>
      <c r="E89" s="97"/>
      <c r="F89" s="97"/>
      <c r="G89" s="97"/>
      <c r="H89" s="59"/>
      <c r="I89" s="61"/>
      <c r="J89" s="61"/>
      <c r="K89" s="61"/>
      <c r="L89" s="62"/>
      <c r="M89" s="62"/>
      <c r="N89" s="63"/>
      <c r="O89" s="63"/>
      <c r="P89" s="63"/>
      <c r="Q89" s="63"/>
      <c r="R89" s="63"/>
      <c r="S89" s="63"/>
      <c r="T89" s="63"/>
      <c r="U89" s="63"/>
      <c r="V89" s="63"/>
      <c r="W89" s="63"/>
      <c r="X89" s="63"/>
      <c r="Y89" s="63"/>
      <c r="Z89" s="62"/>
    </row>
    <row r="90" ht="14.25" hidden="1" customHeight="1">
      <c r="A90" s="62"/>
      <c r="B90" s="97"/>
      <c r="C90" s="97"/>
      <c r="D90" s="97"/>
      <c r="E90" s="97"/>
      <c r="F90" s="97"/>
      <c r="G90" s="97"/>
      <c r="H90" s="59"/>
      <c r="I90" s="61"/>
      <c r="J90" s="61"/>
      <c r="K90" s="61"/>
      <c r="L90" s="62"/>
      <c r="M90" s="62"/>
      <c r="N90" s="63"/>
      <c r="O90" s="63"/>
      <c r="P90" s="63"/>
      <c r="Q90" s="63"/>
      <c r="R90" s="63"/>
      <c r="S90" s="63"/>
      <c r="T90" s="63"/>
      <c r="U90" s="63"/>
      <c r="V90" s="63"/>
      <c r="W90" s="63"/>
      <c r="X90" s="63"/>
      <c r="Y90" s="63"/>
      <c r="Z90" s="62"/>
    </row>
    <row r="91" ht="14.25" hidden="1" customHeight="1">
      <c r="A91" s="62"/>
      <c r="B91" s="97"/>
      <c r="C91" s="97"/>
      <c r="D91" s="97"/>
      <c r="E91" s="97"/>
      <c r="F91" s="97"/>
      <c r="G91" s="97"/>
      <c r="H91" s="59"/>
      <c r="I91" s="61"/>
      <c r="J91" s="61"/>
      <c r="K91" s="61"/>
      <c r="L91" s="62"/>
      <c r="M91" s="62"/>
      <c r="N91" s="63"/>
      <c r="O91" s="63"/>
      <c r="P91" s="63"/>
      <c r="Q91" s="63"/>
      <c r="R91" s="63"/>
      <c r="S91" s="63"/>
      <c r="T91" s="63"/>
      <c r="U91" s="63"/>
      <c r="V91" s="63"/>
      <c r="W91" s="63"/>
      <c r="X91" s="63"/>
      <c r="Y91" s="63"/>
      <c r="Z91" s="62"/>
    </row>
    <row r="92" ht="14.25" hidden="1" customHeight="1">
      <c r="A92" s="62"/>
      <c r="B92" s="97"/>
      <c r="C92" s="97"/>
      <c r="D92" s="97"/>
      <c r="E92" s="97"/>
      <c r="F92" s="97"/>
      <c r="G92" s="97"/>
      <c r="H92" s="59"/>
      <c r="I92" s="61"/>
      <c r="J92" s="61"/>
      <c r="K92" s="61"/>
      <c r="L92" s="62"/>
      <c r="M92" s="62"/>
      <c r="N92" s="63"/>
      <c r="O92" s="63"/>
      <c r="P92" s="63"/>
      <c r="Q92" s="63"/>
      <c r="R92" s="63"/>
      <c r="S92" s="63"/>
      <c r="T92" s="63"/>
      <c r="U92" s="63"/>
      <c r="V92" s="63"/>
      <c r="W92" s="63"/>
      <c r="X92" s="63"/>
      <c r="Y92" s="63"/>
      <c r="Z92" s="62"/>
    </row>
    <row r="93" ht="14.25" hidden="1" customHeight="1">
      <c r="A93" s="62"/>
      <c r="B93" s="97"/>
      <c r="C93" s="97"/>
      <c r="D93" s="97"/>
      <c r="E93" s="97"/>
      <c r="F93" s="97"/>
      <c r="G93" s="97"/>
      <c r="H93" s="59"/>
      <c r="I93" s="61"/>
      <c r="J93" s="61"/>
      <c r="K93" s="61"/>
      <c r="L93" s="62"/>
      <c r="M93" s="62"/>
      <c r="N93" s="63"/>
      <c r="O93" s="63"/>
      <c r="P93" s="63"/>
      <c r="Q93" s="63"/>
      <c r="R93" s="63"/>
      <c r="S93" s="63"/>
      <c r="T93" s="63"/>
      <c r="U93" s="63"/>
      <c r="V93" s="63"/>
      <c r="W93" s="63"/>
      <c r="X93" s="63"/>
      <c r="Y93" s="63"/>
      <c r="Z93" s="62"/>
    </row>
    <row r="94" ht="14.25" hidden="1" customHeight="1">
      <c r="A94" s="62"/>
      <c r="B94" s="97"/>
      <c r="C94" s="97"/>
      <c r="D94" s="97"/>
      <c r="E94" s="97"/>
      <c r="F94" s="97"/>
      <c r="G94" s="97"/>
      <c r="H94" s="59"/>
      <c r="I94" s="61"/>
      <c r="J94" s="61"/>
      <c r="K94" s="61"/>
      <c r="L94" s="62"/>
      <c r="M94" s="62"/>
      <c r="N94" s="63"/>
      <c r="O94" s="63"/>
      <c r="P94" s="63"/>
      <c r="Q94" s="63"/>
      <c r="R94" s="63"/>
      <c r="S94" s="63"/>
      <c r="T94" s="63"/>
      <c r="U94" s="63"/>
      <c r="V94" s="63"/>
      <c r="W94" s="63"/>
      <c r="X94" s="63"/>
      <c r="Y94" s="63"/>
      <c r="Z94" s="62"/>
    </row>
    <row r="95" ht="14.25" hidden="1" customHeight="1">
      <c r="A95" s="62"/>
      <c r="B95" s="97"/>
      <c r="C95" s="97"/>
      <c r="D95" s="97"/>
      <c r="E95" s="97"/>
      <c r="F95" s="97"/>
      <c r="G95" s="97"/>
      <c r="H95" s="59"/>
      <c r="I95" s="61"/>
      <c r="J95" s="61"/>
      <c r="K95" s="61"/>
      <c r="L95" s="62"/>
      <c r="M95" s="62"/>
      <c r="N95" s="63"/>
      <c r="O95" s="63"/>
      <c r="P95" s="63"/>
      <c r="Q95" s="63"/>
      <c r="R95" s="63"/>
      <c r="S95" s="63"/>
      <c r="T95" s="63"/>
      <c r="U95" s="63"/>
      <c r="V95" s="63"/>
      <c r="W95" s="63"/>
      <c r="X95" s="63"/>
      <c r="Y95" s="63"/>
      <c r="Z95" s="62"/>
    </row>
    <row r="96" ht="14.25" hidden="1" customHeight="1">
      <c r="A96" s="62"/>
      <c r="B96" s="97"/>
      <c r="C96" s="97"/>
      <c r="D96" s="97"/>
      <c r="E96" s="97"/>
      <c r="F96" s="97"/>
      <c r="G96" s="97"/>
      <c r="H96" s="59"/>
      <c r="I96" s="61"/>
      <c r="J96" s="61"/>
      <c r="K96" s="61"/>
      <c r="L96" s="62"/>
      <c r="M96" s="62"/>
      <c r="N96" s="63"/>
      <c r="O96" s="63"/>
      <c r="P96" s="63"/>
      <c r="Q96" s="63"/>
      <c r="R96" s="63"/>
      <c r="S96" s="63"/>
      <c r="T96" s="63"/>
      <c r="U96" s="63"/>
      <c r="V96" s="63"/>
      <c r="W96" s="63"/>
      <c r="X96" s="63"/>
      <c r="Y96" s="63"/>
      <c r="Z96" s="62"/>
    </row>
    <row r="97" ht="14.25" hidden="1" customHeight="1">
      <c r="A97" s="62"/>
      <c r="B97" s="97"/>
      <c r="C97" s="97"/>
      <c r="D97" s="97"/>
      <c r="E97" s="97"/>
      <c r="F97" s="97"/>
      <c r="G97" s="97"/>
      <c r="H97" s="59"/>
      <c r="I97" s="61"/>
      <c r="J97" s="61"/>
      <c r="K97" s="61"/>
      <c r="L97" s="62"/>
      <c r="M97" s="62"/>
      <c r="N97" s="63"/>
      <c r="O97" s="63"/>
      <c r="P97" s="63"/>
      <c r="Q97" s="63"/>
      <c r="R97" s="63"/>
      <c r="S97" s="63"/>
      <c r="T97" s="63"/>
      <c r="U97" s="63"/>
      <c r="V97" s="63"/>
      <c r="W97" s="63"/>
      <c r="X97" s="63"/>
      <c r="Y97" s="63"/>
      <c r="Z97" s="62"/>
    </row>
    <row r="98" ht="14.25" hidden="1" customHeight="1">
      <c r="A98" s="62"/>
      <c r="B98" s="97"/>
      <c r="C98" s="97"/>
      <c r="D98" s="97"/>
      <c r="E98" s="97"/>
      <c r="F98" s="97"/>
      <c r="G98" s="97"/>
      <c r="H98" s="59"/>
      <c r="I98" s="61"/>
      <c r="J98" s="61"/>
      <c r="K98" s="61"/>
      <c r="L98" s="62"/>
      <c r="M98" s="62"/>
      <c r="N98" s="63"/>
      <c r="O98" s="63"/>
      <c r="P98" s="63"/>
      <c r="Q98" s="63"/>
      <c r="R98" s="63"/>
      <c r="S98" s="63"/>
      <c r="T98" s="63"/>
      <c r="U98" s="63"/>
      <c r="V98" s="63"/>
      <c r="W98" s="63"/>
      <c r="X98" s="63"/>
      <c r="Y98" s="63"/>
      <c r="Z98" s="62"/>
    </row>
    <row r="99" ht="14.25" hidden="1" customHeight="1">
      <c r="A99" s="62"/>
      <c r="B99" s="97"/>
      <c r="C99" s="97"/>
      <c r="D99" s="97"/>
      <c r="E99" s="97"/>
      <c r="F99" s="97"/>
      <c r="G99" s="97"/>
      <c r="H99" s="59"/>
      <c r="I99" s="61"/>
      <c r="J99" s="61"/>
      <c r="K99" s="61"/>
      <c r="L99" s="62"/>
      <c r="M99" s="62"/>
      <c r="N99" s="63"/>
      <c r="O99" s="63"/>
      <c r="P99" s="63"/>
      <c r="Q99" s="63"/>
      <c r="R99" s="63"/>
      <c r="S99" s="63"/>
      <c r="T99" s="63"/>
      <c r="U99" s="63"/>
      <c r="V99" s="63"/>
      <c r="W99" s="63"/>
      <c r="X99" s="63"/>
      <c r="Y99" s="63"/>
      <c r="Z99" s="62"/>
    </row>
    <row r="100" ht="14.25" hidden="1" customHeight="1">
      <c r="A100" s="62"/>
      <c r="B100" s="97"/>
      <c r="C100" s="97"/>
      <c r="D100" s="97"/>
      <c r="E100" s="97"/>
      <c r="F100" s="97"/>
      <c r="G100" s="97"/>
      <c r="H100" s="59"/>
      <c r="I100" s="61"/>
      <c r="J100" s="61"/>
      <c r="K100" s="61"/>
      <c r="L100" s="62"/>
      <c r="M100" s="62"/>
      <c r="N100" s="63"/>
      <c r="O100" s="63"/>
      <c r="P100" s="63"/>
      <c r="Q100" s="63"/>
      <c r="R100" s="63"/>
      <c r="S100" s="63"/>
      <c r="T100" s="63"/>
      <c r="U100" s="63"/>
      <c r="V100" s="63"/>
      <c r="W100" s="63"/>
      <c r="X100" s="63"/>
      <c r="Y100" s="63"/>
      <c r="Z100" s="62"/>
    </row>
    <row r="101" ht="14.25" hidden="1" customHeight="1">
      <c r="A101" s="62"/>
      <c r="B101" s="97"/>
      <c r="C101" s="97"/>
      <c r="D101" s="97"/>
      <c r="E101" s="97"/>
      <c r="F101" s="97"/>
      <c r="G101" s="97"/>
      <c r="H101" s="59"/>
      <c r="I101" s="61"/>
      <c r="J101" s="61"/>
      <c r="K101" s="61"/>
      <c r="L101" s="62"/>
      <c r="M101" s="62"/>
      <c r="N101" s="63"/>
      <c r="O101" s="63"/>
      <c r="P101" s="63"/>
      <c r="Q101" s="63"/>
      <c r="R101" s="63"/>
      <c r="S101" s="63"/>
      <c r="T101" s="63"/>
      <c r="U101" s="63"/>
      <c r="V101" s="63"/>
      <c r="W101" s="63"/>
      <c r="X101" s="63"/>
      <c r="Y101" s="63"/>
      <c r="Z101" s="62"/>
    </row>
    <row r="102" ht="14.25" hidden="1" customHeight="1">
      <c r="A102" s="62"/>
      <c r="B102" s="97"/>
      <c r="C102" s="97"/>
      <c r="D102" s="97"/>
      <c r="E102" s="97"/>
      <c r="F102" s="97"/>
      <c r="G102" s="97"/>
      <c r="H102" s="59"/>
      <c r="I102" s="61"/>
      <c r="J102" s="61"/>
      <c r="K102" s="61"/>
      <c r="L102" s="62"/>
      <c r="M102" s="62"/>
      <c r="N102" s="63"/>
      <c r="O102" s="63"/>
      <c r="P102" s="63"/>
      <c r="Q102" s="63"/>
      <c r="R102" s="63"/>
      <c r="S102" s="63"/>
      <c r="T102" s="63"/>
      <c r="U102" s="63"/>
      <c r="V102" s="63"/>
      <c r="W102" s="63"/>
      <c r="X102" s="63"/>
      <c r="Y102" s="63"/>
      <c r="Z102" s="62"/>
    </row>
    <row r="103" ht="14.25" hidden="1" customHeight="1">
      <c r="A103" s="62"/>
      <c r="B103" s="97"/>
      <c r="C103" s="97"/>
      <c r="D103" s="97"/>
      <c r="E103" s="97"/>
      <c r="F103" s="97"/>
      <c r="G103" s="97"/>
      <c r="H103" s="59"/>
      <c r="I103" s="61"/>
      <c r="J103" s="61"/>
      <c r="K103" s="61"/>
      <c r="L103" s="62"/>
      <c r="M103" s="62"/>
      <c r="N103" s="63"/>
      <c r="O103" s="63"/>
      <c r="P103" s="63"/>
      <c r="Q103" s="63"/>
      <c r="R103" s="63"/>
      <c r="S103" s="63"/>
      <c r="T103" s="63"/>
      <c r="U103" s="63"/>
      <c r="V103" s="63"/>
      <c r="W103" s="63"/>
      <c r="X103" s="63"/>
      <c r="Y103" s="63"/>
      <c r="Z103" s="62"/>
    </row>
    <row r="104" ht="14.25" hidden="1" customHeight="1">
      <c r="A104" s="62"/>
      <c r="B104" s="97"/>
      <c r="C104" s="97"/>
      <c r="D104" s="97"/>
      <c r="E104" s="97"/>
      <c r="F104" s="97"/>
      <c r="G104" s="97"/>
      <c r="H104" s="59"/>
      <c r="I104" s="61"/>
      <c r="J104" s="61"/>
      <c r="K104" s="61"/>
      <c r="L104" s="62"/>
      <c r="M104" s="62"/>
      <c r="N104" s="63"/>
      <c r="O104" s="63"/>
      <c r="P104" s="63"/>
      <c r="Q104" s="63"/>
      <c r="R104" s="63"/>
      <c r="S104" s="63"/>
      <c r="T104" s="63"/>
      <c r="U104" s="63"/>
      <c r="V104" s="63"/>
      <c r="W104" s="63"/>
      <c r="X104" s="63"/>
      <c r="Y104" s="63"/>
      <c r="Z104" s="62"/>
    </row>
    <row r="105" ht="14.25" hidden="1" customHeight="1">
      <c r="A105" s="62"/>
      <c r="B105" s="97"/>
      <c r="C105" s="97"/>
      <c r="D105" s="97"/>
      <c r="E105" s="97"/>
      <c r="F105" s="97"/>
      <c r="G105" s="97"/>
      <c r="H105" s="59"/>
      <c r="I105" s="61"/>
      <c r="J105" s="61"/>
      <c r="K105" s="61"/>
      <c r="L105" s="62"/>
      <c r="M105" s="62"/>
      <c r="N105" s="63"/>
      <c r="O105" s="63"/>
      <c r="P105" s="63"/>
      <c r="Q105" s="63"/>
      <c r="R105" s="63"/>
      <c r="S105" s="63"/>
      <c r="T105" s="63"/>
      <c r="U105" s="63"/>
      <c r="V105" s="63"/>
      <c r="W105" s="63"/>
      <c r="X105" s="63"/>
      <c r="Y105" s="63"/>
      <c r="Z105" s="62"/>
    </row>
    <row r="106" ht="14.25" hidden="1" customHeight="1">
      <c r="A106" s="62"/>
      <c r="B106" s="97"/>
      <c r="C106" s="97"/>
      <c r="D106" s="97"/>
      <c r="E106" s="97"/>
      <c r="F106" s="97"/>
      <c r="G106" s="97"/>
      <c r="H106" s="59"/>
      <c r="I106" s="61"/>
      <c r="J106" s="61"/>
      <c r="K106" s="61"/>
      <c r="L106" s="62"/>
      <c r="M106" s="62"/>
      <c r="N106" s="63"/>
      <c r="O106" s="63"/>
      <c r="P106" s="63"/>
      <c r="Q106" s="63"/>
      <c r="R106" s="63"/>
      <c r="S106" s="63"/>
      <c r="T106" s="63"/>
      <c r="U106" s="63"/>
      <c r="V106" s="63"/>
      <c r="W106" s="63"/>
      <c r="X106" s="63"/>
      <c r="Y106" s="63"/>
      <c r="Z106" s="62"/>
    </row>
    <row r="107" ht="14.25" hidden="1" customHeight="1">
      <c r="A107" s="62"/>
      <c r="B107" s="97"/>
      <c r="C107" s="97"/>
      <c r="D107" s="97"/>
      <c r="E107" s="97"/>
      <c r="F107" s="97"/>
      <c r="G107" s="97"/>
      <c r="H107" s="59"/>
      <c r="I107" s="61"/>
      <c r="J107" s="61"/>
      <c r="K107" s="61"/>
      <c r="L107" s="62"/>
      <c r="M107" s="62"/>
      <c r="N107" s="63"/>
      <c r="O107" s="63"/>
      <c r="P107" s="63"/>
      <c r="Q107" s="63"/>
      <c r="R107" s="63"/>
      <c r="S107" s="63"/>
      <c r="T107" s="63"/>
      <c r="U107" s="63"/>
      <c r="V107" s="63"/>
      <c r="W107" s="63"/>
      <c r="X107" s="63"/>
      <c r="Y107" s="63"/>
      <c r="Z107" s="62"/>
    </row>
    <row r="108" ht="14.25" hidden="1" customHeight="1">
      <c r="A108" s="62"/>
      <c r="B108" s="97"/>
      <c r="C108" s="97"/>
      <c r="D108" s="97"/>
      <c r="E108" s="97"/>
      <c r="F108" s="97"/>
      <c r="G108" s="97"/>
      <c r="H108" s="59"/>
      <c r="I108" s="61"/>
      <c r="J108" s="61"/>
      <c r="K108" s="61"/>
      <c r="L108" s="62"/>
      <c r="M108" s="62"/>
      <c r="N108" s="63"/>
      <c r="O108" s="63"/>
      <c r="P108" s="63"/>
      <c r="Q108" s="63"/>
      <c r="R108" s="63"/>
      <c r="S108" s="63"/>
      <c r="T108" s="63"/>
      <c r="U108" s="63"/>
      <c r="V108" s="63"/>
      <c r="W108" s="63"/>
      <c r="X108" s="63"/>
      <c r="Y108" s="63"/>
      <c r="Z108" s="62"/>
    </row>
    <row r="109" ht="14.25" hidden="1" customHeight="1">
      <c r="A109" s="62"/>
      <c r="B109" s="97"/>
      <c r="C109" s="97"/>
      <c r="D109" s="97"/>
      <c r="E109" s="97"/>
      <c r="F109" s="97"/>
      <c r="G109" s="97"/>
      <c r="H109" s="59"/>
      <c r="I109" s="61"/>
      <c r="J109" s="61"/>
      <c r="K109" s="61"/>
      <c r="L109" s="62"/>
      <c r="M109" s="62"/>
      <c r="N109" s="63"/>
      <c r="O109" s="63"/>
      <c r="P109" s="63"/>
      <c r="Q109" s="63"/>
      <c r="R109" s="63"/>
      <c r="S109" s="63"/>
      <c r="T109" s="63"/>
      <c r="U109" s="63"/>
      <c r="V109" s="63"/>
      <c r="W109" s="63"/>
      <c r="X109" s="63"/>
      <c r="Y109" s="63"/>
      <c r="Z109" s="62"/>
    </row>
    <row r="110" ht="14.25" hidden="1" customHeight="1">
      <c r="A110" s="62"/>
      <c r="B110" s="97"/>
      <c r="C110" s="97"/>
      <c r="D110" s="97"/>
      <c r="E110" s="97"/>
      <c r="F110" s="97"/>
      <c r="G110" s="97"/>
      <c r="H110" s="59"/>
      <c r="I110" s="61"/>
      <c r="J110" s="61"/>
      <c r="K110" s="61"/>
      <c r="L110" s="62"/>
      <c r="M110" s="62"/>
      <c r="N110" s="63"/>
      <c r="O110" s="63"/>
      <c r="P110" s="63"/>
      <c r="Q110" s="63"/>
      <c r="R110" s="63"/>
      <c r="S110" s="63"/>
      <c r="T110" s="63"/>
      <c r="U110" s="63"/>
      <c r="V110" s="63"/>
      <c r="W110" s="63"/>
      <c r="X110" s="63"/>
      <c r="Y110" s="63"/>
      <c r="Z110" s="62"/>
    </row>
    <row r="111" ht="14.25" hidden="1" customHeight="1">
      <c r="A111" s="62"/>
      <c r="B111" s="97"/>
      <c r="C111" s="97"/>
      <c r="D111" s="97"/>
      <c r="E111" s="97"/>
      <c r="F111" s="97"/>
      <c r="G111" s="97"/>
      <c r="H111" s="59"/>
      <c r="I111" s="61"/>
      <c r="J111" s="61"/>
      <c r="K111" s="61"/>
      <c r="L111" s="62"/>
      <c r="M111" s="62"/>
      <c r="N111" s="63"/>
      <c r="O111" s="63"/>
      <c r="P111" s="63"/>
      <c r="Q111" s="63"/>
      <c r="R111" s="63"/>
      <c r="S111" s="63"/>
      <c r="T111" s="63"/>
      <c r="U111" s="63"/>
      <c r="V111" s="63"/>
      <c r="W111" s="63"/>
      <c r="X111" s="63"/>
      <c r="Y111" s="63"/>
      <c r="Z111" s="62"/>
    </row>
    <row r="112" ht="14.25" hidden="1" customHeight="1">
      <c r="A112" s="62"/>
      <c r="B112" s="97"/>
      <c r="C112" s="97"/>
      <c r="D112" s="97"/>
      <c r="E112" s="97"/>
      <c r="F112" s="97"/>
      <c r="G112" s="97"/>
      <c r="H112" s="59"/>
      <c r="I112" s="61"/>
      <c r="J112" s="61"/>
      <c r="K112" s="61"/>
      <c r="L112" s="62"/>
      <c r="M112" s="62"/>
      <c r="N112" s="63"/>
      <c r="O112" s="63"/>
      <c r="P112" s="63"/>
      <c r="Q112" s="63"/>
      <c r="R112" s="63"/>
      <c r="S112" s="63"/>
      <c r="T112" s="63"/>
      <c r="U112" s="63"/>
      <c r="V112" s="63"/>
      <c r="W112" s="63"/>
      <c r="X112" s="63"/>
      <c r="Y112" s="63"/>
      <c r="Z112" s="62"/>
    </row>
    <row r="113" ht="14.25" hidden="1" customHeight="1">
      <c r="A113" s="62"/>
      <c r="B113" s="97"/>
      <c r="C113" s="97"/>
      <c r="D113" s="97"/>
      <c r="E113" s="97"/>
      <c r="F113" s="97"/>
      <c r="G113" s="97"/>
      <c r="H113" s="59"/>
      <c r="I113" s="61"/>
      <c r="J113" s="61"/>
      <c r="K113" s="61"/>
      <c r="L113" s="62"/>
      <c r="M113" s="62"/>
      <c r="N113" s="63"/>
      <c r="O113" s="63"/>
      <c r="P113" s="63"/>
      <c r="Q113" s="63"/>
      <c r="R113" s="63"/>
      <c r="S113" s="63"/>
      <c r="T113" s="63"/>
      <c r="U113" s="63"/>
      <c r="V113" s="63"/>
      <c r="W113" s="63"/>
      <c r="X113" s="63"/>
      <c r="Y113" s="63"/>
      <c r="Z113" s="62"/>
    </row>
    <row r="114" ht="14.25" hidden="1" customHeight="1">
      <c r="A114" s="62"/>
      <c r="B114" s="97"/>
      <c r="C114" s="97"/>
      <c r="D114" s="97"/>
      <c r="E114" s="97"/>
      <c r="F114" s="97"/>
      <c r="G114" s="97"/>
      <c r="H114" s="59"/>
      <c r="I114" s="61"/>
      <c r="J114" s="61"/>
      <c r="K114" s="61"/>
      <c r="L114" s="62"/>
      <c r="M114" s="62"/>
      <c r="N114" s="63"/>
      <c r="O114" s="63"/>
      <c r="P114" s="63"/>
      <c r="Q114" s="63"/>
      <c r="R114" s="63"/>
      <c r="S114" s="63"/>
      <c r="T114" s="63"/>
      <c r="U114" s="63"/>
      <c r="V114" s="63"/>
      <c r="W114" s="63"/>
      <c r="X114" s="63"/>
      <c r="Y114" s="63"/>
      <c r="Z114" s="62"/>
    </row>
    <row r="115" ht="14.25" hidden="1" customHeight="1">
      <c r="A115" s="62"/>
      <c r="B115" s="97"/>
      <c r="C115" s="97"/>
      <c r="D115" s="97"/>
      <c r="E115" s="97"/>
      <c r="F115" s="97"/>
      <c r="G115" s="97"/>
      <c r="H115" s="59"/>
      <c r="I115" s="61"/>
      <c r="J115" s="61"/>
      <c r="K115" s="61"/>
      <c r="L115" s="62"/>
      <c r="M115" s="62"/>
      <c r="N115" s="63"/>
      <c r="O115" s="63"/>
      <c r="P115" s="63"/>
      <c r="Q115" s="63"/>
      <c r="R115" s="63"/>
      <c r="S115" s="63"/>
      <c r="T115" s="63"/>
      <c r="U115" s="63"/>
      <c r="V115" s="63"/>
      <c r="W115" s="63"/>
      <c r="X115" s="63"/>
      <c r="Y115" s="63"/>
      <c r="Z115" s="62"/>
    </row>
    <row r="116" ht="14.25" hidden="1" customHeight="1">
      <c r="A116" s="62"/>
      <c r="B116" s="97"/>
      <c r="C116" s="97"/>
      <c r="D116" s="97"/>
      <c r="E116" s="97"/>
      <c r="F116" s="97"/>
      <c r="G116" s="97"/>
      <c r="H116" s="59"/>
      <c r="I116" s="61"/>
      <c r="J116" s="61"/>
      <c r="K116" s="61"/>
      <c r="L116" s="62"/>
      <c r="M116" s="62"/>
      <c r="N116" s="63"/>
      <c r="O116" s="63"/>
      <c r="P116" s="63"/>
      <c r="Q116" s="63"/>
      <c r="R116" s="63"/>
      <c r="S116" s="63"/>
      <c r="T116" s="63"/>
      <c r="U116" s="63"/>
      <c r="V116" s="63"/>
      <c r="W116" s="63"/>
      <c r="X116" s="63"/>
      <c r="Y116" s="63"/>
      <c r="Z116" s="62"/>
    </row>
    <row r="117" ht="14.25" hidden="1" customHeight="1">
      <c r="A117" s="62"/>
      <c r="B117" s="97"/>
      <c r="C117" s="97"/>
      <c r="D117" s="97"/>
      <c r="E117" s="97"/>
      <c r="F117" s="97"/>
      <c r="G117" s="97"/>
      <c r="H117" s="59"/>
      <c r="I117" s="61"/>
      <c r="J117" s="61"/>
      <c r="K117" s="61"/>
      <c r="L117" s="62"/>
      <c r="M117" s="62"/>
      <c r="N117" s="63"/>
      <c r="O117" s="63"/>
      <c r="P117" s="63"/>
      <c r="Q117" s="63"/>
      <c r="R117" s="63"/>
      <c r="S117" s="63"/>
      <c r="T117" s="63"/>
      <c r="U117" s="63"/>
      <c r="V117" s="63"/>
      <c r="W117" s="63"/>
      <c r="X117" s="63"/>
      <c r="Y117" s="63"/>
      <c r="Z117" s="62"/>
    </row>
    <row r="118" ht="14.25" hidden="1" customHeight="1">
      <c r="A118" s="62"/>
      <c r="B118" s="97"/>
      <c r="C118" s="97"/>
      <c r="D118" s="97"/>
      <c r="E118" s="97"/>
      <c r="F118" s="97"/>
      <c r="G118" s="97"/>
      <c r="H118" s="59"/>
      <c r="I118" s="61"/>
      <c r="J118" s="61"/>
      <c r="K118" s="61"/>
      <c r="L118" s="62"/>
      <c r="M118" s="62"/>
      <c r="N118" s="63"/>
      <c r="O118" s="63"/>
      <c r="P118" s="63"/>
      <c r="Q118" s="63"/>
      <c r="R118" s="63"/>
      <c r="S118" s="63"/>
      <c r="T118" s="63"/>
      <c r="U118" s="63"/>
      <c r="V118" s="63"/>
      <c r="W118" s="63"/>
      <c r="X118" s="63"/>
      <c r="Y118" s="63"/>
      <c r="Z118" s="62"/>
    </row>
    <row r="119" ht="14.25" hidden="1" customHeight="1">
      <c r="A119" s="62"/>
      <c r="B119" s="97"/>
      <c r="C119" s="97"/>
      <c r="D119" s="97"/>
      <c r="E119" s="97"/>
      <c r="F119" s="97"/>
      <c r="G119" s="97"/>
      <c r="H119" s="59"/>
      <c r="I119" s="61"/>
      <c r="J119" s="61"/>
      <c r="K119" s="61"/>
      <c r="L119" s="62"/>
      <c r="M119" s="62"/>
      <c r="N119" s="63"/>
      <c r="O119" s="63"/>
      <c r="P119" s="63"/>
      <c r="Q119" s="63"/>
      <c r="R119" s="63"/>
      <c r="S119" s="63"/>
      <c r="T119" s="63"/>
      <c r="U119" s="63"/>
      <c r="V119" s="63"/>
      <c r="W119" s="63"/>
      <c r="X119" s="63"/>
      <c r="Y119" s="63"/>
      <c r="Z119" s="62"/>
    </row>
    <row r="120" ht="14.25" hidden="1" customHeight="1">
      <c r="A120" s="62"/>
      <c r="B120" s="97"/>
      <c r="C120" s="97"/>
      <c r="D120" s="97"/>
      <c r="E120" s="97"/>
      <c r="F120" s="97"/>
      <c r="G120" s="97"/>
      <c r="H120" s="59"/>
      <c r="I120" s="61"/>
      <c r="J120" s="61"/>
      <c r="K120" s="61"/>
      <c r="L120" s="62"/>
      <c r="M120" s="62"/>
      <c r="N120" s="63"/>
      <c r="O120" s="63"/>
      <c r="P120" s="63"/>
      <c r="Q120" s="63"/>
      <c r="R120" s="63"/>
      <c r="S120" s="63"/>
      <c r="T120" s="63"/>
      <c r="U120" s="63"/>
      <c r="V120" s="63"/>
      <c r="W120" s="63"/>
      <c r="X120" s="63"/>
      <c r="Y120" s="63"/>
      <c r="Z120" s="62"/>
    </row>
    <row r="121" ht="14.25" hidden="1" customHeight="1">
      <c r="A121" s="62"/>
      <c r="B121" s="97"/>
      <c r="C121" s="97"/>
      <c r="D121" s="97"/>
      <c r="E121" s="97"/>
      <c r="F121" s="97"/>
      <c r="G121" s="97"/>
      <c r="H121" s="59"/>
      <c r="I121" s="61"/>
      <c r="J121" s="61"/>
      <c r="K121" s="61"/>
      <c r="L121" s="62"/>
      <c r="M121" s="62"/>
      <c r="N121" s="63"/>
      <c r="O121" s="63"/>
      <c r="P121" s="63"/>
      <c r="Q121" s="63"/>
      <c r="R121" s="63"/>
      <c r="S121" s="63"/>
      <c r="T121" s="63"/>
      <c r="U121" s="63"/>
      <c r="V121" s="63"/>
      <c r="W121" s="63"/>
      <c r="X121" s="63"/>
      <c r="Y121" s="63"/>
      <c r="Z121" s="62"/>
    </row>
    <row r="122" ht="14.25" hidden="1" customHeight="1">
      <c r="A122" s="62"/>
      <c r="B122" s="97"/>
      <c r="C122" s="97"/>
      <c r="D122" s="97"/>
      <c r="E122" s="97"/>
      <c r="F122" s="97"/>
      <c r="G122" s="97"/>
      <c r="H122" s="59"/>
      <c r="I122" s="61"/>
      <c r="J122" s="61"/>
      <c r="K122" s="61"/>
      <c r="L122" s="62"/>
      <c r="M122" s="62"/>
      <c r="N122" s="63"/>
      <c r="O122" s="63"/>
      <c r="P122" s="63"/>
      <c r="Q122" s="63"/>
      <c r="R122" s="63"/>
      <c r="S122" s="63"/>
      <c r="T122" s="63"/>
      <c r="U122" s="63"/>
      <c r="V122" s="63"/>
      <c r="W122" s="63"/>
      <c r="X122" s="63"/>
      <c r="Y122" s="63"/>
      <c r="Z122" s="62"/>
    </row>
    <row r="123" ht="14.25" hidden="1" customHeight="1">
      <c r="A123" s="62"/>
      <c r="B123" s="97"/>
      <c r="C123" s="97"/>
      <c r="D123" s="97"/>
      <c r="E123" s="97"/>
      <c r="F123" s="97"/>
      <c r="G123" s="97"/>
      <c r="H123" s="59"/>
      <c r="I123" s="61"/>
      <c r="J123" s="61"/>
      <c r="K123" s="61"/>
      <c r="L123" s="62"/>
      <c r="M123" s="62"/>
      <c r="N123" s="63"/>
      <c r="O123" s="63"/>
      <c r="P123" s="63"/>
      <c r="Q123" s="63"/>
      <c r="R123" s="63"/>
      <c r="S123" s="63"/>
      <c r="T123" s="63"/>
      <c r="U123" s="63"/>
      <c r="V123" s="63"/>
      <c r="W123" s="63"/>
      <c r="X123" s="63"/>
      <c r="Y123" s="63"/>
      <c r="Z123" s="62"/>
    </row>
    <row r="124" ht="14.25" hidden="1" customHeight="1">
      <c r="A124" s="62"/>
      <c r="B124" s="97"/>
      <c r="C124" s="97"/>
      <c r="D124" s="97"/>
      <c r="E124" s="97"/>
      <c r="F124" s="97"/>
      <c r="G124" s="97"/>
      <c r="H124" s="59"/>
      <c r="I124" s="61"/>
      <c r="J124" s="61"/>
      <c r="K124" s="61"/>
      <c r="L124" s="62"/>
      <c r="M124" s="62"/>
      <c r="N124" s="63"/>
      <c r="O124" s="63"/>
      <c r="P124" s="63"/>
      <c r="Q124" s="63"/>
      <c r="R124" s="63"/>
      <c r="S124" s="63"/>
      <c r="T124" s="63"/>
      <c r="U124" s="63"/>
      <c r="V124" s="63"/>
      <c r="W124" s="63"/>
      <c r="X124" s="63"/>
      <c r="Y124" s="63"/>
      <c r="Z124" s="62"/>
    </row>
    <row r="125" ht="14.25" hidden="1" customHeight="1">
      <c r="A125" s="62"/>
      <c r="B125" s="97"/>
      <c r="C125" s="97"/>
      <c r="D125" s="97"/>
      <c r="E125" s="97"/>
      <c r="F125" s="97"/>
      <c r="G125" s="97"/>
      <c r="H125" s="59"/>
      <c r="I125" s="61"/>
      <c r="J125" s="61"/>
      <c r="K125" s="61"/>
      <c r="L125" s="62"/>
      <c r="M125" s="62"/>
      <c r="N125" s="63"/>
      <c r="O125" s="63"/>
      <c r="P125" s="63"/>
      <c r="Q125" s="63"/>
      <c r="R125" s="63"/>
      <c r="S125" s="63"/>
      <c r="T125" s="63"/>
      <c r="U125" s="63"/>
      <c r="V125" s="63"/>
      <c r="W125" s="63"/>
      <c r="X125" s="63"/>
      <c r="Y125" s="63"/>
      <c r="Z125" s="62"/>
    </row>
    <row r="126" ht="14.25" hidden="1" customHeight="1">
      <c r="A126" s="62"/>
      <c r="B126" s="97"/>
      <c r="C126" s="97"/>
      <c r="D126" s="97"/>
      <c r="E126" s="97"/>
      <c r="F126" s="97"/>
      <c r="G126" s="97"/>
      <c r="H126" s="59"/>
      <c r="I126" s="61"/>
      <c r="J126" s="61"/>
      <c r="K126" s="61"/>
      <c r="L126" s="62"/>
      <c r="M126" s="62"/>
      <c r="N126" s="63"/>
      <c r="O126" s="63"/>
      <c r="P126" s="63"/>
      <c r="Q126" s="63"/>
      <c r="R126" s="63"/>
      <c r="S126" s="63"/>
      <c r="T126" s="63"/>
      <c r="U126" s="63"/>
      <c r="V126" s="63"/>
      <c r="W126" s="63"/>
      <c r="X126" s="63"/>
      <c r="Y126" s="63"/>
      <c r="Z126" s="62"/>
    </row>
    <row r="127" ht="14.25" hidden="1" customHeight="1">
      <c r="A127" s="62"/>
      <c r="B127" s="97"/>
      <c r="C127" s="97"/>
      <c r="D127" s="97"/>
      <c r="E127" s="97"/>
      <c r="F127" s="97"/>
      <c r="G127" s="97"/>
      <c r="H127" s="59"/>
      <c r="I127" s="61"/>
      <c r="J127" s="61"/>
      <c r="K127" s="61"/>
      <c r="L127" s="62"/>
      <c r="M127" s="62"/>
      <c r="N127" s="63"/>
      <c r="O127" s="63"/>
      <c r="P127" s="63"/>
      <c r="Q127" s="63"/>
      <c r="R127" s="63"/>
      <c r="S127" s="63"/>
      <c r="T127" s="63"/>
      <c r="U127" s="63"/>
      <c r="V127" s="63"/>
      <c r="W127" s="63"/>
      <c r="X127" s="63"/>
      <c r="Y127" s="63"/>
      <c r="Z127" s="62"/>
    </row>
    <row r="128" ht="14.25" hidden="1" customHeight="1">
      <c r="A128" s="62"/>
      <c r="B128" s="97"/>
      <c r="C128" s="97"/>
      <c r="D128" s="97"/>
      <c r="E128" s="97"/>
      <c r="F128" s="97"/>
      <c r="G128" s="97"/>
      <c r="H128" s="59"/>
      <c r="I128" s="61"/>
      <c r="J128" s="61"/>
      <c r="K128" s="61"/>
      <c r="L128" s="62"/>
      <c r="M128" s="62"/>
      <c r="N128" s="63"/>
      <c r="O128" s="63"/>
      <c r="P128" s="63"/>
      <c r="Q128" s="63"/>
      <c r="R128" s="63"/>
      <c r="S128" s="63"/>
      <c r="T128" s="63"/>
      <c r="U128" s="63"/>
      <c r="V128" s="63"/>
      <c r="W128" s="63"/>
      <c r="X128" s="63"/>
      <c r="Y128" s="63"/>
      <c r="Z128" s="62"/>
    </row>
    <row r="129" ht="14.25" hidden="1" customHeight="1">
      <c r="A129" s="62"/>
      <c r="B129" s="97"/>
      <c r="C129" s="97"/>
      <c r="D129" s="97"/>
      <c r="E129" s="97"/>
      <c r="F129" s="97"/>
      <c r="G129" s="97"/>
      <c r="H129" s="59"/>
      <c r="I129" s="61"/>
      <c r="J129" s="61"/>
      <c r="K129" s="61"/>
      <c r="L129" s="62"/>
      <c r="M129" s="62"/>
      <c r="N129" s="63"/>
      <c r="O129" s="63"/>
      <c r="P129" s="63"/>
      <c r="Q129" s="63"/>
      <c r="R129" s="63"/>
      <c r="S129" s="63"/>
      <c r="T129" s="63"/>
      <c r="U129" s="63"/>
      <c r="V129" s="63"/>
      <c r="W129" s="63"/>
      <c r="X129" s="63"/>
      <c r="Y129" s="63"/>
      <c r="Z129" s="62"/>
    </row>
    <row r="130" ht="14.25" hidden="1" customHeight="1">
      <c r="A130" s="62"/>
      <c r="B130" s="97"/>
      <c r="C130" s="97"/>
      <c r="D130" s="97"/>
      <c r="E130" s="97"/>
      <c r="F130" s="97"/>
      <c r="G130" s="97"/>
      <c r="H130" s="59"/>
      <c r="I130" s="61"/>
      <c r="J130" s="61"/>
      <c r="K130" s="61"/>
      <c r="L130" s="62"/>
      <c r="M130" s="62"/>
      <c r="N130" s="63"/>
      <c r="O130" s="63"/>
      <c r="P130" s="63"/>
      <c r="Q130" s="63"/>
      <c r="R130" s="63"/>
      <c r="S130" s="63"/>
      <c r="T130" s="63"/>
      <c r="U130" s="63"/>
      <c r="V130" s="63"/>
      <c r="W130" s="63"/>
      <c r="X130" s="63"/>
      <c r="Y130" s="63"/>
      <c r="Z130" s="62"/>
    </row>
    <row r="131" ht="14.25" hidden="1" customHeight="1">
      <c r="A131" s="62"/>
      <c r="B131" s="97"/>
      <c r="C131" s="97"/>
      <c r="D131" s="97"/>
      <c r="E131" s="97"/>
      <c r="F131" s="97"/>
      <c r="G131" s="97"/>
      <c r="H131" s="59"/>
      <c r="I131" s="61"/>
      <c r="J131" s="61"/>
      <c r="K131" s="61"/>
      <c r="L131" s="62"/>
      <c r="M131" s="62"/>
      <c r="N131" s="63"/>
      <c r="O131" s="63"/>
      <c r="P131" s="63"/>
      <c r="Q131" s="63"/>
      <c r="R131" s="63"/>
      <c r="S131" s="63"/>
      <c r="T131" s="63"/>
      <c r="U131" s="63"/>
      <c r="V131" s="63"/>
      <c r="W131" s="63"/>
      <c r="X131" s="63"/>
      <c r="Y131" s="63"/>
      <c r="Z131" s="62"/>
    </row>
    <row r="132" ht="14.25" hidden="1" customHeight="1">
      <c r="A132" s="62"/>
      <c r="B132" s="97"/>
      <c r="C132" s="97"/>
      <c r="D132" s="97"/>
      <c r="E132" s="97"/>
      <c r="F132" s="97"/>
      <c r="G132" s="97"/>
      <c r="H132" s="59"/>
      <c r="I132" s="61"/>
      <c r="J132" s="61"/>
      <c r="K132" s="61"/>
      <c r="L132" s="62"/>
      <c r="M132" s="62"/>
      <c r="N132" s="63"/>
      <c r="O132" s="63"/>
      <c r="P132" s="63"/>
      <c r="Q132" s="63"/>
      <c r="R132" s="63"/>
      <c r="S132" s="63"/>
      <c r="T132" s="63"/>
      <c r="U132" s="63"/>
      <c r="V132" s="63"/>
      <c r="W132" s="63"/>
      <c r="X132" s="63"/>
      <c r="Y132" s="63"/>
      <c r="Z132" s="62"/>
    </row>
    <row r="133" ht="14.25" hidden="1" customHeight="1">
      <c r="A133" s="62"/>
      <c r="B133" s="97"/>
      <c r="C133" s="97"/>
      <c r="D133" s="97"/>
      <c r="E133" s="97"/>
      <c r="F133" s="97"/>
      <c r="G133" s="97"/>
      <c r="H133" s="59"/>
      <c r="I133" s="61"/>
      <c r="J133" s="61"/>
      <c r="K133" s="61"/>
      <c r="L133" s="62"/>
      <c r="M133" s="62"/>
      <c r="N133" s="63"/>
      <c r="O133" s="63"/>
      <c r="P133" s="63"/>
      <c r="Q133" s="63"/>
      <c r="R133" s="63"/>
      <c r="S133" s="63"/>
      <c r="T133" s="63"/>
      <c r="U133" s="63"/>
      <c r="V133" s="63"/>
      <c r="W133" s="63"/>
      <c r="X133" s="63"/>
      <c r="Y133" s="63"/>
      <c r="Z133" s="62"/>
    </row>
    <row r="134" ht="14.25" hidden="1" customHeight="1">
      <c r="A134" s="62"/>
      <c r="B134" s="97"/>
      <c r="C134" s="97"/>
      <c r="D134" s="97"/>
      <c r="E134" s="97"/>
      <c r="F134" s="97"/>
      <c r="G134" s="97"/>
      <c r="H134" s="59"/>
      <c r="I134" s="61"/>
      <c r="J134" s="61"/>
      <c r="K134" s="61"/>
      <c r="L134" s="62"/>
      <c r="M134" s="62"/>
      <c r="N134" s="63"/>
      <c r="O134" s="63"/>
      <c r="P134" s="63"/>
      <c r="Q134" s="63"/>
      <c r="R134" s="63"/>
      <c r="S134" s="63"/>
      <c r="T134" s="63"/>
      <c r="U134" s="63"/>
      <c r="V134" s="63"/>
      <c r="W134" s="63"/>
      <c r="X134" s="63"/>
      <c r="Y134" s="63"/>
      <c r="Z134" s="62"/>
    </row>
    <row r="135" ht="14.25" hidden="1" customHeight="1">
      <c r="A135" s="62"/>
      <c r="B135" s="97"/>
      <c r="C135" s="97"/>
      <c r="D135" s="97"/>
      <c r="E135" s="97"/>
      <c r="F135" s="97"/>
      <c r="G135" s="97"/>
      <c r="H135" s="59"/>
      <c r="I135" s="61"/>
      <c r="J135" s="61"/>
      <c r="K135" s="61"/>
      <c r="L135" s="62"/>
      <c r="M135" s="62"/>
      <c r="N135" s="63"/>
      <c r="O135" s="63"/>
      <c r="P135" s="63"/>
      <c r="Q135" s="63"/>
      <c r="R135" s="63"/>
      <c r="S135" s="63"/>
      <c r="T135" s="63"/>
      <c r="U135" s="63"/>
      <c r="V135" s="63"/>
      <c r="W135" s="63"/>
      <c r="X135" s="63"/>
      <c r="Y135" s="63"/>
      <c r="Z135" s="62"/>
    </row>
    <row r="136" ht="14.25" hidden="1" customHeight="1">
      <c r="A136" s="62"/>
      <c r="B136" s="97"/>
      <c r="C136" s="97"/>
      <c r="D136" s="97"/>
      <c r="E136" s="97"/>
      <c r="F136" s="97"/>
      <c r="G136" s="97"/>
      <c r="H136" s="59"/>
      <c r="I136" s="61"/>
      <c r="J136" s="61"/>
      <c r="K136" s="61"/>
      <c r="L136" s="62"/>
      <c r="M136" s="62"/>
      <c r="N136" s="63"/>
      <c r="O136" s="63"/>
      <c r="P136" s="63"/>
      <c r="Q136" s="63"/>
      <c r="R136" s="63"/>
      <c r="S136" s="63"/>
      <c r="T136" s="63"/>
      <c r="U136" s="63"/>
      <c r="V136" s="63"/>
      <c r="W136" s="63"/>
      <c r="X136" s="63"/>
      <c r="Y136" s="63"/>
      <c r="Z136" s="62"/>
    </row>
    <row r="137" ht="14.25" hidden="1" customHeight="1">
      <c r="A137" s="62"/>
      <c r="B137" s="97"/>
      <c r="C137" s="97"/>
      <c r="D137" s="97"/>
      <c r="E137" s="97"/>
      <c r="F137" s="97"/>
      <c r="G137" s="97"/>
      <c r="H137" s="59"/>
      <c r="I137" s="61"/>
      <c r="J137" s="61"/>
      <c r="K137" s="61"/>
      <c r="L137" s="62"/>
      <c r="M137" s="62"/>
      <c r="N137" s="63"/>
      <c r="O137" s="63"/>
      <c r="P137" s="63"/>
      <c r="Q137" s="63"/>
      <c r="R137" s="63"/>
      <c r="S137" s="63"/>
      <c r="T137" s="63"/>
      <c r="U137" s="63"/>
      <c r="V137" s="63"/>
      <c r="W137" s="63"/>
      <c r="X137" s="63"/>
      <c r="Y137" s="63"/>
      <c r="Z137" s="62"/>
    </row>
    <row r="138" ht="14.25" hidden="1" customHeight="1">
      <c r="A138" s="62"/>
      <c r="B138" s="97"/>
      <c r="C138" s="97"/>
      <c r="D138" s="97"/>
      <c r="E138" s="97"/>
      <c r="F138" s="97"/>
      <c r="G138" s="97"/>
      <c r="H138" s="59"/>
      <c r="I138" s="61"/>
      <c r="J138" s="61"/>
      <c r="K138" s="61"/>
      <c r="L138" s="62"/>
      <c r="M138" s="62"/>
      <c r="N138" s="63"/>
      <c r="O138" s="63"/>
      <c r="P138" s="63"/>
      <c r="Q138" s="63"/>
      <c r="R138" s="63"/>
      <c r="S138" s="63"/>
      <c r="T138" s="63"/>
      <c r="U138" s="63"/>
      <c r="V138" s="63"/>
      <c r="W138" s="63"/>
      <c r="X138" s="63"/>
      <c r="Y138" s="63"/>
      <c r="Z138" s="62"/>
    </row>
    <row r="139" ht="14.25" hidden="1" customHeight="1">
      <c r="A139" s="62"/>
      <c r="B139" s="97"/>
      <c r="C139" s="97"/>
      <c r="D139" s="97"/>
      <c r="E139" s="97"/>
      <c r="F139" s="97"/>
      <c r="G139" s="97"/>
      <c r="H139" s="59"/>
      <c r="I139" s="61"/>
      <c r="J139" s="61"/>
      <c r="K139" s="61"/>
      <c r="L139" s="62"/>
      <c r="M139" s="62"/>
      <c r="N139" s="63"/>
      <c r="O139" s="63"/>
      <c r="P139" s="63"/>
      <c r="Q139" s="63"/>
      <c r="R139" s="63"/>
      <c r="S139" s="63"/>
      <c r="T139" s="63"/>
      <c r="U139" s="63"/>
      <c r="V139" s="63"/>
      <c r="W139" s="63"/>
      <c r="X139" s="63"/>
      <c r="Y139" s="63"/>
      <c r="Z139" s="62"/>
    </row>
    <row r="140" ht="14.25" hidden="1" customHeight="1">
      <c r="A140" s="62"/>
      <c r="B140" s="97"/>
      <c r="C140" s="97"/>
      <c r="D140" s="97"/>
      <c r="E140" s="97"/>
      <c r="F140" s="97"/>
      <c r="G140" s="97"/>
      <c r="H140" s="59"/>
      <c r="I140" s="61"/>
      <c r="J140" s="61"/>
      <c r="K140" s="61"/>
      <c r="L140" s="62"/>
      <c r="M140" s="62"/>
      <c r="N140" s="63"/>
      <c r="O140" s="63"/>
      <c r="P140" s="63"/>
      <c r="Q140" s="63"/>
      <c r="R140" s="63"/>
      <c r="S140" s="63"/>
      <c r="T140" s="63"/>
      <c r="U140" s="63"/>
      <c r="V140" s="63"/>
      <c r="W140" s="63"/>
      <c r="X140" s="63"/>
      <c r="Y140" s="63"/>
      <c r="Z140" s="62"/>
    </row>
    <row r="141" ht="14.25" hidden="1" customHeight="1">
      <c r="A141" s="62"/>
      <c r="B141" s="97"/>
      <c r="C141" s="97"/>
      <c r="D141" s="97"/>
      <c r="E141" s="97"/>
      <c r="F141" s="97"/>
      <c r="G141" s="97"/>
      <c r="H141" s="59"/>
      <c r="I141" s="61"/>
      <c r="J141" s="61"/>
      <c r="K141" s="61"/>
      <c r="L141" s="62"/>
      <c r="M141" s="62"/>
      <c r="N141" s="63"/>
      <c r="O141" s="63"/>
      <c r="P141" s="63"/>
      <c r="Q141" s="63"/>
      <c r="R141" s="63"/>
      <c r="S141" s="63"/>
      <c r="T141" s="63"/>
      <c r="U141" s="63"/>
      <c r="V141" s="63"/>
      <c r="W141" s="63"/>
      <c r="X141" s="63"/>
      <c r="Y141" s="63"/>
      <c r="Z141" s="62"/>
    </row>
    <row r="142" ht="14.25" hidden="1" customHeight="1">
      <c r="A142" s="62"/>
      <c r="B142" s="97"/>
      <c r="C142" s="97"/>
      <c r="D142" s="97"/>
      <c r="E142" s="97"/>
      <c r="F142" s="97"/>
      <c r="G142" s="97"/>
      <c r="H142" s="59"/>
      <c r="I142" s="61"/>
      <c r="J142" s="61"/>
      <c r="K142" s="61"/>
      <c r="L142" s="62"/>
      <c r="M142" s="62"/>
      <c r="N142" s="63"/>
      <c r="O142" s="63"/>
      <c r="P142" s="63"/>
      <c r="Q142" s="63"/>
      <c r="R142" s="63"/>
      <c r="S142" s="63"/>
      <c r="T142" s="63"/>
      <c r="U142" s="63"/>
      <c r="V142" s="63"/>
      <c r="W142" s="63"/>
      <c r="X142" s="63"/>
      <c r="Y142" s="63"/>
      <c r="Z142" s="62"/>
    </row>
    <row r="143" ht="14.25" hidden="1" customHeight="1">
      <c r="A143" s="62"/>
      <c r="B143" s="97"/>
      <c r="C143" s="97"/>
      <c r="D143" s="97"/>
      <c r="E143" s="97"/>
      <c r="F143" s="97"/>
      <c r="G143" s="97"/>
      <c r="H143" s="59"/>
      <c r="I143" s="61"/>
      <c r="J143" s="61"/>
      <c r="K143" s="61"/>
      <c r="L143" s="62"/>
      <c r="M143" s="62"/>
      <c r="N143" s="63"/>
      <c r="O143" s="63"/>
      <c r="P143" s="63"/>
      <c r="Q143" s="63"/>
      <c r="R143" s="63"/>
      <c r="S143" s="63"/>
      <c r="T143" s="63"/>
      <c r="U143" s="63"/>
      <c r="V143" s="63"/>
      <c r="W143" s="63"/>
      <c r="X143" s="63"/>
      <c r="Y143" s="63"/>
      <c r="Z143" s="62"/>
    </row>
    <row r="144" ht="14.25" hidden="1" customHeight="1">
      <c r="A144" s="62"/>
      <c r="B144" s="97"/>
      <c r="C144" s="97"/>
      <c r="D144" s="97"/>
      <c r="E144" s="97"/>
      <c r="F144" s="97"/>
      <c r="G144" s="97"/>
      <c r="H144" s="59"/>
      <c r="I144" s="61"/>
      <c r="J144" s="61"/>
      <c r="K144" s="61"/>
      <c r="L144" s="62"/>
      <c r="M144" s="62"/>
      <c r="N144" s="63"/>
      <c r="O144" s="63"/>
      <c r="P144" s="63"/>
      <c r="Q144" s="63"/>
      <c r="R144" s="63"/>
      <c r="S144" s="63"/>
      <c r="T144" s="63"/>
      <c r="U144" s="63"/>
      <c r="V144" s="63"/>
      <c r="W144" s="63"/>
      <c r="X144" s="63"/>
      <c r="Y144" s="63"/>
      <c r="Z144" s="62"/>
    </row>
    <row r="145" ht="14.25" hidden="1" customHeight="1">
      <c r="A145" s="62"/>
      <c r="B145" s="97"/>
      <c r="C145" s="97"/>
      <c r="D145" s="97"/>
      <c r="E145" s="97"/>
      <c r="F145" s="97"/>
      <c r="G145" s="97"/>
      <c r="H145" s="59"/>
      <c r="I145" s="61"/>
      <c r="J145" s="61"/>
      <c r="K145" s="61"/>
      <c r="L145" s="62"/>
      <c r="M145" s="62"/>
      <c r="N145" s="63"/>
      <c r="O145" s="63"/>
      <c r="P145" s="63"/>
      <c r="Q145" s="63"/>
      <c r="R145" s="63"/>
      <c r="S145" s="63"/>
      <c r="T145" s="63"/>
      <c r="U145" s="63"/>
      <c r="V145" s="63"/>
      <c r="W145" s="63"/>
      <c r="X145" s="63"/>
      <c r="Y145" s="63"/>
      <c r="Z145" s="62"/>
    </row>
    <row r="146" ht="14.25" hidden="1" customHeight="1">
      <c r="A146" s="62"/>
      <c r="B146" s="97"/>
      <c r="C146" s="97"/>
      <c r="D146" s="97"/>
      <c r="E146" s="97"/>
      <c r="F146" s="97"/>
      <c r="G146" s="97"/>
      <c r="H146" s="59"/>
      <c r="I146" s="61"/>
      <c r="J146" s="61"/>
      <c r="K146" s="61"/>
      <c r="L146" s="62"/>
      <c r="M146" s="62"/>
      <c r="N146" s="63"/>
      <c r="O146" s="63"/>
      <c r="P146" s="63"/>
      <c r="Q146" s="63"/>
      <c r="R146" s="63"/>
      <c r="S146" s="63"/>
      <c r="T146" s="63"/>
      <c r="U146" s="63"/>
      <c r="V146" s="63"/>
      <c r="W146" s="63"/>
      <c r="X146" s="63"/>
      <c r="Y146" s="63"/>
      <c r="Z146" s="62"/>
    </row>
    <row r="147" ht="14.25" hidden="1" customHeight="1">
      <c r="A147" s="62"/>
      <c r="B147" s="97"/>
      <c r="C147" s="97"/>
      <c r="D147" s="97"/>
      <c r="E147" s="97"/>
      <c r="F147" s="97"/>
      <c r="G147" s="97"/>
      <c r="H147" s="59"/>
      <c r="I147" s="61"/>
      <c r="J147" s="61"/>
      <c r="K147" s="61"/>
      <c r="L147" s="62"/>
      <c r="M147" s="62"/>
      <c r="N147" s="63"/>
      <c r="O147" s="63"/>
      <c r="P147" s="63"/>
      <c r="Q147" s="63"/>
      <c r="R147" s="63"/>
      <c r="S147" s="63"/>
      <c r="T147" s="63"/>
      <c r="U147" s="63"/>
      <c r="V147" s="63"/>
      <c r="W147" s="63"/>
      <c r="X147" s="63"/>
      <c r="Y147" s="63"/>
      <c r="Z147" s="62"/>
    </row>
    <row r="148" ht="14.25" hidden="1" customHeight="1">
      <c r="A148" s="62"/>
      <c r="B148" s="97"/>
      <c r="C148" s="97"/>
      <c r="D148" s="97"/>
      <c r="E148" s="97"/>
      <c r="F148" s="97"/>
      <c r="G148" s="97"/>
      <c r="H148" s="59"/>
      <c r="I148" s="61"/>
      <c r="J148" s="61"/>
      <c r="K148" s="61"/>
      <c r="L148" s="62"/>
      <c r="M148" s="62"/>
      <c r="N148" s="63"/>
      <c r="O148" s="63"/>
      <c r="P148" s="63"/>
      <c r="Q148" s="63"/>
      <c r="R148" s="63"/>
      <c r="S148" s="63"/>
      <c r="T148" s="63"/>
      <c r="U148" s="63"/>
      <c r="V148" s="63"/>
      <c r="W148" s="63"/>
      <c r="X148" s="63"/>
      <c r="Y148" s="63"/>
      <c r="Z148" s="62"/>
    </row>
    <row r="149" ht="14.25" hidden="1" customHeight="1">
      <c r="A149" s="62"/>
      <c r="B149" s="97"/>
      <c r="C149" s="97"/>
      <c r="D149" s="97"/>
      <c r="E149" s="97"/>
      <c r="F149" s="97"/>
      <c r="G149" s="97"/>
      <c r="H149" s="59"/>
      <c r="I149" s="61"/>
      <c r="J149" s="61"/>
      <c r="K149" s="61"/>
      <c r="L149" s="62"/>
      <c r="M149" s="62"/>
      <c r="N149" s="63"/>
      <c r="O149" s="63"/>
      <c r="P149" s="63"/>
      <c r="Q149" s="63"/>
      <c r="R149" s="63"/>
      <c r="S149" s="63"/>
      <c r="T149" s="63"/>
      <c r="U149" s="63"/>
      <c r="V149" s="63"/>
      <c r="W149" s="63"/>
      <c r="X149" s="63"/>
      <c r="Y149" s="63"/>
      <c r="Z149" s="62"/>
    </row>
    <row r="150" ht="14.25" hidden="1" customHeight="1">
      <c r="A150" s="62"/>
      <c r="B150" s="97"/>
      <c r="C150" s="97"/>
      <c r="D150" s="97"/>
      <c r="E150" s="97"/>
      <c r="F150" s="97"/>
      <c r="G150" s="97"/>
      <c r="H150" s="59"/>
      <c r="I150" s="61"/>
      <c r="J150" s="61"/>
      <c r="K150" s="61"/>
      <c r="L150" s="62"/>
      <c r="M150" s="62"/>
      <c r="N150" s="63"/>
      <c r="O150" s="63"/>
      <c r="P150" s="63"/>
      <c r="Q150" s="63"/>
      <c r="R150" s="63"/>
      <c r="S150" s="63"/>
      <c r="T150" s="63"/>
      <c r="U150" s="63"/>
      <c r="V150" s="63"/>
      <c r="W150" s="63"/>
      <c r="X150" s="63"/>
      <c r="Y150" s="63"/>
      <c r="Z150" s="62"/>
    </row>
    <row r="151" ht="14.25" hidden="1" customHeight="1">
      <c r="A151" s="62"/>
      <c r="B151" s="97"/>
      <c r="C151" s="97"/>
      <c r="D151" s="97"/>
      <c r="E151" s="97"/>
      <c r="F151" s="97"/>
      <c r="G151" s="97"/>
      <c r="H151" s="59"/>
      <c r="I151" s="61"/>
      <c r="J151" s="61"/>
      <c r="K151" s="61"/>
      <c r="L151" s="62"/>
      <c r="M151" s="62"/>
      <c r="N151" s="63"/>
      <c r="O151" s="63"/>
      <c r="P151" s="63"/>
      <c r="Q151" s="63"/>
      <c r="R151" s="63"/>
      <c r="S151" s="63"/>
      <c r="T151" s="63"/>
      <c r="U151" s="63"/>
      <c r="V151" s="63"/>
      <c r="W151" s="63"/>
      <c r="X151" s="63"/>
      <c r="Y151" s="63"/>
      <c r="Z151" s="62"/>
    </row>
    <row r="152" ht="14.25" hidden="1" customHeight="1">
      <c r="A152" s="62"/>
      <c r="B152" s="97"/>
      <c r="C152" s="97"/>
      <c r="D152" s="97"/>
      <c r="E152" s="97"/>
      <c r="F152" s="97"/>
      <c r="G152" s="97"/>
      <c r="H152" s="59"/>
      <c r="I152" s="61"/>
      <c r="J152" s="61"/>
      <c r="K152" s="61"/>
      <c r="L152" s="62"/>
      <c r="M152" s="62"/>
      <c r="N152" s="63"/>
      <c r="O152" s="63"/>
      <c r="P152" s="63"/>
      <c r="Q152" s="63"/>
      <c r="R152" s="63"/>
      <c r="S152" s="63"/>
      <c r="T152" s="63"/>
      <c r="U152" s="63"/>
      <c r="V152" s="63"/>
      <c r="W152" s="63"/>
      <c r="X152" s="63"/>
      <c r="Y152" s="63"/>
      <c r="Z152" s="62"/>
    </row>
    <row r="153" ht="14.25" hidden="1" customHeight="1">
      <c r="A153" s="62"/>
      <c r="B153" s="97"/>
      <c r="C153" s="97"/>
      <c r="D153" s="97"/>
      <c r="E153" s="97"/>
      <c r="F153" s="97"/>
      <c r="G153" s="97"/>
      <c r="H153" s="59"/>
      <c r="I153" s="61"/>
      <c r="J153" s="61"/>
      <c r="K153" s="61"/>
      <c r="L153" s="62"/>
      <c r="M153" s="62"/>
      <c r="N153" s="63"/>
      <c r="O153" s="63"/>
      <c r="P153" s="63"/>
      <c r="Q153" s="63"/>
      <c r="R153" s="63"/>
      <c r="S153" s="63"/>
      <c r="T153" s="63"/>
      <c r="U153" s="63"/>
      <c r="V153" s="63"/>
      <c r="W153" s="63"/>
      <c r="X153" s="63"/>
      <c r="Y153" s="63"/>
      <c r="Z153" s="62"/>
    </row>
    <row r="154" ht="14.25" hidden="1" customHeight="1">
      <c r="A154" s="62"/>
      <c r="B154" s="97"/>
      <c r="C154" s="97"/>
      <c r="D154" s="97"/>
      <c r="E154" s="97"/>
      <c r="F154" s="97"/>
      <c r="G154" s="97"/>
      <c r="H154" s="59"/>
      <c r="I154" s="61"/>
      <c r="J154" s="61"/>
      <c r="K154" s="61"/>
      <c r="L154" s="62"/>
      <c r="M154" s="62"/>
      <c r="N154" s="63"/>
      <c r="O154" s="63"/>
      <c r="P154" s="63"/>
      <c r="Q154" s="63"/>
      <c r="R154" s="63"/>
      <c r="S154" s="63"/>
      <c r="T154" s="63"/>
      <c r="U154" s="63"/>
      <c r="V154" s="63"/>
      <c r="W154" s="63"/>
      <c r="X154" s="63"/>
      <c r="Y154" s="63"/>
      <c r="Z154" s="62"/>
    </row>
    <row r="155" ht="14.25" hidden="1" customHeight="1">
      <c r="A155" s="62"/>
      <c r="B155" s="97"/>
      <c r="C155" s="97"/>
      <c r="D155" s="97"/>
      <c r="E155" s="97"/>
      <c r="F155" s="97"/>
      <c r="G155" s="97"/>
      <c r="H155" s="59"/>
      <c r="I155" s="61"/>
      <c r="J155" s="61"/>
      <c r="K155" s="61"/>
      <c r="L155" s="62"/>
      <c r="M155" s="62"/>
      <c r="N155" s="63"/>
      <c r="O155" s="63"/>
      <c r="P155" s="63"/>
      <c r="Q155" s="63"/>
      <c r="R155" s="63"/>
      <c r="S155" s="63"/>
      <c r="T155" s="63"/>
      <c r="U155" s="63"/>
      <c r="V155" s="63"/>
      <c r="W155" s="63"/>
      <c r="X155" s="63"/>
      <c r="Y155" s="63"/>
      <c r="Z155" s="62"/>
    </row>
    <row r="156" ht="14.25" hidden="1" customHeight="1">
      <c r="A156" s="62"/>
      <c r="B156" s="97"/>
      <c r="C156" s="97"/>
      <c r="D156" s="97"/>
      <c r="E156" s="97"/>
      <c r="F156" s="97"/>
      <c r="G156" s="97"/>
      <c r="H156" s="59"/>
      <c r="I156" s="61"/>
      <c r="J156" s="61"/>
      <c r="K156" s="61"/>
      <c r="L156" s="62"/>
      <c r="M156" s="62"/>
      <c r="N156" s="63"/>
      <c r="O156" s="63"/>
      <c r="P156" s="63"/>
      <c r="Q156" s="63"/>
      <c r="R156" s="63"/>
      <c r="S156" s="63"/>
      <c r="T156" s="63"/>
      <c r="U156" s="63"/>
      <c r="V156" s="63"/>
      <c r="W156" s="63"/>
      <c r="X156" s="63"/>
      <c r="Y156" s="63"/>
      <c r="Z156" s="62"/>
    </row>
    <row r="157" ht="14.25" hidden="1" customHeight="1">
      <c r="A157" s="62"/>
      <c r="B157" s="97"/>
      <c r="C157" s="97"/>
      <c r="D157" s="97"/>
      <c r="E157" s="97"/>
      <c r="F157" s="97"/>
      <c r="G157" s="97"/>
      <c r="H157" s="59"/>
      <c r="I157" s="61"/>
      <c r="J157" s="61"/>
      <c r="K157" s="61"/>
      <c r="L157" s="62"/>
      <c r="M157" s="62"/>
      <c r="N157" s="63"/>
      <c r="O157" s="63"/>
      <c r="P157" s="63"/>
      <c r="Q157" s="63"/>
      <c r="R157" s="63"/>
      <c r="S157" s="63"/>
      <c r="T157" s="63"/>
      <c r="U157" s="63"/>
      <c r="V157" s="63"/>
      <c r="W157" s="63"/>
      <c r="X157" s="63"/>
      <c r="Y157" s="63"/>
      <c r="Z157" s="62"/>
    </row>
    <row r="158" ht="14.25" hidden="1" customHeight="1">
      <c r="A158" s="62"/>
      <c r="B158" s="97"/>
      <c r="C158" s="97"/>
      <c r="D158" s="97"/>
      <c r="E158" s="97"/>
      <c r="F158" s="97"/>
      <c r="G158" s="97"/>
      <c r="H158" s="59"/>
      <c r="I158" s="61"/>
      <c r="J158" s="61"/>
      <c r="K158" s="61"/>
      <c r="L158" s="62"/>
      <c r="M158" s="62"/>
      <c r="N158" s="63"/>
      <c r="O158" s="63"/>
      <c r="P158" s="63"/>
      <c r="Q158" s="63"/>
      <c r="R158" s="63"/>
      <c r="S158" s="63"/>
      <c r="T158" s="63"/>
      <c r="U158" s="63"/>
      <c r="V158" s="63"/>
      <c r="W158" s="63"/>
      <c r="X158" s="63"/>
      <c r="Y158" s="63"/>
      <c r="Z158" s="62"/>
    </row>
    <row r="159" ht="14.25" hidden="1" customHeight="1">
      <c r="A159" s="62"/>
      <c r="B159" s="97"/>
      <c r="C159" s="97"/>
      <c r="D159" s="97"/>
      <c r="E159" s="97"/>
      <c r="F159" s="97"/>
      <c r="G159" s="97"/>
      <c r="H159" s="59"/>
      <c r="I159" s="61"/>
      <c r="J159" s="61"/>
      <c r="K159" s="61"/>
      <c r="L159" s="62"/>
      <c r="M159" s="62"/>
      <c r="N159" s="63"/>
      <c r="O159" s="63"/>
      <c r="P159" s="63"/>
      <c r="Q159" s="63"/>
      <c r="R159" s="63"/>
      <c r="S159" s="63"/>
      <c r="T159" s="63"/>
      <c r="U159" s="63"/>
      <c r="V159" s="63"/>
      <c r="W159" s="63"/>
      <c r="X159" s="63"/>
      <c r="Y159" s="63"/>
      <c r="Z159" s="62"/>
    </row>
    <row r="160" ht="14.25" hidden="1" customHeight="1">
      <c r="A160" s="62"/>
      <c r="B160" s="97"/>
      <c r="C160" s="97"/>
      <c r="D160" s="97"/>
      <c r="E160" s="97"/>
      <c r="F160" s="97"/>
      <c r="G160" s="97"/>
      <c r="H160" s="59"/>
      <c r="I160" s="61"/>
      <c r="J160" s="61"/>
      <c r="K160" s="61"/>
      <c r="L160" s="62"/>
      <c r="M160" s="62"/>
      <c r="N160" s="63"/>
      <c r="O160" s="63"/>
      <c r="P160" s="63"/>
      <c r="Q160" s="63"/>
      <c r="R160" s="63"/>
      <c r="S160" s="63"/>
      <c r="T160" s="63"/>
      <c r="U160" s="63"/>
      <c r="V160" s="63"/>
      <c r="W160" s="63"/>
      <c r="X160" s="63"/>
      <c r="Y160" s="63"/>
      <c r="Z160" s="62"/>
    </row>
    <row r="161" ht="14.25" hidden="1" customHeight="1">
      <c r="A161" s="62"/>
      <c r="B161" s="97"/>
      <c r="C161" s="97"/>
      <c r="D161" s="97"/>
      <c r="E161" s="97"/>
      <c r="F161" s="97"/>
      <c r="G161" s="97"/>
      <c r="H161" s="59"/>
      <c r="I161" s="61"/>
      <c r="J161" s="61"/>
      <c r="K161" s="61"/>
      <c r="L161" s="62"/>
      <c r="M161" s="62"/>
      <c r="N161" s="63"/>
      <c r="O161" s="63"/>
      <c r="P161" s="63"/>
      <c r="Q161" s="63"/>
      <c r="R161" s="63"/>
      <c r="S161" s="63"/>
      <c r="T161" s="63"/>
      <c r="U161" s="63"/>
      <c r="V161" s="63"/>
      <c r="W161" s="63"/>
      <c r="X161" s="63"/>
      <c r="Y161" s="63"/>
      <c r="Z161" s="62"/>
    </row>
    <row r="162" ht="14.25" hidden="1" customHeight="1">
      <c r="A162" s="62"/>
      <c r="B162" s="97"/>
      <c r="C162" s="97"/>
      <c r="D162" s="97"/>
      <c r="E162" s="97"/>
      <c r="F162" s="97"/>
      <c r="G162" s="97"/>
      <c r="H162" s="59"/>
      <c r="I162" s="61"/>
      <c r="J162" s="61"/>
      <c r="K162" s="61"/>
      <c r="L162" s="62"/>
      <c r="M162" s="62"/>
      <c r="N162" s="63"/>
      <c r="O162" s="63"/>
      <c r="P162" s="63"/>
      <c r="Q162" s="63"/>
      <c r="R162" s="63"/>
      <c r="S162" s="63"/>
      <c r="T162" s="63"/>
      <c r="U162" s="63"/>
      <c r="V162" s="63"/>
      <c r="W162" s="63"/>
      <c r="X162" s="63"/>
      <c r="Y162" s="63"/>
      <c r="Z162" s="62"/>
    </row>
    <row r="163" ht="14.25" hidden="1" customHeight="1">
      <c r="A163" s="62"/>
      <c r="B163" s="97"/>
      <c r="C163" s="97"/>
      <c r="D163" s="97"/>
      <c r="E163" s="97"/>
      <c r="F163" s="97"/>
      <c r="G163" s="97"/>
      <c r="H163" s="59"/>
      <c r="I163" s="61"/>
      <c r="J163" s="61"/>
      <c r="K163" s="61"/>
      <c r="L163" s="62"/>
      <c r="M163" s="62"/>
      <c r="N163" s="63"/>
      <c r="O163" s="63"/>
      <c r="P163" s="63"/>
      <c r="Q163" s="63"/>
      <c r="R163" s="63"/>
      <c r="S163" s="63"/>
      <c r="T163" s="63"/>
      <c r="U163" s="63"/>
      <c r="V163" s="63"/>
      <c r="W163" s="63"/>
      <c r="X163" s="63"/>
      <c r="Y163" s="63"/>
      <c r="Z163" s="62"/>
    </row>
    <row r="164" ht="14.25" hidden="1" customHeight="1">
      <c r="A164" s="62"/>
      <c r="B164" s="97"/>
      <c r="C164" s="97"/>
      <c r="D164" s="97"/>
      <c r="E164" s="97"/>
      <c r="F164" s="97"/>
      <c r="G164" s="97"/>
      <c r="H164" s="59"/>
      <c r="I164" s="61"/>
      <c r="J164" s="61"/>
      <c r="K164" s="61"/>
      <c r="L164" s="62"/>
      <c r="M164" s="62"/>
      <c r="N164" s="63"/>
      <c r="O164" s="63"/>
      <c r="P164" s="63"/>
      <c r="Q164" s="63"/>
      <c r="R164" s="63"/>
      <c r="S164" s="63"/>
      <c r="T164" s="63"/>
      <c r="U164" s="63"/>
      <c r="V164" s="63"/>
      <c r="W164" s="63"/>
      <c r="X164" s="63"/>
      <c r="Y164" s="63"/>
      <c r="Z164" s="62"/>
    </row>
    <row r="165" ht="14.25" hidden="1" customHeight="1">
      <c r="A165" s="62"/>
      <c r="B165" s="97"/>
      <c r="C165" s="97"/>
      <c r="D165" s="97"/>
      <c r="E165" s="97"/>
      <c r="F165" s="97"/>
      <c r="G165" s="97"/>
      <c r="H165" s="59"/>
      <c r="I165" s="61"/>
      <c r="J165" s="61"/>
      <c r="K165" s="61"/>
      <c r="L165" s="62"/>
      <c r="M165" s="62"/>
      <c r="N165" s="63"/>
      <c r="O165" s="63"/>
      <c r="P165" s="63"/>
      <c r="Q165" s="63"/>
      <c r="R165" s="63"/>
      <c r="S165" s="63"/>
      <c r="T165" s="63"/>
      <c r="U165" s="63"/>
      <c r="V165" s="63"/>
      <c r="W165" s="63"/>
      <c r="X165" s="63"/>
      <c r="Y165" s="63"/>
      <c r="Z165" s="62"/>
    </row>
    <row r="166" ht="14.25" hidden="1" customHeight="1">
      <c r="A166" s="62"/>
      <c r="B166" s="97"/>
      <c r="C166" s="97"/>
      <c r="D166" s="97"/>
      <c r="E166" s="97"/>
      <c r="F166" s="97"/>
      <c r="G166" s="97"/>
      <c r="H166" s="59"/>
      <c r="I166" s="61"/>
      <c r="J166" s="61"/>
      <c r="K166" s="61"/>
      <c r="L166" s="62"/>
      <c r="M166" s="62"/>
      <c r="N166" s="63"/>
      <c r="O166" s="63"/>
      <c r="P166" s="63"/>
      <c r="Q166" s="63"/>
      <c r="R166" s="63"/>
      <c r="S166" s="63"/>
      <c r="T166" s="63"/>
      <c r="U166" s="63"/>
      <c r="V166" s="63"/>
      <c r="W166" s="63"/>
      <c r="X166" s="63"/>
      <c r="Y166" s="63"/>
      <c r="Z166" s="62"/>
    </row>
    <row r="167" ht="14.25" hidden="1" customHeight="1">
      <c r="A167" s="62"/>
      <c r="B167" s="97"/>
      <c r="C167" s="97"/>
      <c r="D167" s="97"/>
      <c r="E167" s="97"/>
      <c r="F167" s="97"/>
      <c r="G167" s="97"/>
      <c r="H167" s="59"/>
      <c r="I167" s="61"/>
      <c r="J167" s="61"/>
      <c r="K167" s="61"/>
      <c r="L167" s="62"/>
      <c r="M167" s="62"/>
      <c r="N167" s="63"/>
      <c r="O167" s="63"/>
      <c r="P167" s="63"/>
      <c r="Q167" s="63"/>
      <c r="R167" s="63"/>
      <c r="S167" s="63"/>
      <c r="T167" s="63"/>
      <c r="U167" s="63"/>
      <c r="V167" s="63"/>
      <c r="W167" s="63"/>
      <c r="X167" s="63"/>
      <c r="Y167" s="63"/>
      <c r="Z167" s="62"/>
    </row>
    <row r="168" ht="14.25" hidden="1" customHeight="1">
      <c r="A168" s="62"/>
      <c r="B168" s="97"/>
      <c r="C168" s="97"/>
      <c r="D168" s="97"/>
      <c r="E168" s="97"/>
      <c r="F168" s="97"/>
      <c r="G168" s="97"/>
      <c r="H168" s="59"/>
      <c r="I168" s="61"/>
      <c r="J168" s="61"/>
      <c r="K168" s="61"/>
      <c r="L168" s="62"/>
      <c r="M168" s="62"/>
      <c r="N168" s="63"/>
      <c r="O168" s="63"/>
      <c r="P168" s="63"/>
      <c r="Q168" s="63"/>
      <c r="R168" s="63"/>
      <c r="S168" s="63"/>
      <c r="T168" s="63"/>
      <c r="U168" s="63"/>
      <c r="V168" s="63"/>
      <c r="W168" s="63"/>
      <c r="X168" s="63"/>
      <c r="Y168" s="63"/>
      <c r="Z168" s="62"/>
    </row>
    <row r="169" ht="14.25" hidden="1" customHeight="1">
      <c r="A169" s="62"/>
      <c r="B169" s="97"/>
      <c r="C169" s="97"/>
      <c r="D169" s="97"/>
      <c r="E169" s="97"/>
      <c r="F169" s="97"/>
      <c r="G169" s="97"/>
      <c r="H169" s="59"/>
      <c r="I169" s="61"/>
      <c r="J169" s="61"/>
      <c r="K169" s="61"/>
      <c r="L169" s="62"/>
      <c r="M169" s="62"/>
      <c r="N169" s="63"/>
      <c r="O169" s="63"/>
      <c r="P169" s="63"/>
      <c r="Q169" s="63"/>
      <c r="R169" s="63"/>
      <c r="S169" s="63"/>
      <c r="T169" s="63"/>
      <c r="U169" s="63"/>
      <c r="V169" s="63"/>
      <c r="W169" s="63"/>
      <c r="X169" s="63"/>
      <c r="Y169" s="63"/>
      <c r="Z169" s="62"/>
    </row>
    <row r="170" ht="14.25" hidden="1" customHeight="1">
      <c r="A170" s="62"/>
      <c r="B170" s="97"/>
      <c r="C170" s="97"/>
      <c r="D170" s="97"/>
      <c r="E170" s="97"/>
      <c r="F170" s="97"/>
      <c r="G170" s="97"/>
      <c r="H170" s="59"/>
      <c r="I170" s="61"/>
      <c r="J170" s="61"/>
      <c r="K170" s="61"/>
      <c r="L170" s="62"/>
      <c r="M170" s="62"/>
      <c r="N170" s="63"/>
      <c r="O170" s="63"/>
      <c r="P170" s="63"/>
      <c r="Q170" s="63"/>
      <c r="R170" s="63"/>
      <c r="S170" s="63"/>
      <c r="T170" s="63"/>
      <c r="U170" s="63"/>
      <c r="V170" s="63"/>
      <c r="W170" s="63"/>
      <c r="X170" s="63"/>
      <c r="Y170" s="63"/>
      <c r="Z170" s="62"/>
    </row>
    <row r="171" ht="14.25" hidden="1" customHeight="1">
      <c r="A171" s="62"/>
      <c r="B171" s="97"/>
      <c r="C171" s="97"/>
      <c r="D171" s="97"/>
      <c r="E171" s="97"/>
      <c r="F171" s="97"/>
      <c r="G171" s="97"/>
      <c r="H171" s="59"/>
      <c r="I171" s="61"/>
      <c r="J171" s="61"/>
      <c r="K171" s="61"/>
      <c r="L171" s="62"/>
      <c r="M171" s="62"/>
      <c r="N171" s="63"/>
      <c r="O171" s="63"/>
      <c r="P171" s="63"/>
      <c r="Q171" s="63"/>
      <c r="R171" s="63"/>
      <c r="S171" s="63"/>
      <c r="T171" s="63"/>
      <c r="U171" s="63"/>
      <c r="V171" s="63"/>
      <c r="W171" s="63"/>
      <c r="X171" s="63"/>
      <c r="Y171" s="63"/>
      <c r="Z171" s="62"/>
    </row>
    <row r="172" ht="14.25" hidden="1" customHeight="1">
      <c r="A172" s="62"/>
      <c r="B172" s="97"/>
      <c r="C172" s="97"/>
      <c r="D172" s="97"/>
      <c r="E172" s="97"/>
      <c r="F172" s="97"/>
      <c r="G172" s="97"/>
      <c r="H172" s="59"/>
      <c r="I172" s="61"/>
      <c r="J172" s="61"/>
      <c r="K172" s="61"/>
      <c r="L172" s="62"/>
      <c r="M172" s="62"/>
      <c r="N172" s="63"/>
      <c r="O172" s="63"/>
      <c r="P172" s="63"/>
      <c r="Q172" s="63"/>
      <c r="R172" s="63"/>
      <c r="S172" s="63"/>
      <c r="T172" s="63"/>
      <c r="U172" s="63"/>
      <c r="V172" s="63"/>
      <c r="W172" s="63"/>
      <c r="X172" s="63"/>
      <c r="Y172" s="63"/>
      <c r="Z172" s="62"/>
    </row>
    <row r="173" ht="14.25" hidden="1" customHeight="1">
      <c r="A173" s="62"/>
      <c r="B173" s="97"/>
      <c r="C173" s="97"/>
      <c r="D173" s="97"/>
      <c r="E173" s="97"/>
      <c r="F173" s="97"/>
      <c r="G173" s="97"/>
      <c r="H173" s="59"/>
      <c r="I173" s="61"/>
      <c r="J173" s="61"/>
      <c r="K173" s="61"/>
      <c r="L173" s="62"/>
      <c r="M173" s="62"/>
      <c r="N173" s="63"/>
      <c r="O173" s="63"/>
      <c r="P173" s="63"/>
      <c r="Q173" s="63"/>
      <c r="R173" s="63"/>
      <c r="S173" s="63"/>
      <c r="T173" s="63"/>
      <c r="U173" s="63"/>
      <c r="V173" s="63"/>
      <c r="W173" s="63"/>
      <c r="X173" s="63"/>
      <c r="Y173" s="63"/>
      <c r="Z173" s="62"/>
    </row>
    <row r="174" ht="14.25" hidden="1" customHeight="1">
      <c r="A174" s="62"/>
      <c r="B174" s="97"/>
      <c r="C174" s="97"/>
      <c r="D174" s="97"/>
      <c r="E174" s="97"/>
      <c r="F174" s="97"/>
      <c r="G174" s="97"/>
      <c r="H174" s="59"/>
      <c r="I174" s="61"/>
      <c r="J174" s="61"/>
      <c r="K174" s="61"/>
      <c r="L174" s="62"/>
      <c r="M174" s="62"/>
      <c r="N174" s="63"/>
      <c r="O174" s="63"/>
      <c r="P174" s="63"/>
      <c r="Q174" s="63"/>
      <c r="R174" s="63"/>
      <c r="S174" s="63"/>
      <c r="T174" s="63"/>
      <c r="U174" s="63"/>
      <c r="V174" s="63"/>
      <c r="W174" s="63"/>
      <c r="X174" s="63"/>
      <c r="Y174" s="63"/>
      <c r="Z174" s="62"/>
    </row>
    <row r="175" ht="14.25" customHeight="1">
      <c r="A175" s="59"/>
      <c r="B175" s="97"/>
      <c r="C175" s="97"/>
      <c r="D175" s="97"/>
      <c r="E175" s="97"/>
      <c r="F175" s="97"/>
      <c r="G175" s="97"/>
      <c r="H175" s="59"/>
      <c r="I175" s="61"/>
      <c r="J175" s="61"/>
      <c r="K175" s="61"/>
      <c r="L175" s="62"/>
      <c r="M175" s="62"/>
      <c r="N175" s="63"/>
      <c r="O175" s="63"/>
      <c r="P175" s="63"/>
      <c r="Q175" s="63"/>
      <c r="R175" s="63"/>
      <c r="S175" s="63"/>
      <c r="T175" s="63"/>
      <c r="U175" s="63"/>
      <c r="V175" s="63"/>
      <c r="W175" s="63"/>
      <c r="X175" s="63"/>
      <c r="Y175" s="63"/>
      <c r="Z175" s="62"/>
    </row>
    <row r="176" ht="14.25" customHeight="1">
      <c r="A176" s="59"/>
      <c r="B176" s="97"/>
      <c r="C176" s="97"/>
      <c r="D176" s="97"/>
      <c r="E176" s="97"/>
      <c r="F176" s="97"/>
      <c r="G176" s="97"/>
      <c r="H176" s="59"/>
      <c r="I176" s="61"/>
      <c r="J176" s="61"/>
      <c r="K176" s="61"/>
      <c r="L176" s="62"/>
      <c r="M176" s="62"/>
      <c r="N176" s="63"/>
      <c r="O176" s="63"/>
      <c r="P176" s="63"/>
      <c r="Q176" s="63"/>
      <c r="R176" s="63"/>
      <c r="S176" s="63"/>
      <c r="T176" s="63"/>
      <c r="U176" s="63"/>
      <c r="V176" s="63"/>
      <c r="W176" s="63"/>
      <c r="X176" s="63"/>
      <c r="Y176" s="63"/>
      <c r="Z176" s="62"/>
    </row>
    <row r="177" ht="14.25" customHeight="1">
      <c r="A177" s="59"/>
      <c r="B177" s="97"/>
      <c r="C177" s="97"/>
      <c r="D177" s="97"/>
      <c r="E177" s="97"/>
      <c r="F177" s="97"/>
      <c r="G177" s="97"/>
      <c r="H177" s="59"/>
      <c r="I177" s="61"/>
      <c r="J177" s="61"/>
      <c r="K177" s="61"/>
      <c r="L177" s="62"/>
      <c r="M177" s="62"/>
      <c r="N177" s="63"/>
      <c r="O177" s="63"/>
      <c r="P177" s="63"/>
      <c r="Q177" s="63"/>
      <c r="R177" s="63"/>
      <c r="S177" s="63"/>
      <c r="T177" s="63"/>
      <c r="U177" s="63"/>
      <c r="V177" s="63"/>
      <c r="W177" s="63"/>
      <c r="X177" s="63"/>
      <c r="Y177" s="63"/>
      <c r="Z177" s="62"/>
    </row>
    <row r="178" ht="14.25" customHeight="1">
      <c r="A178" s="59"/>
      <c r="B178" s="97"/>
      <c r="C178" s="97"/>
      <c r="D178" s="97"/>
      <c r="E178" s="97"/>
      <c r="F178" s="97"/>
      <c r="G178" s="97"/>
      <c r="H178" s="59"/>
      <c r="I178" s="61"/>
      <c r="J178" s="61"/>
      <c r="K178" s="61"/>
      <c r="L178" s="62"/>
      <c r="M178" s="62"/>
      <c r="N178" s="63"/>
      <c r="O178" s="63"/>
      <c r="P178" s="63"/>
      <c r="Q178" s="63"/>
      <c r="R178" s="63"/>
      <c r="S178" s="63"/>
      <c r="T178" s="63"/>
      <c r="U178" s="63"/>
      <c r="V178" s="63"/>
      <c r="W178" s="63"/>
      <c r="X178" s="63"/>
      <c r="Y178" s="63"/>
      <c r="Z178" s="62"/>
    </row>
    <row r="179" ht="14.25" customHeight="1">
      <c r="A179" s="59"/>
      <c r="B179" s="97"/>
      <c r="C179" s="97"/>
      <c r="D179" s="97"/>
      <c r="E179" s="97"/>
      <c r="F179" s="97"/>
      <c r="G179" s="97"/>
      <c r="H179" s="59"/>
      <c r="I179" s="61"/>
      <c r="J179" s="61"/>
      <c r="K179" s="61"/>
      <c r="L179" s="62"/>
      <c r="M179" s="62"/>
      <c r="N179" s="63"/>
      <c r="O179" s="63"/>
      <c r="P179" s="63"/>
      <c r="Q179" s="63"/>
      <c r="R179" s="63"/>
      <c r="S179" s="63"/>
      <c r="T179" s="63"/>
      <c r="U179" s="63"/>
      <c r="V179" s="63"/>
      <c r="W179" s="63"/>
      <c r="X179" s="63"/>
      <c r="Y179" s="63"/>
      <c r="Z179" s="62"/>
    </row>
    <row r="180" ht="14.25" customHeight="1">
      <c r="A180" s="59"/>
      <c r="B180" s="97"/>
      <c r="C180" s="97"/>
      <c r="D180" s="97"/>
      <c r="E180" s="97"/>
      <c r="F180" s="97"/>
      <c r="G180" s="97"/>
      <c r="H180" s="59"/>
      <c r="I180" s="61"/>
      <c r="J180" s="61"/>
      <c r="K180" s="61"/>
      <c r="L180" s="62"/>
      <c r="M180" s="62"/>
      <c r="N180" s="63"/>
      <c r="O180" s="63"/>
      <c r="P180" s="63"/>
      <c r="Q180" s="63"/>
      <c r="R180" s="63"/>
      <c r="S180" s="63"/>
      <c r="T180" s="63"/>
      <c r="U180" s="63"/>
      <c r="V180" s="63"/>
      <c r="W180" s="63"/>
      <c r="X180" s="63"/>
      <c r="Y180" s="63"/>
      <c r="Z180" s="62"/>
    </row>
    <row r="181" ht="14.25" customHeight="1">
      <c r="A181" s="59"/>
      <c r="B181" s="97"/>
      <c r="C181" s="97"/>
      <c r="D181" s="97"/>
      <c r="E181" s="97"/>
      <c r="F181" s="97"/>
      <c r="G181" s="97"/>
      <c r="H181" s="59"/>
      <c r="I181" s="61"/>
      <c r="J181" s="61"/>
      <c r="K181" s="61"/>
      <c r="L181" s="62"/>
      <c r="M181" s="62"/>
      <c r="N181" s="63"/>
      <c r="O181" s="63"/>
      <c r="P181" s="63"/>
      <c r="Q181" s="63"/>
      <c r="R181" s="63"/>
      <c r="S181" s="63"/>
      <c r="T181" s="63"/>
      <c r="U181" s="63"/>
      <c r="V181" s="63"/>
      <c r="W181" s="63"/>
      <c r="X181" s="63"/>
      <c r="Y181" s="63"/>
      <c r="Z181" s="62"/>
    </row>
    <row r="182" ht="14.25" customHeight="1">
      <c r="A182" s="59"/>
      <c r="B182" s="97"/>
      <c r="C182" s="97"/>
      <c r="D182" s="97"/>
      <c r="E182" s="97"/>
      <c r="F182" s="97"/>
      <c r="G182" s="97"/>
      <c r="H182" s="59"/>
      <c r="I182" s="61"/>
      <c r="J182" s="61"/>
      <c r="K182" s="61"/>
      <c r="L182" s="62"/>
      <c r="M182" s="62"/>
      <c r="N182" s="63"/>
      <c r="O182" s="63"/>
      <c r="P182" s="63"/>
      <c r="Q182" s="63"/>
      <c r="R182" s="63"/>
      <c r="S182" s="63"/>
      <c r="T182" s="63"/>
      <c r="U182" s="63"/>
      <c r="V182" s="63"/>
      <c r="W182" s="63"/>
      <c r="X182" s="63"/>
      <c r="Y182" s="63"/>
      <c r="Z182" s="62"/>
    </row>
    <row r="183" ht="14.25" customHeight="1">
      <c r="A183" s="59"/>
      <c r="B183" s="97"/>
      <c r="C183" s="97"/>
      <c r="D183" s="97"/>
      <c r="E183" s="97"/>
      <c r="F183" s="97"/>
      <c r="G183" s="97"/>
      <c r="H183" s="59"/>
      <c r="I183" s="61"/>
      <c r="J183" s="61"/>
      <c r="K183" s="61"/>
      <c r="L183" s="62"/>
      <c r="M183" s="62"/>
      <c r="N183" s="63"/>
      <c r="O183" s="63"/>
      <c r="P183" s="63"/>
      <c r="Q183" s="63"/>
      <c r="R183" s="63"/>
      <c r="S183" s="63"/>
      <c r="T183" s="63"/>
      <c r="U183" s="63"/>
      <c r="V183" s="63"/>
      <c r="W183" s="63"/>
      <c r="X183" s="63"/>
      <c r="Y183" s="63"/>
      <c r="Z183" s="62"/>
    </row>
    <row r="184" ht="14.25" customHeight="1">
      <c r="A184" s="59"/>
      <c r="B184" s="97"/>
      <c r="C184" s="97"/>
      <c r="D184" s="97"/>
      <c r="E184" s="97"/>
      <c r="F184" s="97"/>
      <c r="G184" s="97"/>
      <c r="H184" s="59"/>
      <c r="I184" s="61"/>
      <c r="J184" s="61"/>
      <c r="K184" s="61"/>
      <c r="L184" s="62"/>
      <c r="M184" s="62"/>
      <c r="N184" s="63"/>
      <c r="O184" s="63"/>
      <c r="P184" s="63"/>
      <c r="Q184" s="63"/>
      <c r="R184" s="63"/>
      <c r="S184" s="63"/>
      <c r="T184" s="63"/>
      <c r="U184" s="63"/>
      <c r="V184" s="63"/>
      <c r="W184" s="63"/>
      <c r="X184" s="63"/>
      <c r="Y184" s="63"/>
      <c r="Z184" s="62"/>
    </row>
    <row r="185" ht="14.25" customHeight="1">
      <c r="A185" s="59"/>
      <c r="B185" s="97"/>
      <c r="C185" s="97"/>
      <c r="D185" s="97"/>
      <c r="E185" s="97"/>
      <c r="F185" s="97"/>
      <c r="G185" s="97"/>
      <c r="H185" s="59"/>
      <c r="I185" s="61"/>
      <c r="J185" s="61"/>
      <c r="K185" s="61"/>
      <c r="L185" s="62"/>
      <c r="M185" s="62"/>
      <c r="N185" s="63"/>
      <c r="O185" s="63"/>
      <c r="P185" s="63"/>
      <c r="Q185" s="63"/>
      <c r="R185" s="63"/>
      <c r="S185" s="63"/>
      <c r="T185" s="63"/>
      <c r="U185" s="63"/>
      <c r="V185" s="63"/>
      <c r="W185" s="63"/>
      <c r="X185" s="63"/>
      <c r="Y185" s="63"/>
      <c r="Z185" s="62"/>
    </row>
    <row r="186" ht="14.25" customHeight="1">
      <c r="A186" s="59"/>
      <c r="B186" s="97"/>
      <c r="C186" s="97"/>
      <c r="D186" s="97"/>
      <c r="E186" s="97"/>
      <c r="F186" s="97"/>
      <c r="G186" s="97"/>
      <c r="H186" s="59"/>
      <c r="I186" s="61"/>
      <c r="J186" s="61"/>
      <c r="K186" s="61"/>
      <c r="L186" s="62"/>
      <c r="M186" s="62"/>
      <c r="N186" s="63"/>
      <c r="O186" s="63"/>
      <c r="P186" s="63"/>
      <c r="Q186" s="63"/>
      <c r="R186" s="63"/>
      <c r="S186" s="63"/>
      <c r="T186" s="63"/>
      <c r="U186" s="63"/>
      <c r="V186" s="63"/>
      <c r="W186" s="63"/>
      <c r="X186" s="63"/>
      <c r="Y186" s="63"/>
      <c r="Z186" s="62"/>
    </row>
    <row r="187" ht="14.25" customHeight="1">
      <c r="A187" s="59"/>
      <c r="B187" s="97"/>
      <c r="C187" s="97"/>
      <c r="D187" s="97"/>
      <c r="E187" s="97"/>
      <c r="F187" s="97"/>
      <c r="G187" s="97"/>
      <c r="H187" s="59"/>
      <c r="I187" s="61"/>
      <c r="J187" s="61"/>
      <c r="K187" s="61"/>
      <c r="L187" s="62"/>
      <c r="M187" s="62"/>
      <c r="N187" s="63"/>
      <c r="O187" s="63"/>
      <c r="P187" s="63"/>
      <c r="Q187" s="63"/>
      <c r="R187" s="63"/>
      <c r="S187" s="63"/>
      <c r="T187" s="63"/>
      <c r="U187" s="63"/>
      <c r="V187" s="63"/>
      <c r="W187" s="63"/>
      <c r="X187" s="63"/>
      <c r="Y187" s="63"/>
      <c r="Z187" s="62"/>
    </row>
    <row r="188" ht="14.25" customHeight="1">
      <c r="A188" s="59"/>
      <c r="B188" s="97"/>
      <c r="C188" s="97"/>
      <c r="D188" s="97"/>
      <c r="E188" s="97"/>
      <c r="F188" s="97"/>
      <c r="G188" s="97"/>
      <c r="H188" s="59"/>
      <c r="I188" s="61"/>
      <c r="J188" s="61"/>
      <c r="K188" s="61"/>
      <c r="L188" s="62"/>
      <c r="M188" s="62"/>
      <c r="N188" s="63"/>
      <c r="O188" s="63"/>
      <c r="P188" s="63"/>
      <c r="Q188" s="63"/>
      <c r="R188" s="63"/>
      <c r="S188" s="63"/>
      <c r="T188" s="63"/>
      <c r="U188" s="63"/>
      <c r="V188" s="63"/>
      <c r="W188" s="63"/>
      <c r="X188" s="63"/>
      <c r="Y188" s="63"/>
      <c r="Z188" s="62"/>
    </row>
    <row r="189" ht="14.25" customHeight="1">
      <c r="A189" s="59"/>
      <c r="B189" s="97"/>
      <c r="C189" s="97"/>
      <c r="D189" s="97"/>
      <c r="E189" s="97"/>
      <c r="F189" s="97"/>
      <c r="G189" s="97"/>
      <c r="H189" s="59"/>
      <c r="I189" s="61"/>
      <c r="J189" s="61"/>
      <c r="K189" s="61"/>
      <c r="L189" s="62"/>
      <c r="M189" s="62"/>
      <c r="N189" s="63"/>
      <c r="O189" s="63"/>
      <c r="P189" s="63"/>
      <c r="Q189" s="63"/>
      <c r="R189" s="63"/>
      <c r="S189" s="63"/>
      <c r="T189" s="63"/>
      <c r="U189" s="63"/>
      <c r="V189" s="63"/>
      <c r="W189" s="63"/>
      <c r="X189" s="63"/>
      <c r="Y189" s="63"/>
      <c r="Z189" s="62"/>
    </row>
    <row r="190" ht="14.25" customHeight="1">
      <c r="A190" s="59"/>
      <c r="B190" s="97"/>
      <c r="C190" s="97"/>
      <c r="D190" s="97"/>
      <c r="E190" s="97"/>
      <c r="F190" s="97"/>
      <c r="G190" s="97"/>
      <c r="H190" s="59"/>
      <c r="I190" s="61"/>
      <c r="J190" s="61"/>
      <c r="K190" s="61"/>
      <c r="L190" s="62"/>
      <c r="M190" s="62"/>
      <c r="N190" s="63"/>
      <c r="O190" s="63"/>
      <c r="P190" s="63"/>
      <c r="Q190" s="63"/>
      <c r="R190" s="63"/>
      <c r="S190" s="63"/>
      <c r="T190" s="63"/>
      <c r="U190" s="63"/>
      <c r="V190" s="63"/>
      <c r="W190" s="63"/>
      <c r="X190" s="63"/>
      <c r="Y190" s="63"/>
      <c r="Z190" s="62"/>
    </row>
    <row r="191" ht="14.25" customHeight="1">
      <c r="A191" s="59"/>
      <c r="B191" s="97"/>
      <c r="C191" s="97"/>
      <c r="D191" s="97"/>
      <c r="E191" s="97"/>
      <c r="F191" s="97"/>
      <c r="G191" s="97"/>
      <c r="H191" s="59"/>
      <c r="I191" s="61"/>
      <c r="J191" s="61"/>
      <c r="K191" s="61"/>
      <c r="L191" s="62"/>
      <c r="M191" s="62"/>
      <c r="N191" s="63"/>
      <c r="O191" s="63"/>
      <c r="P191" s="63"/>
      <c r="Q191" s="63"/>
      <c r="R191" s="63"/>
      <c r="S191" s="63"/>
      <c r="T191" s="63"/>
      <c r="U191" s="63"/>
      <c r="V191" s="63"/>
      <c r="W191" s="63"/>
      <c r="X191" s="63"/>
      <c r="Y191" s="63"/>
      <c r="Z191" s="62"/>
    </row>
    <row r="192" ht="14.25" customHeight="1">
      <c r="A192" s="59"/>
      <c r="B192" s="97"/>
      <c r="C192" s="97"/>
      <c r="D192" s="97"/>
      <c r="E192" s="97"/>
      <c r="F192" s="97"/>
      <c r="G192" s="97"/>
      <c r="H192" s="59"/>
      <c r="I192" s="61"/>
      <c r="J192" s="61"/>
      <c r="K192" s="61"/>
      <c r="L192" s="62"/>
      <c r="M192" s="62"/>
      <c r="N192" s="63"/>
      <c r="O192" s="63"/>
      <c r="P192" s="63"/>
      <c r="Q192" s="63"/>
      <c r="R192" s="63"/>
      <c r="S192" s="63"/>
      <c r="T192" s="63"/>
      <c r="U192" s="63"/>
      <c r="V192" s="63"/>
      <c r="W192" s="63"/>
      <c r="X192" s="63"/>
      <c r="Y192" s="63"/>
      <c r="Z192" s="62"/>
    </row>
    <row r="193" ht="14.25" customHeight="1">
      <c r="A193" s="59"/>
      <c r="B193" s="97"/>
      <c r="C193" s="97"/>
      <c r="D193" s="97"/>
      <c r="E193" s="97"/>
      <c r="F193" s="97"/>
      <c r="G193" s="97"/>
      <c r="H193" s="59"/>
      <c r="I193" s="61"/>
      <c r="J193" s="61"/>
      <c r="K193" s="61"/>
      <c r="L193" s="62"/>
      <c r="M193" s="62"/>
      <c r="N193" s="63"/>
      <c r="O193" s="63"/>
      <c r="P193" s="63"/>
      <c r="Q193" s="63"/>
      <c r="R193" s="63"/>
      <c r="S193" s="63"/>
      <c r="T193" s="63"/>
      <c r="U193" s="63"/>
      <c r="V193" s="63"/>
      <c r="W193" s="63"/>
      <c r="X193" s="63"/>
      <c r="Y193" s="63"/>
      <c r="Z193" s="62"/>
    </row>
    <row r="194" ht="14.25" customHeight="1">
      <c r="A194" s="59"/>
      <c r="B194" s="97"/>
      <c r="C194" s="97"/>
      <c r="D194" s="97"/>
      <c r="E194" s="97"/>
      <c r="F194" s="97"/>
      <c r="G194" s="97"/>
      <c r="H194" s="59"/>
      <c r="I194" s="61"/>
      <c r="J194" s="61"/>
      <c r="K194" s="61"/>
      <c r="L194" s="62"/>
      <c r="M194" s="62"/>
      <c r="N194" s="63"/>
      <c r="O194" s="63"/>
      <c r="P194" s="63"/>
      <c r="Q194" s="63"/>
      <c r="R194" s="63"/>
      <c r="S194" s="63"/>
      <c r="T194" s="63"/>
      <c r="U194" s="63"/>
      <c r="V194" s="63"/>
      <c r="W194" s="63"/>
      <c r="X194" s="63"/>
      <c r="Y194" s="63"/>
      <c r="Z194" s="62"/>
    </row>
    <row r="195" ht="14.25" customHeight="1">
      <c r="A195" s="59"/>
      <c r="B195" s="97"/>
      <c r="C195" s="97"/>
      <c r="D195" s="97"/>
      <c r="E195" s="97"/>
      <c r="F195" s="97"/>
      <c r="G195" s="97"/>
      <c r="H195" s="59"/>
      <c r="I195" s="61"/>
      <c r="J195" s="61"/>
      <c r="K195" s="61"/>
      <c r="L195" s="62"/>
      <c r="M195" s="62"/>
      <c r="N195" s="63"/>
      <c r="O195" s="63"/>
      <c r="P195" s="63"/>
      <c r="Q195" s="63"/>
      <c r="R195" s="63"/>
      <c r="S195" s="63"/>
      <c r="T195" s="63"/>
      <c r="U195" s="63"/>
      <c r="V195" s="63"/>
      <c r="W195" s="63"/>
      <c r="X195" s="63"/>
      <c r="Y195" s="63"/>
      <c r="Z195" s="62"/>
    </row>
    <row r="196" ht="14.25" customHeight="1">
      <c r="A196" s="59"/>
      <c r="B196" s="97"/>
      <c r="C196" s="97"/>
      <c r="D196" s="97"/>
      <c r="E196" s="97"/>
      <c r="F196" s="97"/>
      <c r="G196" s="97"/>
      <c r="H196" s="59"/>
      <c r="I196" s="61"/>
      <c r="J196" s="61"/>
      <c r="K196" s="61"/>
      <c r="L196" s="62"/>
      <c r="M196" s="62"/>
      <c r="N196" s="63"/>
      <c r="O196" s="63"/>
      <c r="P196" s="63"/>
      <c r="Q196" s="63"/>
      <c r="R196" s="63"/>
      <c r="S196" s="63"/>
      <c r="T196" s="63"/>
      <c r="U196" s="63"/>
      <c r="V196" s="63"/>
      <c r="W196" s="63"/>
      <c r="X196" s="63"/>
      <c r="Y196" s="63"/>
      <c r="Z196" s="62"/>
    </row>
    <row r="197" ht="14.25" customHeight="1">
      <c r="A197" s="59"/>
      <c r="B197" s="97"/>
      <c r="C197" s="97"/>
      <c r="D197" s="97"/>
      <c r="E197" s="97"/>
      <c r="F197" s="97"/>
      <c r="G197" s="97"/>
      <c r="H197" s="59"/>
      <c r="I197" s="61"/>
      <c r="J197" s="61"/>
      <c r="K197" s="61"/>
      <c r="L197" s="62"/>
      <c r="M197" s="62"/>
      <c r="N197" s="63"/>
      <c r="O197" s="63"/>
      <c r="P197" s="63"/>
      <c r="Q197" s="63"/>
      <c r="R197" s="63"/>
      <c r="S197" s="63"/>
      <c r="T197" s="63"/>
      <c r="U197" s="63"/>
      <c r="V197" s="63"/>
      <c r="W197" s="63"/>
      <c r="X197" s="63"/>
      <c r="Y197" s="63"/>
      <c r="Z197" s="62"/>
    </row>
    <row r="198" ht="14.25" customHeight="1">
      <c r="A198" s="59"/>
      <c r="B198" s="97"/>
      <c r="C198" s="97"/>
      <c r="D198" s="97"/>
      <c r="E198" s="97"/>
      <c r="F198" s="97"/>
      <c r="G198" s="97"/>
      <c r="H198" s="59"/>
      <c r="I198" s="61"/>
      <c r="J198" s="61"/>
      <c r="K198" s="61"/>
      <c r="L198" s="62"/>
      <c r="M198" s="62"/>
      <c r="N198" s="63"/>
      <c r="O198" s="63"/>
      <c r="P198" s="63"/>
      <c r="Q198" s="63"/>
      <c r="R198" s="63"/>
      <c r="S198" s="63"/>
      <c r="T198" s="63"/>
      <c r="U198" s="63"/>
      <c r="V198" s="63"/>
      <c r="W198" s="63"/>
      <c r="X198" s="63"/>
      <c r="Y198" s="63"/>
      <c r="Z198" s="62"/>
    </row>
    <row r="199" ht="14.25" customHeight="1">
      <c r="A199" s="59"/>
      <c r="B199" s="97"/>
      <c r="C199" s="97"/>
      <c r="D199" s="97"/>
      <c r="E199" s="97"/>
      <c r="F199" s="97"/>
      <c r="G199" s="97"/>
      <c r="H199" s="59"/>
      <c r="I199" s="61"/>
      <c r="J199" s="61"/>
      <c r="K199" s="61"/>
      <c r="L199" s="62"/>
      <c r="M199" s="62"/>
      <c r="N199" s="63"/>
      <c r="O199" s="63"/>
      <c r="P199" s="63"/>
      <c r="Q199" s="63"/>
      <c r="R199" s="63"/>
      <c r="S199" s="63"/>
      <c r="T199" s="63"/>
      <c r="U199" s="63"/>
      <c r="V199" s="63"/>
      <c r="W199" s="63"/>
      <c r="X199" s="63"/>
      <c r="Y199" s="63"/>
      <c r="Z199" s="62"/>
    </row>
    <row r="200" ht="14.25" customHeight="1">
      <c r="A200" s="59"/>
      <c r="B200" s="97"/>
      <c r="C200" s="97"/>
      <c r="D200" s="97"/>
      <c r="E200" s="97"/>
      <c r="F200" s="97"/>
      <c r="G200" s="97"/>
      <c r="H200" s="59"/>
      <c r="I200" s="61"/>
      <c r="J200" s="61"/>
      <c r="K200" s="61"/>
      <c r="L200" s="62"/>
      <c r="M200" s="62"/>
      <c r="N200" s="63"/>
      <c r="O200" s="63"/>
      <c r="P200" s="63"/>
      <c r="Q200" s="63"/>
      <c r="R200" s="63"/>
      <c r="S200" s="63"/>
      <c r="T200" s="63"/>
      <c r="U200" s="63"/>
      <c r="V200" s="63"/>
      <c r="W200" s="63"/>
      <c r="X200" s="63"/>
      <c r="Y200" s="63"/>
      <c r="Z200" s="62"/>
    </row>
    <row r="201" ht="14.25" customHeight="1">
      <c r="A201" s="59"/>
      <c r="B201" s="97"/>
      <c r="C201" s="97"/>
      <c r="D201" s="97"/>
      <c r="E201" s="97"/>
      <c r="F201" s="97"/>
      <c r="G201" s="97"/>
      <c r="H201" s="59"/>
      <c r="I201" s="61"/>
      <c r="J201" s="61"/>
      <c r="K201" s="61"/>
      <c r="L201" s="62"/>
      <c r="M201" s="62"/>
      <c r="N201" s="63"/>
      <c r="O201" s="63"/>
      <c r="P201" s="63"/>
      <c r="Q201" s="63"/>
      <c r="R201" s="63"/>
      <c r="S201" s="63"/>
      <c r="T201" s="63"/>
      <c r="U201" s="63"/>
      <c r="V201" s="63"/>
      <c r="W201" s="63"/>
      <c r="X201" s="63"/>
      <c r="Y201" s="63"/>
      <c r="Z201" s="62"/>
    </row>
    <row r="202" ht="14.25" customHeight="1">
      <c r="A202" s="59"/>
      <c r="B202" s="97"/>
      <c r="C202" s="97"/>
      <c r="D202" s="97"/>
      <c r="E202" s="97"/>
      <c r="F202" s="97"/>
      <c r="G202" s="97"/>
      <c r="H202" s="59"/>
      <c r="I202" s="61"/>
      <c r="J202" s="61"/>
      <c r="K202" s="61"/>
      <c r="L202" s="62"/>
      <c r="M202" s="62"/>
      <c r="N202" s="63"/>
      <c r="O202" s="63"/>
      <c r="P202" s="63"/>
      <c r="Q202" s="63"/>
      <c r="R202" s="63"/>
      <c r="S202" s="63"/>
      <c r="T202" s="63"/>
      <c r="U202" s="63"/>
      <c r="V202" s="63"/>
      <c r="W202" s="63"/>
      <c r="X202" s="63"/>
      <c r="Y202" s="63"/>
      <c r="Z202" s="62"/>
    </row>
    <row r="203" ht="14.25" customHeight="1">
      <c r="A203" s="59"/>
      <c r="B203" s="97"/>
      <c r="C203" s="97"/>
      <c r="D203" s="97"/>
      <c r="E203" s="97"/>
      <c r="F203" s="97"/>
      <c r="G203" s="97"/>
      <c r="H203" s="59"/>
      <c r="I203" s="61"/>
      <c r="J203" s="61"/>
      <c r="K203" s="61"/>
      <c r="L203" s="62"/>
      <c r="M203" s="62"/>
      <c r="N203" s="63"/>
      <c r="O203" s="63"/>
      <c r="P203" s="63"/>
      <c r="Q203" s="63"/>
      <c r="R203" s="63"/>
      <c r="S203" s="63"/>
      <c r="T203" s="63"/>
      <c r="U203" s="63"/>
      <c r="V203" s="63"/>
      <c r="W203" s="63"/>
      <c r="X203" s="63"/>
      <c r="Y203" s="63"/>
      <c r="Z203" s="62"/>
    </row>
    <row r="204" ht="14.25" customHeight="1">
      <c r="A204" s="59"/>
      <c r="B204" s="97"/>
      <c r="C204" s="97"/>
      <c r="D204" s="97"/>
      <c r="E204" s="97"/>
      <c r="F204" s="97"/>
      <c r="G204" s="97"/>
      <c r="H204" s="59"/>
      <c r="I204" s="61"/>
      <c r="J204" s="61"/>
      <c r="K204" s="61"/>
      <c r="L204" s="62"/>
      <c r="M204" s="62"/>
      <c r="N204" s="63"/>
      <c r="O204" s="63"/>
      <c r="P204" s="63"/>
      <c r="Q204" s="63"/>
      <c r="R204" s="63"/>
      <c r="S204" s="63"/>
      <c r="T204" s="63"/>
      <c r="U204" s="63"/>
      <c r="V204" s="63"/>
      <c r="W204" s="63"/>
      <c r="X204" s="63"/>
      <c r="Y204" s="63"/>
      <c r="Z204" s="62"/>
    </row>
    <row r="205" ht="14.25" customHeight="1">
      <c r="A205" s="59"/>
      <c r="B205" s="97"/>
      <c r="C205" s="97"/>
      <c r="D205" s="97"/>
      <c r="E205" s="97"/>
      <c r="F205" s="97"/>
      <c r="G205" s="97"/>
      <c r="H205" s="59"/>
      <c r="I205" s="61"/>
      <c r="J205" s="61"/>
      <c r="K205" s="61"/>
      <c r="L205" s="62"/>
      <c r="M205" s="62"/>
      <c r="N205" s="63"/>
      <c r="O205" s="63"/>
      <c r="P205" s="63"/>
      <c r="Q205" s="63"/>
      <c r="R205" s="63"/>
      <c r="S205" s="63"/>
      <c r="T205" s="63"/>
      <c r="U205" s="63"/>
      <c r="V205" s="63"/>
      <c r="W205" s="63"/>
      <c r="X205" s="63"/>
      <c r="Y205" s="63"/>
      <c r="Z205" s="62"/>
    </row>
    <row r="206" ht="14.25" customHeight="1">
      <c r="A206" s="59"/>
      <c r="B206" s="97"/>
      <c r="C206" s="97"/>
      <c r="D206" s="97"/>
      <c r="E206" s="97"/>
      <c r="F206" s="97"/>
      <c r="G206" s="97"/>
      <c r="H206" s="59"/>
      <c r="I206" s="61"/>
      <c r="J206" s="61"/>
      <c r="K206" s="61"/>
      <c r="L206" s="62"/>
      <c r="M206" s="62"/>
      <c r="N206" s="63"/>
      <c r="O206" s="63"/>
      <c r="P206" s="63"/>
      <c r="Q206" s="63"/>
      <c r="R206" s="63"/>
      <c r="S206" s="63"/>
      <c r="T206" s="63"/>
      <c r="U206" s="63"/>
      <c r="V206" s="63"/>
      <c r="W206" s="63"/>
      <c r="X206" s="63"/>
      <c r="Y206" s="63"/>
      <c r="Z206" s="62"/>
    </row>
    <row r="207" ht="14.25" customHeight="1">
      <c r="A207" s="59"/>
      <c r="B207" s="97"/>
      <c r="C207" s="97"/>
      <c r="D207" s="97"/>
      <c r="E207" s="97"/>
      <c r="F207" s="97"/>
      <c r="G207" s="97"/>
      <c r="H207" s="59"/>
      <c r="I207" s="61"/>
      <c r="J207" s="61"/>
      <c r="K207" s="61"/>
      <c r="L207" s="62"/>
      <c r="M207" s="62"/>
      <c r="N207" s="63"/>
      <c r="O207" s="63"/>
      <c r="P207" s="63"/>
      <c r="Q207" s="63"/>
      <c r="R207" s="63"/>
      <c r="S207" s="63"/>
      <c r="T207" s="63"/>
      <c r="U207" s="63"/>
      <c r="V207" s="63"/>
      <c r="W207" s="63"/>
      <c r="X207" s="63"/>
      <c r="Y207" s="63"/>
      <c r="Z207" s="62"/>
    </row>
    <row r="208" ht="14.25" customHeight="1">
      <c r="A208" s="59"/>
      <c r="B208" s="97"/>
      <c r="C208" s="97"/>
      <c r="D208" s="97"/>
      <c r="E208" s="97"/>
      <c r="F208" s="97"/>
      <c r="G208" s="97"/>
      <c r="H208" s="59"/>
      <c r="I208" s="61"/>
      <c r="J208" s="61"/>
      <c r="K208" s="61"/>
      <c r="L208" s="62"/>
      <c r="M208" s="62"/>
      <c r="N208" s="63"/>
      <c r="O208" s="63"/>
      <c r="P208" s="63"/>
      <c r="Q208" s="63"/>
      <c r="R208" s="63"/>
      <c r="S208" s="63"/>
      <c r="T208" s="63"/>
      <c r="U208" s="63"/>
      <c r="V208" s="63"/>
      <c r="W208" s="63"/>
      <c r="X208" s="63"/>
      <c r="Y208" s="63"/>
      <c r="Z208" s="62"/>
    </row>
    <row r="209" ht="14.25" customHeight="1">
      <c r="A209" s="59"/>
      <c r="B209" s="97"/>
      <c r="C209" s="97"/>
      <c r="D209" s="97"/>
      <c r="E209" s="97"/>
      <c r="F209" s="97"/>
      <c r="G209" s="97"/>
      <c r="H209" s="59"/>
      <c r="I209" s="61"/>
      <c r="J209" s="61"/>
      <c r="K209" s="61"/>
      <c r="L209" s="62"/>
      <c r="M209" s="62"/>
      <c r="N209" s="63"/>
      <c r="O209" s="63"/>
      <c r="P209" s="63"/>
      <c r="Q209" s="63"/>
      <c r="R209" s="63"/>
      <c r="S209" s="63"/>
      <c r="T209" s="63"/>
      <c r="U209" s="63"/>
      <c r="V209" s="63"/>
      <c r="W209" s="63"/>
      <c r="X209" s="63"/>
      <c r="Y209" s="63"/>
      <c r="Z209" s="62"/>
    </row>
    <row r="210" ht="14.25" customHeight="1">
      <c r="A210" s="59"/>
      <c r="B210" s="97"/>
      <c r="C210" s="97"/>
      <c r="D210" s="97"/>
      <c r="E210" s="97"/>
      <c r="F210" s="97"/>
      <c r="G210" s="97"/>
      <c r="H210" s="59"/>
      <c r="I210" s="61"/>
      <c r="J210" s="61"/>
      <c r="K210" s="61"/>
      <c r="L210" s="62"/>
      <c r="M210" s="62"/>
      <c r="N210" s="63"/>
      <c r="O210" s="63"/>
      <c r="P210" s="63"/>
      <c r="Q210" s="63"/>
      <c r="R210" s="63"/>
      <c r="S210" s="63"/>
      <c r="T210" s="63"/>
      <c r="U210" s="63"/>
      <c r="V210" s="63"/>
      <c r="W210" s="63"/>
      <c r="X210" s="63"/>
      <c r="Y210" s="63"/>
      <c r="Z210" s="62"/>
    </row>
    <row r="211" ht="14.25" customHeight="1">
      <c r="A211" s="59"/>
      <c r="B211" s="97"/>
      <c r="C211" s="97"/>
      <c r="D211" s="97"/>
      <c r="E211" s="97"/>
      <c r="F211" s="97"/>
      <c r="G211" s="97"/>
      <c r="H211" s="59"/>
      <c r="I211" s="61"/>
      <c r="J211" s="61"/>
      <c r="K211" s="61"/>
      <c r="L211" s="62"/>
      <c r="M211" s="62"/>
      <c r="N211" s="63"/>
      <c r="O211" s="63"/>
      <c r="P211" s="63"/>
      <c r="Q211" s="63"/>
      <c r="R211" s="63"/>
      <c r="S211" s="63"/>
      <c r="T211" s="63"/>
      <c r="U211" s="63"/>
      <c r="V211" s="63"/>
      <c r="W211" s="63"/>
      <c r="X211" s="63"/>
      <c r="Y211" s="63"/>
      <c r="Z211" s="62"/>
    </row>
    <row r="212" ht="14.25" customHeight="1">
      <c r="A212" s="59"/>
      <c r="B212" s="97"/>
      <c r="C212" s="97"/>
      <c r="D212" s="97"/>
      <c r="E212" s="97"/>
      <c r="F212" s="97"/>
      <c r="G212" s="97"/>
      <c r="H212" s="59"/>
      <c r="I212" s="61"/>
      <c r="J212" s="61"/>
      <c r="K212" s="61"/>
      <c r="L212" s="62"/>
      <c r="M212" s="62"/>
      <c r="N212" s="63"/>
      <c r="O212" s="63"/>
      <c r="P212" s="63"/>
      <c r="Q212" s="63"/>
      <c r="R212" s="63"/>
      <c r="S212" s="63"/>
      <c r="T212" s="63"/>
      <c r="U212" s="63"/>
      <c r="V212" s="63"/>
      <c r="W212" s="63"/>
      <c r="X212" s="63"/>
      <c r="Y212" s="63"/>
      <c r="Z212" s="62"/>
    </row>
    <row r="213" ht="14.25" customHeight="1">
      <c r="A213" s="59"/>
      <c r="B213" s="97"/>
      <c r="C213" s="97"/>
      <c r="D213" s="97"/>
      <c r="E213" s="97"/>
      <c r="F213" s="97"/>
      <c r="G213" s="97"/>
      <c r="H213" s="59"/>
      <c r="I213" s="61"/>
      <c r="J213" s="61"/>
      <c r="K213" s="61"/>
      <c r="L213" s="62"/>
      <c r="M213" s="62"/>
      <c r="N213" s="63"/>
      <c r="O213" s="63"/>
      <c r="P213" s="63"/>
      <c r="Q213" s="63"/>
      <c r="R213" s="63"/>
      <c r="S213" s="63"/>
      <c r="T213" s="63"/>
      <c r="U213" s="63"/>
      <c r="V213" s="63"/>
      <c r="W213" s="63"/>
      <c r="X213" s="63"/>
      <c r="Y213" s="63"/>
      <c r="Z213" s="62"/>
    </row>
    <row r="214" ht="14.25" customHeight="1">
      <c r="A214" s="59"/>
      <c r="B214" s="97"/>
      <c r="C214" s="97"/>
      <c r="D214" s="97"/>
      <c r="E214" s="97"/>
      <c r="F214" s="97"/>
      <c r="G214" s="97"/>
      <c r="H214" s="59"/>
      <c r="I214" s="61"/>
      <c r="J214" s="61"/>
      <c r="K214" s="61"/>
      <c r="L214" s="62"/>
      <c r="M214" s="62"/>
      <c r="N214" s="63"/>
      <c r="O214" s="63"/>
      <c r="P214" s="63"/>
      <c r="Q214" s="63"/>
      <c r="R214" s="63"/>
      <c r="S214" s="63"/>
      <c r="T214" s="63"/>
      <c r="U214" s="63"/>
      <c r="V214" s="63"/>
      <c r="W214" s="63"/>
      <c r="X214" s="63"/>
      <c r="Y214" s="63"/>
      <c r="Z214" s="62"/>
    </row>
    <row r="215" ht="14.25" customHeight="1">
      <c r="A215" s="59"/>
      <c r="B215" s="97"/>
      <c r="C215" s="97"/>
      <c r="D215" s="97"/>
      <c r="E215" s="97"/>
      <c r="F215" s="97"/>
      <c r="G215" s="97"/>
      <c r="H215" s="59"/>
      <c r="I215" s="61"/>
      <c r="J215" s="61"/>
      <c r="K215" s="61"/>
      <c r="L215" s="62"/>
      <c r="M215" s="62"/>
      <c r="N215" s="63"/>
      <c r="O215" s="63"/>
      <c r="P215" s="63"/>
      <c r="Q215" s="63"/>
      <c r="R215" s="63"/>
      <c r="S215" s="63"/>
      <c r="T215" s="63"/>
      <c r="U215" s="63"/>
      <c r="V215" s="63"/>
      <c r="W215" s="63"/>
      <c r="X215" s="63"/>
      <c r="Y215" s="63"/>
      <c r="Z215" s="62"/>
    </row>
    <row r="216" ht="14.25" customHeight="1">
      <c r="A216" s="59"/>
      <c r="B216" s="97"/>
      <c r="C216" s="97"/>
      <c r="D216" s="97"/>
      <c r="E216" s="97"/>
      <c r="F216" s="97"/>
      <c r="G216" s="97"/>
      <c r="H216" s="59"/>
      <c r="I216" s="61"/>
      <c r="J216" s="61"/>
      <c r="K216" s="61"/>
      <c r="L216" s="62"/>
      <c r="M216" s="62"/>
      <c r="N216" s="63"/>
      <c r="O216" s="63"/>
      <c r="P216" s="63"/>
      <c r="Q216" s="63"/>
      <c r="R216" s="63"/>
      <c r="S216" s="63"/>
      <c r="T216" s="63"/>
      <c r="U216" s="63"/>
      <c r="V216" s="63"/>
      <c r="W216" s="63"/>
      <c r="X216" s="63"/>
      <c r="Y216" s="63"/>
      <c r="Z216" s="62"/>
    </row>
    <row r="217" ht="14.25" customHeight="1">
      <c r="A217" s="59"/>
      <c r="B217" s="97"/>
      <c r="C217" s="97"/>
      <c r="D217" s="97"/>
      <c r="E217" s="97"/>
      <c r="F217" s="97"/>
      <c r="G217" s="97"/>
      <c r="H217" s="59"/>
      <c r="I217" s="61"/>
      <c r="J217" s="61"/>
      <c r="K217" s="61"/>
      <c r="L217" s="62"/>
      <c r="M217" s="62"/>
      <c r="N217" s="63"/>
      <c r="O217" s="63"/>
      <c r="P217" s="63"/>
      <c r="Q217" s="63"/>
      <c r="R217" s="63"/>
      <c r="S217" s="63"/>
      <c r="T217" s="63"/>
      <c r="U217" s="63"/>
      <c r="V217" s="63"/>
      <c r="W217" s="63"/>
      <c r="X217" s="63"/>
      <c r="Y217" s="63"/>
      <c r="Z217" s="62"/>
    </row>
    <row r="218" ht="14.25" customHeight="1">
      <c r="A218" s="59"/>
      <c r="B218" s="97"/>
      <c r="C218" s="97"/>
      <c r="D218" s="97"/>
      <c r="E218" s="97"/>
      <c r="F218" s="97"/>
      <c r="G218" s="97"/>
      <c r="H218" s="59"/>
      <c r="I218" s="61"/>
      <c r="J218" s="61"/>
      <c r="K218" s="61"/>
      <c r="L218" s="62"/>
      <c r="M218" s="62"/>
      <c r="N218" s="63"/>
      <c r="O218" s="63"/>
      <c r="P218" s="63"/>
      <c r="Q218" s="63"/>
      <c r="R218" s="63"/>
      <c r="S218" s="63"/>
      <c r="T218" s="63"/>
      <c r="U218" s="63"/>
      <c r="V218" s="63"/>
      <c r="W218" s="63"/>
      <c r="X218" s="63"/>
      <c r="Y218" s="63"/>
      <c r="Z218" s="62"/>
    </row>
    <row r="219" ht="14.25" customHeight="1">
      <c r="A219" s="59"/>
      <c r="B219" s="97"/>
      <c r="C219" s="97"/>
      <c r="D219" s="97"/>
      <c r="E219" s="97"/>
      <c r="F219" s="97"/>
      <c r="G219" s="97"/>
      <c r="H219" s="59"/>
      <c r="I219" s="61"/>
      <c r="J219" s="61"/>
      <c r="K219" s="61"/>
      <c r="L219" s="62"/>
      <c r="M219" s="62"/>
      <c r="N219" s="63"/>
      <c r="O219" s="63"/>
      <c r="P219" s="63"/>
      <c r="Q219" s="63"/>
      <c r="R219" s="63"/>
      <c r="S219" s="63"/>
      <c r="T219" s="63"/>
      <c r="U219" s="63"/>
      <c r="V219" s="63"/>
      <c r="W219" s="63"/>
      <c r="X219" s="63"/>
      <c r="Y219" s="63"/>
      <c r="Z219" s="62"/>
    </row>
    <row r="220" ht="14.25" customHeight="1">
      <c r="A220" s="59"/>
      <c r="B220" s="97"/>
      <c r="C220" s="97"/>
      <c r="D220" s="97"/>
      <c r="E220" s="97"/>
      <c r="F220" s="97"/>
      <c r="G220" s="97"/>
      <c r="H220" s="59"/>
      <c r="I220" s="61"/>
      <c r="J220" s="61"/>
      <c r="K220" s="61"/>
      <c r="L220" s="62"/>
      <c r="M220" s="62"/>
      <c r="N220" s="63"/>
      <c r="O220" s="63"/>
      <c r="P220" s="63"/>
      <c r="Q220" s="63"/>
      <c r="R220" s="63"/>
      <c r="S220" s="63"/>
      <c r="T220" s="63"/>
      <c r="U220" s="63"/>
      <c r="V220" s="63"/>
      <c r="W220" s="63"/>
      <c r="X220" s="63"/>
      <c r="Y220" s="63"/>
      <c r="Z220" s="62"/>
    </row>
    <row r="221" ht="14.25" customHeight="1">
      <c r="A221" s="59"/>
      <c r="B221" s="97"/>
      <c r="C221" s="97"/>
      <c r="D221" s="97"/>
      <c r="E221" s="97"/>
      <c r="F221" s="97"/>
      <c r="G221" s="97"/>
      <c r="H221" s="59"/>
      <c r="I221" s="61"/>
      <c r="J221" s="61"/>
      <c r="K221" s="61"/>
      <c r="L221" s="62"/>
      <c r="M221" s="62"/>
      <c r="N221" s="63"/>
      <c r="O221" s="63"/>
      <c r="P221" s="63"/>
      <c r="Q221" s="63"/>
      <c r="R221" s="63"/>
      <c r="S221" s="63"/>
      <c r="T221" s="63"/>
      <c r="U221" s="63"/>
      <c r="V221" s="63"/>
      <c r="W221" s="63"/>
      <c r="X221" s="63"/>
      <c r="Y221" s="63"/>
      <c r="Z221" s="62"/>
    </row>
    <row r="222" ht="14.25" customHeight="1">
      <c r="A222" s="59"/>
      <c r="B222" s="97"/>
      <c r="C222" s="97"/>
      <c r="D222" s="97"/>
      <c r="E222" s="97"/>
      <c r="F222" s="97"/>
      <c r="G222" s="97"/>
      <c r="H222" s="59"/>
      <c r="I222" s="61"/>
      <c r="J222" s="61"/>
      <c r="K222" s="61"/>
      <c r="L222" s="62"/>
      <c r="M222" s="62"/>
      <c r="N222" s="63"/>
      <c r="O222" s="63"/>
      <c r="P222" s="63"/>
      <c r="Q222" s="63"/>
      <c r="R222" s="63"/>
      <c r="S222" s="63"/>
      <c r="T222" s="63"/>
      <c r="U222" s="63"/>
      <c r="V222" s="63"/>
      <c r="W222" s="63"/>
      <c r="X222" s="63"/>
      <c r="Y222" s="63"/>
      <c r="Z222" s="62"/>
    </row>
    <row r="223" ht="14.25" customHeight="1">
      <c r="A223" s="59"/>
      <c r="B223" s="97"/>
      <c r="C223" s="97"/>
      <c r="D223" s="97"/>
      <c r="E223" s="97"/>
      <c r="F223" s="97"/>
      <c r="G223" s="97"/>
      <c r="H223" s="59"/>
      <c r="I223" s="61"/>
      <c r="J223" s="61"/>
      <c r="K223" s="61"/>
      <c r="L223" s="62"/>
      <c r="M223" s="62"/>
      <c r="N223" s="63"/>
      <c r="O223" s="63"/>
      <c r="P223" s="63"/>
      <c r="Q223" s="63"/>
      <c r="R223" s="63"/>
      <c r="S223" s="63"/>
      <c r="T223" s="63"/>
      <c r="U223" s="63"/>
      <c r="V223" s="63"/>
      <c r="W223" s="63"/>
      <c r="X223" s="63"/>
      <c r="Y223" s="63"/>
      <c r="Z223" s="62"/>
    </row>
    <row r="224" ht="14.25" customHeight="1">
      <c r="A224" s="59"/>
      <c r="B224" s="97"/>
      <c r="C224" s="97"/>
      <c r="D224" s="97"/>
      <c r="E224" s="97"/>
      <c r="F224" s="97"/>
      <c r="G224" s="97"/>
      <c r="H224" s="59"/>
      <c r="I224" s="61"/>
      <c r="J224" s="61"/>
      <c r="K224" s="61"/>
      <c r="L224" s="62"/>
      <c r="M224" s="62"/>
      <c r="N224" s="63"/>
      <c r="O224" s="63"/>
      <c r="P224" s="63"/>
      <c r="Q224" s="63"/>
      <c r="R224" s="63"/>
      <c r="S224" s="63"/>
      <c r="T224" s="63"/>
      <c r="U224" s="63"/>
      <c r="V224" s="63"/>
      <c r="W224" s="63"/>
      <c r="X224" s="63"/>
      <c r="Y224" s="63"/>
      <c r="Z224" s="62"/>
    </row>
    <row r="225" ht="14.25" customHeight="1">
      <c r="A225" s="59"/>
      <c r="B225" s="97"/>
      <c r="C225" s="97"/>
      <c r="D225" s="97"/>
      <c r="E225" s="97"/>
      <c r="F225" s="97"/>
      <c r="G225" s="97"/>
      <c r="H225" s="59"/>
      <c r="I225" s="61"/>
      <c r="J225" s="61"/>
      <c r="K225" s="61"/>
      <c r="L225" s="62"/>
      <c r="M225" s="62"/>
      <c r="N225" s="63"/>
      <c r="O225" s="63"/>
      <c r="P225" s="63"/>
      <c r="Q225" s="63"/>
      <c r="R225" s="63"/>
      <c r="S225" s="63"/>
      <c r="T225" s="63"/>
      <c r="U225" s="63"/>
      <c r="V225" s="63"/>
      <c r="W225" s="63"/>
      <c r="X225" s="63"/>
      <c r="Y225" s="63"/>
      <c r="Z225" s="62"/>
    </row>
    <row r="226" ht="14.25" customHeight="1">
      <c r="A226" s="59"/>
      <c r="B226" s="97"/>
      <c r="C226" s="97"/>
      <c r="D226" s="97"/>
      <c r="E226" s="97"/>
      <c r="F226" s="97"/>
      <c r="G226" s="97"/>
      <c r="H226" s="59"/>
      <c r="I226" s="61"/>
      <c r="J226" s="61"/>
      <c r="K226" s="61"/>
      <c r="L226" s="62"/>
      <c r="M226" s="62"/>
      <c r="N226" s="63"/>
      <c r="O226" s="63"/>
      <c r="P226" s="63"/>
      <c r="Q226" s="63"/>
      <c r="R226" s="63"/>
      <c r="S226" s="63"/>
      <c r="T226" s="63"/>
      <c r="U226" s="63"/>
      <c r="V226" s="63"/>
      <c r="W226" s="63"/>
      <c r="X226" s="63"/>
      <c r="Y226" s="63"/>
      <c r="Z226" s="62"/>
    </row>
    <row r="227" ht="14.25" customHeight="1">
      <c r="A227" s="59"/>
      <c r="B227" s="97"/>
      <c r="C227" s="97"/>
      <c r="D227" s="97"/>
      <c r="E227" s="97"/>
      <c r="F227" s="97"/>
      <c r="G227" s="97"/>
      <c r="H227" s="59"/>
      <c r="I227" s="61"/>
      <c r="J227" s="61"/>
      <c r="K227" s="61"/>
      <c r="L227" s="62"/>
      <c r="M227" s="62"/>
      <c r="N227" s="63"/>
      <c r="O227" s="63"/>
      <c r="P227" s="63"/>
      <c r="Q227" s="63"/>
      <c r="R227" s="63"/>
      <c r="S227" s="63"/>
      <c r="T227" s="63"/>
      <c r="U227" s="63"/>
      <c r="V227" s="63"/>
      <c r="W227" s="63"/>
      <c r="X227" s="63"/>
      <c r="Y227" s="63"/>
      <c r="Z227" s="62"/>
    </row>
    <row r="228" ht="14.25" customHeight="1">
      <c r="A228" s="59"/>
      <c r="B228" s="97"/>
      <c r="C228" s="97"/>
      <c r="D228" s="97"/>
      <c r="E228" s="97"/>
      <c r="F228" s="97"/>
      <c r="G228" s="97"/>
      <c r="H228" s="59"/>
      <c r="I228" s="61"/>
      <c r="J228" s="61"/>
      <c r="K228" s="61"/>
      <c r="L228" s="62"/>
      <c r="M228" s="62"/>
      <c r="N228" s="63"/>
      <c r="O228" s="63"/>
      <c r="P228" s="63"/>
      <c r="Q228" s="63"/>
      <c r="R228" s="63"/>
      <c r="S228" s="63"/>
      <c r="T228" s="63"/>
      <c r="U228" s="63"/>
      <c r="V228" s="63"/>
      <c r="W228" s="63"/>
      <c r="X228" s="63"/>
      <c r="Y228" s="63"/>
      <c r="Z228" s="62"/>
    </row>
    <row r="229" ht="14.25" customHeight="1">
      <c r="A229" s="59"/>
      <c r="B229" s="97"/>
      <c r="C229" s="97"/>
      <c r="D229" s="97"/>
      <c r="E229" s="97"/>
      <c r="F229" s="97"/>
      <c r="G229" s="97"/>
      <c r="H229" s="59"/>
      <c r="I229" s="61"/>
      <c r="J229" s="61"/>
      <c r="K229" s="61"/>
      <c r="L229" s="62"/>
      <c r="M229" s="62"/>
      <c r="N229" s="63"/>
      <c r="O229" s="63"/>
      <c r="P229" s="63"/>
      <c r="Q229" s="63"/>
      <c r="R229" s="63"/>
      <c r="S229" s="63"/>
      <c r="T229" s="63"/>
      <c r="U229" s="63"/>
      <c r="V229" s="63"/>
      <c r="W229" s="63"/>
      <c r="X229" s="63"/>
      <c r="Y229" s="63"/>
      <c r="Z229" s="62"/>
    </row>
    <row r="230" ht="14.25" customHeight="1">
      <c r="A230" s="59"/>
      <c r="B230" s="97"/>
      <c r="C230" s="97"/>
      <c r="D230" s="97"/>
      <c r="E230" s="97"/>
      <c r="F230" s="97"/>
      <c r="G230" s="97"/>
      <c r="H230" s="59"/>
      <c r="I230" s="61"/>
      <c r="J230" s="61"/>
      <c r="K230" s="61"/>
      <c r="L230" s="62"/>
      <c r="M230" s="62"/>
      <c r="N230" s="63"/>
      <c r="O230" s="63"/>
      <c r="P230" s="63"/>
      <c r="Q230" s="63"/>
      <c r="R230" s="63"/>
      <c r="S230" s="63"/>
      <c r="T230" s="63"/>
      <c r="U230" s="63"/>
      <c r="V230" s="63"/>
      <c r="W230" s="63"/>
      <c r="X230" s="63"/>
      <c r="Y230" s="63"/>
      <c r="Z230" s="62"/>
    </row>
    <row r="231" ht="14.25" customHeight="1">
      <c r="A231" s="59"/>
      <c r="B231" s="97"/>
      <c r="C231" s="97"/>
      <c r="D231" s="97"/>
      <c r="E231" s="97"/>
      <c r="F231" s="97"/>
      <c r="G231" s="97"/>
      <c r="H231" s="59"/>
      <c r="I231" s="61"/>
      <c r="J231" s="61"/>
      <c r="K231" s="61"/>
      <c r="L231" s="62"/>
      <c r="M231" s="62"/>
      <c r="N231" s="63"/>
      <c r="O231" s="63"/>
      <c r="P231" s="63"/>
      <c r="Q231" s="63"/>
      <c r="R231" s="63"/>
      <c r="S231" s="63"/>
      <c r="T231" s="63"/>
      <c r="U231" s="63"/>
      <c r="V231" s="63"/>
      <c r="W231" s="63"/>
      <c r="X231" s="63"/>
      <c r="Y231" s="63"/>
      <c r="Z231" s="62"/>
    </row>
    <row r="232" ht="14.25" customHeight="1">
      <c r="A232" s="59"/>
      <c r="B232" s="97"/>
      <c r="C232" s="97"/>
      <c r="D232" s="97"/>
      <c r="E232" s="97"/>
      <c r="F232" s="97"/>
      <c r="G232" s="97"/>
      <c r="H232" s="59"/>
      <c r="I232" s="61"/>
      <c r="J232" s="61"/>
      <c r="K232" s="61"/>
      <c r="L232" s="62"/>
      <c r="M232" s="62"/>
      <c r="N232" s="63"/>
      <c r="O232" s="63"/>
      <c r="P232" s="63"/>
      <c r="Q232" s="63"/>
      <c r="R232" s="63"/>
      <c r="S232" s="63"/>
      <c r="T232" s="63"/>
      <c r="U232" s="63"/>
      <c r="V232" s="63"/>
      <c r="W232" s="63"/>
      <c r="X232" s="63"/>
      <c r="Y232" s="63"/>
      <c r="Z232" s="62"/>
    </row>
    <row r="233" ht="14.25" customHeight="1">
      <c r="A233" s="59"/>
      <c r="B233" s="97"/>
      <c r="C233" s="97"/>
      <c r="D233" s="97"/>
      <c r="E233" s="97"/>
      <c r="F233" s="97"/>
      <c r="G233" s="97"/>
      <c r="H233" s="59"/>
      <c r="I233" s="61"/>
      <c r="J233" s="61"/>
      <c r="K233" s="61"/>
      <c r="L233" s="62"/>
      <c r="M233" s="62"/>
      <c r="N233" s="63"/>
      <c r="O233" s="63"/>
      <c r="P233" s="63"/>
      <c r="Q233" s="63"/>
      <c r="R233" s="63"/>
      <c r="S233" s="63"/>
      <c r="T233" s="63"/>
      <c r="U233" s="63"/>
      <c r="V233" s="63"/>
      <c r="W233" s="63"/>
      <c r="X233" s="63"/>
      <c r="Y233" s="63"/>
      <c r="Z233" s="62"/>
    </row>
    <row r="234" ht="14.25" customHeight="1">
      <c r="A234" s="59"/>
      <c r="B234" s="97"/>
      <c r="C234" s="97"/>
      <c r="D234" s="97"/>
      <c r="E234" s="97"/>
      <c r="F234" s="97"/>
      <c r="G234" s="97"/>
      <c r="H234" s="59"/>
      <c r="I234" s="61"/>
      <c r="J234" s="61"/>
      <c r="K234" s="61"/>
      <c r="L234" s="62"/>
      <c r="M234" s="62"/>
      <c r="N234" s="63"/>
      <c r="O234" s="63"/>
      <c r="P234" s="63"/>
      <c r="Q234" s="63"/>
      <c r="R234" s="63"/>
      <c r="S234" s="63"/>
      <c r="T234" s="63"/>
      <c r="U234" s="63"/>
      <c r="V234" s="63"/>
      <c r="W234" s="63"/>
      <c r="X234" s="63"/>
      <c r="Y234" s="63"/>
      <c r="Z234" s="62"/>
    </row>
    <row r="235" ht="14.25" customHeight="1">
      <c r="A235" s="59"/>
      <c r="B235" s="97"/>
      <c r="C235" s="97"/>
      <c r="D235" s="97"/>
      <c r="E235" s="97"/>
      <c r="F235" s="97"/>
      <c r="G235" s="97"/>
      <c r="H235" s="59"/>
      <c r="I235" s="61"/>
      <c r="J235" s="61"/>
      <c r="K235" s="61"/>
      <c r="L235" s="62"/>
      <c r="M235" s="62"/>
      <c r="N235" s="63"/>
      <c r="O235" s="63"/>
      <c r="P235" s="63"/>
      <c r="Q235" s="63"/>
      <c r="R235" s="63"/>
      <c r="S235" s="63"/>
      <c r="T235" s="63"/>
      <c r="U235" s="63"/>
      <c r="V235" s="63"/>
      <c r="W235" s="63"/>
      <c r="X235" s="63"/>
      <c r="Y235" s="63"/>
      <c r="Z235" s="62"/>
    </row>
    <row r="236" ht="14.25" customHeight="1">
      <c r="A236" s="59"/>
      <c r="B236" s="97"/>
      <c r="C236" s="97"/>
      <c r="D236" s="97"/>
      <c r="E236" s="97"/>
      <c r="F236" s="97"/>
      <c r="G236" s="97"/>
      <c r="H236" s="59"/>
      <c r="I236" s="61"/>
      <c r="J236" s="61"/>
      <c r="K236" s="61"/>
      <c r="L236" s="62"/>
      <c r="M236" s="62"/>
      <c r="N236" s="63"/>
      <c r="O236" s="63"/>
      <c r="P236" s="63"/>
      <c r="Q236" s="63"/>
      <c r="R236" s="63"/>
      <c r="S236" s="63"/>
      <c r="T236" s="63"/>
      <c r="U236" s="63"/>
      <c r="V236" s="63"/>
      <c r="W236" s="63"/>
      <c r="X236" s="63"/>
      <c r="Y236" s="63"/>
      <c r="Z236" s="62"/>
    </row>
    <row r="237" ht="14.25" customHeight="1">
      <c r="A237" s="59"/>
      <c r="B237" s="97"/>
      <c r="C237" s="97"/>
      <c r="D237" s="97"/>
      <c r="E237" s="97"/>
      <c r="F237" s="97"/>
      <c r="G237" s="97"/>
      <c r="H237" s="59"/>
      <c r="I237" s="61"/>
      <c r="J237" s="61"/>
      <c r="K237" s="61"/>
      <c r="L237" s="62"/>
      <c r="M237" s="62"/>
      <c r="N237" s="63"/>
      <c r="O237" s="63"/>
      <c r="P237" s="63"/>
      <c r="Q237" s="63"/>
      <c r="R237" s="63"/>
      <c r="S237" s="63"/>
      <c r="T237" s="63"/>
      <c r="U237" s="63"/>
      <c r="V237" s="63"/>
      <c r="W237" s="63"/>
      <c r="X237" s="63"/>
      <c r="Y237" s="63"/>
      <c r="Z237" s="62"/>
    </row>
    <row r="238" ht="14.25" customHeight="1">
      <c r="A238" s="59"/>
      <c r="B238" s="97"/>
      <c r="C238" s="97"/>
      <c r="D238" s="97"/>
      <c r="E238" s="97"/>
      <c r="F238" s="97"/>
      <c r="G238" s="97"/>
      <c r="H238" s="59"/>
      <c r="I238" s="61"/>
      <c r="J238" s="61"/>
      <c r="K238" s="61"/>
      <c r="L238" s="62"/>
      <c r="M238" s="62"/>
      <c r="N238" s="63"/>
      <c r="O238" s="63"/>
      <c r="P238" s="63"/>
      <c r="Q238" s="63"/>
      <c r="R238" s="63"/>
      <c r="S238" s="63"/>
      <c r="T238" s="63"/>
      <c r="U238" s="63"/>
      <c r="V238" s="63"/>
      <c r="W238" s="63"/>
      <c r="X238" s="63"/>
      <c r="Y238" s="63"/>
      <c r="Z238" s="62"/>
    </row>
    <row r="239" ht="14.25" customHeight="1">
      <c r="A239" s="59"/>
      <c r="B239" s="97"/>
      <c r="C239" s="97"/>
      <c r="D239" s="97"/>
      <c r="E239" s="97"/>
      <c r="F239" s="97"/>
      <c r="G239" s="97"/>
      <c r="H239" s="59"/>
      <c r="I239" s="61"/>
      <c r="J239" s="61"/>
      <c r="K239" s="61"/>
      <c r="L239" s="62"/>
      <c r="M239" s="62"/>
      <c r="N239" s="63"/>
      <c r="O239" s="63"/>
      <c r="P239" s="63"/>
      <c r="Q239" s="63"/>
      <c r="R239" s="63"/>
      <c r="S239" s="63"/>
      <c r="T239" s="63"/>
      <c r="U239" s="63"/>
      <c r="V239" s="63"/>
      <c r="W239" s="63"/>
      <c r="X239" s="63"/>
      <c r="Y239" s="63"/>
      <c r="Z239" s="62"/>
    </row>
    <row r="240" ht="14.25" customHeight="1">
      <c r="A240" s="59"/>
      <c r="B240" s="97"/>
      <c r="C240" s="97"/>
      <c r="D240" s="97"/>
      <c r="E240" s="97"/>
      <c r="F240" s="97"/>
      <c r="G240" s="97"/>
      <c r="H240" s="59"/>
      <c r="I240" s="61"/>
      <c r="J240" s="61"/>
      <c r="K240" s="61"/>
      <c r="L240" s="62"/>
      <c r="M240" s="62"/>
      <c r="N240" s="63"/>
      <c r="O240" s="63"/>
      <c r="P240" s="63"/>
      <c r="Q240" s="63"/>
      <c r="R240" s="63"/>
      <c r="S240" s="63"/>
      <c r="T240" s="63"/>
      <c r="U240" s="63"/>
      <c r="V240" s="63"/>
      <c r="W240" s="63"/>
      <c r="X240" s="63"/>
      <c r="Y240" s="63"/>
      <c r="Z240" s="62"/>
    </row>
    <row r="241" ht="14.25" customHeight="1">
      <c r="A241" s="59"/>
      <c r="B241" s="97"/>
      <c r="C241" s="97"/>
      <c r="D241" s="97"/>
      <c r="E241" s="97"/>
      <c r="F241" s="97"/>
      <c r="G241" s="97"/>
      <c r="H241" s="59"/>
      <c r="I241" s="61"/>
      <c r="J241" s="61"/>
      <c r="K241" s="61"/>
      <c r="L241" s="62"/>
      <c r="M241" s="62"/>
      <c r="N241" s="63"/>
      <c r="O241" s="63"/>
      <c r="P241" s="63"/>
      <c r="Q241" s="63"/>
      <c r="R241" s="63"/>
      <c r="S241" s="63"/>
      <c r="T241" s="63"/>
      <c r="U241" s="63"/>
      <c r="V241" s="63"/>
      <c r="W241" s="63"/>
      <c r="X241" s="63"/>
      <c r="Y241" s="63"/>
      <c r="Z241" s="62"/>
    </row>
    <row r="242" ht="14.25" customHeight="1">
      <c r="A242" s="59"/>
      <c r="B242" s="97"/>
      <c r="C242" s="97"/>
      <c r="D242" s="97"/>
      <c r="E242" s="97"/>
      <c r="F242" s="97"/>
      <c r="G242" s="97"/>
      <c r="H242" s="59"/>
      <c r="I242" s="61"/>
      <c r="J242" s="61"/>
      <c r="K242" s="61"/>
      <c r="L242" s="62"/>
      <c r="M242" s="62"/>
      <c r="N242" s="63"/>
      <c r="O242" s="63"/>
      <c r="P242" s="63"/>
      <c r="Q242" s="63"/>
      <c r="R242" s="63"/>
      <c r="S242" s="63"/>
      <c r="T242" s="63"/>
      <c r="U242" s="63"/>
      <c r="V242" s="63"/>
      <c r="W242" s="63"/>
      <c r="X242" s="63"/>
      <c r="Y242" s="63"/>
      <c r="Z242" s="62"/>
    </row>
    <row r="243" ht="14.25" customHeight="1">
      <c r="A243" s="59"/>
      <c r="B243" s="97"/>
      <c r="C243" s="97"/>
      <c r="D243" s="97"/>
      <c r="E243" s="97"/>
      <c r="F243" s="97"/>
      <c r="G243" s="97"/>
      <c r="H243" s="59"/>
      <c r="I243" s="61"/>
      <c r="J243" s="61"/>
      <c r="K243" s="61"/>
      <c r="L243" s="62"/>
      <c r="M243" s="62"/>
      <c r="N243" s="63"/>
      <c r="O243" s="63"/>
      <c r="P243" s="63"/>
      <c r="Q243" s="63"/>
      <c r="R243" s="63"/>
      <c r="S243" s="63"/>
      <c r="T243" s="63"/>
      <c r="U243" s="63"/>
      <c r="V243" s="63"/>
      <c r="W243" s="63"/>
      <c r="X243" s="63"/>
      <c r="Y243" s="63"/>
      <c r="Z243" s="62"/>
    </row>
    <row r="244" ht="14.25" customHeight="1">
      <c r="A244" s="59"/>
      <c r="B244" s="97"/>
      <c r="C244" s="97"/>
      <c r="D244" s="97"/>
      <c r="E244" s="97"/>
      <c r="F244" s="97"/>
      <c r="G244" s="97"/>
      <c r="H244" s="59"/>
      <c r="I244" s="61"/>
      <c r="J244" s="61"/>
      <c r="K244" s="61"/>
      <c r="L244" s="62"/>
      <c r="M244" s="62"/>
      <c r="N244" s="63"/>
      <c r="O244" s="63"/>
      <c r="P244" s="63"/>
      <c r="Q244" s="63"/>
      <c r="R244" s="63"/>
      <c r="S244" s="63"/>
      <c r="T244" s="63"/>
      <c r="U244" s="63"/>
      <c r="V244" s="63"/>
      <c r="W244" s="63"/>
      <c r="X244" s="63"/>
      <c r="Y244" s="63"/>
      <c r="Z244" s="62"/>
    </row>
    <row r="245" ht="14.25" customHeight="1">
      <c r="A245" s="59"/>
      <c r="B245" s="97"/>
      <c r="C245" s="97"/>
      <c r="D245" s="97"/>
      <c r="E245" s="97"/>
      <c r="F245" s="97"/>
      <c r="G245" s="97"/>
      <c r="H245" s="59"/>
      <c r="I245" s="61"/>
      <c r="J245" s="61"/>
      <c r="K245" s="61"/>
      <c r="L245" s="62"/>
      <c r="M245" s="62"/>
      <c r="N245" s="63"/>
      <c r="O245" s="63"/>
      <c r="P245" s="63"/>
      <c r="Q245" s="63"/>
      <c r="R245" s="63"/>
      <c r="S245" s="63"/>
      <c r="T245" s="63"/>
      <c r="U245" s="63"/>
      <c r="V245" s="63"/>
      <c r="W245" s="63"/>
      <c r="X245" s="63"/>
      <c r="Y245" s="63"/>
      <c r="Z245" s="62"/>
    </row>
    <row r="246" ht="14.25" customHeight="1">
      <c r="A246" s="59"/>
      <c r="B246" s="97"/>
      <c r="C246" s="97"/>
      <c r="D246" s="97"/>
      <c r="E246" s="97"/>
      <c r="F246" s="97"/>
      <c r="G246" s="97"/>
      <c r="H246" s="59"/>
      <c r="I246" s="61"/>
      <c r="J246" s="61"/>
      <c r="K246" s="61"/>
      <c r="L246" s="62"/>
      <c r="M246" s="62"/>
      <c r="N246" s="63"/>
      <c r="O246" s="63"/>
      <c r="P246" s="63"/>
      <c r="Q246" s="63"/>
      <c r="R246" s="63"/>
      <c r="S246" s="63"/>
      <c r="T246" s="63"/>
      <c r="U246" s="63"/>
      <c r="V246" s="63"/>
      <c r="W246" s="63"/>
      <c r="X246" s="63"/>
      <c r="Y246" s="63"/>
      <c r="Z246" s="62"/>
    </row>
    <row r="247" ht="14.25" customHeight="1">
      <c r="A247" s="59"/>
      <c r="B247" s="97"/>
      <c r="C247" s="97"/>
      <c r="D247" s="97"/>
      <c r="E247" s="97"/>
      <c r="F247" s="97"/>
      <c r="G247" s="97"/>
      <c r="H247" s="59"/>
      <c r="I247" s="61"/>
      <c r="J247" s="61"/>
      <c r="K247" s="61"/>
      <c r="L247" s="62"/>
      <c r="M247" s="62"/>
      <c r="N247" s="63"/>
      <c r="O247" s="63"/>
      <c r="P247" s="63"/>
      <c r="Q247" s="63"/>
      <c r="R247" s="63"/>
      <c r="S247" s="63"/>
      <c r="T247" s="63"/>
      <c r="U247" s="63"/>
      <c r="V247" s="63"/>
      <c r="W247" s="63"/>
      <c r="X247" s="63"/>
      <c r="Y247" s="63"/>
      <c r="Z247" s="62"/>
    </row>
    <row r="248" ht="14.25" customHeight="1">
      <c r="A248" s="59"/>
      <c r="B248" s="97"/>
      <c r="C248" s="97"/>
      <c r="D248" s="97"/>
      <c r="E248" s="97"/>
      <c r="F248" s="97"/>
      <c r="G248" s="97"/>
      <c r="H248" s="59"/>
      <c r="I248" s="61"/>
      <c r="J248" s="61"/>
      <c r="K248" s="61"/>
      <c r="L248" s="62"/>
      <c r="M248" s="62"/>
      <c r="N248" s="63"/>
      <c r="O248" s="63"/>
      <c r="P248" s="63"/>
      <c r="Q248" s="63"/>
      <c r="R248" s="63"/>
      <c r="S248" s="63"/>
      <c r="T248" s="63"/>
      <c r="U248" s="63"/>
      <c r="V248" s="63"/>
      <c r="W248" s="63"/>
      <c r="X248" s="63"/>
      <c r="Y248" s="63"/>
      <c r="Z248" s="62"/>
    </row>
    <row r="249" ht="14.25" customHeight="1">
      <c r="A249" s="59"/>
      <c r="B249" s="97"/>
      <c r="C249" s="97"/>
      <c r="D249" s="97"/>
      <c r="E249" s="97"/>
      <c r="F249" s="97"/>
      <c r="G249" s="97"/>
      <c r="H249" s="59"/>
      <c r="I249" s="61"/>
      <c r="J249" s="61"/>
      <c r="K249" s="61"/>
      <c r="L249" s="62"/>
      <c r="M249" s="62"/>
      <c r="N249" s="63"/>
      <c r="O249" s="63"/>
      <c r="P249" s="63"/>
      <c r="Q249" s="63"/>
      <c r="R249" s="63"/>
      <c r="S249" s="63"/>
      <c r="T249" s="63"/>
      <c r="U249" s="63"/>
      <c r="V249" s="63"/>
      <c r="W249" s="63"/>
      <c r="X249" s="63"/>
      <c r="Y249" s="63"/>
      <c r="Z249" s="62"/>
    </row>
    <row r="250" ht="14.25" customHeight="1">
      <c r="A250" s="59"/>
      <c r="B250" s="97"/>
      <c r="C250" s="97"/>
      <c r="D250" s="97"/>
      <c r="E250" s="97"/>
      <c r="F250" s="97"/>
      <c r="G250" s="97"/>
      <c r="H250" s="59"/>
      <c r="I250" s="61"/>
      <c r="J250" s="61"/>
      <c r="K250" s="61"/>
      <c r="L250" s="62"/>
      <c r="M250" s="62"/>
      <c r="N250" s="63"/>
      <c r="O250" s="63"/>
      <c r="P250" s="63"/>
      <c r="Q250" s="63"/>
      <c r="R250" s="63"/>
      <c r="S250" s="63"/>
      <c r="T250" s="63"/>
      <c r="U250" s="63"/>
      <c r="V250" s="63"/>
      <c r="W250" s="63"/>
      <c r="X250" s="63"/>
      <c r="Y250" s="63"/>
      <c r="Z250" s="62"/>
    </row>
    <row r="251" ht="14.25" customHeight="1">
      <c r="A251" s="59"/>
      <c r="B251" s="97"/>
      <c r="C251" s="97"/>
      <c r="D251" s="97"/>
      <c r="E251" s="97"/>
      <c r="F251" s="97"/>
      <c r="G251" s="97"/>
      <c r="H251" s="59"/>
      <c r="I251" s="61"/>
      <c r="J251" s="61"/>
      <c r="K251" s="61"/>
      <c r="L251" s="62"/>
      <c r="M251" s="62"/>
      <c r="N251" s="63"/>
      <c r="O251" s="63"/>
      <c r="P251" s="63"/>
      <c r="Q251" s="63"/>
      <c r="R251" s="63"/>
      <c r="S251" s="63"/>
      <c r="T251" s="63"/>
      <c r="U251" s="63"/>
      <c r="V251" s="63"/>
      <c r="W251" s="63"/>
      <c r="X251" s="63"/>
      <c r="Y251" s="63"/>
      <c r="Z251" s="62"/>
    </row>
    <row r="252" ht="14.25" customHeight="1">
      <c r="A252" s="59"/>
      <c r="B252" s="97"/>
      <c r="C252" s="97"/>
      <c r="D252" s="97"/>
      <c r="E252" s="97"/>
      <c r="F252" s="97"/>
      <c r="G252" s="97"/>
      <c r="H252" s="59"/>
      <c r="I252" s="61"/>
      <c r="J252" s="61"/>
      <c r="K252" s="61"/>
      <c r="L252" s="62"/>
      <c r="M252" s="62"/>
      <c r="N252" s="63"/>
      <c r="O252" s="63"/>
      <c r="P252" s="63"/>
      <c r="Q252" s="63"/>
      <c r="R252" s="63"/>
      <c r="S252" s="63"/>
      <c r="T252" s="63"/>
      <c r="U252" s="63"/>
      <c r="V252" s="63"/>
      <c r="W252" s="63"/>
      <c r="X252" s="63"/>
      <c r="Y252" s="63"/>
      <c r="Z252" s="62"/>
    </row>
    <row r="253" ht="14.25" customHeight="1">
      <c r="A253" s="59"/>
      <c r="B253" s="97"/>
      <c r="C253" s="97"/>
      <c r="D253" s="97"/>
      <c r="E253" s="97"/>
      <c r="F253" s="97"/>
      <c r="G253" s="97"/>
      <c r="H253" s="59"/>
      <c r="I253" s="61"/>
      <c r="J253" s="61"/>
      <c r="K253" s="61"/>
      <c r="L253" s="62"/>
      <c r="M253" s="62"/>
      <c r="N253" s="63"/>
      <c r="O253" s="63"/>
      <c r="P253" s="63"/>
      <c r="Q253" s="63"/>
      <c r="R253" s="63"/>
      <c r="S253" s="63"/>
      <c r="T253" s="63"/>
      <c r="U253" s="63"/>
      <c r="V253" s="63"/>
      <c r="W253" s="63"/>
      <c r="X253" s="63"/>
      <c r="Y253" s="63"/>
      <c r="Z253" s="62"/>
    </row>
    <row r="254" ht="14.25" customHeight="1">
      <c r="A254" s="59"/>
      <c r="B254" s="97"/>
      <c r="C254" s="97"/>
      <c r="D254" s="97"/>
      <c r="E254" s="97"/>
      <c r="F254" s="97"/>
      <c r="G254" s="97"/>
      <c r="H254" s="59"/>
      <c r="I254" s="61"/>
      <c r="J254" s="61"/>
      <c r="K254" s="61"/>
      <c r="L254" s="62"/>
      <c r="M254" s="62"/>
      <c r="N254" s="63"/>
      <c r="O254" s="63"/>
      <c r="P254" s="63"/>
      <c r="Q254" s="63"/>
      <c r="R254" s="63"/>
      <c r="S254" s="63"/>
      <c r="T254" s="63"/>
      <c r="U254" s="63"/>
      <c r="V254" s="63"/>
      <c r="W254" s="63"/>
      <c r="X254" s="63"/>
      <c r="Y254" s="63"/>
      <c r="Z254" s="62"/>
    </row>
    <row r="255" ht="14.25" customHeight="1">
      <c r="A255" s="59"/>
      <c r="B255" s="97"/>
      <c r="C255" s="97"/>
      <c r="D255" s="97"/>
      <c r="E255" s="97"/>
      <c r="F255" s="97"/>
      <c r="G255" s="97"/>
      <c r="H255" s="59"/>
      <c r="I255" s="61"/>
      <c r="J255" s="61"/>
      <c r="K255" s="61"/>
      <c r="L255" s="62"/>
      <c r="M255" s="62"/>
      <c r="N255" s="63"/>
      <c r="O255" s="63"/>
      <c r="P255" s="63"/>
      <c r="Q255" s="63"/>
      <c r="R255" s="63"/>
      <c r="S255" s="63"/>
      <c r="T255" s="63"/>
      <c r="U255" s="63"/>
      <c r="V255" s="63"/>
      <c r="W255" s="63"/>
      <c r="X255" s="63"/>
      <c r="Y255" s="63"/>
      <c r="Z255" s="62"/>
    </row>
    <row r="256" ht="14.25" customHeight="1">
      <c r="A256" s="59"/>
      <c r="B256" s="97"/>
      <c r="C256" s="97"/>
      <c r="D256" s="97"/>
      <c r="E256" s="97"/>
      <c r="F256" s="97"/>
      <c r="G256" s="97"/>
      <c r="H256" s="59"/>
      <c r="I256" s="61"/>
      <c r="J256" s="61"/>
      <c r="K256" s="61"/>
      <c r="L256" s="62"/>
      <c r="M256" s="62"/>
      <c r="N256" s="63"/>
      <c r="O256" s="63"/>
      <c r="P256" s="63"/>
      <c r="Q256" s="63"/>
      <c r="R256" s="63"/>
      <c r="S256" s="63"/>
      <c r="T256" s="63"/>
      <c r="U256" s="63"/>
      <c r="V256" s="63"/>
      <c r="W256" s="63"/>
      <c r="X256" s="63"/>
      <c r="Y256" s="63"/>
      <c r="Z256" s="62"/>
    </row>
    <row r="257" ht="14.25" customHeight="1">
      <c r="A257" s="59"/>
      <c r="B257" s="97"/>
      <c r="C257" s="97"/>
      <c r="D257" s="97"/>
      <c r="E257" s="97"/>
      <c r="F257" s="97"/>
      <c r="G257" s="97"/>
      <c r="H257" s="59"/>
      <c r="I257" s="61"/>
      <c r="J257" s="61"/>
      <c r="K257" s="61"/>
      <c r="L257" s="62"/>
      <c r="M257" s="62"/>
      <c r="N257" s="63"/>
      <c r="O257" s="63"/>
      <c r="P257" s="63"/>
      <c r="Q257" s="63"/>
      <c r="R257" s="63"/>
      <c r="S257" s="63"/>
      <c r="T257" s="63"/>
      <c r="U257" s="63"/>
      <c r="V257" s="63"/>
      <c r="W257" s="63"/>
      <c r="X257" s="63"/>
      <c r="Y257" s="63"/>
      <c r="Z257" s="62"/>
    </row>
    <row r="258" ht="14.25" customHeight="1">
      <c r="A258" s="59"/>
      <c r="B258" s="97"/>
      <c r="C258" s="97"/>
      <c r="D258" s="97"/>
      <c r="E258" s="97"/>
      <c r="F258" s="97"/>
      <c r="G258" s="97"/>
      <c r="H258" s="59"/>
      <c r="I258" s="61"/>
      <c r="J258" s="61"/>
      <c r="K258" s="61"/>
      <c r="L258" s="62"/>
      <c r="M258" s="62"/>
      <c r="N258" s="63"/>
      <c r="O258" s="63"/>
      <c r="P258" s="63"/>
      <c r="Q258" s="63"/>
      <c r="R258" s="63"/>
      <c r="S258" s="63"/>
      <c r="T258" s="63"/>
      <c r="U258" s="63"/>
      <c r="V258" s="63"/>
      <c r="W258" s="63"/>
      <c r="X258" s="63"/>
      <c r="Y258" s="63"/>
      <c r="Z258" s="62"/>
    </row>
    <row r="259" ht="14.25" customHeight="1">
      <c r="A259" s="59"/>
      <c r="B259" s="97"/>
      <c r="C259" s="97"/>
      <c r="D259" s="97"/>
      <c r="E259" s="97"/>
      <c r="F259" s="97"/>
      <c r="G259" s="97"/>
      <c r="H259" s="59"/>
      <c r="I259" s="61"/>
      <c r="J259" s="61"/>
      <c r="K259" s="61"/>
      <c r="L259" s="62"/>
      <c r="M259" s="62"/>
      <c r="N259" s="63"/>
      <c r="O259" s="63"/>
      <c r="P259" s="63"/>
      <c r="Q259" s="63"/>
      <c r="R259" s="63"/>
      <c r="S259" s="63"/>
      <c r="T259" s="63"/>
      <c r="U259" s="63"/>
      <c r="V259" s="63"/>
      <c r="W259" s="63"/>
      <c r="X259" s="63"/>
      <c r="Y259" s="63"/>
      <c r="Z259" s="62"/>
    </row>
    <row r="260" ht="14.25" customHeight="1">
      <c r="A260" s="59"/>
      <c r="B260" s="97"/>
      <c r="C260" s="97"/>
      <c r="D260" s="97"/>
      <c r="E260" s="97"/>
      <c r="F260" s="97"/>
      <c r="G260" s="97"/>
      <c r="H260" s="59"/>
      <c r="I260" s="61"/>
      <c r="J260" s="61"/>
      <c r="K260" s="61"/>
      <c r="L260" s="62"/>
      <c r="M260" s="62"/>
      <c r="N260" s="63"/>
      <c r="O260" s="63"/>
      <c r="P260" s="63"/>
      <c r="Q260" s="63"/>
      <c r="R260" s="63"/>
      <c r="S260" s="63"/>
      <c r="T260" s="63"/>
      <c r="U260" s="63"/>
      <c r="V260" s="63"/>
      <c r="W260" s="63"/>
      <c r="X260" s="63"/>
      <c r="Y260" s="63"/>
      <c r="Z260" s="62"/>
    </row>
    <row r="261" ht="14.25" customHeight="1">
      <c r="A261" s="59"/>
      <c r="B261" s="97"/>
      <c r="C261" s="97"/>
      <c r="D261" s="97"/>
      <c r="E261" s="97"/>
      <c r="F261" s="97"/>
      <c r="G261" s="97"/>
      <c r="H261" s="59"/>
      <c r="I261" s="61"/>
      <c r="J261" s="61"/>
      <c r="K261" s="61"/>
      <c r="L261" s="62"/>
      <c r="M261" s="62"/>
      <c r="N261" s="63"/>
      <c r="O261" s="63"/>
      <c r="P261" s="63"/>
      <c r="Q261" s="63"/>
      <c r="R261" s="63"/>
      <c r="S261" s="63"/>
      <c r="T261" s="63"/>
      <c r="U261" s="63"/>
      <c r="V261" s="63"/>
      <c r="W261" s="63"/>
      <c r="X261" s="63"/>
      <c r="Y261" s="63"/>
      <c r="Z261" s="62"/>
    </row>
    <row r="262" ht="14.25" customHeight="1">
      <c r="A262" s="59"/>
      <c r="B262" s="97"/>
      <c r="C262" s="97"/>
      <c r="D262" s="97"/>
      <c r="E262" s="97"/>
      <c r="F262" s="97"/>
      <c r="G262" s="97"/>
      <c r="H262" s="59"/>
      <c r="I262" s="61"/>
      <c r="J262" s="61"/>
      <c r="K262" s="61"/>
      <c r="L262" s="62"/>
      <c r="M262" s="62"/>
      <c r="N262" s="63"/>
      <c r="O262" s="63"/>
      <c r="P262" s="63"/>
      <c r="Q262" s="63"/>
      <c r="R262" s="63"/>
      <c r="S262" s="63"/>
      <c r="T262" s="63"/>
      <c r="U262" s="63"/>
      <c r="V262" s="63"/>
      <c r="W262" s="63"/>
      <c r="X262" s="63"/>
      <c r="Y262" s="63"/>
      <c r="Z262" s="62"/>
    </row>
    <row r="263" ht="14.25" customHeight="1">
      <c r="A263" s="59"/>
      <c r="B263" s="97"/>
      <c r="C263" s="97"/>
      <c r="D263" s="97"/>
      <c r="E263" s="97"/>
      <c r="F263" s="97"/>
      <c r="G263" s="97"/>
      <c r="H263" s="59"/>
      <c r="I263" s="61"/>
      <c r="J263" s="61"/>
      <c r="K263" s="61"/>
      <c r="L263" s="62"/>
      <c r="M263" s="62"/>
      <c r="N263" s="63"/>
      <c r="O263" s="63"/>
      <c r="P263" s="63"/>
      <c r="Q263" s="63"/>
      <c r="R263" s="63"/>
      <c r="S263" s="63"/>
      <c r="T263" s="63"/>
      <c r="U263" s="63"/>
      <c r="V263" s="63"/>
      <c r="W263" s="63"/>
      <c r="X263" s="63"/>
      <c r="Y263" s="63"/>
      <c r="Z263" s="62"/>
    </row>
    <row r="264" ht="14.25" customHeight="1">
      <c r="A264" s="59"/>
      <c r="B264" s="97"/>
      <c r="C264" s="97"/>
      <c r="D264" s="97"/>
      <c r="E264" s="97"/>
      <c r="F264" s="97"/>
      <c r="G264" s="97"/>
      <c r="H264" s="59"/>
      <c r="I264" s="61"/>
      <c r="J264" s="61"/>
      <c r="K264" s="61"/>
      <c r="L264" s="62"/>
      <c r="M264" s="62"/>
      <c r="N264" s="63"/>
      <c r="O264" s="63"/>
      <c r="P264" s="63"/>
      <c r="Q264" s="63"/>
      <c r="R264" s="63"/>
      <c r="S264" s="63"/>
      <c r="T264" s="63"/>
      <c r="U264" s="63"/>
      <c r="V264" s="63"/>
      <c r="W264" s="63"/>
      <c r="X264" s="63"/>
      <c r="Y264" s="63"/>
      <c r="Z264" s="62"/>
    </row>
    <row r="265" ht="14.25" customHeight="1">
      <c r="A265" s="59"/>
      <c r="B265" s="97"/>
      <c r="C265" s="97"/>
      <c r="D265" s="97"/>
      <c r="E265" s="97"/>
      <c r="F265" s="97"/>
      <c r="G265" s="97"/>
      <c r="H265" s="59"/>
      <c r="I265" s="61"/>
      <c r="J265" s="61"/>
      <c r="K265" s="61"/>
      <c r="L265" s="62"/>
      <c r="M265" s="62"/>
      <c r="N265" s="63"/>
      <c r="O265" s="63"/>
      <c r="P265" s="63"/>
      <c r="Q265" s="63"/>
      <c r="R265" s="63"/>
      <c r="S265" s="63"/>
      <c r="T265" s="63"/>
      <c r="U265" s="63"/>
      <c r="V265" s="63"/>
      <c r="W265" s="63"/>
      <c r="X265" s="63"/>
      <c r="Y265" s="63"/>
      <c r="Z265" s="62"/>
    </row>
    <row r="266" ht="14.25" customHeight="1">
      <c r="A266" s="59"/>
      <c r="B266" s="97"/>
      <c r="C266" s="97"/>
      <c r="D266" s="97"/>
      <c r="E266" s="97"/>
      <c r="F266" s="97"/>
      <c r="G266" s="97"/>
      <c r="H266" s="59"/>
      <c r="I266" s="61"/>
      <c r="J266" s="61"/>
      <c r="K266" s="61"/>
      <c r="L266" s="62"/>
      <c r="M266" s="62"/>
      <c r="N266" s="63"/>
      <c r="O266" s="63"/>
      <c r="P266" s="63"/>
      <c r="Q266" s="63"/>
      <c r="R266" s="63"/>
      <c r="S266" s="63"/>
      <c r="T266" s="63"/>
      <c r="U266" s="63"/>
      <c r="V266" s="63"/>
      <c r="W266" s="63"/>
      <c r="X266" s="63"/>
      <c r="Y266" s="63"/>
      <c r="Z266" s="62"/>
    </row>
    <row r="267" ht="14.25" customHeight="1">
      <c r="A267" s="59"/>
      <c r="B267" s="97"/>
      <c r="C267" s="97"/>
      <c r="D267" s="97"/>
      <c r="E267" s="97"/>
      <c r="F267" s="97"/>
      <c r="G267" s="97"/>
      <c r="H267" s="59"/>
      <c r="I267" s="61"/>
      <c r="J267" s="61"/>
      <c r="K267" s="61"/>
      <c r="L267" s="62"/>
      <c r="M267" s="62"/>
      <c r="N267" s="63"/>
      <c r="O267" s="63"/>
      <c r="P267" s="63"/>
      <c r="Q267" s="63"/>
      <c r="R267" s="63"/>
      <c r="S267" s="63"/>
      <c r="T267" s="63"/>
      <c r="U267" s="63"/>
      <c r="V267" s="63"/>
      <c r="W267" s="63"/>
      <c r="X267" s="63"/>
      <c r="Y267" s="63"/>
      <c r="Z267" s="62"/>
    </row>
    <row r="268" ht="14.25" customHeight="1">
      <c r="A268" s="59"/>
      <c r="B268" s="97"/>
      <c r="C268" s="97"/>
      <c r="D268" s="97"/>
      <c r="E268" s="97"/>
      <c r="F268" s="97"/>
      <c r="G268" s="97"/>
      <c r="H268" s="59"/>
      <c r="I268" s="61"/>
      <c r="J268" s="61"/>
      <c r="K268" s="61"/>
      <c r="L268" s="62"/>
      <c r="M268" s="62"/>
      <c r="N268" s="63"/>
      <c r="O268" s="63"/>
      <c r="P268" s="63"/>
      <c r="Q268" s="63"/>
      <c r="R268" s="63"/>
      <c r="S268" s="63"/>
      <c r="T268" s="63"/>
      <c r="U268" s="63"/>
      <c r="V268" s="63"/>
      <c r="W268" s="63"/>
      <c r="X268" s="63"/>
      <c r="Y268" s="63"/>
      <c r="Z268" s="62"/>
    </row>
    <row r="269" ht="14.25" customHeight="1">
      <c r="A269" s="59"/>
      <c r="B269" s="97"/>
      <c r="C269" s="97"/>
      <c r="D269" s="97"/>
      <c r="E269" s="97"/>
      <c r="F269" s="97"/>
      <c r="G269" s="97"/>
      <c r="H269" s="59"/>
      <c r="I269" s="61"/>
      <c r="J269" s="61"/>
      <c r="K269" s="61"/>
      <c r="L269" s="62"/>
      <c r="M269" s="62"/>
      <c r="N269" s="63"/>
      <c r="O269" s="63"/>
      <c r="P269" s="63"/>
      <c r="Q269" s="63"/>
      <c r="R269" s="63"/>
      <c r="S269" s="63"/>
      <c r="T269" s="63"/>
      <c r="U269" s="63"/>
      <c r="V269" s="63"/>
      <c r="W269" s="63"/>
      <c r="X269" s="63"/>
      <c r="Y269" s="63"/>
      <c r="Z269" s="62"/>
    </row>
    <row r="270" ht="14.25" customHeight="1">
      <c r="A270" s="59"/>
      <c r="B270" s="97"/>
      <c r="C270" s="97"/>
      <c r="D270" s="97"/>
      <c r="E270" s="97"/>
      <c r="F270" s="97"/>
      <c r="G270" s="97"/>
      <c r="H270" s="59"/>
      <c r="I270" s="61"/>
      <c r="J270" s="61"/>
      <c r="K270" s="61"/>
      <c r="L270" s="62"/>
      <c r="M270" s="62"/>
      <c r="N270" s="63"/>
      <c r="O270" s="63"/>
      <c r="P270" s="63"/>
      <c r="Q270" s="63"/>
      <c r="R270" s="63"/>
      <c r="S270" s="63"/>
      <c r="T270" s="63"/>
      <c r="U270" s="63"/>
      <c r="V270" s="63"/>
      <c r="W270" s="63"/>
      <c r="X270" s="63"/>
      <c r="Y270" s="63"/>
      <c r="Z270" s="62"/>
    </row>
    <row r="271" ht="14.25" customHeight="1">
      <c r="A271" s="59"/>
      <c r="B271" s="97"/>
      <c r="C271" s="97"/>
      <c r="D271" s="97"/>
      <c r="E271" s="97"/>
      <c r="F271" s="97"/>
      <c r="G271" s="97"/>
      <c r="H271" s="59"/>
      <c r="I271" s="61"/>
      <c r="J271" s="61"/>
      <c r="K271" s="61"/>
      <c r="L271" s="62"/>
      <c r="M271" s="62"/>
      <c r="N271" s="63"/>
      <c r="O271" s="63"/>
      <c r="P271" s="63"/>
      <c r="Q271" s="63"/>
      <c r="R271" s="63"/>
      <c r="S271" s="63"/>
      <c r="T271" s="63"/>
      <c r="U271" s="63"/>
      <c r="V271" s="63"/>
      <c r="W271" s="63"/>
      <c r="X271" s="63"/>
      <c r="Y271" s="63"/>
      <c r="Z271" s="62"/>
    </row>
    <row r="272" ht="14.25" customHeight="1">
      <c r="A272" s="59"/>
      <c r="B272" s="97"/>
      <c r="C272" s="97"/>
      <c r="D272" s="97"/>
      <c r="E272" s="97"/>
      <c r="F272" s="97"/>
      <c r="G272" s="97"/>
      <c r="H272" s="59"/>
      <c r="I272" s="61"/>
      <c r="J272" s="61"/>
      <c r="K272" s="61"/>
      <c r="L272" s="62"/>
      <c r="M272" s="62"/>
      <c r="N272" s="63"/>
      <c r="O272" s="63"/>
      <c r="P272" s="63"/>
      <c r="Q272" s="63"/>
      <c r="R272" s="63"/>
      <c r="S272" s="63"/>
      <c r="T272" s="63"/>
      <c r="U272" s="63"/>
      <c r="V272" s="63"/>
      <c r="W272" s="63"/>
      <c r="X272" s="63"/>
      <c r="Y272" s="63"/>
      <c r="Z272" s="62"/>
    </row>
    <row r="273" ht="14.25" customHeight="1">
      <c r="A273" s="59"/>
      <c r="B273" s="97"/>
      <c r="C273" s="97"/>
      <c r="D273" s="97"/>
      <c r="E273" s="97"/>
      <c r="F273" s="97"/>
      <c r="G273" s="97"/>
      <c r="H273" s="59"/>
      <c r="I273" s="61"/>
      <c r="J273" s="61"/>
      <c r="K273" s="61"/>
      <c r="L273" s="62"/>
      <c r="M273" s="62"/>
      <c r="N273" s="63"/>
      <c r="O273" s="63"/>
      <c r="P273" s="63"/>
      <c r="Q273" s="63"/>
      <c r="R273" s="63"/>
      <c r="S273" s="63"/>
      <c r="T273" s="63"/>
      <c r="U273" s="63"/>
      <c r="V273" s="63"/>
      <c r="W273" s="63"/>
      <c r="X273" s="63"/>
      <c r="Y273" s="63"/>
      <c r="Z273" s="62"/>
    </row>
    <row r="274" ht="14.25" customHeight="1">
      <c r="A274" s="59"/>
      <c r="B274" s="97"/>
      <c r="C274" s="97"/>
      <c r="D274" s="97"/>
      <c r="E274" s="97"/>
      <c r="F274" s="97"/>
      <c r="G274" s="97"/>
      <c r="H274" s="59"/>
      <c r="I274" s="61"/>
      <c r="J274" s="61"/>
      <c r="K274" s="61"/>
      <c r="L274" s="62"/>
      <c r="M274" s="62"/>
      <c r="N274" s="63"/>
      <c r="O274" s="63"/>
      <c r="P274" s="63"/>
      <c r="Q274" s="63"/>
      <c r="R274" s="63"/>
      <c r="S274" s="63"/>
      <c r="T274" s="63"/>
      <c r="U274" s="63"/>
      <c r="V274" s="63"/>
      <c r="W274" s="63"/>
      <c r="X274" s="63"/>
      <c r="Y274" s="63"/>
      <c r="Z274" s="62"/>
    </row>
    <row r="275" ht="14.25" customHeight="1">
      <c r="A275" s="59"/>
      <c r="B275" s="97"/>
      <c r="C275" s="97"/>
      <c r="D275" s="97"/>
      <c r="E275" s="97"/>
      <c r="F275" s="97"/>
      <c r="G275" s="97"/>
      <c r="H275" s="59"/>
      <c r="I275" s="61"/>
      <c r="J275" s="61"/>
      <c r="K275" s="61"/>
      <c r="L275" s="62"/>
      <c r="M275" s="62"/>
      <c r="N275" s="63"/>
      <c r="O275" s="63"/>
      <c r="P275" s="63"/>
      <c r="Q275" s="63"/>
      <c r="R275" s="63"/>
      <c r="S275" s="63"/>
      <c r="T275" s="63"/>
      <c r="U275" s="63"/>
      <c r="V275" s="63"/>
      <c r="W275" s="63"/>
      <c r="X275" s="63"/>
      <c r="Y275" s="63"/>
      <c r="Z275" s="62"/>
    </row>
    <row r="276" ht="14.25" customHeight="1">
      <c r="A276" s="59"/>
      <c r="B276" s="97"/>
      <c r="C276" s="97"/>
      <c r="D276" s="97"/>
      <c r="E276" s="97"/>
      <c r="F276" s="97"/>
      <c r="G276" s="97"/>
      <c r="H276" s="59"/>
      <c r="I276" s="61"/>
      <c r="J276" s="61"/>
      <c r="K276" s="61"/>
      <c r="L276" s="62"/>
      <c r="M276" s="62"/>
      <c r="N276" s="63"/>
      <c r="O276" s="63"/>
      <c r="P276" s="63"/>
      <c r="Q276" s="63"/>
      <c r="R276" s="63"/>
      <c r="S276" s="63"/>
      <c r="T276" s="63"/>
      <c r="U276" s="63"/>
      <c r="V276" s="63"/>
      <c r="W276" s="63"/>
      <c r="X276" s="63"/>
      <c r="Y276" s="63"/>
      <c r="Z276" s="62"/>
    </row>
    <row r="277" ht="14.25" customHeight="1">
      <c r="A277" s="59"/>
      <c r="B277" s="97"/>
      <c r="C277" s="97"/>
      <c r="D277" s="97"/>
      <c r="E277" s="97"/>
      <c r="F277" s="97"/>
      <c r="G277" s="97"/>
      <c r="H277" s="59"/>
      <c r="I277" s="61"/>
      <c r="J277" s="61"/>
      <c r="K277" s="61"/>
      <c r="L277" s="62"/>
      <c r="M277" s="62"/>
      <c r="N277" s="63"/>
      <c r="O277" s="63"/>
      <c r="P277" s="63"/>
      <c r="Q277" s="63"/>
      <c r="R277" s="63"/>
      <c r="S277" s="63"/>
      <c r="T277" s="63"/>
      <c r="U277" s="63"/>
      <c r="V277" s="63"/>
      <c r="W277" s="63"/>
      <c r="X277" s="63"/>
      <c r="Y277" s="63"/>
      <c r="Z277" s="62"/>
    </row>
    <row r="278" ht="14.25" customHeight="1">
      <c r="A278" s="59"/>
      <c r="B278" s="97"/>
      <c r="C278" s="97"/>
      <c r="D278" s="97"/>
      <c r="E278" s="97"/>
      <c r="F278" s="97"/>
      <c r="G278" s="97"/>
      <c r="H278" s="59"/>
      <c r="I278" s="61"/>
      <c r="J278" s="61"/>
      <c r="K278" s="61"/>
      <c r="L278" s="62"/>
      <c r="M278" s="62"/>
      <c r="N278" s="63"/>
      <c r="O278" s="63"/>
      <c r="P278" s="63"/>
      <c r="Q278" s="63"/>
      <c r="R278" s="63"/>
      <c r="S278" s="63"/>
      <c r="T278" s="63"/>
      <c r="U278" s="63"/>
      <c r="V278" s="63"/>
      <c r="W278" s="63"/>
      <c r="X278" s="63"/>
      <c r="Y278" s="63"/>
      <c r="Z278" s="62"/>
    </row>
    <row r="279" ht="14.25" customHeight="1">
      <c r="A279" s="59"/>
      <c r="B279" s="97"/>
      <c r="C279" s="97"/>
      <c r="D279" s="97"/>
      <c r="E279" s="97"/>
      <c r="F279" s="97"/>
      <c r="G279" s="97"/>
      <c r="H279" s="59"/>
      <c r="I279" s="61"/>
      <c r="J279" s="61"/>
      <c r="K279" s="61"/>
      <c r="L279" s="62"/>
      <c r="M279" s="62"/>
      <c r="N279" s="63"/>
      <c r="O279" s="63"/>
      <c r="P279" s="63"/>
      <c r="Q279" s="63"/>
      <c r="R279" s="63"/>
      <c r="S279" s="63"/>
      <c r="T279" s="63"/>
      <c r="U279" s="63"/>
      <c r="V279" s="63"/>
      <c r="W279" s="63"/>
      <c r="X279" s="63"/>
      <c r="Y279" s="63"/>
      <c r="Z279" s="62"/>
    </row>
    <row r="280" ht="14.25" customHeight="1">
      <c r="A280" s="59"/>
      <c r="B280" s="97"/>
      <c r="C280" s="97"/>
      <c r="D280" s="97"/>
      <c r="E280" s="97"/>
      <c r="F280" s="97"/>
      <c r="G280" s="97"/>
      <c r="H280" s="59"/>
      <c r="I280" s="61"/>
      <c r="J280" s="61"/>
      <c r="K280" s="61"/>
      <c r="L280" s="62"/>
      <c r="M280" s="62"/>
      <c r="N280" s="63"/>
      <c r="O280" s="63"/>
      <c r="P280" s="63"/>
      <c r="Q280" s="63"/>
      <c r="R280" s="63"/>
      <c r="S280" s="63"/>
      <c r="T280" s="63"/>
      <c r="U280" s="63"/>
      <c r="V280" s="63"/>
      <c r="W280" s="63"/>
      <c r="X280" s="63"/>
      <c r="Y280" s="63"/>
      <c r="Z280" s="62"/>
    </row>
    <row r="281" ht="14.25" customHeight="1">
      <c r="A281" s="59"/>
      <c r="B281" s="97"/>
      <c r="C281" s="97"/>
      <c r="D281" s="97"/>
      <c r="E281" s="97"/>
      <c r="F281" s="97"/>
      <c r="G281" s="97"/>
      <c r="H281" s="59"/>
      <c r="I281" s="61"/>
      <c r="J281" s="61"/>
      <c r="K281" s="61"/>
      <c r="L281" s="62"/>
      <c r="M281" s="62"/>
      <c r="N281" s="63"/>
      <c r="O281" s="63"/>
      <c r="P281" s="63"/>
      <c r="Q281" s="63"/>
      <c r="R281" s="63"/>
      <c r="S281" s="63"/>
      <c r="T281" s="63"/>
      <c r="U281" s="63"/>
      <c r="V281" s="63"/>
      <c r="W281" s="63"/>
      <c r="X281" s="63"/>
      <c r="Y281" s="63"/>
      <c r="Z281" s="62"/>
    </row>
    <row r="282" ht="14.25" customHeight="1">
      <c r="A282" s="59"/>
      <c r="B282" s="97"/>
      <c r="C282" s="97"/>
      <c r="D282" s="97"/>
      <c r="E282" s="97"/>
      <c r="F282" s="97"/>
      <c r="G282" s="97"/>
      <c r="H282" s="59"/>
      <c r="I282" s="61"/>
      <c r="J282" s="61"/>
      <c r="K282" s="61"/>
      <c r="L282" s="62"/>
      <c r="M282" s="62"/>
      <c r="N282" s="63"/>
      <c r="O282" s="63"/>
      <c r="P282" s="63"/>
      <c r="Q282" s="63"/>
      <c r="R282" s="63"/>
      <c r="S282" s="63"/>
      <c r="T282" s="63"/>
      <c r="U282" s="63"/>
      <c r="V282" s="63"/>
      <c r="W282" s="63"/>
      <c r="X282" s="63"/>
      <c r="Y282" s="63"/>
      <c r="Z282" s="62"/>
    </row>
    <row r="283" ht="14.25" customHeight="1">
      <c r="A283" s="59"/>
      <c r="B283" s="97"/>
      <c r="C283" s="97"/>
      <c r="D283" s="97"/>
      <c r="E283" s="97"/>
      <c r="F283" s="97"/>
      <c r="G283" s="97"/>
      <c r="H283" s="59"/>
      <c r="I283" s="61"/>
      <c r="J283" s="61"/>
      <c r="K283" s="61"/>
      <c r="L283" s="62"/>
      <c r="M283" s="62"/>
      <c r="N283" s="63"/>
      <c r="O283" s="63"/>
      <c r="P283" s="63"/>
      <c r="Q283" s="63"/>
      <c r="R283" s="63"/>
      <c r="S283" s="63"/>
      <c r="T283" s="63"/>
      <c r="U283" s="63"/>
      <c r="V283" s="63"/>
      <c r="W283" s="63"/>
      <c r="X283" s="63"/>
      <c r="Y283" s="63"/>
      <c r="Z283" s="62"/>
    </row>
    <row r="284" ht="14.25" customHeight="1">
      <c r="A284" s="59"/>
      <c r="B284" s="97"/>
      <c r="C284" s="97"/>
      <c r="D284" s="97"/>
      <c r="E284" s="97"/>
      <c r="F284" s="97"/>
      <c r="G284" s="97"/>
      <c r="H284" s="59"/>
      <c r="I284" s="61"/>
      <c r="J284" s="61"/>
      <c r="K284" s="61"/>
      <c r="L284" s="62"/>
      <c r="M284" s="62"/>
      <c r="N284" s="63"/>
      <c r="O284" s="63"/>
      <c r="P284" s="63"/>
      <c r="Q284" s="63"/>
      <c r="R284" s="63"/>
      <c r="S284" s="63"/>
      <c r="T284" s="63"/>
      <c r="U284" s="63"/>
      <c r="V284" s="63"/>
      <c r="W284" s="63"/>
      <c r="X284" s="63"/>
      <c r="Y284" s="63"/>
      <c r="Z284" s="62"/>
    </row>
    <row r="285" ht="14.25" customHeight="1">
      <c r="A285" s="59"/>
      <c r="B285" s="97"/>
      <c r="C285" s="97"/>
      <c r="D285" s="97"/>
      <c r="E285" s="97"/>
      <c r="F285" s="97"/>
      <c r="G285" s="97"/>
      <c r="H285" s="59"/>
      <c r="I285" s="61"/>
      <c r="J285" s="61"/>
      <c r="K285" s="61"/>
      <c r="L285" s="62"/>
      <c r="M285" s="62"/>
      <c r="N285" s="63"/>
      <c r="O285" s="63"/>
      <c r="P285" s="63"/>
      <c r="Q285" s="63"/>
      <c r="R285" s="63"/>
      <c r="S285" s="63"/>
      <c r="T285" s="63"/>
      <c r="U285" s="63"/>
      <c r="V285" s="63"/>
      <c r="W285" s="63"/>
      <c r="X285" s="63"/>
      <c r="Y285" s="63"/>
      <c r="Z285" s="62"/>
    </row>
    <row r="286" ht="14.25" customHeight="1">
      <c r="A286" s="59"/>
      <c r="B286" s="97"/>
      <c r="C286" s="97"/>
      <c r="D286" s="97"/>
      <c r="E286" s="97"/>
      <c r="F286" s="97"/>
      <c r="G286" s="97"/>
      <c r="H286" s="59"/>
      <c r="I286" s="61"/>
      <c r="J286" s="61"/>
      <c r="K286" s="61"/>
      <c r="L286" s="62"/>
      <c r="M286" s="62"/>
      <c r="N286" s="63"/>
      <c r="O286" s="63"/>
      <c r="P286" s="63"/>
      <c r="Q286" s="63"/>
      <c r="R286" s="63"/>
      <c r="S286" s="63"/>
      <c r="T286" s="63"/>
      <c r="U286" s="63"/>
      <c r="V286" s="63"/>
      <c r="W286" s="63"/>
      <c r="X286" s="63"/>
      <c r="Y286" s="63"/>
      <c r="Z286" s="62"/>
    </row>
    <row r="287" ht="14.25" customHeight="1">
      <c r="A287" s="59"/>
      <c r="B287" s="97"/>
      <c r="C287" s="97"/>
      <c r="D287" s="97"/>
      <c r="E287" s="97"/>
      <c r="F287" s="97"/>
      <c r="G287" s="97"/>
      <c r="H287" s="59"/>
      <c r="I287" s="61"/>
      <c r="J287" s="61"/>
      <c r="K287" s="61"/>
      <c r="L287" s="62"/>
      <c r="M287" s="62"/>
      <c r="N287" s="63"/>
      <c r="O287" s="63"/>
      <c r="P287" s="63"/>
      <c r="Q287" s="63"/>
      <c r="R287" s="63"/>
      <c r="S287" s="63"/>
      <c r="T287" s="63"/>
      <c r="U287" s="63"/>
      <c r="V287" s="63"/>
      <c r="W287" s="63"/>
      <c r="X287" s="63"/>
      <c r="Y287" s="63"/>
      <c r="Z287" s="62"/>
    </row>
    <row r="288" ht="14.25" customHeight="1">
      <c r="A288" s="59"/>
      <c r="B288" s="97"/>
      <c r="C288" s="97"/>
      <c r="D288" s="97"/>
      <c r="E288" s="97"/>
      <c r="F288" s="97"/>
      <c r="G288" s="97"/>
      <c r="H288" s="59"/>
      <c r="I288" s="61"/>
      <c r="J288" s="61"/>
      <c r="K288" s="61"/>
      <c r="L288" s="62"/>
      <c r="M288" s="62"/>
      <c r="N288" s="63"/>
      <c r="O288" s="63"/>
      <c r="P288" s="63"/>
      <c r="Q288" s="63"/>
      <c r="R288" s="63"/>
      <c r="S288" s="63"/>
      <c r="T288" s="63"/>
      <c r="U288" s="63"/>
      <c r="V288" s="63"/>
      <c r="W288" s="63"/>
      <c r="X288" s="63"/>
      <c r="Y288" s="63"/>
      <c r="Z288" s="62"/>
    </row>
    <row r="289" ht="14.25" customHeight="1">
      <c r="A289" s="59"/>
      <c r="B289" s="97"/>
      <c r="C289" s="97"/>
      <c r="D289" s="97"/>
      <c r="E289" s="97"/>
      <c r="F289" s="97"/>
      <c r="G289" s="97"/>
      <c r="H289" s="59"/>
      <c r="I289" s="61"/>
      <c r="J289" s="61"/>
      <c r="K289" s="61"/>
      <c r="L289" s="62"/>
      <c r="M289" s="62"/>
      <c r="N289" s="63"/>
      <c r="O289" s="63"/>
      <c r="P289" s="63"/>
      <c r="Q289" s="63"/>
      <c r="R289" s="63"/>
      <c r="S289" s="63"/>
      <c r="T289" s="63"/>
      <c r="U289" s="63"/>
      <c r="V289" s="63"/>
      <c r="W289" s="63"/>
      <c r="X289" s="63"/>
      <c r="Y289" s="63"/>
      <c r="Z289" s="62"/>
    </row>
    <row r="290" ht="14.25" customHeight="1">
      <c r="A290" s="59"/>
      <c r="B290" s="97"/>
      <c r="C290" s="97"/>
      <c r="D290" s="97"/>
      <c r="E290" s="97"/>
      <c r="F290" s="97"/>
      <c r="G290" s="97"/>
      <c r="H290" s="59"/>
      <c r="I290" s="61"/>
      <c r="J290" s="61"/>
      <c r="K290" s="61"/>
      <c r="L290" s="62"/>
      <c r="M290" s="62"/>
      <c r="N290" s="63"/>
      <c r="O290" s="63"/>
      <c r="P290" s="63"/>
      <c r="Q290" s="63"/>
      <c r="R290" s="63"/>
      <c r="S290" s="63"/>
      <c r="T290" s="63"/>
      <c r="U290" s="63"/>
      <c r="V290" s="63"/>
      <c r="W290" s="63"/>
      <c r="X290" s="63"/>
      <c r="Y290" s="63"/>
      <c r="Z290" s="62"/>
    </row>
    <row r="291" ht="14.25" customHeight="1">
      <c r="A291" s="59"/>
      <c r="B291" s="97"/>
      <c r="C291" s="97"/>
      <c r="D291" s="97"/>
      <c r="E291" s="97"/>
      <c r="F291" s="97"/>
      <c r="G291" s="97"/>
      <c r="H291" s="59"/>
      <c r="I291" s="61"/>
      <c r="J291" s="61"/>
      <c r="K291" s="61"/>
      <c r="L291" s="62"/>
      <c r="M291" s="62"/>
      <c r="N291" s="63"/>
      <c r="O291" s="63"/>
      <c r="P291" s="63"/>
      <c r="Q291" s="63"/>
      <c r="R291" s="63"/>
      <c r="S291" s="63"/>
      <c r="T291" s="63"/>
      <c r="U291" s="63"/>
      <c r="V291" s="63"/>
      <c r="W291" s="63"/>
      <c r="X291" s="63"/>
      <c r="Y291" s="63"/>
      <c r="Z291" s="62"/>
    </row>
    <row r="292" ht="14.25" customHeight="1">
      <c r="A292" s="59"/>
      <c r="B292" s="97"/>
      <c r="C292" s="97"/>
      <c r="D292" s="97"/>
      <c r="E292" s="97"/>
      <c r="F292" s="97"/>
      <c r="G292" s="97"/>
      <c r="H292" s="59"/>
      <c r="I292" s="61"/>
      <c r="J292" s="61"/>
      <c r="K292" s="61"/>
      <c r="L292" s="62"/>
      <c r="M292" s="62"/>
      <c r="N292" s="63"/>
      <c r="O292" s="63"/>
      <c r="P292" s="63"/>
      <c r="Q292" s="63"/>
      <c r="R292" s="63"/>
      <c r="S292" s="63"/>
      <c r="T292" s="63"/>
      <c r="U292" s="63"/>
      <c r="V292" s="63"/>
      <c r="W292" s="63"/>
      <c r="X292" s="63"/>
      <c r="Y292" s="63"/>
      <c r="Z292" s="62"/>
    </row>
    <row r="293" ht="14.25" customHeight="1">
      <c r="A293" s="59"/>
      <c r="B293" s="97"/>
      <c r="C293" s="97"/>
      <c r="D293" s="97"/>
      <c r="E293" s="97"/>
      <c r="F293" s="97"/>
      <c r="G293" s="97"/>
      <c r="H293" s="59"/>
      <c r="I293" s="61"/>
      <c r="J293" s="61"/>
      <c r="K293" s="61"/>
      <c r="L293" s="62"/>
      <c r="M293" s="62"/>
      <c r="N293" s="63"/>
      <c r="O293" s="63"/>
      <c r="P293" s="63"/>
      <c r="Q293" s="63"/>
      <c r="R293" s="63"/>
      <c r="S293" s="63"/>
      <c r="T293" s="63"/>
      <c r="U293" s="63"/>
      <c r="V293" s="63"/>
      <c r="W293" s="63"/>
      <c r="X293" s="63"/>
      <c r="Y293" s="63"/>
      <c r="Z293" s="62"/>
    </row>
    <row r="294" ht="14.25" customHeight="1">
      <c r="A294" s="59"/>
      <c r="B294" s="97"/>
      <c r="C294" s="97"/>
      <c r="D294" s="97"/>
      <c r="E294" s="97"/>
      <c r="F294" s="97"/>
      <c r="G294" s="97"/>
      <c r="H294" s="59"/>
      <c r="I294" s="61"/>
      <c r="J294" s="61"/>
      <c r="K294" s="61"/>
      <c r="L294" s="62"/>
      <c r="M294" s="62"/>
      <c r="N294" s="63"/>
      <c r="O294" s="63"/>
      <c r="P294" s="63"/>
      <c r="Q294" s="63"/>
      <c r="R294" s="63"/>
      <c r="S294" s="63"/>
      <c r="T294" s="63"/>
      <c r="U294" s="63"/>
      <c r="V294" s="63"/>
      <c r="W294" s="63"/>
      <c r="X294" s="63"/>
      <c r="Y294" s="63"/>
      <c r="Z294" s="62"/>
    </row>
    <row r="295" ht="14.25" customHeight="1">
      <c r="A295" s="59"/>
      <c r="B295" s="97"/>
      <c r="C295" s="97"/>
      <c r="D295" s="97"/>
      <c r="E295" s="97"/>
      <c r="F295" s="97"/>
      <c r="G295" s="97"/>
      <c r="H295" s="59"/>
      <c r="I295" s="61"/>
      <c r="J295" s="61"/>
      <c r="K295" s="61"/>
      <c r="L295" s="62"/>
      <c r="M295" s="62"/>
      <c r="N295" s="63"/>
      <c r="O295" s="63"/>
      <c r="P295" s="63"/>
      <c r="Q295" s="63"/>
      <c r="R295" s="63"/>
      <c r="S295" s="63"/>
      <c r="T295" s="63"/>
      <c r="U295" s="63"/>
      <c r="V295" s="63"/>
      <c r="W295" s="63"/>
      <c r="X295" s="63"/>
      <c r="Y295" s="63"/>
      <c r="Z295" s="62"/>
    </row>
    <row r="296" ht="14.25" customHeight="1">
      <c r="A296" s="59"/>
      <c r="B296" s="97"/>
      <c r="C296" s="97"/>
      <c r="D296" s="97"/>
      <c r="E296" s="97"/>
      <c r="F296" s="97"/>
      <c r="G296" s="97"/>
      <c r="H296" s="59"/>
      <c r="I296" s="61"/>
      <c r="J296" s="61"/>
      <c r="K296" s="61"/>
      <c r="L296" s="62"/>
      <c r="M296" s="62"/>
      <c r="N296" s="63"/>
      <c r="O296" s="63"/>
      <c r="P296" s="63"/>
      <c r="Q296" s="63"/>
      <c r="R296" s="63"/>
      <c r="S296" s="63"/>
      <c r="T296" s="63"/>
      <c r="U296" s="63"/>
      <c r="V296" s="63"/>
      <c r="W296" s="63"/>
      <c r="X296" s="63"/>
      <c r="Y296" s="63"/>
      <c r="Z296" s="62"/>
    </row>
    <row r="297" ht="14.25" customHeight="1">
      <c r="A297" s="59"/>
      <c r="B297" s="97"/>
      <c r="C297" s="97"/>
      <c r="D297" s="97"/>
      <c r="E297" s="97"/>
      <c r="F297" s="97"/>
      <c r="G297" s="97"/>
      <c r="H297" s="59"/>
      <c r="I297" s="61"/>
      <c r="J297" s="61"/>
      <c r="K297" s="61"/>
      <c r="L297" s="62"/>
      <c r="M297" s="62"/>
      <c r="N297" s="63"/>
      <c r="O297" s="63"/>
      <c r="P297" s="63"/>
      <c r="Q297" s="63"/>
      <c r="R297" s="63"/>
      <c r="S297" s="63"/>
      <c r="T297" s="63"/>
      <c r="U297" s="63"/>
      <c r="V297" s="63"/>
      <c r="W297" s="63"/>
      <c r="X297" s="63"/>
      <c r="Y297" s="63"/>
      <c r="Z297" s="62"/>
    </row>
    <row r="298" ht="14.25" customHeight="1">
      <c r="A298" s="59"/>
      <c r="B298" s="97"/>
      <c r="C298" s="97"/>
      <c r="D298" s="97"/>
      <c r="E298" s="97"/>
      <c r="F298" s="97"/>
      <c r="G298" s="97"/>
      <c r="H298" s="59"/>
      <c r="I298" s="61"/>
      <c r="J298" s="61"/>
      <c r="K298" s="61"/>
      <c r="L298" s="62"/>
      <c r="M298" s="62"/>
      <c r="N298" s="63"/>
      <c r="O298" s="63"/>
      <c r="P298" s="63"/>
      <c r="Q298" s="63"/>
      <c r="R298" s="63"/>
      <c r="S298" s="63"/>
      <c r="T298" s="63"/>
      <c r="U298" s="63"/>
      <c r="V298" s="63"/>
      <c r="W298" s="63"/>
      <c r="X298" s="63"/>
      <c r="Y298" s="63"/>
      <c r="Z298" s="62"/>
    </row>
    <row r="299" ht="14.25" customHeight="1">
      <c r="A299" s="59"/>
      <c r="B299" s="97"/>
      <c r="C299" s="97"/>
      <c r="D299" s="97"/>
      <c r="E299" s="97"/>
      <c r="F299" s="97"/>
      <c r="G299" s="97"/>
      <c r="H299" s="59"/>
      <c r="I299" s="61"/>
      <c r="J299" s="61"/>
      <c r="K299" s="61"/>
      <c r="L299" s="62"/>
      <c r="M299" s="62"/>
      <c r="N299" s="63"/>
      <c r="O299" s="63"/>
      <c r="P299" s="63"/>
      <c r="Q299" s="63"/>
      <c r="R299" s="63"/>
      <c r="S299" s="63"/>
      <c r="T299" s="63"/>
      <c r="U299" s="63"/>
      <c r="V299" s="63"/>
      <c r="W299" s="63"/>
      <c r="X299" s="63"/>
      <c r="Y299" s="63"/>
      <c r="Z299" s="62"/>
    </row>
    <row r="300" ht="14.25" customHeight="1">
      <c r="A300" s="59"/>
      <c r="B300" s="97"/>
      <c r="C300" s="97"/>
      <c r="D300" s="97"/>
      <c r="E300" s="97"/>
      <c r="F300" s="97"/>
      <c r="G300" s="97"/>
      <c r="H300" s="59"/>
      <c r="I300" s="61"/>
      <c r="J300" s="61"/>
      <c r="K300" s="61"/>
      <c r="L300" s="62"/>
      <c r="M300" s="62"/>
      <c r="N300" s="63"/>
      <c r="O300" s="63"/>
      <c r="P300" s="63"/>
      <c r="Q300" s="63"/>
      <c r="R300" s="63"/>
      <c r="S300" s="63"/>
      <c r="T300" s="63"/>
      <c r="U300" s="63"/>
      <c r="V300" s="63"/>
      <c r="W300" s="63"/>
      <c r="X300" s="63"/>
      <c r="Y300" s="63"/>
      <c r="Z300" s="62"/>
    </row>
    <row r="301" ht="14.25" customHeight="1">
      <c r="A301" s="59"/>
      <c r="B301" s="97"/>
      <c r="C301" s="97"/>
      <c r="D301" s="97"/>
      <c r="E301" s="97"/>
      <c r="F301" s="97"/>
      <c r="G301" s="97"/>
      <c r="H301" s="59"/>
      <c r="I301" s="61"/>
      <c r="J301" s="61"/>
      <c r="K301" s="61"/>
      <c r="L301" s="62"/>
      <c r="M301" s="62"/>
      <c r="N301" s="63"/>
      <c r="O301" s="63"/>
      <c r="P301" s="63"/>
      <c r="Q301" s="63"/>
      <c r="R301" s="63"/>
      <c r="S301" s="63"/>
      <c r="T301" s="63"/>
      <c r="U301" s="63"/>
      <c r="V301" s="63"/>
      <c r="W301" s="63"/>
      <c r="X301" s="63"/>
      <c r="Y301" s="63"/>
      <c r="Z301" s="62"/>
    </row>
    <row r="302" ht="14.25" customHeight="1">
      <c r="A302" s="59"/>
      <c r="B302" s="97"/>
      <c r="C302" s="97"/>
      <c r="D302" s="97"/>
      <c r="E302" s="97"/>
      <c r="F302" s="97"/>
      <c r="G302" s="97"/>
      <c r="H302" s="59"/>
      <c r="I302" s="61"/>
      <c r="J302" s="61"/>
      <c r="K302" s="61"/>
      <c r="L302" s="62"/>
      <c r="M302" s="62"/>
      <c r="N302" s="63"/>
      <c r="O302" s="63"/>
      <c r="P302" s="63"/>
      <c r="Q302" s="63"/>
      <c r="R302" s="63"/>
      <c r="S302" s="63"/>
      <c r="T302" s="63"/>
      <c r="U302" s="63"/>
      <c r="V302" s="63"/>
      <c r="W302" s="63"/>
      <c r="X302" s="63"/>
      <c r="Y302" s="63"/>
      <c r="Z302" s="62"/>
    </row>
    <row r="303" ht="14.25" customHeight="1">
      <c r="A303" s="59"/>
      <c r="B303" s="97"/>
      <c r="C303" s="97"/>
      <c r="D303" s="97"/>
      <c r="E303" s="97"/>
      <c r="F303" s="97"/>
      <c r="G303" s="97"/>
      <c r="H303" s="59"/>
      <c r="I303" s="61"/>
      <c r="J303" s="61"/>
      <c r="K303" s="61"/>
      <c r="L303" s="62"/>
      <c r="M303" s="62"/>
      <c r="N303" s="63"/>
      <c r="O303" s="63"/>
      <c r="P303" s="63"/>
      <c r="Q303" s="63"/>
      <c r="R303" s="63"/>
      <c r="S303" s="63"/>
      <c r="T303" s="63"/>
      <c r="U303" s="63"/>
      <c r="V303" s="63"/>
      <c r="W303" s="63"/>
      <c r="X303" s="63"/>
      <c r="Y303" s="63"/>
      <c r="Z303" s="62"/>
    </row>
    <row r="304" ht="14.25" customHeight="1">
      <c r="A304" s="59"/>
      <c r="B304" s="97"/>
      <c r="C304" s="97"/>
      <c r="D304" s="97"/>
      <c r="E304" s="97"/>
      <c r="F304" s="97"/>
      <c r="G304" s="97"/>
      <c r="H304" s="59"/>
      <c r="I304" s="61"/>
      <c r="J304" s="61"/>
      <c r="K304" s="61"/>
      <c r="L304" s="62"/>
      <c r="M304" s="62"/>
      <c r="N304" s="63"/>
      <c r="O304" s="63"/>
      <c r="P304" s="63"/>
      <c r="Q304" s="63"/>
      <c r="R304" s="63"/>
      <c r="S304" s="63"/>
      <c r="T304" s="63"/>
      <c r="U304" s="63"/>
      <c r="V304" s="63"/>
      <c r="W304" s="63"/>
      <c r="X304" s="63"/>
      <c r="Y304" s="63"/>
      <c r="Z304" s="62"/>
    </row>
    <row r="305" ht="14.25" customHeight="1">
      <c r="A305" s="59"/>
      <c r="B305" s="97"/>
      <c r="C305" s="97"/>
      <c r="D305" s="97"/>
      <c r="E305" s="97"/>
      <c r="F305" s="97"/>
      <c r="G305" s="97"/>
      <c r="H305" s="59"/>
      <c r="I305" s="61"/>
      <c r="J305" s="61"/>
      <c r="K305" s="61"/>
      <c r="L305" s="62"/>
      <c r="M305" s="62"/>
      <c r="N305" s="63"/>
      <c r="O305" s="63"/>
      <c r="P305" s="63"/>
      <c r="Q305" s="63"/>
      <c r="R305" s="63"/>
      <c r="S305" s="63"/>
      <c r="T305" s="63"/>
      <c r="U305" s="63"/>
      <c r="V305" s="63"/>
      <c r="W305" s="63"/>
      <c r="X305" s="63"/>
      <c r="Y305" s="63"/>
      <c r="Z305" s="62"/>
    </row>
    <row r="306" ht="14.25" customHeight="1">
      <c r="A306" s="59"/>
      <c r="B306" s="97"/>
      <c r="C306" s="97"/>
      <c r="D306" s="97"/>
      <c r="E306" s="97"/>
      <c r="F306" s="97"/>
      <c r="G306" s="97"/>
      <c r="H306" s="59"/>
      <c r="I306" s="61"/>
      <c r="J306" s="61"/>
      <c r="K306" s="61"/>
      <c r="L306" s="62"/>
      <c r="M306" s="62"/>
      <c r="N306" s="63"/>
      <c r="O306" s="63"/>
      <c r="P306" s="63"/>
      <c r="Q306" s="63"/>
      <c r="R306" s="63"/>
      <c r="S306" s="63"/>
      <c r="T306" s="63"/>
      <c r="U306" s="63"/>
      <c r="V306" s="63"/>
      <c r="W306" s="63"/>
      <c r="X306" s="63"/>
      <c r="Y306" s="63"/>
      <c r="Z306" s="62"/>
    </row>
    <row r="307" ht="14.25" customHeight="1">
      <c r="A307" s="59"/>
      <c r="B307" s="97"/>
      <c r="C307" s="97"/>
      <c r="D307" s="97"/>
      <c r="E307" s="97"/>
      <c r="F307" s="97"/>
      <c r="G307" s="97"/>
      <c r="H307" s="59"/>
      <c r="I307" s="61"/>
      <c r="J307" s="61"/>
      <c r="K307" s="61"/>
      <c r="L307" s="62"/>
      <c r="M307" s="62"/>
      <c r="N307" s="63"/>
      <c r="O307" s="63"/>
      <c r="P307" s="63"/>
      <c r="Q307" s="63"/>
      <c r="R307" s="63"/>
      <c r="S307" s="63"/>
      <c r="T307" s="63"/>
      <c r="U307" s="63"/>
      <c r="V307" s="63"/>
      <c r="W307" s="63"/>
      <c r="X307" s="63"/>
      <c r="Y307" s="63"/>
      <c r="Z307" s="62"/>
    </row>
    <row r="308" ht="14.25" customHeight="1">
      <c r="A308" s="59"/>
      <c r="B308" s="97"/>
      <c r="C308" s="97"/>
      <c r="D308" s="97"/>
      <c r="E308" s="97"/>
      <c r="F308" s="97"/>
      <c r="G308" s="97"/>
      <c r="H308" s="59"/>
      <c r="I308" s="61"/>
      <c r="J308" s="61"/>
      <c r="K308" s="61"/>
      <c r="L308" s="62"/>
      <c r="M308" s="62"/>
      <c r="N308" s="63"/>
      <c r="O308" s="63"/>
      <c r="P308" s="63"/>
      <c r="Q308" s="63"/>
      <c r="R308" s="63"/>
      <c r="S308" s="63"/>
      <c r="T308" s="63"/>
      <c r="U308" s="63"/>
      <c r="V308" s="63"/>
      <c r="W308" s="63"/>
      <c r="X308" s="63"/>
      <c r="Y308" s="63"/>
      <c r="Z308" s="62"/>
    </row>
    <row r="309" ht="14.25" customHeight="1">
      <c r="A309" s="59"/>
      <c r="B309" s="97"/>
      <c r="C309" s="97"/>
      <c r="D309" s="97"/>
      <c r="E309" s="97"/>
      <c r="F309" s="97"/>
      <c r="G309" s="97"/>
      <c r="H309" s="59"/>
      <c r="I309" s="61"/>
      <c r="J309" s="61"/>
      <c r="K309" s="61"/>
      <c r="L309" s="62"/>
      <c r="M309" s="62"/>
      <c r="N309" s="63"/>
      <c r="O309" s="63"/>
      <c r="P309" s="63"/>
      <c r="Q309" s="63"/>
      <c r="R309" s="63"/>
      <c r="S309" s="63"/>
      <c r="T309" s="63"/>
      <c r="U309" s="63"/>
      <c r="V309" s="63"/>
      <c r="W309" s="63"/>
      <c r="X309" s="63"/>
      <c r="Y309" s="63"/>
      <c r="Z309" s="62"/>
    </row>
    <row r="310" ht="14.25" customHeight="1">
      <c r="A310" s="59"/>
      <c r="B310" s="97"/>
      <c r="C310" s="97"/>
      <c r="D310" s="97"/>
      <c r="E310" s="97"/>
      <c r="F310" s="97"/>
      <c r="G310" s="97"/>
      <c r="H310" s="59"/>
      <c r="I310" s="61"/>
      <c r="J310" s="61"/>
      <c r="K310" s="61"/>
      <c r="L310" s="62"/>
      <c r="M310" s="62"/>
      <c r="N310" s="63"/>
      <c r="O310" s="63"/>
      <c r="P310" s="63"/>
      <c r="Q310" s="63"/>
      <c r="R310" s="63"/>
      <c r="S310" s="63"/>
      <c r="T310" s="63"/>
      <c r="U310" s="63"/>
      <c r="V310" s="63"/>
      <c r="W310" s="63"/>
      <c r="X310" s="63"/>
      <c r="Y310" s="63"/>
      <c r="Z310" s="62"/>
    </row>
    <row r="311" ht="14.25" customHeight="1">
      <c r="A311" s="59"/>
      <c r="B311" s="97"/>
      <c r="C311" s="97"/>
      <c r="D311" s="97"/>
      <c r="E311" s="97"/>
      <c r="F311" s="97"/>
      <c r="G311" s="97"/>
      <c r="H311" s="59"/>
      <c r="I311" s="61"/>
      <c r="J311" s="61"/>
      <c r="K311" s="61"/>
      <c r="L311" s="62"/>
      <c r="M311" s="62"/>
      <c r="N311" s="63"/>
      <c r="O311" s="63"/>
      <c r="P311" s="63"/>
      <c r="Q311" s="63"/>
      <c r="R311" s="63"/>
      <c r="S311" s="63"/>
      <c r="T311" s="63"/>
      <c r="U311" s="63"/>
      <c r="V311" s="63"/>
      <c r="W311" s="63"/>
      <c r="X311" s="63"/>
      <c r="Y311" s="63"/>
      <c r="Z311" s="62"/>
    </row>
    <row r="312" ht="14.25" customHeight="1">
      <c r="A312" s="59"/>
      <c r="B312" s="97"/>
      <c r="C312" s="97"/>
      <c r="D312" s="97"/>
      <c r="E312" s="97"/>
      <c r="F312" s="97"/>
      <c r="G312" s="97"/>
      <c r="H312" s="59"/>
      <c r="I312" s="61"/>
      <c r="J312" s="61"/>
      <c r="K312" s="61"/>
      <c r="L312" s="62"/>
      <c r="M312" s="62"/>
      <c r="N312" s="63"/>
      <c r="O312" s="63"/>
      <c r="P312" s="63"/>
      <c r="Q312" s="63"/>
      <c r="R312" s="63"/>
      <c r="S312" s="63"/>
      <c r="T312" s="63"/>
      <c r="U312" s="63"/>
      <c r="V312" s="63"/>
      <c r="W312" s="63"/>
      <c r="X312" s="63"/>
      <c r="Y312" s="63"/>
      <c r="Z312" s="62"/>
    </row>
    <row r="313" ht="14.25" customHeight="1">
      <c r="A313" s="59"/>
      <c r="B313" s="97"/>
      <c r="C313" s="97"/>
      <c r="D313" s="97"/>
      <c r="E313" s="97"/>
      <c r="F313" s="97"/>
      <c r="G313" s="97"/>
      <c r="H313" s="59"/>
      <c r="I313" s="61"/>
      <c r="J313" s="61"/>
      <c r="K313" s="61"/>
      <c r="L313" s="62"/>
      <c r="M313" s="62"/>
      <c r="N313" s="63"/>
      <c r="O313" s="63"/>
      <c r="P313" s="63"/>
      <c r="Q313" s="63"/>
      <c r="R313" s="63"/>
      <c r="S313" s="63"/>
      <c r="T313" s="63"/>
      <c r="U313" s="63"/>
      <c r="V313" s="63"/>
      <c r="W313" s="63"/>
      <c r="X313" s="63"/>
      <c r="Y313" s="63"/>
      <c r="Z313" s="62"/>
    </row>
    <row r="314" ht="14.25" customHeight="1">
      <c r="A314" s="59"/>
      <c r="B314" s="97"/>
      <c r="C314" s="97"/>
      <c r="D314" s="97"/>
      <c r="E314" s="97"/>
      <c r="F314" s="97"/>
      <c r="G314" s="97"/>
      <c r="H314" s="59"/>
      <c r="I314" s="61"/>
      <c r="J314" s="61"/>
      <c r="K314" s="61"/>
      <c r="L314" s="62"/>
      <c r="M314" s="62"/>
      <c r="N314" s="63"/>
      <c r="O314" s="63"/>
      <c r="P314" s="63"/>
      <c r="Q314" s="63"/>
      <c r="R314" s="63"/>
      <c r="S314" s="63"/>
      <c r="T314" s="63"/>
      <c r="U314" s="63"/>
      <c r="V314" s="63"/>
      <c r="W314" s="63"/>
      <c r="X314" s="63"/>
      <c r="Y314" s="63"/>
      <c r="Z314" s="62"/>
    </row>
    <row r="315" ht="14.25" customHeight="1">
      <c r="A315" s="59"/>
      <c r="B315" s="97"/>
      <c r="C315" s="97"/>
      <c r="D315" s="97"/>
      <c r="E315" s="97"/>
      <c r="F315" s="97"/>
      <c r="G315" s="97"/>
      <c r="H315" s="59"/>
      <c r="I315" s="61"/>
      <c r="J315" s="61"/>
      <c r="K315" s="61"/>
      <c r="L315" s="62"/>
      <c r="M315" s="62"/>
      <c r="N315" s="63"/>
      <c r="O315" s="63"/>
      <c r="P315" s="63"/>
      <c r="Q315" s="63"/>
      <c r="R315" s="63"/>
      <c r="S315" s="63"/>
      <c r="T315" s="63"/>
      <c r="U315" s="63"/>
      <c r="V315" s="63"/>
      <c r="W315" s="63"/>
      <c r="X315" s="63"/>
      <c r="Y315" s="63"/>
      <c r="Z315" s="62"/>
    </row>
    <row r="316" ht="14.25" customHeight="1">
      <c r="A316" s="59"/>
      <c r="B316" s="97"/>
      <c r="C316" s="97"/>
      <c r="D316" s="97"/>
      <c r="E316" s="97"/>
      <c r="F316" s="97"/>
      <c r="G316" s="97"/>
      <c r="H316" s="59"/>
      <c r="I316" s="61"/>
      <c r="J316" s="61"/>
      <c r="K316" s="61"/>
      <c r="L316" s="62"/>
      <c r="M316" s="62"/>
      <c r="N316" s="63"/>
      <c r="O316" s="63"/>
      <c r="P316" s="63"/>
      <c r="Q316" s="63"/>
      <c r="R316" s="63"/>
      <c r="S316" s="63"/>
      <c r="T316" s="63"/>
      <c r="U316" s="63"/>
      <c r="V316" s="63"/>
      <c r="W316" s="63"/>
      <c r="X316" s="63"/>
      <c r="Y316" s="63"/>
      <c r="Z316" s="62"/>
    </row>
    <row r="317" ht="14.25" customHeight="1">
      <c r="A317" s="59"/>
      <c r="B317" s="97"/>
      <c r="C317" s="97"/>
      <c r="D317" s="97"/>
      <c r="E317" s="97"/>
      <c r="F317" s="97"/>
      <c r="G317" s="97"/>
      <c r="H317" s="59"/>
      <c r="I317" s="61"/>
      <c r="J317" s="61"/>
      <c r="K317" s="61"/>
      <c r="L317" s="62"/>
      <c r="M317" s="62"/>
      <c r="N317" s="63"/>
      <c r="O317" s="63"/>
      <c r="P317" s="63"/>
      <c r="Q317" s="63"/>
      <c r="R317" s="63"/>
      <c r="S317" s="63"/>
      <c r="T317" s="63"/>
      <c r="U317" s="63"/>
      <c r="V317" s="63"/>
      <c r="W317" s="63"/>
      <c r="X317" s="63"/>
      <c r="Y317" s="63"/>
      <c r="Z317" s="62"/>
    </row>
    <row r="318" ht="14.25" customHeight="1">
      <c r="A318" s="59"/>
      <c r="B318" s="97"/>
      <c r="C318" s="97"/>
      <c r="D318" s="97"/>
      <c r="E318" s="97"/>
      <c r="F318" s="97"/>
      <c r="G318" s="97"/>
      <c r="H318" s="59"/>
      <c r="I318" s="61"/>
      <c r="J318" s="61"/>
      <c r="K318" s="61"/>
      <c r="L318" s="62"/>
      <c r="M318" s="62"/>
      <c r="N318" s="63"/>
      <c r="O318" s="63"/>
      <c r="P318" s="63"/>
      <c r="Q318" s="63"/>
      <c r="R318" s="63"/>
      <c r="S318" s="63"/>
      <c r="T318" s="63"/>
      <c r="U318" s="63"/>
      <c r="V318" s="63"/>
      <c r="W318" s="63"/>
      <c r="X318" s="63"/>
      <c r="Y318" s="63"/>
      <c r="Z318" s="62"/>
    </row>
    <row r="319" ht="14.25" customHeight="1">
      <c r="A319" s="59"/>
      <c r="B319" s="97"/>
      <c r="C319" s="97"/>
      <c r="D319" s="97"/>
      <c r="E319" s="97"/>
      <c r="F319" s="97"/>
      <c r="G319" s="97"/>
      <c r="H319" s="59"/>
      <c r="I319" s="61"/>
      <c r="J319" s="61"/>
      <c r="K319" s="61"/>
      <c r="L319" s="62"/>
      <c r="M319" s="62"/>
      <c r="N319" s="63"/>
      <c r="O319" s="63"/>
      <c r="P319" s="63"/>
      <c r="Q319" s="63"/>
      <c r="R319" s="63"/>
      <c r="S319" s="63"/>
      <c r="T319" s="63"/>
      <c r="U319" s="63"/>
      <c r="V319" s="63"/>
      <c r="W319" s="63"/>
      <c r="X319" s="63"/>
      <c r="Y319" s="63"/>
      <c r="Z319" s="62"/>
    </row>
    <row r="320" ht="14.25" customHeight="1">
      <c r="A320" s="59"/>
      <c r="B320" s="97"/>
      <c r="C320" s="97"/>
      <c r="D320" s="97"/>
      <c r="E320" s="97"/>
      <c r="F320" s="97"/>
      <c r="G320" s="97"/>
      <c r="H320" s="59"/>
      <c r="I320" s="61"/>
      <c r="J320" s="61"/>
      <c r="K320" s="61"/>
      <c r="L320" s="62"/>
      <c r="M320" s="62"/>
      <c r="N320" s="63"/>
      <c r="O320" s="63"/>
      <c r="P320" s="63"/>
      <c r="Q320" s="63"/>
      <c r="R320" s="63"/>
      <c r="S320" s="63"/>
      <c r="T320" s="63"/>
      <c r="U320" s="63"/>
      <c r="V320" s="63"/>
      <c r="W320" s="63"/>
      <c r="X320" s="63"/>
      <c r="Y320" s="63"/>
      <c r="Z320" s="62"/>
    </row>
    <row r="321" ht="14.25" customHeight="1">
      <c r="A321" s="59"/>
      <c r="B321" s="97"/>
      <c r="C321" s="97"/>
      <c r="D321" s="97"/>
      <c r="E321" s="97"/>
      <c r="F321" s="97"/>
      <c r="G321" s="97"/>
      <c r="H321" s="59"/>
      <c r="I321" s="61"/>
      <c r="J321" s="61"/>
      <c r="K321" s="61"/>
      <c r="L321" s="62"/>
      <c r="M321" s="62"/>
      <c r="N321" s="63"/>
      <c r="O321" s="63"/>
      <c r="P321" s="63"/>
      <c r="Q321" s="63"/>
      <c r="R321" s="63"/>
      <c r="S321" s="63"/>
      <c r="T321" s="63"/>
      <c r="U321" s="63"/>
      <c r="V321" s="63"/>
      <c r="W321" s="63"/>
      <c r="X321" s="63"/>
      <c r="Y321" s="63"/>
      <c r="Z321" s="62"/>
    </row>
    <row r="322" ht="14.25" customHeight="1">
      <c r="A322" s="59"/>
      <c r="B322" s="97"/>
      <c r="C322" s="97"/>
      <c r="D322" s="97"/>
      <c r="E322" s="97"/>
      <c r="F322" s="97"/>
      <c r="G322" s="97"/>
      <c r="H322" s="59"/>
      <c r="I322" s="61"/>
      <c r="J322" s="61"/>
      <c r="K322" s="61"/>
      <c r="L322" s="62"/>
      <c r="M322" s="62"/>
      <c r="N322" s="63"/>
      <c r="O322" s="63"/>
      <c r="P322" s="63"/>
      <c r="Q322" s="63"/>
      <c r="R322" s="63"/>
      <c r="S322" s="63"/>
      <c r="T322" s="63"/>
      <c r="U322" s="63"/>
      <c r="V322" s="63"/>
      <c r="W322" s="63"/>
      <c r="X322" s="63"/>
      <c r="Y322" s="63"/>
      <c r="Z322" s="62"/>
    </row>
    <row r="323" ht="14.25" customHeight="1">
      <c r="A323" s="59"/>
      <c r="B323" s="97"/>
      <c r="C323" s="97"/>
      <c r="D323" s="97"/>
      <c r="E323" s="97"/>
      <c r="F323" s="97"/>
      <c r="G323" s="97"/>
      <c r="H323" s="59"/>
      <c r="I323" s="61"/>
      <c r="J323" s="61"/>
      <c r="K323" s="61"/>
      <c r="L323" s="62"/>
      <c r="M323" s="62"/>
      <c r="N323" s="63"/>
      <c r="O323" s="63"/>
      <c r="P323" s="63"/>
      <c r="Q323" s="63"/>
      <c r="R323" s="63"/>
      <c r="S323" s="63"/>
      <c r="T323" s="63"/>
      <c r="U323" s="63"/>
      <c r="V323" s="63"/>
      <c r="W323" s="63"/>
      <c r="X323" s="63"/>
      <c r="Y323" s="63"/>
      <c r="Z323" s="62"/>
    </row>
    <row r="324" ht="14.25" customHeight="1">
      <c r="A324" s="59"/>
      <c r="B324" s="97"/>
      <c r="C324" s="97"/>
      <c r="D324" s="97"/>
      <c r="E324" s="97"/>
      <c r="F324" s="97"/>
      <c r="G324" s="97"/>
      <c r="H324" s="59"/>
      <c r="I324" s="61"/>
      <c r="J324" s="61"/>
      <c r="K324" s="61"/>
      <c r="L324" s="62"/>
      <c r="M324" s="62"/>
      <c r="N324" s="63"/>
      <c r="O324" s="63"/>
      <c r="P324" s="63"/>
      <c r="Q324" s="63"/>
      <c r="R324" s="63"/>
      <c r="S324" s="63"/>
      <c r="T324" s="63"/>
      <c r="U324" s="63"/>
      <c r="V324" s="63"/>
      <c r="W324" s="63"/>
      <c r="X324" s="63"/>
      <c r="Y324" s="63"/>
      <c r="Z324" s="62"/>
    </row>
    <row r="325" ht="14.25" customHeight="1">
      <c r="A325" s="59"/>
      <c r="B325" s="97"/>
      <c r="C325" s="97"/>
      <c r="D325" s="97"/>
      <c r="E325" s="97"/>
      <c r="F325" s="97"/>
      <c r="G325" s="97"/>
      <c r="H325" s="59"/>
      <c r="I325" s="61"/>
      <c r="J325" s="61"/>
      <c r="K325" s="61"/>
      <c r="L325" s="62"/>
      <c r="M325" s="62"/>
      <c r="N325" s="63"/>
      <c r="O325" s="63"/>
      <c r="P325" s="63"/>
      <c r="Q325" s="63"/>
      <c r="R325" s="63"/>
      <c r="S325" s="63"/>
      <c r="T325" s="63"/>
      <c r="U325" s="63"/>
      <c r="V325" s="63"/>
      <c r="W325" s="63"/>
      <c r="X325" s="63"/>
      <c r="Y325" s="63"/>
      <c r="Z325" s="62"/>
    </row>
    <row r="326" ht="14.25" customHeight="1">
      <c r="A326" s="59"/>
      <c r="B326" s="97"/>
      <c r="C326" s="97"/>
      <c r="D326" s="97"/>
      <c r="E326" s="97"/>
      <c r="F326" s="97"/>
      <c r="G326" s="97"/>
      <c r="H326" s="59"/>
      <c r="I326" s="61"/>
      <c r="J326" s="61"/>
      <c r="K326" s="61"/>
      <c r="L326" s="62"/>
      <c r="M326" s="62"/>
      <c r="N326" s="63"/>
      <c r="O326" s="63"/>
      <c r="P326" s="63"/>
      <c r="Q326" s="63"/>
      <c r="R326" s="63"/>
      <c r="S326" s="63"/>
      <c r="T326" s="63"/>
      <c r="U326" s="63"/>
      <c r="V326" s="63"/>
      <c r="W326" s="63"/>
      <c r="X326" s="63"/>
      <c r="Y326" s="63"/>
      <c r="Z326" s="62"/>
    </row>
    <row r="327" ht="14.25" customHeight="1">
      <c r="A327" s="59"/>
      <c r="B327" s="97"/>
      <c r="C327" s="97"/>
      <c r="D327" s="97"/>
      <c r="E327" s="97"/>
      <c r="F327" s="97"/>
      <c r="G327" s="97"/>
      <c r="H327" s="59"/>
      <c r="I327" s="61"/>
      <c r="J327" s="61"/>
      <c r="K327" s="61"/>
      <c r="L327" s="62"/>
      <c r="M327" s="62"/>
      <c r="N327" s="63"/>
      <c r="O327" s="63"/>
      <c r="P327" s="63"/>
      <c r="Q327" s="63"/>
      <c r="R327" s="63"/>
      <c r="S327" s="63"/>
      <c r="T327" s="63"/>
      <c r="U327" s="63"/>
      <c r="V327" s="63"/>
      <c r="W327" s="63"/>
      <c r="X327" s="63"/>
      <c r="Y327" s="63"/>
      <c r="Z327" s="62"/>
    </row>
    <row r="328" ht="14.25" customHeight="1">
      <c r="A328" s="59"/>
      <c r="B328" s="97"/>
      <c r="C328" s="97"/>
      <c r="D328" s="97"/>
      <c r="E328" s="97"/>
      <c r="F328" s="97"/>
      <c r="G328" s="97"/>
      <c r="H328" s="59"/>
      <c r="I328" s="61"/>
      <c r="J328" s="61"/>
      <c r="K328" s="61"/>
      <c r="L328" s="62"/>
      <c r="M328" s="62"/>
      <c r="N328" s="63"/>
      <c r="O328" s="63"/>
      <c r="P328" s="63"/>
      <c r="Q328" s="63"/>
      <c r="R328" s="63"/>
      <c r="S328" s="63"/>
      <c r="T328" s="63"/>
      <c r="U328" s="63"/>
      <c r="V328" s="63"/>
      <c r="W328" s="63"/>
      <c r="X328" s="63"/>
      <c r="Y328" s="63"/>
      <c r="Z328" s="62"/>
    </row>
    <row r="329" ht="14.25" customHeight="1">
      <c r="A329" s="59"/>
      <c r="B329" s="97"/>
      <c r="C329" s="97"/>
      <c r="D329" s="97"/>
      <c r="E329" s="97"/>
      <c r="F329" s="97"/>
      <c r="G329" s="97"/>
      <c r="H329" s="59"/>
      <c r="I329" s="61"/>
      <c r="J329" s="61"/>
      <c r="K329" s="61"/>
      <c r="L329" s="62"/>
      <c r="M329" s="62"/>
      <c r="N329" s="63"/>
      <c r="O329" s="63"/>
      <c r="P329" s="63"/>
      <c r="Q329" s="63"/>
      <c r="R329" s="63"/>
      <c r="S329" s="63"/>
      <c r="T329" s="63"/>
      <c r="U329" s="63"/>
      <c r="V329" s="63"/>
      <c r="W329" s="63"/>
      <c r="X329" s="63"/>
      <c r="Y329" s="63"/>
      <c r="Z329" s="62"/>
    </row>
    <row r="330" ht="14.25" customHeight="1">
      <c r="A330" s="59"/>
      <c r="B330" s="97"/>
      <c r="C330" s="97"/>
      <c r="D330" s="97"/>
      <c r="E330" s="97"/>
      <c r="F330" s="97"/>
      <c r="G330" s="97"/>
      <c r="H330" s="59"/>
      <c r="I330" s="61"/>
      <c r="J330" s="61"/>
      <c r="K330" s="61"/>
      <c r="L330" s="62"/>
      <c r="M330" s="62"/>
      <c r="N330" s="63"/>
      <c r="O330" s="63"/>
      <c r="P330" s="63"/>
      <c r="Q330" s="63"/>
      <c r="R330" s="63"/>
      <c r="S330" s="63"/>
      <c r="T330" s="63"/>
      <c r="U330" s="63"/>
      <c r="V330" s="63"/>
      <c r="W330" s="63"/>
      <c r="X330" s="63"/>
      <c r="Y330" s="63"/>
      <c r="Z330" s="62"/>
    </row>
    <row r="331" ht="14.25" customHeight="1">
      <c r="A331" s="59"/>
      <c r="B331" s="97"/>
      <c r="C331" s="97"/>
      <c r="D331" s="97"/>
      <c r="E331" s="97"/>
      <c r="F331" s="97"/>
      <c r="G331" s="97"/>
      <c r="H331" s="59"/>
      <c r="I331" s="61"/>
      <c r="J331" s="61"/>
      <c r="K331" s="61"/>
      <c r="L331" s="62"/>
      <c r="M331" s="62"/>
      <c r="N331" s="63"/>
      <c r="O331" s="63"/>
      <c r="P331" s="63"/>
      <c r="Q331" s="63"/>
      <c r="R331" s="63"/>
      <c r="S331" s="63"/>
      <c r="T331" s="63"/>
      <c r="U331" s="63"/>
      <c r="V331" s="63"/>
      <c r="W331" s="63"/>
      <c r="X331" s="63"/>
      <c r="Y331" s="63"/>
      <c r="Z331" s="62"/>
    </row>
    <row r="332" ht="14.25" customHeight="1">
      <c r="A332" s="59"/>
      <c r="B332" s="97"/>
      <c r="C332" s="97"/>
      <c r="D332" s="97"/>
      <c r="E332" s="97"/>
      <c r="F332" s="97"/>
      <c r="G332" s="97"/>
      <c r="H332" s="59"/>
      <c r="I332" s="61"/>
      <c r="J332" s="61"/>
      <c r="K332" s="61"/>
      <c r="L332" s="62"/>
      <c r="M332" s="62"/>
      <c r="N332" s="63"/>
      <c r="O332" s="63"/>
      <c r="P332" s="63"/>
      <c r="Q332" s="63"/>
      <c r="R332" s="63"/>
      <c r="S332" s="63"/>
      <c r="T332" s="63"/>
      <c r="U332" s="63"/>
      <c r="V332" s="63"/>
      <c r="W332" s="63"/>
      <c r="X332" s="63"/>
      <c r="Y332" s="63"/>
      <c r="Z332" s="62"/>
    </row>
    <row r="333" ht="14.25" customHeight="1">
      <c r="A333" s="59"/>
      <c r="B333" s="97"/>
      <c r="C333" s="97"/>
      <c r="D333" s="97"/>
      <c r="E333" s="97"/>
      <c r="F333" s="97"/>
      <c r="G333" s="97"/>
      <c r="H333" s="59"/>
      <c r="I333" s="61"/>
      <c r="J333" s="61"/>
      <c r="K333" s="61"/>
      <c r="L333" s="62"/>
      <c r="M333" s="62"/>
      <c r="N333" s="63"/>
      <c r="O333" s="63"/>
      <c r="P333" s="63"/>
      <c r="Q333" s="63"/>
      <c r="R333" s="63"/>
      <c r="S333" s="63"/>
      <c r="T333" s="63"/>
      <c r="U333" s="63"/>
      <c r="V333" s="63"/>
      <c r="W333" s="63"/>
      <c r="X333" s="63"/>
      <c r="Y333" s="63"/>
      <c r="Z333" s="62"/>
    </row>
    <row r="334" ht="14.25" customHeight="1">
      <c r="A334" s="59"/>
      <c r="B334" s="97"/>
      <c r="C334" s="97"/>
      <c r="D334" s="97"/>
      <c r="E334" s="97"/>
      <c r="F334" s="97"/>
      <c r="G334" s="97"/>
      <c r="H334" s="59"/>
      <c r="I334" s="61"/>
      <c r="J334" s="61"/>
      <c r="K334" s="61"/>
      <c r="L334" s="62"/>
      <c r="M334" s="62"/>
      <c r="N334" s="63"/>
      <c r="O334" s="63"/>
      <c r="P334" s="63"/>
      <c r="Q334" s="63"/>
      <c r="R334" s="63"/>
      <c r="S334" s="63"/>
      <c r="T334" s="63"/>
      <c r="U334" s="63"/>
      <c r="V334" s="63"/>
      <c r="W334" s="63"/>
      <c r="X334" s="63"/>
      <c r="Y334" s="63"/>
      <c r="Z334" s="62"/>
    </row>
    <row r="335" ht="14.25" customHeight="1">
      <c r="A335" s="59"/>
      <c r="B335" s="97"/>
      <c r="C335" s="97"/>
      <c r="D335" s="97"/>
      <c r="E335" s="97"/>
      <c r="F335" s="97"/>
      <c r="G335" s="97"/>
      <c r="H335" s="59"/>
      <c r="I335" s="61"/>
      <c r="J335" s="61"/>
      <c r="K335" s="61"/>
      <c r="L335" s="62"/>
      <c r="M335" s="62"/>
      <c r="N335" s="63"/>
      <c r="O335" s="63"/>
      <c r="P335" s="63"/>
      <c r="Q335" s="63"/>
      <c r="R335" s="63"/>
      <c r="S335" s="63"/>
      <c r="T335" s="63"/>
      <c r="U335" s="63"/>
      <c r="V335" s="63"/>
      <c r="W335" s="63"/>
      <c r="X335" s="63"/>
      <c r="Y335" s="63"/>
      <c r="Z335" s="62"/>
    </row>
    <row r="336" ht="14.25" customHeight="1">
      <c r="A336" s="59"/>
      <c r="B336" s="97"/>
      <c r="C336" s="97"/>
      <c r="D336" s="97"/>
      <c r="E336" s="97"/>
      <c r="F336" s="97"/>
      <c r="G336" s="97"/>
      <c r="H336" s="59"/>
      <c r="I336" s="61"/>
      <c r="J336" s="61"/>
      <c r="K336" s="61"/>
      <c r="L336" s="62"/>
      <c r="M336" s="62"/>
      <c r="N336" s="63"/>
      <c r="O336" s="63"/>
      <c r="P336" s="63"/>
      <c r="Q336" s="63"/>
      <c r="R336" s="63"/>
      <c r="S336" s="63"/>
      <c r="T336" s="63"/>
      <c r="U336" s="63"/>
      <c r="V336" s="63"/>
      <c r="W336" s="63"/>
      <c r="X336" s="63"/>
      <c r="Y336" s="63"/>
      <c r="Z336" s="62"/>
    </row>
    <row r="337" ht="14.25" customHeight="1">
      <c r="A337" s="59"/>
      <c r="B337" s="97"/>
      <c r="C337" s="97"/>
      <c r="D337" s="97"/>
      <c r="E337" s="97"/>
      <c r="F337" s="97"/>
      <c r="G337" s="97"/>
      <c r="H337" s="59"/>
      <c r="I337" s="61"/>
      <c r="J337" s="61"/>
      <c r="K337" s="61"/>
      <c r="L337" s="62"/>
      <c r="M337" s="62"/>
      <c r="N337" s="63"/>
      <c r="O337" s="63"/>
      <c r="P337" s="63"/>
      <c r="Q337" s="63"/>
      <c r="R337" s="63"/>
      <c r="S337" s="63"/>
      <c r="T337" s="63"/>
      <c r="U337" s="63"/>
      <c r="V337" s="63"/>
      <c r="W337" s="63"/>
      <c r="X337" s="63"/>
      <c r="Y337" s="63"/>
      <c r="Z337" s="62"/>
    </row>
    <row r="338" ht="14.25" customHeight="1">
      <c r="A338" s="59"/>
      <c r="B338" s="97"/>
      <c r="C338" s="97"/>
      <c r="D338" s="97"/>
      <c r="E338" s="97"/>
      <c r="F338" s="97"/>
      <c r="G338" s="97"/>
      <c r="H338" s="59"/>
      <c r="I338" s="61"/>
      <c r="J338" s="61"/>
      <c r="K338" s="61"/>
      <c r="L338" s="62"/>
      <c r="M338" s="62"/>
      <c r="N338" s="63"/>
      <c r="O338" s="63"/>
      <c r="P338" s="63"/>
      <c r="Q338" s="63"/>
      <c r="R338" s="63"/>
      <c r="S338" s="63"/>
      <c r="T338" s="63"/>
      <c r="U338" s="63"/>
      <c r="V338" s="63"/>
      <c r="W338" s="63"/>
      <c r="X338" s="63"/>
      <c r="Y338" s="63"/>
      <c r="Z338" s="62"/>
    </row>
    <row r="339" ht="14.25" customHeight="1">
      <c r="A339" s="59"/>
      <c r="B339" s="97"/>
      <c r="C339" s="97"/>
      <c r="D339" s="97"/>
      <c r="E339" s="97"/>
      <c r="F339" s="97"/>
      <c r="G339" s="97"/>
      <c r="H339" s="59"/>
      <c r="I339" s="61"/>
      <c r="J339" s="61"/>
      <c r="K339" s="61"/>
      <c r="L339" s="62"/>
      <c r="M339" s="62"/>
      <c r="N339" s="63"/>
      <c r="O339" s="63"/>
      <c r="P339" s="63"/>
      <c r="Q339" s="63"/>
      <c r="R339" s="63"/>
      <c r="S339" s="63"/>
      <c r="T339" s="63"/>
      <c r="U339" s="63"/>
      <c r="V339" s="63"/>
      <c r="W339" s="63"/>
      <c r="X339" s="63"/>
      <c r="Y339" s="63"/>
      <c r="Z339" s="62"/>
    </row>
    <row r="340" ht="14.25" customHeight="1">
      <c r="A340" s="59"/>
      <c r="B340" s="97"/>
      <c r="C340" s="97"/>
      <c r="D340" s="97"/>
      <c r="E340" s="97"/>
      <c r="F340" s="97"/>
      <c r="G340" s="97"/>
      <c r="H340" s="59"/>
      <c r="I340" s="61"/>
      <c r="J340" s="61"/>
      <c r="K340" s="61"/>
      <c r="L340" s="62"/>
      <c r="M340" s="62"/>
      <c r="N340" s="63"/>
      <c r="O340" s="63"/>
      <c r="P340" s="63"/>
      <c r="Q340" s="63"/>
      <c r="R340" s="63"/>
      <c r="S340" s="63"/>
      <c r="T340" s="63"/>
      <c r="U340" s="63"/>
      <c r="V340" s="63"/>
      <c r="W340" s="63"/>
      <c r="X340" s="63"/>
      <c r="Y340" s="63"/>
      <c r="Z340" s="62"/>
    </row>
    <row r="341" ht="14.25" customHeight="1">
      <c r="A341" s="59"/>
      <c r="B341" s="97"/>
      <c r="C341" s="97"/>
      <c r="D341" s="97"/>
      <c r="E341" s="97"/>
      <c r="F341" s="97"/>
      <c r="G341" s="97"/>
      <c r="H341" s="59"/>
      <c r="I341" s="61"/>
      <c r="J341" s="61"/>
      <c r="K341" s="61"/>
      <c r="L341" s="62"/>
      <c r="M341" s="62"/>
      <c r="N341" s="63"/>
      <c r="O341" s="63"/>
      <c r="P341" s="63"/>
      <c r="Q341" s="63"/>
      <c r="R341" s="63"/>
      <c r="S341" s="63"/>
      <c r="T341" s="63"/>
      <c r="U341" s="63"/>
      <c r="V341" s="63"/>
      <c r="W341" s="63"/>
      <c r="X341" s="63"/>
      <c r="Y341" s="63"/>
      <c r="Z341" s="62"/>
    </row>
    <row r="342" ht="14.25" customHeight="1">
      <c r="A342" s="59"/>
      <c r="B342" s="97"/>
      <c r="C342" s="97"/>
      <c r="D342" s="97"/>
      <c r="E342" s="97"/>
      <c r="F342" s="97"/>
      <c r="G342" s="97"/>
      <c r="H342" s="59"/>
      <c r="I342" s="61"/>
      <c r="J342" s="61"/>
      <c r="K342" s="61"/>
      <c r="L342" s="62"/>
      <c r="M342" s="62"/>
      <c r="N342" s="63"/>
      <c r="O342" s="63"/>
      <c r="P342" s="63"/>
      <c r="Q342" s="63"/>
      <c r="R342" s="63"/>
      <c r="S342" s="63"/>
      <c r="T342" s="63"/>
      <c r="U342" s="63"/>
      <c r="V342" s="63"/>
      <c r="W342" s="63"/>
      <c r="X342" s="63"/>
      <c r="Y342" s="63"/>
      <c r="Z342" s="62"/>
    </row>
    <row r="343" ht="14.25" customHeight="1">
      <c r="A343" s="59"/>
      <c r="B343" s="97"/>
      <c r="C343" s="97"/>
      <c r="D343" s="97"/>
      <c r="E343" s="97"/>
      <c r="F343" s="97"/>
      <c r="G343" s="97"/>
      <c r="H343" s="59"/>
      <c r="I343" s="61"/>
      <c r="J343" s="61"/>
      <c r="K343" s="61"/>
      <c r="L343" s="62"/>
      <c r="M343" s="62"/>
      <c r="N343" s="63"/>
      <c r="O343" s="63"/>
      <c r="P343" s="63"/>
      <c r="Q343" s="63"/>
      <c r="R343" s="63"/>
      <c r="S343" s="63"/>
      <c r="T343" s="63"/>
      <c r="U343" s="63"/>
      <c r="V343" s="63"/>
      <c r="W343" s="63"/>
      <c r="X343" s="63"/>
      <c r="Y343" s="63"/>
      <c r="Z343" s="62"/>
    </row>
    <row r="344" ht="14.25" customHeight="1">
      <c r="A344" s="59"/>
      <c r="B344" s="97"/>
      <c r="C344" s="97"/>
      <c r="D344" s="97"/>
      <c r="E344" s="97"/>
      <c r="F344" s="97"/>
      <c r="G344" s="97"/>
      <c r="H344" s="59"/>
      <c r="I344" s="61"/>
      <c r="J344" s="61"/>
      <c r="K344" s="61"/>
      <c r="L344" s="62"/>
      <c r="M344" s="62"/>
      <c r="N344" s="63"/>
      <c r="O344" s="63"/>
      <c r="P344" s="63"/>
      <c r="Q344" s="63"/>
      <c r="R344" s="63"/>
      <c r="S344" s="63"/>
      <c r="T344" s="63"/>
      <c r="U344" s="63"/>
      <c r="V344" s="63"/>
      <c r="W344" s="63"/>
      <c r="X344" s="63"/>
      <c r="Y344" s="63"/>
      <c r="Z344" s="62"/>
    </row>
    <row r="345" ht="14.25" customHeight="1">
      <c r="A345" s="59"/>
      <c r="B345" s="97"/>
      <c r="C345" s="97"/>
      <c r="D345" s="97"/>
      <c r="E345" s="97"/>
      <c r="F345" s="97"/>
      <c r="G345" s="97"/>
      <c r="H345" s="59"/>
      <c r="I345" s="61"/>
      <c r="J345" s="61"/>
      <c r="K345" s="61"/>
      <c r="L345" s="62"/>
      <c r="M345" s="62"/>
      <c r="N345" s="63"/>
      <c r="O345" s="63"/>
      <c r="P345" s="63"/>
      <c r="Q345" s="63"/>
      <c r="R345" s="63"/>
      <c r="S345" s="63"/>
      <c r="T345" s="63"/>
      <c r="U345" s="63"/>
      <c r="V345" s="63"/>
      <c r="W345" s="63"/>
      <c r="X345" s="63"/>
      <c r="Y345" s="63"/>
      <c r="Z345" s="62"/>
    </row>
    <row r="346" ht="14.25" customHeight="1">
      <c r="A346" s="59"/>
      <c r="B346" s="97"/>
      <c r="C346" s="97"/>
      <c r="D346" s="97"/>
      <c r="E346" s="97"/>
      <c r="F346" s="97"/>
      <c r="G346" s="97"/>
      <c r="H346" s="59"/>
      <c r="I346" s="61"/>
      <c r="J346" s="61"/>
      <c r="K346" s="61"/>
      <c r="L346" s="62"/>
      <c r="M346" s="62"/>
      <c r="N346" s="63"/>
      <c r="O346" s="63"/>
      <c r="P346" s="63"/>
      <c r="Q346" s="63"/>
      <c r="R346" s="63"/>
      <c r="S346" s="63"/>
      <c r="T346" s="63"/>
      <c r="U346" s="63"/>
      <c r="V346" s="63"/>
      <c r="W346" s="63"/>
      <c r="X346" s="63"/>
      <c r="Y346" s="63"/>
      <c r="Z346" s="62"/>
    </row>
    <row r="347" ht="14.25" customHeight="1">
      <c r="A347" s="59"/>
      <c r="B347" s="97"/>
      <c r="C347" s="97"/>
      <c r="D347" s="97"/>
      <c r="E347" s="97"/>
      <c r="F347" s="97"/>
      <c r="G347" s="97"/>
      <c r="H347" s="59"/>
      <c r="I347" s="61"/>
      <c r="J347" s="61"/>
      <c r="K347" s="61"/>
      <c r="L347" s="62"/>
      <c r="M347" s="62"/>
      <c r="N347" s="63"/>
      <c r="O347" s="63"/>
      <c r="P347" s="63"/>
      <c r="Q347" s="63"/>
      <c r="R347" s="63"/>
      <c r="S347" s="63"/>
      <c r="T347" s="63"/>
      <c r="U347" s="63"/>
      <c r="V347" s="63"/>
      <c r="W347" s="63"/>
      <c r="X347" s="63"/>
      <c r="Y347" s="63"/>
      <c r="Z347" s="62"/>
    </row>
    <row r="348" ht="14.25" customHeight="1">
      <c r="A348" s="59"/>
      <c r="B348" s="97"/>
      <c r="C348" s="97"/>
      <c r="D348" s="97"/>
      <c r="E348" s="97"/>
      <c r="F348" s="97"/>
      <c r="G348" s="97"/>
      <c r="H348" s="59"/>
      <c r="I348" s="61"/>
      <c r="J348" s="61"/>
      <c r="K348" s="61"/>
      <c r="L348" s="62"/>
      <c r="M348" s="62"/>
      <c r="N348" s="63"/>
      <c r="O348" s="63"/>
      <c r="P348" s="63"/>
      <c r="Q348" s="63"/>
      <c r="R348" s="63"/>
      <c r="S348" s="63"/>
      <c r="T348" s="63"/>
      <c r="U348" s="63"/>
      <c r="V348" s="63"/>
      <c r="W348" s="63"/>
      <c r="X348" s="63"/>
      <c r="Y348" s="63"/>
      <c r="Z348" s="62"/>
    </row>
    <row r="349" ht="14.25" customHeight="1">
      <c r="A349" s="59"/>
      <c r="B349" s="97"/>
      <c r="C349" s="97"/>
      <c r="D349" s="97"/>
      <c r="E349" s="97"/>
      <c r="F349" s="97"/>
      <c r="G349" s="97"/>
      <c r="H349" s="59"/>
      <c r="I349" s="61"/>
      <c r="J349" s="61"/>
      <c r="K349" s="61"/>
      <c r="L349" s="62"/>
      <c r="M349" s="62"/>
      <c r="N349" s="63"/>
      <c r="O349" s="63"/>
      <c r="P349" s="63"/>
      <c r="Q349" s="63"/>
      <c r="R349" s="63"/>
      <c r="S349" s="63"/>
      <c r="T349" s="63"/>
      <c r="U349" s="63"/>
      <c r="V349" s="63"/>
      <c r="W349" s="63"/>
      <c r="X349" s="63"/>
      <c r="Y349" s="63"/>
      <c r="Z349" s="62"/>
    </row>
    <row r="350" ht="14.25" customHeight="1">
      <c r="A350" s="59"/>
      <c r="B350" s="97"/>
      <c r="C350" s="97"/>
      <c r="D350" s="97"/>
      <c r="E350" s="97"/>
      <c r="F350" s="97"/>
      <c r="G350" s="97"/>
      <c r="H350" s="59"/>
      <c r="I350" s="61"/>
      <c r="J350" s="61"/>
      <c r="K350" s="61"/>
      <c r="L350" s="62"/>
      <c r="M350" s="62"/>
      <c r="N350" s="63"/>
      <c r="O350" s="63"/>
      <c r="P350" s="63"/>
      <c r="Q350" s="63"/>
      <c r="R350" s="63"/>
      <c r="S350" s="63"/>
      <c r="T350" s="63"/>
      <c r="U350" s="63"/>
      <c r="V350" s="63"/>
      <c r="W350" s="63"/>
      <c r="X350" s="63"/>
      <c r="Y350" s="63"/>
      <c r="Z350" s="62"/>
    </row>
    <row r="351" ht="14.25" customHeight="1">
      <c r="A351" s="59"/>
      <c r="B351" s="97"/>
      <c r="C351" s="97"/>
      <c r="D351" s="97"/>
      <c r="E351" s="97"/>
      <c r="F351" s="97"/>
      <c r="G351" s="97"/>
      <c r="H351" s="59"/>
      <c r="I351" s="61"/>
      <c r="J351" s="61"/>
      <c r="K351" s="61"/>
      <c r="L351" s="62"/>
      <c r="M351" s="62"/>
      <c r="N351" s="63"/>
      <c r="O351" s="63"/>
      <c r="P351" s="63"/>
      <c r="Q351" s="63"/>
      <c r="R351" s="63"/>
      <c r="S351" s="63"/>
      <c r="T351" s="63"/>
      <c r="U351" s="63"/>
      <c r="V351" s="63"/>
      <c r="W351" s="63"/>
      <c r="X351" s="63"/>
      <c r="Y351" s="63"/>
      <c r="Z351" s="62"/>
    </row>
    <row r="352" ht="14.25" customHeight="1">
      <c r="A352" s="59"/>
      <c r="B352" s="97"/>
      <c r="C352" s="97"/>
      <c r="D352" s="97"/>
      <c r="E352" s="97"/>
      <c r="F352" s="97"/>
      <c r="G352" s="97"/>
      <c r="H352" s="59"/>
      <c r="I352" s="61"/>
      <c r="J352" s="61"/>
      <c r="K352" s="61"/>
      <c r="L352" s="62"/>
      <c r="M352" s="62"/>
      <c r="N352" s="63"/>
      <c r="O352" s="63"/>
      <c r="P352" s="63"/>
      <c r="Q352" s="63"/>
      <c r="R352" s="63"/>
      <c r="S352" s="63"/>
      <c r="T352" s="63"/>
      <c r="U352" s="63"/>
      <c r="V352" s="63"/>
      <c r="W352" s="63"/>
      <c r="X352" s="63"/>
      <c r="Y352" s="63"/>
      <c r="Z352" s="62"/>
    </row>
    <row r="353" ht="14.25" customHeight="1">
      <c r="A353" s="59"/>
      <c r="B353" s="97"/>
      <c r="C353" s="97"/>
      <c r="D353" s="97"/>
      <c r="E353" s="97"/>
      <c r="F353" s="97"/>
      <c r="G353" s="97"/>
      <c r="H353" s="59"/>
      <c r="I353" s="61"/>
      <c r="J353" s="61"/>
      <c r="K353" s="61"/>
      <c r="L353" s="62"/>
      <c r="M353" s="62"/>
      <c r="N353" s="63"/>
      <c r="O353" s="63"/>
      <c r="P353" s="63"/>
      <c r="Q353" s="63"/>
      <c r="R353" s="63"/>
      <c r="S353" s="63"/>
      <c r="T353" s="63"/>
      <c r="U353" s="63"/>
      <c r="V353" s="63"/>
      <c r="W353" s="63"/>
      <c r="X353" s="63"/>
      <c r="Y353" s="63"/>
      <c r="Z353" s="62"/>
    </row>
    <row r="354" ht="14.25" customHeight="1">
      <c r="A354" s="59"/>
      <c r="B354" s="97"/>
      <c r="C354" s="97"/>
      <c r="D354" s="97"/>
      <c r="E354" s="97"/>
      <c r="F354" s="97"/>
      <c r="G354" s="97"/>
      <c r="H354" s="59"/>
      <c r="I354" s="61"/>
      <c r="J354" s="61"/>
      <c r="K354" s="61"/>
      <c r="L354" s="62"/>
      <c r="M354" s="62"/>
      <c r="N354" s="63"/>
      <c r="O354" s="63"/>
      <c r="P354" s="63"/>
      <c r="Q354" s="63"/>
      <c r="R354" s="63"/>
      <c r="S354" s="63"/>
      <c r="T354" s="63"/>
      <c r="U354" s="63"/>
      <c r="V354" s="63"/>
      <c r="W354" s="63"/>
      <c r="X354" s="63"/>
      <c r="Y354" s="63"/>
      <c r="Z354" s="62"/>
    </row>
    <row r="355" ht="14.25" customHeight="1">
      <c r="A355" s="59"/>
      <c r="B355" s="97"/>
      <c r="C355" s="97"/>
      <c r="D355" s="97"/>
      <c r="E355" s="97"/>
      <c r="F355" s="97"/>
      <c r="G355" s="97"/>
      <c r="H355" s="59"/>
      <c r="I355" s="61"/>
      <c r="J355" s="61"/>
      <c r="K355" s="61"/>
      <c r="L355" s="62"/>
      <c r="M355" s="62"/>
      <c r="N355" s="63"/>
      <c r="O355" s="63"/>
      <c r="P355" s="63"/>
      <c r="Q355" s="63"/>
      <c r="R355" s="63"/>
      <c r="S355" s="63"/>
      <c r="T355" s="63"/>
      <c r="U355" s="63"/>
      <c r="V355" s="63"/>
      <c r="W355" s="63"/>
      <c r="X355" s="63"/>
      <c r="Y355" s="63"/>
      <c r="Z355" s="62"/>
    </row>
    <row r="356" ht="14.25" customHeight="1">
      <c r="A356" s="59"/>
      <c r="B356" s="97"/>
      <c r="C356" s="97"/>
      <c r="D356" s="97"/>
      <c r="E356" s="97"/>
      <c r="F356" s="97"/>
      <c r="G356" s="97"/>
      <c r="H356" s="59"/>
      <c r="I356" s="61"/>
      <c r="J356" s="61"/>
      <c r="K356" s="61"/>
      <c r="L356" s="62"/>
      <c r="M356" s="62"/>
      <c r="N356" s="63"/>
      <c r="O356" s="63"/>
      <c r="P356" s="63"/>
      <c r="Q356" s="63"/>
      <c r="R356" s="63"/>
      <c r="S356" s="63"/>
      <c r="T356" s="63"/>
      <c r="U356" s="63"/>
      <c r="V356" s="63"/>
      <c r="W356" s="63"/>
      <c r="X356" s="63"/>
      <c r="Y356" s="63"/>
      <c r="Z356" s="62"/>
    </row>
    <row r="357" ht="14.25" customHeight="1">
      <c r="A357" s="59"/>
      <c r="B357" s="97"/>
      <c r="C357" s="97"/>
      <c r="D357" s="97"/>
      <c r="E357" s="97"/>
      <c r="F357" s="97"/>
      <c r="G357" s="97"/>
      <c r="H357" s="59"/>
      <c r="I357" s="61"/>
      <c r="J357" s="61"/>
      <c r="K357" s="61"/>
      <c r="L357" s="62"/>
      <c r="M357" s="62"/>
      <c r="N357" s="63"/>
      <c r="O357" s="63"/>
      <c r="P357" s="63"/>
      <c r="Q357" s="63"/>
      <c r="R357" s="63"/>
      <c r="S357" s="63"/>
      <c r="T357" s="63"/>
      <c r="U357" s="63"/>
      <c r="V357" s="63"/>
      <c r="W357" s="63"/>
      <c r="X357" s="63"/>
      <c r="Y357" s="63"/>
      <c r="Z357" s="62"/>
    </row>
    <row r="358" ht="14.25" customHeight="1">
      <c r="A358" s="59"/>
      <c r="B358" s="97"/>
      <c r="C358" s="97"/>
      <c r="D358" s="97"/>
      <c r="E358" s="97"/>
      <c r="F358" s="97"/>
      <c r="G358" s="97"/>
      <c r="H358" s="59"/>
      <c r="I358" s="61"/>
      <c r="J358" s="61"/>
      <c r="K358" s="61"/>
      <c r="L358" s="62"/>
      <c r="M358" s="62"/>
      <c r="N358" s="63"/>
      <c r="O358" s="63"/>
      <c r="P358" s="63"/>
      <c r="Q358" s="63"/>
      <c r="R358" s="63"/>
      <c r="S358" s="63"/>
      <c r="T358" s="63"/>
      <c r="U358" s="63"/>
      <c r="V358" s="63"/>
      <c r="W358" s="63"/>
      <c r="X358" s="63"/>
      <c r="Y358" s="63"/>
      <c r="Z358" s="62"/>
    </row>
    <row r="359" ht="14.25" customHeight="1">
      <c r="A359" s="59"/>
      <c r="B359" s="97"/>
      <c r="C359" s="97"/>
      <c r="D359" s="97"/>
      <c r="E359" s="97"/>
      <c r="F359" s="97"/>
      <c r="G359" s="97"/>
      <c r="H359" s="59"/>
      <c r="I359" s="61"/>
      <c r="J359" s="61"/>
      <c r="K359" s="61"/>
      <c r="L359" s="62"/>
      <c r="M359" s="62"/>
      <c r="N359" s="63"/>
      <c r="O359" s="63"/>
      <c r="P359" s="63"/>
      <c r="Q359" s="63"/>
      <c r="R359" s="63"/>
      <c r="S359" s="63"/>
      <c r="T359" s="63"/>
      <c r="U359" s="63"/>
      <c r="V359" s="63"/>
      <c r="W359" s="63"/>
      <c r="X359" s="63"/>
      <c r="Y359" s="63"/>
      <c r="Z359" s="62"/>
    </row>
    <row r="360" ht="14.25" customHeight="1">
      <c r="A360" s="59"/>
      <c r="B360" s="97"/>
      <c r="C360" s="97"/>
      <c r="D360" s="97"/>
      <c r="E360" s="97"/>
      <c r="F360" s="97"/>
      <c r="G360" s="97"/>
      <c r="H360" s="59"/>
      <c r="I360" s="61"/>
      <c r="J360" s="61"/>
      <c r="K360" s="61"/>
      <c r="L360" s="62"/>
      <c r="M360" s="62"/>
      <c r="N360" s="63"/>
      <c r="O360" s="63"/>
      <c r="P360" s="63"/>
      <c r="Q360" s="63"/>
      <c r="R360" s="63"/>
      <c r="S360" s="63"/>
      <c r="T360" s="63"/>
      <c r="U360" s="63"/>
      <c r="V360" s="63"/>
      <c r="W360" s="63"/>
      <c r="X360" s="63"/>
      <c r="Y360" s="63"/>
      <c r="Z360" s="62"/>
    </row>
    <row r="361" ht="14.25" customHeight="1">
      <c r="A361" s="59"/>
      <c r="B361" s="97"/>
      <c r="C361" s="97"/>
      <c r="D361" s="97"/>
      <c r="E361" s="97"/>
      <c r="F361" s="97"/>
      <c r="G361" s="97"/>
      <c r="H361" s="59"/>
      <c r="I361" s="61"/>
      <c r="J361" s="61"/>
      <c r="K361" s="61"/>
      <c r="L361" s="62"/>
      <c r="M361" s="62"/>
      <c r="N361" s="63"/>
      <c r="O361" s="63"/>
      <c r="P361" s="63"/>
      <c r="Q361" s="63"/>
      <c r="R361" s="63"/>
      <c r="S361" s="63"/>
      <c r="T361" s="63"/>
      <c r="U361" s="63"/>
      <c r="V361" s="63"/>
      <c r="W361" s="63"/>
      <c r="X361" s="63"/>
      <c r="Y361" s="63"/>
      <c r="Z361" s="62"/>
    </row>
    <row r="362" ht="14.25" customHeight="1">
      <c r="A362" s="59"/>
      <c r="B362" s="97"/>
      <c r="C362" s="97"/>
      <c r="D362" s="97"/>
      <c r="E362" s="97"/>
      <c r="F362" s="97"/>
      <c r="G362" s="97"/>
      <c r="H362" s="59"/>
      <c r="I362" s="61"/>
      <c r="J362" s="61"/>
      <c r="K362" s="61"/>
      <c r="L362" s="62"/>
      <c r="M362" s="62"/>
      <c r="N362" s="63"/>
      <c r="O362" s="63"/>
      <c r="P362" s="63"/>
      <c r="Q362" s="63"/>
      <c r="R362" s="63"/>
      <c r="S362" s="63"/>
      <c r="T362" s="63"/>
      <c r="U362" s="63"/>
      <c r="V362" s="63"/>
      <c r="W362" s="63"/>
      <c r="X362" s="63"/>
      <c r="Y362" s="63"/>
      <c r="Z362" s="62"/>
    </row>
    <row r="363" ht="14.25" customHeight="1">
      <c r="A363" s="59"/>
      <c r="B363" s="97"/>
      <c r="C363" s="97"/>
      <c r="D363" s="97"/>
      <c r="E363" s="97"/>
      <c r="F363" s="97"/>
      <c r="G363" s="97"/>
      <c r="H363" s="59"/>
      <c r="I363" s="61"/>
      <c r="J363" s="61"/>
      <c r="K363" s="61"/>
      <c r="L363" s="62"/>
      <c r="M363" s="62"/>
      <c r="N363" s="63"/>
      <c r="O363" s="63"/>
      <c r="P363" s="63"/>
      <c r="Q363" s="63"/>
      <c r="R363" s="63"/>
      <c r="S363" s="63"/>
      <c r="T363" s="63"/>
      <c r="U363" s="63"/>
      <c r="V363" s="63"/>
      <c r="W363" s="63"/>
      <c r="X363" s="63"/>
      <c r="Y363" s="63"/>
      <c r="Z363" s="62"/>
    </row>
    <row r="364" ht="14.25" customHeight="1">
      <c r="A364" s="59"/>
      <c r="B364" s="97"/>
      <c r="C364" s="97"/>
      <c r="D364" s="97"/>
      <c r="E364" s="97"/>
      <c r="F364" s="97"/>
      <c r="G364" s="97"/>
      <c r="H364" s="59"/>
      <c r="I364" s="61"/>
      <c r="J364" s="61"/>
      <c r="K364" s="61"/>
      <c r="L364" s="62"/>
      <c r="M364" s="62"/>
      <c r="N364" s="63"/>
      <c r="O364" s="63"/>
      <c r="P364" s="63"/>
      <c r="Q364" s="63"/>
      <c r="R364" s="63"/>
      <c r="S364" s="63"/>
      <c r="T364" s="63"/>
      <c r="U364" s="63"/>
      <c r="V364" s="63"/>
      <c r="W364" s="63"/>
      <c r="X364" s="63"/>
      <c r="Y364" s="63"/>
      <c r="Z364" s="62"/>
    </row>
    <row r="365" ht="14.25" customHeight="1">
      <c r="A365" s="59"/>
      <c r="B365" s="97"/>
      <c r="C365" s="97"/>
      <c r="D365" s="97"/>
      <c r="E365" s="97"/>
      <c r="F365" s="97"/>
      <c r="G365" s="97"/>
      <c r="H365" s="59"/>
      <c r="I365" s="61"/>
      <c r="J365" s="61"/>
      <c r="K365" s="61"/>
      <c r="L365" s="62"/>
      <c r="M365" s="62"/>
      <c r="N365" s="63"/>
      <c r="O365" s="63"/>
      <c r="P365" s="63"/>
      <c r="Q365" s="63"/>
      <c r="R365" s="63"/>
      <c r="S365" s="63"/>
      <c r="T365" s="63"/>
      <c r="U365" s="63"/>
      <c r="V365" s="63"/>
      <c r="W365" s="63"/>
      <c r="X365" s="63"/>
      <c r="Y365" s="63"/>
      <c r="Z365" s="62"/>
    </row>
    <row r="366" ht="14.25" customHeight="1">
      <c r="A366" s="59"/>
      <c r="B366" s="97"/>
      <c r="C366" s="97"/>
      <c r="D366" s="97"/>
      <c r="E366" s="97"/>
      <c r="F366" s="97"/>
      <c r="G366" s="97"/>
      <c r="H366" s="59"/>
      <c r="I366" s="61"/>
      <c r="J366" s="61"/>
      <c r="K366" s="61"/>
      <c r="L366" s="62"/>
      <c r="M366" s="62"/>
      <c r="N366" s="63"/>
      <c r="O366" s="63"/>
      <c r="P366" s="63"/>
      <c r="Q366" s="63"/>
      <c r="R366" s="63"/>
      <c r="S366" s="63"/>
      <c r="T366" s="63"/>
      <c r="U366" s="63"/>
      <c r="V366" s="63"/>
      <c r="W366" s="63"/>
      <c r="X366" s="63"/>
      <c r="Y366" s="63"/>
      <c r="Z366" s="62"/>
    </row>
    <row r="367" ht="14.25" customHeight="1">
      <c r="A367" s="59"/>
      <c r="B367" s="97"/>
      <c r="C367" s="97"/>
      <c r="D367" s="97"/>
      <c r="E367" s="97"/>
      <c r="F367" s="97"/>
      <c r="G367" s="97"/>
      <c r="H367" s="59"/>
      <c r="I367" s="61"/>
      <c r="J367" s="61"/>
      <c r="K367" s="61"/>
      <c r="L367" s="62"/>
      <c r="M367" s="62"/>
      <c r="N367" s="63"/>
      <c r="O367" s="63"/>
      <c r="P367" s="63"/>
      <c r="Q367" s="63"/>
      <c r="R367" s="63"/>
      <c r="S367" s="63"/>
      <c r="T367" s="63"/>
      <c r="U367" s="63"/>
      <c r="V367" s="63"/>
      <c r="W367" s="63"/>
      <c r="X367" s="63"/>
      <c r="Y367" s="63"/>
      <c r="Z367" s="62"/>
    </row>
    <row r="368" ht="14.25" customHeight="1">
      <c r="A368" s="59"/>
      <c r="B368" s="97"/>
      <c r="C368" s="97"/>
      <c r="D368" s="97"/>
      <c r="E368" s="97"/>
      <c r="F368" s="97"/>
      <c r="G368" s="97"/>
      <c r="H368" s="59"/>
      <c r="I368" s="61"/>
      <c r="J368" s="61"/>
      <c r="K368" s="61"/>
      <c r="L368" s="62"/>
      <c r="M368" s="62"/>
      <c r="N368" s="63"/>
      <c r="O368" s="63"/>
      <c r="P368" s="63"/>
      <c r="Q368" s="63"/>
      <c r="R368" s="63"/>
      <c r="S368" s="63"/>
      <c r="T368" s="63"/>
      <c r="U368" s="63"/>
      <c r="V368" s="63"/>
      <c r="W368" s="63"/>
      <c r="X368" s="63"/>
      <c r="Y368" s="63"/>
      <c r="Z368" s="62"/>
    </row>
    <row r="369" ht="14.25" customHeight="1">
      <c r="A369" s="59"/>
      <c r="B369" s="97"/>
      <c r="C369" s="97"/>
      <c r="D369" s="97"/>
      <c r="E369" s="97"/>
      <c r="F369" s="97"/>
      <c r="G369" s="97"/>
      <c r="H369" s="59"/>
      <c r="I369" s="61"/>
      <c r="J369" s="61"/>
      <c r="K369" s="61"/>
      <c r="L369" s="62"/>
      <c r="M369" s="62"/>
      <c r="N369" s="63"/>
      <c r="O369" s="63"/>
      <c r="P369" s="63"/>
      <c r="Q369" s="63"/>
      <c r="R369" s="63"/>
      <c r="S369" s="63"/>
      <c r="T369" s="63"/>
      <c r="U369" s="63"/>
      <c r="V369" s="63"/>
      <c r="W369" s="63"/>
      <c r="X369" s="63"/>
      <c r="Y369" s="63"/>
      <c r="Z369" s="62"/>
    </row>
    <row r="370" ht="14.25" customHeight="1">
      <c r="A370" s="59"/>
      <c r="B370" s="97"/>
      <c r="C370" s="97"/>
      <c r="D370" s="97"/>
      <c r="E370" s="97"/>
      <c r="F370" s="97"/>
      <c r="G370" s="97"/>
      <c r="H370" s="59"/>
      <c r="I370" s="61"/>
      <c r="J370" s="61"/>
      <c r="K370" s="61"/>
      <c r="L370" s="62"/>
      <c r="M370" s="62"/>
      <c r="N370" s="63"/>
      <c r="O370" s="63"/>
      <c r="P370" s="63"/>
      <c r="Q370" s="63"/>
      <c r="R370" s="63"/>
      <c r="S370" s="63"/>
      <c r="T370" s="63"/>
      <c r="U370" s="63"/>
      <c r="V370" s="63"/>
      <c r="W370" s="63"/>
      <c r="X370" s="63"/>
      <c r="Y370" s="63"/>
      <c r="Z370" s="62"/>
    </row>
    <row r="371" ht="14.25" customHeight="1">
      <c r="A371" s="59"/>
      <c r="B371" s="97"/>
      <c r="C371" s="97"/>
      <c r="D371" s="97"/>
      <c r="E371" s="97"/>
      <c r="F371" s="97"/>
      <c r="G371" s="97"/>
      <c r="H371" s="59"/>
      <c r="I371" s="61"/>
      <c r="J371" s="61"/>
      <c r="K371" s="61"/>
      <c r="L371" s="62"/>
      <c r="M371" s="62"/>
      <c r="N371" s="63"/>
      <c r="O371" s="63"/>
      <c r="P371" s="63"/>
      <c r="Q371" s="63"/>
      <c r="R371" s="63"/>
      <c r="S371" s="63"/>
      <c r="T371" s="63"/>
      <c r="U371" s="63"/>
      <c r="V371" s="63"/>
      <c r="W371" s="63"/>
      <c r="X371" s="63"/>
      <c r="Y371" s="63"/>
      <c r="Z371" s="62"/>
    </row>
    <row r="372" ht="14.25" customHeight="1">
      <c r="A372" s="59"/>
      <c r="B372" s="97"/>
      <c r="C372" s="97"/>
      <c r="D372" s="97"/>
      <c r="E372" s="97"/>
      <c r="F372" s="97"/>
      <c r="G372" s="97"/>
      <c r="H372" s="59"/>
      <c r="I372" s="61"/>
      <c r="J372" s="61"/>
      <c r="K372" s="61"/>
      <c r="L372" s="62"/>
      <c r="M372" s="62"/>
      <c r="N372" s="63"/>
      <c r="O372" s="63"/>
      <c r="P372" s="63"/>
      <c r="Q372" s="63"/>
      <c r="R372" s="63"/>
      <c r="S372" s="63"/>
      <c r="T372" s="63"/>
      <c r="U372" s="63"/>
      <c r="V372" s="63"/>
      <c r="W372" s="63"/>
      <c r="X372" s="63"/>
      <c r="Y372" s="63"/>
      <c r="Z372" s="62"/>
    </row>
    <row r="373" ht="14.25" customHeight="1">
      <c r="A373" s="59"/>
      <c r="B373" s="97"/>
      <c r="C373" s="97"/>
      <c r="D373" s="97"/>
      <c r="E373" s="97"/>
      <c r="F373" s="97"/>
      <c r="G373" s="97"/>
      <c r="H373" s="59"/>
      <c r="I373" s="61"/>
      <c r="J373" s="61"/>
      <c r="K373" s="61"/>
      <c r="L373" s="62"/>
      <c r="M373" s="62"/>
      <c r="N373" s="63"/>
      <c r="O373" s="63"/>
      <c r="P373" s="63"/>
      <c r="Q373" s="63"/>
      <c r="R373" s="63"/>
      <c r="S373" s="63"/>
      <c r="T373" s="63"/>
      <c r="U373" s="63"/>
      <c r="V373" s="63"/>
      <c r="W373" s="63"/>
      <c r="X373" s="63"/>
      <c r="Y373" s="63"/>
      <c r="Z373" s="62"/>
    </row>
    <row r="374" ht="14.25" customHeight="1">
      <c r="A374" s="59"/>
      <c r="B374" s="97"/>
      <c r="C374" s="97"/>
      <c r="D374" s="97"/>
      <c r="E374" s="97"/>
      <c r="F374" s="97"/>
      <c r="G374" s="97"/>
      <c r="H374" s="59"/>
      <c r="I374" s="61"/>
      <c r="J374" s="61"/>
      <c r="K374" s="61"/>
      <c r="L374" s="62"/>
      <c r="M374" s="62"/>
      <c r="N374" s="63"/>
      <c r="O374" s="63"/>
      <c r="P374" s="63"/>
      <c r="Q374" s="63"/>
      <c r="R374" s="63"/>
      <c r="S374" s="63"/>
      <c r="T374" s="63"/>
      <c r="U374" s="63"/>
      <c r="V374" s="63"/>
      <c r="W374" s="63"/>
      <c r="X374" s="63"/>
      <c r="Y374" s="63"/>
      <c r="Z374" s="62"/>
    </row>
    <row r="375" ht="14.25" customHeight="1">
      <c r="A375" s="59"/>
      <c r="B375" s="97"/>
      <c r="C375" s="97"/>
      <c r="D375" s="97"/>
      <c r="E375" s="97"/>
      <c r="F375" s="97"/>
      <c r="G375" s="97"/>
      <c r="H375" s="59"/>
      <c r="I375" s="61"/>
      <c r="J375" s="61"/>
      <c r="K375" s="61"/>
      <c r="L375" s="62"/>
      <c r="M375" s="62"/>
      <c r="N375" s="63"/>
      <c r="O375" s="63"/>
      <c r="P375" s="63"/>
      <c r="Q375" s="63"/>
      <c r="R375" s="63"/>
      <c r="S375" s="63"/>
      <c r="T375" s="63"/>
      <c r="U375" s="63"/>
      <c r="V375" s="63"/>
      <c r="W375" s="63"/>
      <c r="X375" s="63"/>
      <c r="Y375" s="63"/>
      <c r="Z375" s="62"/>
    </row>
    <row r="376" ht="14.25" customHeight="1">
      <c r="A376" s="59"/>
      <c r="B376" s="97"/>
      <c r="C376" s="97"/>
      <c r="D376" s="97"/>
      <c r="E376" s="97"/>
      <c r="F376" s="97"/>
      <c r="G376" s="97"/>
      <c r="H376" s="59"/>
      <c r="I376" s="61"/>
      <c r="J376" s="61"/>
      <c r="K376" s="61"/>
      <c r="L376" s="62"/>
      <c r="M376" s="62"/>
      <c r="N376" s="63"/>
      <c r="O376" s="63"/>
      <c r="P376" s="63"/>
      <c r="Q376" s="63"/>
      <c r="R376" s="63"/>
      <c r="S376" s="63"/>
      <c r="T376" s="63"/>
      <c r="U376" s="63"/>
      <c r="V376" s="63"/>
      <c r="W376" s="63"/>
      <c r="X376" s="63"/>
      <c r="Y376" s="63"/>
      <c r="Z376" s="62"/>
    </row>
    <row r="377" ht="14.25" customHeight="1">
      <c r="A377" s="59"/>
      <c r="B377" s="97"/>
      <c r="C377" s="97"/>
      <c r="D377" s="97"/>
      <c r="E377" s="97"/>
      <c r="F377" s="97"/>
      <c r="G377" s="97"/>
      <c r="H377" s="59"/>
      <c r="I377" s="61"/>
      <c r="J377" s="61"/>
      <c r="K377" s="61"/>
      <c r="L377" s="62"/>
      <c r="M377" s="62"/>
      <c r="N377" s="63"/>
      <c r="O377" s="63"/>
      <c r="P377" s="63"/>
      <c r="Q377" s="63"/>
      <c r="R377" s="63"/>
      <c r="S377" s="63"/>
      <c r="T377" s="63"/>
      <c r="U377" s="63"/>
      <c r="V377" s="63"/>
      <c r="W377" s="63"/>
      <c r="X377" s="63"/>
      <c r="Y377" s="63"/>
      <c r="Z377" s="62"/>
    </row>
    <row r="378" ht="14.25" customHeight="1">
      <c r="A378" s="59"/>
      <c r="B378" s="97"/>
      <c r="C378" s="97"/>
      <c r="D378" s="97"/>
      <c r="E378" s="97"/>
      <c r="F378" s="97"/>
      <c r="G378" s="97"/>
      <c r="H378" s="59"/>
      <c r="I378" s="61"/>
      <c r="J378" s="61"/>
      <c r="K378" s="61"/>
      <c r="L378" s="62"/>
      <c r="M378" s="62"/>
      <c r="N378" s="63"/>
      <c r="O378" s="63"/>
      <c r="P378" s="63"/>
      <c r="Q378" s="63"/>
      <c r="R378" s="63"/>
      <c r="S378" s="63"/>
      <c r="T378" s="63"/>
      <c r="U378" s="63"/>
      <c r="V378" s="63"/>
      <c r="W378" s="63"/>
      <c r="X378" s="63"/>
      <c r="Y378" s="63"/>
      <c r="Z378" s="62"/>
    </row>
    <row r="379" ht="14.25" customHeight="1">
      <c r="A379" s="59"/>
      <c r="B379" s="97"/>
      <c r="C379" s="97"/>
      <c r="D379" s="97"/>
      <c r="E379" s="97"/>
      <c r="F379" s="97"/>
      <c r="G379" s="97"/>
      <c r="H379" s="59"/>
      <c r="I379" s="61"/>
      <c r="J379" s="61"/>
      <c r="K379" s="61"/>
      <c r="L379" s="62"/>
      <c r="M379" s="62"/>
      <c r="N379" s="63"/>
      <c r="O379" s="63"/>
      <c r="P379" s="63"/>
      <c r="Q379" s="63"/>
      <c r="R379" s="63"/>
      <c r="S379" s="63"/>
      <c r="T379" s="63"/>
      <c r="U379" s="63"/>
      <c r="V379" s="63"/>
      <c r="W379" s="63"/>
      <c r="X379" s="63"/>
      <c r="Y379" s="63"/>
      <c r="Z379" s="62"/>
    </row>
    <row r="380" ht="14.25" customHeight="1">
      <c r="A380" s="59"/>
      <c r="B380" s="97"/>
      <c r="C380" s="97"/>
      <c r="D380" s="97"/>
      <c r="E380" s="97"/>
      <c r="F380" s="97"/>
      <c r="G380" s="97"/>
      <c r="H380" s="59"/>
      <c r="I380" s="61"/>
      <c r="J380" s="61"/>
      <c r="K380" s="61"/>
      <c r="L380" s="62"/>
      <c r="M380" s="62"/>
      <c r="N380" s="63"/>
      <c r="O380" s="63"/>
      <c r="P380" s="63"/>
      <c r="Q380" s="63"/>
      <c r="R380" s="63"/>
      <c r="S380" s="63"/>
      <c r="T380" s="63"/>
      <c r="U380" s="63"/>
      <c r="V380" s="63"/>
      <c r="W380" s="63"/>
      <c r="X380" s="63"/>
      <c r="Y380" s="63"/>
      <c r="Z380" s="62"/>
    </row>
    <row r="381" ht="14.25" customHeight="1">
      <c r="A381" s="59"/>
      <c r="B381" s="97"/>
      <c r="C381" s="97"/>
      <c r="D381" s="97"/>
      <c r="E381" s="97"/>
      <c r="F381" s="97"/>
      <c r="G381" s="97"/>
      <c r="H381" s="59"/>
      <c r="I381" s="61"/>
      <c r="J381" s="61"/>
      <c r="K381" s="61"/>
      <c r="L381" s="62"/>
      <c r="M381" s="62"/>
      <c r="N381" s="63"/>
      <c r="O381" s="63"/>
      <c r="P381" s="63"/>
      <c r="Q381" s="63"/>
      <c r="R381" s="63"/>
      <c r="S381" s="63"/>
      <c r="T381" s="63"/>
      <c r="U381" s="63"/>
      <c r="V381" s="63"/>
      <c r="W381" s="63"/>
      <c r="X381" s="63"/>
      <c r="Y381" s="63"/>
      <c r="Z381" s="62"/>
    </row>
    <row r="382" ht="14.25" customHeight="1">
      <c r="A382" s="59"/>
      <c r="B382" s="97"/>
      <c r="C382" s="97"/>
      <c r="D382" s="97"/>
      <c r="E382" s="97"/>
      <c r="F382" s="97"/>
      <c r="G382" s="97"/>
      <c r="H382" s="59"/>
      <c r="I382" s="61"/>
      <c r="J382" s="61"/>
      <c r="K382" s="61"/>
      <c r="L382" s="62"/>
      <c r="M382" s="62"/>
      <c r="N382" s="63"/>
      <c r="O382" s="63"/>
      <c r="P382" s="63"/>
      <c r="Q382" s="63"/>
      <c r="R382" s="63"/>
      <c r="S382" s="63"/>
      <c r="T382" s="63"/>
      <c r="U382" s="63"/>
      <c r="V382" s="63"/>
      <c r="W382" s="63"/>
      <c r="X382" s="63"/>
      <c r="Y382" s="63"/>
      <c r="Z382" s="62"/>
    </row>
    <row r="383" ht="14.25" customHeight="1">
      <c r="A383" s="59"/>
      <c r="B383" s="97"/>
      <c r="C383" s="97"/>
      <c r="D383" s="97"/>
      <c r="E383" s="97"/>
      <c r="F383" s="97"/>
      <c r="G383" s="97"/>
      <c r="H383" s="59"/>
      <c r="I383" s="61"/>
      <c r="J383" s="61"/>
      <c r="K383" s="61"/>
      <c r="L383" s="62"/>
      <c r="M383" s="62"/>
      <c r="N383" s="63"/>
      <c r="O383" s="63"/>
      <c r="P383" s="63"/>
      <c r="Q383" s="63"/>
      <c r="R383" s="63"/>
      <c r="S383" s="63"/>
      <c r="T383" s="63"/>
      <c r="U383" s="63"/>
      <c r="V383" s="63"/>
      <c r="W383" s="63"/>
      <c r="X383" s="63"/>
      <c r="Y383" s="63"/>
      <c r="Z383" s="62"/>
    </row>
    <row r="384" ht="14.25" customHeight="1">
      <c r="A384" s="59"/>
      <c r="B384" s="97"/>
      <c r="C384" s="97"/>
      <c r="D384" s="97"/>
      <c r="E384" s="97"/>
      <c r="F384" s="97"/>
      <c r="G384" s="97"/>
      <c r="H384" s="59"/>
      <c r="I384" s="61"/>
      <c r="J384" s="61"/>
      <c r="K384" s="61"/>
      <c r="L384" s="62"/>
      <c r="M384" s="62"/>
      <c r="N384" s="63"/>
      <c r="O384" s="63"/>
      <c r="P384" s="63"/>
      <c r="Q384" s="63"/>
      <c r="R384" s="63"/>
      <c r="S384" s="63"/>
      <c r="T384" s="63"/>
      <c r="U384" s="63"/>
      <c r="V384" s="63"/>
      <c r="W384" s="63"/>
      <c r="X384" s="63"/>
      <c r="Y384" s="63"/>
      <c r="Z384" s="62"/>
    </row>
    <row r="385" ht="14.25" customHeight="1">
      <c r="A385" s="59"/>
      <c r="B385" s="97"/>
      <c r="C385" s="97"/>
      <c r="D385" s="97"/>
      <c r="E385" s="97"/>
      <c r="F385" s="97"/>
      <c r="G385" s="97"/>
      <c r="H385" s="59"/>
      <c r="I385" s="61"/>
      <c r="J385" s="61"/>
      <c r="K385" s="61"/>
      <c r="L385" s="62"/>
      <c r="M385" s="62"/>
      <c r="N385" s="63"/>
      <c r="O385" s="63"/>
      <c r="P385" s="63"/>
      <c r="Q385" s="63"/>
      <c r="R385" s="63"/>
      <c r="S385" s="63"/>
      <c r="T385" s="63"/>
      <c r="U385" s="63"/>
      <c r="V385" s="63"/>
      <c r="W385" s="63"/>
      <c r="X385" s="63"/>
      <c r="Y385" s="63"/>
      <c r="Z385" s="62"/>
    </row>
    <row r="386" ht="14.25" customHeight="1">
      <c r="A386" s="59"/>
      <c r="B386" s="97"/>
      <c r="C386" s="97"/>
      <c r="D386" s="97"/>
      <c r="E386" s="97"/>
      <c r="F386" s="97"/>
      <c r="G386" s="97"/>
      <c r="H386" s="59"/>
      <c r="I386" s="61"/>
      <c r="J386" s="61"/>
      <c r="K386" s="61"/>
      <c r="L386" s="62"/>
      <c r="M386" s="62"/>
      <c r="N386" s="63"/>
      <c r="O386" s="63"/>
      <c r="P386" s="63"/>
      <c r="Q386" s="63"/>
      <c r="R386" s="63"/>
      <c r="S386" s="63"/>
      <c r="T386" s="63"/>
      <c r="U386" s="63"/>
      <c r="V386" s="63"/>
      <c r="W386" s="63"/>
      <c r="X386" s="63"/>
      <c r="Y386" s="63"/>
      <c r="Z386" s="62"/>
    </row>
    <row r="387" ht="14.25" customHeight="1">
      <c r="A387" s="59"/>
      <c r="B387" s="97"/>
      <c r="C387" s="97"/>
      <c r="D387" s="97"/>
      <c r="E387" s="97"/>
      <c r="F387" s="97"/>
      <c r="G387" s="97"/>
      <c r="H387" s="59"/>
      <c r="I387" s="61"/>
      <c r="J387" s="61"/>
      <c r="K387" s="61"/>
      <c r="L387" s="62"/>
      <c r="M387" s="62"/>
      <c r="N387" s="63"/>
      <c r="O387" s="63"/>
      <c r="P387" s="63"/>
      <c r="Q387" s="63"/>
      <c r="R387" s="63"/>
      <c r="S387" s="63"/>
      <c r="T387" s="63"/>
      <c r="U387" s="63"/>
      <c r="V387" s="63"/>
      <c r="W387" s="63"/>
      <c r="X387" s="63"/>
      <c r="Y387" s="63"/>
      <c r="Z387" s="62"/>
    </row>
    <row r="388" ht="14.25" customHeight="1">
      <c r="A388" s="59"/>
      <c r="B388" s="97"/>
      <c r="C388" s="97"/>
      <c r="D388" s="97"/>
      <c r="E388" s="97"/>
      <c r="F388" s="97"/>
      <c r="G388" s="97"/>
      <c r="H388" s="59"/>
      <c r="I388" s="61"/>
      <c r="J388" s="61"/>
      <c r="K388" s="61"/>
      <c r="L388" s="62"/>
      <c r="M388" s="62"/>
      <c r="N388" s="63"/>
      <c r="O388" s="63"/>
      <c r="P388" s="63"/>
      <c r="Q388" s="63"/>
      <c r="R388" s="63"/>
      <c r="S388" s="63"/>
      <c r="T388" s="63"/>
      <c r="U388" s="63"/>
      <c r="V388" s="63"/>
      <c r="W388" s="63"/>
      <c r="X388" s="63"/>
      <c r="Y388" s="63"/>
      <c r="Z388" s="62"/>
    </row>
    <row r="389" ht="14.25" customHeight="1">
      <c r="A389" s="59"/>
      <c r="B389" s="97"/>
      <c r="C389" s="97"/>
      <c r="D389" s="97"/>
      <c r="E389" s="97"/>
      <c r="F389" s="97"/>
      <c r="G389" s="97"/>
      <c r="H389" s="59"/>
      <c r="I389" s="61"/>
      <c r="J389" s="61"/>
      <c r="K389" s="61"/>
      <c r="L389" s="62"/>
      <c r="M389" s="62"/>
      <c r="N389" s="63"/>
      <c r="O389" s="63"/>
      <c r="P389" s="63"/>
      <c r="Q389" s="63"/>
      <c r="R389" s="63"/>
      <c r="S389" s="63"/>
      <c r="T389" s="63"/>
      <c r="U389" s="63"/>
      <c r="V389" s="63"/>
      <c r="W389" s="63"/>
      <c r="X389" s="63"/>
      <c r="Y389" s="63"/>
      <c r="Z389" s="62"/>
    </row>
    <row r="390" ht="14.25" customHeight="1">
      <c r="A390" s="59"/>
      <c r="B390" s="97"/>
      <c r="C390" s="97"/>
      <c r="D390" s="97"/>
      <c r="E390" s="97"/>
      <c r="F390" s="97"/>
      <c r="G390" s="97"/>
      <c r="H390" s="59"/>
      <c r="I390" s="61"/>
      <c r="J390" s="61"/>
      <c r="K390" s="61"/>
      <c r="L390" s="62"/>
      <c r="M390" s="62"/>
      <c r="N390" s="63"/>
      <c r="O390" s="63"/>
      <c r="P390" s="63"/>
      <c r="Q390" s="63"/>
      <c r="R390" s="63"/>
      <c r="S390" s="63"/>
      <c r="T390" s="63"/>
      <c r="U390" s="63"/>
      <c r="V390" s="63"/>
      <c r="W390" s="63"/>
      <c r="X390" s="63"/>
      <c r="Y390" s="63"/>
      <c r="Z390" s="62"/>
    </row>
    <row r="391" ht="14.25" customHeight="1">
      <c r="A391" s="59"/>
      <c r="B391" s="97"/>
      <c r="C391" s="97"/>
      <c r="D391" s="97"/>
      <c r="E391" s="97"/>
      <c r="F391" s="97"/>
      <c r="G391" s="97"/>
      <c r="H391" s="59"/>
      <c r="I391" s="61"/>
      <c r="J391" s="61"/>
      <c r="K391" s="61"/>
      <c r="L391" s="62"/>
      <c r="M391" s="62"/>
      <c r="N391" s="63"/>
      <c r="O391" s="63"/>
      <c r="P391" s="63"/>
      <c r="Q391" s="63"/>
      <c r="R391" s="63"/>
      <c r="S391" s="63"/>
      <c r="T391" s="63"/>
      <c r="U391" s="63"/>
      <c r="V391" s="63"/>
      <c r="W391" s="63"/>
      <c r="X391" s="63"/>
      <c r="Y391" s="63"/>
      <c r="Z391" s="62"/>
    </row>
    <row r="392" ht="14.25" customHeight="1">
      <c r="A392" s="59"/>
      <c r="B392" s="97"/>
      <c r="C392" s="97"/>
      <c r="D392" s="97"/>
      <c r="E392" s="97"/>
      <c r="F392" s="97"/>
      <c r="G392" s="97"/>
      <c r="H392" s="59"/>
      <c r="I392" s="61"/>
      <c r="J392" s="61"/>
      <c r="K392" s="61"/>
      <c r="L392" s="62"/>
      <c r="M392" s="62"/>
      <c r="N392" s="63"/>
      <c r="O392" s="63"/>
      <c r="P392" s="63"/>
      <c r="Q392" s="63"/>
      <c r="R392" s="63"/>
      <c r="S392" s="63"/>
      <c r="T392" s="63"/>
      <c r="U392" s="63"/>
      <c r="V392" s="63"/>
      <c r="W392" s="63"/>
      <c r="X392" s="63"/>
      <c r="Y392" s="63"/>
      <c r="Z392" s="62"/>
    </row>
    <row r="393" ht="14.25" customHeight="1">
      <c r="A393" s="59"/>
      <c r="B393" s="97"/>
      <c r="C393" s="97"/>
      <c r="D393" s="97"/>
      <c r="E393" s="97"/>
      <c r="F393" s="97"/>
      <c r="G393" s="97"/>
      <c r="H393" s="59"/>
      <c r="I393" s="61"/>
      <c r="J393" s="61"/>
      <c r="K393" s="61"/>
      <c r="L393" s="62"/>
      <c r="M393" s="62"/>
      <c r="N393" s="63"/>
      <c r="O393" s="63"/>
      <c r="P393" s="63"/>
      <c r="Q393" s="63"/>
      <c r="R393" s="63"/>
      <c r="S393" s="63"/>
      <c r="T393" s="63"/>
      <c r="U393" s="63"/>
      <c r="V393" s="63"/>
      <c r="W393" s="63"/>
      <c r="X393" s="63"/>
      <c r="Y393" s="63"/>
      <c r="Z393" s="62"/>
    </row>
    <row r="394" ht="14.25" customHeight="1">
      <c r="A394" s="59"/>
      <c r="B394" s="97"/>
      <c r="C394" s="97"/>
      <c r="D394" s="97"/>
      <c r="E394" s="97"/>
      <c r="F394" s="97"/>
      <c r="G394" s="97"/>
      <c r="H394" s="59"/>
      <c r="I394" s="61"/>
      <c r="J394" s="61"/>
      <c r="K394" s="61"/>
      <c r="L394" s="62"/>
      <c r="M394" s="62"/>
      <c r="N394" s="63"/>
      <c r="O394" s="63"/>
      <c r="P394" s="63"/>
      <c r="Q394" s="63"/>
      <c r="R394" s="63"/>
      <c r="S394" s="63"/>
      <c r="T394" s="63"/>
      <c r="U394" s="63"/>
      <c r="V394" s="63"/>
      <c r="W394" s="63"/>
      <c r="X394" s="63"/>
      <c r="Y394" s="63"/>
      <c r="Z394" s="62"/>
    </row>
    <row r="395" ht="14.25" customHeight="1">
      <c r="A395" s="59"/>
      <c r="B395" s="97"/>
      <c r="C395" s="97"/>
      <c r="D395" s="97"/>
      <c r="E395" s="97"/>
      <c r="F395" s="97"/>
      <c r="G395" s="97"/>
      <c r="H395" s="59"/>
      <c r="I395" s="61"/>
      <c r="J395" s="61"/>
      <c r="K395" s="61"/>
      <c r="L395" s="62"/>
      <c r="M395" s="62"/>
      <c r="N395" s="63"/>
      <c r="O395" s="63"/>
      <c r="P395" s="63"/>
      <c r="Q395" s="63"/>
      <c r="R395" s="63"/>
      <c r="S395" s="63"/>
      <c r="T395" s="63"/>
      <c r="U395" s="63"/>
      <c r="V395" s="63"/>
      <c r="W395" s="63"/>
      <c r="X395" s="63"/>
      <c r="Y395" s="63"/>
      <c r="Z395" s="62"/>
    </row>
    <row r="396" ht="14.25" customHeight="1">
      <c r="A396" s="59"/>
      <c r="B396" s="97"/>
      <c r="C396" s="97"/>
      <c r="D396" s="97"/>
      <c r="E396" s="97"/>
      <c r="F396" s="97"/>
      <c r="G396" s="97"/>
      <c r="H396" s="59"/>
      <c r="I396" s="61"/>
      <c r="J396" s="61"/>
      <c r="K396" s="61"/>
      <c r="L396" s="62"/>
      <c r="M396" s="62"/>
      <c r="N396" s="63"/>
      <c r="O396" s="63"/>
      <c r="P396" s="63"/>
      <c r="Q396" s="63"/>
      <c r="R396" s="63"/>
      <c r="S396" s="63"/>
      <c r="T396" s="63"/>
      <c r="U396" s="63"/>
      <c r="V396" s="63"/>
      <c r="W396" s="63"/>
      <c r="X396" s="63"/>
      <c r="Y396" s="63"/>
      <c r="Z396" s="62"/>
    </row>
    <row r="397" ht="14.25" customHeight="1">
      <c r="A397" s="59"/>
      <c r="B397" s="97"/>
      <c r="C397" s="97"/>
      <c r="D397" s="97"/>
      <c r="E397" s="97"/>
      <c r="F397" s="97"/>
      <c r="G397" s="97"/>
      <c r="H397" s="59"/>
      <c r="I397" s="61"/>
      <c r="J397" s="61"/>
      <c r="K397" s="61"/>
      <c r="L397" s="62"/>
      <c r="M397" s="62"/>
      <c r="N397" s="63"/>
      <c r="O397" s="63"/>
      <c r="P397" s="63"/>
      <c r="Q397" s="63"/>
      <c r="R397" s="63"/>
      <c r="S397" s="63"/>
      <c r="T397" s="63"/>
      <c r="U397" s="63"/>
      <c r="V397" s="63"/>
      <c r="W397" s="63"/>
      <c r="X397" s="63"/>
      <c r="Y397" s="63"/>
      <c r="Z397" s="62"/>
    </row>
    <row r="398" ht="14.25" customHeight="1">
      <c r="A398" s="59"/>
      <c r="B398" s="97"/>
      <c r="C398" s="97"/>
      <c r="D398" s="97"/>
      <c r="E398" s="97"/>
      <c r="F398" s="97"/>
      <c r="G398" s="97"/>
      <c r="H398" s="59"/>
      <c r="I398" s="61"/>
      <c r="J398" s="61"/>
      <c r="K398" s="61"/>
      <c r="L398" s="62"/>
      <c r="M398" s="62"/>
      <c r="N398" s="63"/>
      <c r="O398" s="63"/>
      <c r="P398" s="63"/>
      <c r="Q398" s="63"/>
      <c r="R398" s="63"/>
      <c r="S398" s="63"/>
      <c r="T398" s="63"/>
      <c r="U398" s="63"/>
      <c r="V398" s="63"/>
      <c r="W398" s="63"/>
      <c r="X398" s="63"/>
      <c r="Y398" s="63"/>
      <c r="Z398" s="62"/>
    </row>
    <row r="399" ht="14.25" customHeight="1">
      <c r="A399" s="59"/>
      <c r="B399" s="97"/>
      <c r="C399" s="97"/>
      <c r="D399" s="97"/>
      <c r="E399" s="97"/>
      <c r="F399" s="97"/>
      <c r="G399" s="97"/>
      <c r="H399" s="59"/>
      <c r="I399" s="61"/>
      <c r="J399" s="61"/>
      <c r="K399" s="61"/>
      <c r="L399" s="62"/>
      <c r="M399" s="62"/>
      <c r="N399" s="63"/>
      <c r="O399" s="63"/>
      <c r="P399" s="63"/>
      <c r="Q399" s="63"/>
      <c r="R399" s="63"/>
      <c r="S399" s="63"/>
      <c r="T399" s="63"/>
      <c r="U399" s="63"/>
      <c r="V399" s="63"/>
      <c r="W399" s="63"/>
      <c r="X399" s="63"/>
      <c r="Y399" s="63"/>
      <c r="Z399" s="62"/>
    </row>
    <row r="400" ht="14.25" customHeight="1">
      <c r="A400" s="59"/>
      <c r="B400" s="97"/>
      <c r="C400" s="97"/>
      <c r="D400" s="97"/>
      <c r="E400" s="97"/>
      <c r="F400" s="97"/>
      <c r="G400" s="97"/>
      <c r="H400" s="59"/>
      <c r="I400" s="61"/>
      <c r="J400" s="61"/>
      <c r="K400" s="61"/>
      <c r="L400" s="62"/>
      <c r="M400" s="62"/>
      <c r="N400" s="63"/>
      <c r="O400" s="63"/>
      <c r="P400" s="63"/>
      <c r="Q400" s="63"/>
      <c r="R400" s="63"/>
      <c r="S400" s="63"/>
      <c r="T400" s="63"/>
      <c r="U400" s="63"/>
      <c r="V400" s="63"/>
      <c r="W400" s="63"/>
      <c r="X400" s="63"/>
      <c r="Y400" s="63"/>
      <c r="Z400" s="62"/>
    </row>
    <row r="401" ht="14.25" customHeight="1">
      <c r="A401" s="59"/>
      <c r="B401" s="97"/>
      <c r="C401" s="97"/>
      <c r="D401" s="97"/>
      <c r="E401" s="97"/>
      <c r="F401" s="97"/>
      <c r="G401" s="97"/>
      <c r="H401" s="59"/>
      <c r="I401" s="61"/>
      <c r="J401" s="61"/>
      <c r="K401" s="61"/>
      <c r="L401" s="62"/>
      <c r="M401" s="62"/>
      <c r="N401" s="63"/>
      <c r="O401" s="63"/>
      <c r="P401" s="63"/>
      <c r="Q401" s="63"/>
      <c r="R401" s="63"/>
      <c r="S401" s="63"/>
      <c r="T401" s="63"/>
      <c r="U401" s="63"/>
      <c r="V401" s="63"/>
      <c r="W401" s="63"/>
      <c r="X401" s="63"/>
      <c r="Y401" s="63"/>
      <c r="Z401" s="62"/>
    </row>
    <row r="402" ht="14.25" customHeight="1">
      <c r="A402" s="59"/>
      <c r="B402" s="97"/>
      <c r="C402" s="97"/>
      <c r="D402" s="97"/>
      <c r="E402" s="97"/>
      <c r="F402" s="97"/>
      <c r="G402" s="97"/>
      <c r="H402" s="59"/>
      <c r="I402" s="61"/>
      <c r="J402" s="61"/>
      <c r="K402" s="61"/>
      <c r="L402" s="62"/>
      <c r="M402" s="62"/>
      <c r="N402" s="63"/>
      <c r="O402" s="63"/>
      <c r="P402" s="63"/>
      <c r="Q402" s="63"/>
      <c r="R402" s="63"/>
      <c r="S402" s="63"/>
      <c r="T402" s="63"/>
      <c r="U402" s="63"/>
      <c r="V402" s="63"/>
      <c r="W402" s="63"/>
      <c r="X402" s="63"/>
      <c r="Y402" s="63"/>
      <c r="Z402" s="62"/>
    </row>
    <row r="403" ht="14.25" customHeight="1">
      <c r="A403" s="59"/>
      <c r="B403" s="97"/>
      <c r="C403" s="97"/>
      <c r="D403" s="97"/>
      <c r="E403" s="97"/>
      <c r="F403" s="97"/>
      <c r="G403" s="97"/>
      <c r="H403" s="59"/>
      <c r="I403" s="61"/>
      <c r="J403" s="61"/>
      <c r="K403" s="61"/>
      <c r="L403" s="62"/>
      <c r="M403" s="62"/>
      <c r="N403" s="63"/>
      <c r="O403" s="63"/>
      <c r="P403" s="63"/>
      <c r="Q403" s="63"/>
      <c r="R403" s="63"/>
      <c r="S403" s="63"/>
      <c r="T403" s="63"/>
      <c r="U403" s="63"/>
      <c r="V403" s="63"/>
      <c r="W403" s="63"/>
      <c r="X403" s="63"/>
      <c r="Y403" s="63"/>
      <c r="Z403" s="62"/>
    </row>
    <row r="404" ht="14.25" customHeight="1">
      <c r="A404" s="59"/>
      <c r="B404" s="97"/>
      <c r="C404" s="97"/>
      <c r="D404" s="97"/>
      <c r="E404" s="97"/>
      <c r="F404" s="97"/>
      <c r="G404" s="97"/>
      <c r="H404" s="59"/>
      <c r="I404" s="61"/>
      <c r="J404" s="61"/>
      <c r="K404" s="61"/>
      <c r="L404" s="62"/>
      <c r="M404" s="62"/>
      <c r="N404" s="63"/>
      <c r="O404" s="63"/>
      <c r="P404" s="63"/>
      <c r="Q404" s="63"/>
      <c r="R404" s="63"/>
      <c r="S404" s="63"/>
      <c r="T404" s="63"/>
      <c r="U404" s="63"/>
      <c r="V404" s="63"/>
      <c r="W404" s="63"/>
      <c r="X404" s="63"/>
      <c r="Y404" s="63"/>
      <c r="Z404" s="62"/>
    </row>
    <row r="405" ht="14.25" customHeight="1">
      <c r="A405" s="59"/>
      <c r="B405" s="97"/>
      <c r="C405" s="97"/>
      <c r="D405" s="97"/>
      <c r="E405" s="97"/>
      <c r="F405" s="97"/>
      <c r="G405" s="97"/>
      <c r="H405" s="59"/>
      <c r="I405" s="61"/>
      <c r="J405" s="61"/>
      <c r="K405" s="61"/>
      <c r="L405" s="62"/>
      <c r="M405" s="62"/>
      <c r="N405" s="63"/>
      <c r="O405" s="63"/>
      <c r="P405" s="63"/>
      <c r="Q405" s="63"/>
      <c r="R405" s="63"/>
      <c r="S405" s="63"/>
      <c r="T405" s="63"/>
      <c r="U405" s="63"/>
      <c r="V405" s="63"/>
      <c r="W405" s="63"/>
      <c r="X405" s="63"/>
      <c r="Y405" s="63"/>
      <c r="Z405" s="62"/>
    </row>
    <row r="406" ht="14.25" customHeight="1">
      <c r="A406" s="59"/>
      <c r="B406" s="97"/>
      <c r="C406" s="97"/>
      <c r="D406" s="97"/>
      <c r="E406" s="97"/>
      <c r="F406" s="97"/>
      <c r="G406" s="97"/>
      <c r="H406" s="59"/>
      <c r="I406" s="61"/>
      <c r="J406" s="61"/>
      <c r="K406" s="61"/>
      <c r="L406" s="62"/>
      <c r="M406" s="62"/>
      <c r="N406" s="63"/>
      <c r="O406" s="63"/>
      <c r="P406" s="63"/>
      <c r="Q406" s="63"/>
      <c r="R406" s="63"/>
      <c r="S406" s="63"/>
      <c r="T406" s="63"/>
      <c r="U406" s="63"/>
      <c r="V406" s="63"/>
      <c r="W406" s="63"/>
      <c r="X406" s="63"/>
      <c r="Y406" s="63"/>
      <c r="Z406" s="62"/>
    </row>
    <row r="407" ht="14.25" customHeight="1">
      <c r="A407" s="59"/>
      <c r="B407" s="97"/>
      <c r="C407" s="97"/>
      <c r="D407" s="97"/>
      <c r="E407" s="97"/>
      <c r="F407" s="97"/>
      <c r="G407" s="97"/>
      <c r="H407" s="59"/>
      <c r="I407" s="61"/>
      <c r="J407" s="61"/>
      <c r="K407" s="61"/>
      <c r="L407" s="62"/>
      <c r="M407" s="62"/>
      <c r="N407" s="63"/>
      <c r="O407" s="63"/>
      <c r="P407" s="63"/>
      <c r="Q407" s="63"/>
      <c r="R407" s="63"/>
      <c r="S407" s="63"/>
      <c r="T407" s="63"/>
      <c r="U407" s="63"/>
      <c r="V407" s="63"/>
      <c r="W407" s="63"/>
      <c r="X407" s="63"/>
      <c r="Y407" s="63"/>
      <c r="Z407" s="62"/>
    </row>
    <row r="408" ht="14.25" customHeight="1">
      <c r="A408" s="59"/>
      <c r="B408" s="97"/>
      <c r="C408" s="97"/>
      <c r="D408" s="97"/>
      <c r="E408" s="97"/>
      <c r="F408" s="97"/>
      <c r="G408" s="97"/>
      <c r="H408" s="59"/>
      <c r="I408" s="61"/>
      <c r="J408" s="61"/>
      <c r="K408" s="61"/>
      <c r="L408" s="62"/>
      <c r="M408" s="62"/>
      <c r="N408" s="63"/>
      <c r="O408" s="63"/>
      <c r="P408" s="63"/>
      <c r="Q408" s="63"/>
      <c r="R408" s="63"/>
      <c r="S408" s="63"/>
      <c r="T408" s="63"/>
      <c r="U408" s="63"/>
      <c r="V408" s="63"/>
      <c r="W408" s="63"/>
      <c r="X408" s="63"/>
      <c r="Y408" s="63"/>
      <c r="Z408" s="62"/>
    </row>
    <row r="409" ht="14.25" customHeight="1">
      <c r="A409" s="59"/>
      <c r="B409" s="97"/>
      <c r="C409" s="97"/>
      <c r="D409" s="97"/>
      <c r="E409" s="97"/>
      <c r="F409" s="97"/>
      <c r="G409" s="97"/>
      <c r="H409" s="59"/>
      <c r="I409" s="61"/>
      <c r="J409" s="61"/>
      <c r="K409" s="61"/>
      <c r="L409" s="62"/>
      <c r="M409" s="62"/>
      <c r="N409" s="63"/>
      <c r="O409" s="63"/>
      <c r="P409" s="63"/>
      <c r="Q409" s="63"/>
      <c r="R409" s="63"/>
      <c r="S409" s="63"/>
      <c r="T409" s="63"/>
      <c r="U409" s="63"/>
      <c r="V409" s="63"/>
      <c r="W409" s="63"/>
      <c r="X409" s="63"/>
      <c r="Y409" s="63"/>
      <c r="Z409" s="62"/>
    </row>
    <row r="410" ht="14.25" customHeight="1">
      <c r="A410" s="59"/>
      <c r="B410" s="97"/>
      <c r="C410" s="97"/>
      <c r="D410" s="97"/>
      <c r="E410" s="97"/>
      <c r="F410" s="97"/>
      <c r="G410" s="97"/>
      <c r="H410" s="59"/>
      <c r="I410" s="61"/>
      <c r="J410" s="61"/>
      <c r="K410" s="61"/>
      <c r="L410" s="62"/>
      <c r="M410" s="62"/>
      <c r="N410" s="63"/>
      <c r="O410" s="63"/>
      <c r="P410" s="63"/>
      <c r="Q410" s="63"/>
      <c r="R410" s="63"/>
      <c r="S410" s="63"/>
      <c r="T410" s="63"/>
      <c r="U410" s="63"/>
      <c r="V410" s="63"/>
      <c r="W410" s="63"/>
      <c r="X410" s="63"/>
      <c r="Y410" s="63"/>
      <c r="Z410" s="62"/>
    </row>
    <row r="411" ht="14.25" customHeight="1">
      <c r="A411" s="59"/>
      <c r="B411" s="97"/>
      <c r="C411" s="97"/>
      <c r="D411" s="97"/>
      <c r="E411" s="97"/>
      <c r="F411" s="97"/>
      <c r="G411" s="97"/>
      <c r="H411" s="59"/>
      <c r="I411" s="61"/>
      <c r="J411" s="61"/>
      <c r="K411" s="61"/>
      <c r="L411" s="62"/>
      <c r="M411" s="62"/>
      <c r="N411" s="63"/>
      <c r="O411" s="63"/>
      <c r="P411" s="63"/>
      <c r="Q411" s="63"/>
      <c r="R411" s="63"/>
      <c r="S411" s="63"/>
      <c r="T411" s="63"/>
      <c r="U411" s="63"/>
      <c r="V411" s="63"/>
      <c r="W411" s="63"/>
      <c r="X411" s="63"/>
      <c r="Y411" s="63"/>
      <c r="Z411" s="62"/>
    </row>
    <row r="412" ht="14.25" customHeight="1">
      <c r="A412" s="59"/>
      <c r="B412" s="97"/>
      <c r="C412" s="97"/>
      <c r="D412" s="97"/>
      <c r="E412" s="97"/>
      <c r="F412" s="97"/>
      <c r="G412" s="97"/>
      <c r="H412" s="59"/>
      <c r="I412" s="61"/>
      <c r="J412" s="61"/>
      <c r="K412" s="61"/>
      <c r="L412" s="62"/>
      <c r="M412" s="62"/>
      <c r="N412" s="63"/>
      <c r="O412" s="63"/>
      <c r="P412" s="63"/>
      <c r="Q412" s="63"/>
      <c r="R412" s="63"/>
      <c r="S412" s="63"/>
      <c r="T412" s="63"/>
      <c r="U412" s="63"/>
      <c r="V412" s="63"/>
      <c r="W412" s="63"/>
      <c r="X412" s="63"/>
      <c r="Y412" s="63"/>
      <c r="Z412" s="62"/>
    </row>
    <row r="413" ht="14.25" customHeight="1">
      <c r="A413" s="59"/>
      <c r="B413" s="97"/>
      <c r="C413" s="97"/>
      <c r="D413" s="97"/>
      <c r="E413" s="97"/>
      <c r="F413" s="97"/>
      <c r="G413" s="97"/>
      <c r="H413" s="59"/>
      <c r="I413" s="61"/>
      <c r="J413" s="61"/>
      <c r="K413" s="61"/>
      <c r="L413" s="62"/>
      <c r="M413" s="62"/>
      <c r="N413" s="63"/>
      <c r="O413" s="63"/>
      <c r="P413" s="63"/>
      <c r="Q413" s="63"/>
      <c r="R413" s="63"/>
      <c r="S413" s="63"/>
      <c r="T413" s="63"/>
      <c r="U413" s="63"/>
      <c r="V413" s="63"/>
      <c r="W413" s="63"/>
      <c r="X413" s="63"/>
      <c r="Y413" s="63"/>
      <c r="Z413" s="62"/>
    </row>
    <row r="414" ht="14.25" customHeight="1">
      <c r="A414" s="59"/>
      <c r="B414" s="97"/>
      <c r="C414" s="97"/>
      <c r="D414" s="97"/>
      <c r="E414" s="97"/>
      <c r="F414" s="97"/>
      <c r="G414" s="97"/>
      <c r="H414" s="59"/>
      <c r="I414" s="61"/>
      <c r="J414" s="61"/>
      <c r="K414" s="61"/>
      <c r="L414" s="62"/>
      <c r="M414" s="62"/>
      <c r="N414" s="63"/>
      <c r="O414" s="63"/>
      <c r="P414" s="63"/>
      <c r="Q414" s="63"/>
      <c r="R414" s="63"/>
      <c r="S414" s="63"/>
      <c r="T414" s="63"/>
      <c r="U414" s="63"/>
      <c r="V414" s="63"/>
      <c r="W414" s="63"/>
      <c r="X414" s="63"/>
      <c r="Y414" s="63"/>
      <c r="Z414" s="62"/>
    </row>
    <row r="415" ht="14.25" customHeight="1">
      <c r="A415" s="59"/>
      <c r="B415" s="97"/>
      <c r="C415" s="97"/>
      <c r="D415" s="97"/>
      <c r="E415" s="97"/>
      <c r="F415" s="97"/>
      <c r="G415" s="97"/>
      <c r="H415" s="59"/>
      <c r="I415" s="61"/>
      <c r="J415" s="61"/>
      <c r="K415" s="61"/>
      <c r="L415" s="62"/>
      <c r="M415" s="62"/>
      <c r="N415" s="63"/>
      <c r="O415" s="63"/>
      <c r="P415" s="63"/>
      <c r="Q415" s="63"/>
      <c r="R415" s="63"/>
      <c r="S415" s="63"/>
      <c r="T415" s="63"/>
      <c r="U415" s="63"/>
      <c r="V415" s="63"/>
      <c r="W415" s="63"/>
      <c r="X415" s="63"/>
      <c r="Y415" s="63"/>
      <c r="Z415" s="62"/>
    </row>
    <row r="416" ht="14.25" customHeight="1">
      <c r="A416" s="59"/>
      <c r="B416" s="97"/>
      <c r="C416" s="97"/>
      <c r="D416" s="97"/>
      <c r="E416" s="97"/>
      <c r="F416" s="97"/>
      <c r="G416" s="97"/>
      <c r="H416" s="59"/>
      <c r="I416" s="61"/>
      <c r="J416" s="61"/>
      <c r="K416" s="61"/>
      <c r="L416" s="62"/>
      <c r="M416" s="62"/>
      <c r="N416" s="63"/>
      <c r="O416" s="63"/>
      <c r="P416" s="63"/>
      <c r="Q416" s="63"/>
      <c r="R416" s="63"/>
      <c r="S416" s="63"/>
      <c r="T416" s="63"/>
      <c r="U416" s="63"/>
      <c r="V416" s="63"/>
      <c r="W416" s="63"/>
      <c r="X416" s="63"/>
      <c r="Y416" s="63"/>
      <c r="Z416" s="62"/>
    </row>
    <row r="417" ht="14.25" customHeight="1">
      <c r="A417" s="59"/>
      <c r="B417" s="97"/>
      <c r="C417" s="97"/>
      <c r="D417" s="97"/>
      <c r="E417" s="97"/>
      <c r="F417" s="97"/>
      <c r="G417" s="97"/>
      <c r="H417" s="59"/>
      <c r="I417" s="61"/>
      <c r="J417" s="61"/>
      <c r="K417" s="61"/>
      <c r="L417" s="62"/>
      <c r="M417" s="62"/>
      <c r="N417" s="63"/>
      <c r="O417" s="63"/>
      <c r="P417" s="63"/>
      <c r="Q417" s="63"/>
      <c r="R417" s="63"/>
      <c r="S417" s="63"/>
      <c r="T417" s="63"/>
      <c r="U417" s="63"/>
      <c r="V417" s="63"/>
      <c r="W417" s="63"/>
      <c r="X417" s="63"/>
      <c r="Y417" s="63"/>
      <c r="Z417" s="62"/>
    </row>
    <row r="418" ht="14.25" customHeight="1">
      <c r="A418" s="59"/>
      <c r="B418" s="97"/>
      <c r="C418" s="97"/>
      <c r="D418" s="97"/>
      <c r="E418" s="97"/>
      <c r="F418" s="97"/>
      <c r="G418" s="97"/>
      <c r="H418" s="59"/>
      <c r="I418" s="61"/>
      <c r="J418" s="61"/>
      <c r="K418" s="61"/>
      <c r="L418" s="62"/>
      <c r="M418" s="62"/>
      <c r="N418" s="63"/>
      <c r="O418" s="63"/>
      <c r="P418" s="63"/>
      <c r="Q418" s="63"/>
      <c r="R418" s="63"/>
      <c r="S418" s="63"/>
      <c r="T418" s="63"/>
      <c r="U418" s="63"/>
      <c r="V418" s="63"/>
      <c r="W418" s="63"/>
      <c r="X418" s="63"/>
      <c r="Y418" s="63"/>
      <c r="Z418" s="62"/>
    </row>
    <row r="419" ht="14.25" customHeight="1">
      <c r="A419" s="59"/>
      <c r="B419" s="97"/>
      <c r="C419" s="97"/>
      <c r="D419" s="97"/>
      <c r="E419" s="97"/>
      <c r="F419" s="97"/>
      <c r="G419" s="97"/>
      <c r="H419" s="59"/>
      <c r="I419" s="61"/>
      <c r="J419" s="61"/>
      <c r="K419" s="61"/>
      <c r="L419" s="62"/>
      <c r="M419" s="62"/>
      <c r="N419" s="63"/>
      <c r="O419" s="63"/>
      <c r="P419" s="63"/>
      <c r="Q419" s="63"/>
      <c r="R419" s="63"/>
      <c r="S419" s="63"/>
      <c r="T419" s="63"/>
      <c r="U419" s="63"/>
      <c r="V419" s="63"/>
      <c r="W419" s="63"/>
      <c r="X419" s="63"/>
      <c r="Y419" s="63"/>
      <c r="Z419" s="62"/>
    </row>
    <row r="420" ht="14.25" customHeight="1">
      <c r="A420" s="59"/>
      <c r="B420" s="97"/>
      <c r="C420" s="97"/>
      <c r="D420" s="97"/>
      <c r="E420" s="97"/>
      <c r="F420" s="97"/>
      <c r="G420" s="97"/>
      <c r="H420" s="59"/>
      <c r="I420" s="61"/>
      <c r="J420" s="61"/>
      <c r="K420" s="61"/>
      <c r="L420" s="62"/>
      <c r="M420" s="62"/>
      <c r="N420" s="63"/>
      <c r="O420" s="63"/>
      <c r="P420" s="63"/>
      <c r="Q420" s="63"/>
      <c r="R420" s="63"/>
      <c r="S420" s="63"/>
      <c r="T420" s="63"/>
      <c r="U420" s="63"/>
      <c r="V420" s="63"/>
      <c r="W420" s="63"/>
      <c r="X420" s="63"/>
      <c r="Y420" s="63"/>
      <c r="Z420" s="62"/>
    </row>
    <row r="421" ht="14.25" customHeight="1">
      <c r="A421" s="59"/>
      <c r="B421" s="97"/>
      <c r="C421" s="97"/>
      <c r="D421" s="97"/>
      <c r="E421" s="97"/>
      <c r="F421" s="97"/>
      <c r="G421" s="97"/>
      <c r="H421" s="59"/>
      <c r="I421" s="61"/>
      <c r="J421" s="61"/>
      <c r="K421" s="61"/>
      <c r="L421" s="62"/>
      <c r="M421" s="62"/>
      <c r="N421" s="63"/>
      <c r="O421" s="63"/>
      <c r="P421" s="63"/>
      <c r="Q421" s="63"/>
      <c r="R421" s="63"/>
      <c r="S421" s="63"/>
      <c r="T421" s="63"/>
      <c r="U421" s="63"/>
      <c r="V421" s="63"/>
      <c r="W421" s="63"/>
      <c r="X421" s="63"/>
      <c r="Y421" s="63"/>
      <c r="Z421" s="62"/>
    </row>
    <row r="422" ht="14.25" customHeight="1">
      <c r="A422" s="59"/>
      <c r="B422" s="97"/>
      <c r="C422" s="97"/>
      <c r="D422" s="97"/>
      <c r="E422" s="97"/>
      <c r="F422" s="97"/>
      <c r="G422" s="97"/>
      <c r="H422" s="59"/>
      <c r="I422" s="61"/>
      <c r="J422" s="61"/>
      <c r="K422" s="61"/>
      <c r="L422" s="62"/>
      <c r="M422" s="62"/>
      <c r="N422" s="63"/>
      <c r="O422" s="63"/>
      <c r="P422" s="63"/>
      <c r="Q422" s="63"/>
      <c r="R422" s="63"/>
      <c r="S422" s="63"/>
      <c r="T422" s="63"/>
      <c r="U422" s="63"/>
      <c r="V422" s="63"/>
      <c r="W422" s="63"/>
      <c r="X422" s="63"/>
      <c r="Y422" s="63"/>
      <c r="Z422" s="62"/>
    </row>
    <row r="423" ht="14.25" customHeight="1">
      <c r="A423" s="59"/>
      <c r="B423" s="97"/>
      <c r="C423" s="97"/>
      <c r="D423" s="97"/>
      <c r="E423" s="97"/>
      <c r="F423" s="97"/>
      <c r="G423" s="97"/>
      <c r="H423" s="59"/>
      <c r="I423" s="61"/>
      <c r="J423" s="61"/>
      <c r="K423" s="61"/>
      <c r="L423" s="62"/>
      <c r="M423" s="62"/>
      <c r="N423" s="63"/>
      <c r="O423" s="63"/>
      <c r="P423" s="63"/>
      <c r="Q423" s="63"/>
      <c r="R423" s="63"/>
      <c r="S423" s="63"/>
      <c r="T423" s="63"/>
      <c r="U423" s="63"/>
      <c r="V423" s="63"/>
      <c r="W423" s="63"/>
      <c r="X423" s="63"/>
      <c r="Y423" s="63"/>
      <c r="Z423" s="62"/>
    </row>
    <row r="424" ht="14.25" customHeight="1">
      <c r="A424" s="59"/>
      <c r="B424" s="97"/>
      <c r="C424" s="97"/>
      <c r="D424" s="97"/>
      <c r="E424" s="97"/>
      <c r="F424" s="97"/>
      <c r="G424" s="97"/>
      <c r="H424" s="59"/>
      <c r="I424" s="61"/>
      <c r="J424" s="61"/>
      <c r="K424" s="61"/>
      <c r="L424" s="62"/>
      <c r="M424" s="62"/>
      <c r="N424" s="63"/>
      <c r="O424" s="63"/>
      <c r="P424" s="63"/>
      <c r="Q424" s="63"/>
      <c r="R424" s="63"/>
      <c r="S424" s="63"/>
      <c r="T424" s="63"/>
      <c r="U424" s="63"/>
      <c r="V424" s="63"/>
      <c r="W424" s="63"/>
      <c r="X424" s="63"/>
      <c r="Y424" s="63"/>
      <c r="Z424" s="62"/>
    </row>
    <row r="425" ht="14.25" customHeight="1">
      <c r="A425" s="59"/>
      <c r="B425" s="97"/>
      <c r="C425" s="97"/>
      <c r="D425" s="97"/>
      <c r="E425" s="97"/>
      <c r="F425" s="97"/>
      <c r="G425" s="97"/>
      <c r="H425" s="59"/>
      <c r="I425" s="61"/>
      <c r="J425" s="61"/>
      <c r="K425" s="61"/>
      <c r="L425" s="62"/>
      <c r="M425" s="62"/>
      <c r="N425" s="63"/>
      <c r="O425" s="63"/>
      <c r="P425" s="63"/>
      <c r="Q425" s="63"/>
      <c r="R425" s="63"/>
      <c r="S425" s="63"/>
      <c r="T425" s="63"/>
      <c r="U425" s="63"/>
      <c r="V425" s="63"/>
      <c r="W425" s="63"/>
      <c r="X425" s="63"/>
      <c r="Y425" s="63"/>
      <c r="Z425" s="62"/>
    </row>
    <row r="426" ht="14.25" customHeight="1">
      <c r="A426" s="59"/>
      <c r="B426" s="97"/>
      <c r="C426" s="97"/>
      <c r="D426" s="97"/>
      <c r="E426" s="97"/>
      <c r="F426" s="97"/>
      <c r="G426" s="97"/>
      <c r="H426" s="59"/>
      <c r="I426" s="61"/>
      <c r="J426" s="61"/>
      <c r="K426" s="61"/>
      <c r="L426" s="62"/>
      <c r="M426" s="62"/>
      <c r="N426" s="63"/>
      <c r="O426" s="63"/>
      <c r="P426" s="63"/>
      <c r="Q426" s="63"/>
      <c r="R426" s="63"/>
      <c r="S426" s="63"/>
      <c r="T426" s="63"/>
      <c r="U426" s="63"/>
      <c r="V426" s="63"/>
      <c r="W426" s="63"/>
      <c r="X426" s="63"/>
      <c r="Y426" s="63"/>
      <c r="Z426" s="62"/>
    </row>
    <row r="427" ht="14.25" customHeight="1">
      <c r="A427" s="59"/>
      <c r="B427" s="97"/>
      <c r="C427" s="97"/>
      <c r="D427" s="97"/>
      <c r="E427" s="97"/>
      <c r="F427" s="97"/>
      <c r="G427" s="97"/>
      <c r="H427" s="59"/>
      <c r="I427" s="61"/>
      <c r="J427" s="61"/>
      <c r="K427" s="61"/>
      <c r="L427" s="62"/>
      <c r="M427" s="62"/>
      <c r="N427" s="63"/>
      <c r="O427" s="63"/>
      <c r="P427" s="63"/>
      <c r="Q427" s="63"/>
      <c r="R427" s="63"/>
      <c r="S427" s="63"/>
      <c r="T427" s="63"/>
      <c r="U427" s="63"/>
      <c r="V427" s="63"/>
      <c r="W427" s="63"/>
      <c r="X427" s="63"/>
      <c r="Y427" s="63"/>
      <c r="Z427" s="62"/>
    </row>
    <row r="428" ht="14.25" customHeight="1">
      <c r="A428" s="59"/>
      <c r="B428" s="97"/>
      <c r="C428" s="97"/>
      <c r="D428" s="97"/>
      <c r="E428" s="97"/>
      <c r="F428" s="97"/>
      <c r="G428" s="97"/>
      <c r="H428" s="59"/>
      <c r="I428" s="61"/>
      <c r="J428" s="61"/>
      <c r="K428" s="61"/>
      <c r="L428" s="62"/>
      <c r="M428" s="62"/>
      <c r="N428" s="63"/>
      <c r="O428" s="63"/>
      <c r="P428" s="63"/>
      <c r="Q428" s="63"/>
      <c r="R428" s="63"/>
      <c r="S428" s="63"/>
      <c r="T428" s="63"/>
      <c r="U428" s="63"/>
      <c r="V428" s="63"/>
      <c r="W428" s="63"/>
      <c r="X428" s="63"/>
      <c r="Y428" s="63"/>
      <c r="Z428" s="62"/>
    </row>
    <row r="429" ht="14.25" customHeight="1">
      <c r="A429" s="59"/>
      <c r="B429" s="97"/>
      <c r="C429" s="97"/>
      <c r="D429" s="97"/>
      <c r="E429" s="97"/>
      <c r="F429" s="97"/>
      <c r="G429" s="97"/>
      <c r="H429" s="59"/>
      <c r="I429" s="61"/>
      <c r="J429" s="61"/>
      <c r="K429" s="61"/>
      <c r="L429" s="62"/>
      <c r="M429" s="62"/>
      <c r="N429" s="63"/>
      <c r="O429" s="63"/>
      <c r="P429" s="63"/>
      <c r="Q429" s="63"/>
      <c r="R429" s="63"/>
      <c r="S429" s="63"/>
      <c r="T429" s="63"/>
      <c r="U429" s="63"/>
      <c r="V429" s="63"/>
      <c r="W429" s="63"/>
      <c r="X429" s="63"/>
      <c r="Y429" s="63"/>
      <c r="Z429" s="62"/>
    </row>
    <row r="430" ht="14.25" customHeight="1">
      <c r="A430" s="59"/>
      <c r="B430" s="97"/>
      <c r="C430" s="97"/>
      <c r="D430" s="97"/>
      <c r="E430" s="97"/>
      <c r="F430" s="97"/>
      <c r="G430" s="97"/>
      <c r="H430" s="59"/>
      <c r="I430" s="61"/>
      <c r="J430" s="61"/>
      <c r="K430" s="61"/>
      <c r="L430" s="62"/>
      <c r="M430" s="62"/>
      <c r="N430" s="63"/>
      <c r="O430" s="63"/>
      <c r="P430" s="63"/>
      <c r="Q430" s="63"/>
      <c r="R430" s="63"/>
      <c r="S430" s="63"/>
      <c r="T430" s="63"/>
      <c r="U430" s="63"/>
      <c r="V430" s="63"/>
      <c r="W430" s="63"/>
      <c r="X430" s="63"/>
      <c r="Y430" s="63"/>
      <c r="Z430" s="62"/>
    </row>
    <row r="431" ht="14.25" customHeight="1">
      <c r="A431" s="59"/>
      <c r="B431" s="97"/>
      <c r="C431" s="97"/>
      <c r="D431" s="97"/>
      <c r="E431" s="97"/>
      <c r="F431" s="97"/>
      <c r="G431" s="97"/>
      <c r="H431" s="59"/>
      <c r="I431" s="61"/>
      <c r="J431" s="61"/>
      <c r="K431" s="61"/>
      <c r="L431" s="62"/>
      <c r="M431" s="62"/>
      <c r="N431" s="63"/>
      <c r="O431" s="63"/>
      <c r="P431" s="63"/>
      <c r="Q431" s="63"/>
      <c r="R431" s="63"/>
      <c r="S431" s="63"/>
      <c r="T431" s="63"/>
      <c r="U431" s="63"/>
      <c r="V431" s="63"/>
      <c r="W431" s="63"/>
      <c r="X431" s="63"/>
      <c r="Y431" s="63"/>
      <c r="Z431" s="62"/>
    </row>
    <row r="432" ht="14.25" customHeight="1">
      <c r="A432" s="59"/>
      <c r="B432" s="97"/>
      <c r="C432" s="97"/>
      <c r="D432" s="97"/>
      <c r="E432" s="97"/>
      <c r="F432" s="97"/>
      <c r="G432" s="97"/>
      <c r="H432" s="59"/>
      <c r="I432" s="61"/>
      <c r="J432" s="61"/>
      <c r="K432" s="61"/>
      <c r="L432" s="62"/>
      <c r="M432" s="62"/>
      <c r="N432" s="63"/>
      <c r="O432" s="63"/>
      <c r="P432" s="63"/>
      <c r="Q432" s="63"/>
      <c r="R432" s="63"/>
      <c r="S432" s="63"/>
      <c r="T432" s="63"/>
      <c r="U432" s="63"/>
      <c r="V432" s="63"/>
      <c r="W432" s="63"/>
      <c r="X432" s="63"/>
      <c r="Y432" s="63"/>
      <c r="Z432" s="62"/>
    </row>
    <row r="433" ht="14.25" customHeight="1">
      <c r="A433" s="59"/>
      <c r="B433" s="97"/>
      <c r="C433" s="97"/>
      <c r="D433" s="97"/>
      <c r="E433" s="97"/>
      <c r="F433" s="97"/>
      <c r="G433" s="97"/>
      <c r="H433" s="59"/>
      <c r="I433" s="61"/>
      <c r="J433" s="61"/>
      <c r="K433" s="61"/>
      <c r="L433" s="62"/>
      <c r="M433" s="62"/>
      <c r="N433" s="63"/>
      <c r="O433" s="63"/>
      <c r="P433" s="63"/>
      <c r="Q433" s="63"/>
      <c r="R433" s="63"/>
      <c r="S433" s="63"/>
      <c r="T433" s="63"/>
      <c r="U433" s="63"/>
      <c r="V433" s="63"/>
      <c r="W433" s="63"/>
      <c r="X433" s="63"/>
      <c r="Y433" s="63"/>
      <c r="Z433" s="62"/>
    </row>
    <row r="434" ht="14.25" customHeight="1">
      <c r="A434" s="59"/>
      <c r="B434" s="97"/>
      <c r="C434" s="97"/>
      <c r="D434" s="97"/>
      <c r="E434" s="97"/>
      <c r="F434" s="97"/>
      <c r="G434" s="97"/>
      <c r="H434" s="59"/>
      <c r="I434" s="61"/>
      <c r="J434" s="61"/>
      <c r="K434" s="61"/>
      <c r="L434" s="62"/>
      <c r="M434" s="62"/>
      <c r="N434" s="63"/>
      <c r="O434" s="63"/>
      <c r="P434" s="63"/>
      <c r="Q434" s="63"/>
      <c r="R434" s="63"/>
      <c r="S434" s="63"/>
      <c r="T434" s="63"/>
      <c r="U434" s="63"/>
      <c r="V434" s="63"/>
      <c r="W434" s="63"/>
      <c r="X434" s="63"/>
      <c r="Y434" s="63"/>
      <c r="Z434" s="62"/>
    </row>
    <row r="435" ht="14.25" customHeight="1">
      <c r="A435" s="59"/>
      <c r="B435" s="97"/>
      <c r="C435" s="97"/>
      <c r="D435" s="97"/>
      <c r="E435" s="97"/>
      <c r="F435" s="97"/>
      <c r="G435" s="97"/>
      <c r="H435" s="59"/>
      <c r="I435" s="61"/>
      <c r="J435" s="61"/>
      <c r="K435" s="61"/>
      <c r="L435" s="62"/>
      <c r="M435" s="62"/>
      <c r="N435" s="63"/>
      <c r="O435" s="63"/>
      <c r="P435" s="63"/>
      <c r="Q435" s="63"/>
      <c r="R435" s="63"/>
      <c r="S435" s="63"/>
      <c r="T435" s="63"/>
      <c r="U435" s="63"/>
      <c r="V435" s="63"/>
      <c r="W435" s="63"/>
      <c r="X435" s="63"/>
      <c r="Y435" s="63"/>
      <c r="Z435" s="62"/>
    </row>
    <row r="436" ht="14.25" customHeight="1">
      <c r="A436" s="59"/>
      <c r="B436" s="97"/>
      <c r="C436" s="97"/>
      <c r="D436" s="97"/>
      <c r="E436" s="97"/>
      <c r="F436" s="97"/>
      <c r="G436" s="97"/>
      <c r="H436" s="59"/>
      <c r="I436" s="61"/>
      <c r="J436" s="61"/>
      <c r="K436" s="61"/>
      <c r="L436" s="62"/>
      <c r="M436" s="62"/>
      <c r="N436" s="63"/>
      <c r="O436" s="63"/>
      <c r="P436" s="63"/>
      <c r="Q436" s="63"/>
      <c r="R436" s="63"/>
      <c r="S436" s="63"/>
      <c r="T436" s="63"/>
      <c r="U436" s="63"/>
      <c r="V436" s="63"/>
      <c r="W436" s="63"/>
      <c r="X436" s="63"/>
      <c r="Y436" s="63"/>
      <c r="Z436" s="62"/>
    </row>
    <row r="437" ht="14.25" customHeight="1">
      <c r="A437" s="59"/>
      <c r="B437" s="97"/>
      <c r="C437" s="97"/>
      <c r="D437" s="97"/>
      <c r="E437" s="97"/>
      <c r="F437" s="97"/>
      <c r="G437" s="97"/>
      <c r="H437" s="59"/>
      <c r="I437" s="61"/>
      <c r="J437" s="61"/>
      <c r="K437" s="61"/>
      <c r="L437" s="62"/>
      <c r="M437" s="62"/>
      <c r="N437" s="63"/>
      <c r="O437" s="63"/>
      <c r="P437" s="63"/>
      <c r="Q437" s="63"/>
      <c r="R437" s="63"/>
      <c r="S437" s="63"/>
      <c r="T437" s="63"/>
      <c r="U437" s="63"/>
      <c r="V437" s="63"/>
      <c r="W437" s="63"/>
      <c r="X437" s="63"/>
      <c r="Y437" s="63"/>
      <c r="Z437" s="62"/>
    </row>
    <row r="438" ht="14.25" customHeight="1">
      <c r="A438" s="59"/>
      <c r="B438" s="97"/>
      <c r="C438" s="97"/>
      <c r="D438" s="97"/>
      <c r="E438" s="97"/>
      <c r="F438" s="97"/>
      <c r="G438" s="97"/>
      <c r="H438" s="59"/>
      <c r="I438" s="61"/>
      <c r="J438" s="61"/>
      <c r="K438" s="61"/>
      <c r="L438" s="62"/>
      <c r="M438" s="62"/>
      <c r="N438" s="63"/>
      <c r="O438" s="63"/>
      <c r="P438" s="63"/>
      <c r="Q438" s="63"/>
      <c r="R438" s="63"/>
      <c r="S438" s="63"/>
      <c r="T438" s="63"/>
      <c r="U438" s="63"/>
      <c r="V438" s="63"/>
      <c r="W438" s="63"/>
      <c r="X438" s="63"/>
      <c r="Y438" s="63"/>
      <c r="Z438" s="62"/>
    </row>
    <row r="439" ht="14.25" customHeight="1">
      <c r="A439" s="59"/>
      <c r="B439" s="97"/>
      <c r="C439" s="97"/>
      <c r="D439" s="97"/>
      <c r="E439" s="97"/>
      <c r="F439" s="97"/>
      <c r="G439" s="97"/>
      <c r="H439" s="59"/>
      <c r="I439" s="61"/>
      <c r="J439" s="61"/>
      <c r="K439" s="61"/>
      <c r="L439" s="62"/>
      <c r="M439" s="62"/>
      <c r="N439" s="63"/>
      <c r="O439" s="63"/>
      <c r="P439" s="63"/>
      <c r="Q439" s="63"/>
      <c r="R439" s="63"/>
      <c r="S439" s="63"/>
      <c r="T439" s="63"/>
      <c r="U439" s="63"/>
      <c r="V439" s="63"/>
      <c r="W439" s="63"/>
      <c r="X439" s="63"/>
      <c r="Y439" s="63"/>
      <c r="Z439" s="62"/>
    </row>
    <row r="440" ht="14.25" customHeight="1">
      <c r="A440" s="59"/>
      <c r="B440" s="97"/>
      <c r="C440" s="97"/>
      <c r="D440" s="97"/>
      <c r="E440" s="97"/>
      <c r="F440" s="97"/>
      <c r="G440" s="97"/>
      <c r="H440" s="59"/>
      <c r="I440" s="61"/>
      <c r="J440" s="61"/>
      <c r="K440" s="61"/>
      <c r="L440" s="62"/>
      <c r="M440" s="62"/>
      <c r="N440" s="63"/>
      <c r="O440" s="63"/>
      <c r="P440" s="63"/>
      <c r="Q440" s="63"/>
      <c r="R440" s="63"/>
      <c r="S440" s="63"/>
      <c r="T440" s="63"/>
      <c r="U440" s="63"/>
      <c r="V440" s="63"/>
      <c r="W440" s="63"/>
      <c r="X440" s="63"/>
      <c r="Y440" s="63"/>
      <c r="Z440" s="62"/>
    </row>
    <row r="441" ht="14.25" customHeight="1">
      <c r="A441" s="59"/>
      <c r="B441" s="97"/>
      <c r="C441" s="97"/>
      <c r="D441" s="97"/>
      <c r="E441" s="97"/>
      <c r="F441" s="97"/>
      <c r="G441" s="97"/>
      <c r="H441" s="59"/>
      <c r="I441" s="61"/>
      <c r="J441" s="61"/>
      <c r="K441" s="61"/>
      <c r="L441" s="62"/>
      <c r="M441" s="62"/>
      <c r="N441" s="63"/>
      <c r="O441" s="63"/>
      <c r="P441" s="63"/>
      <c r="Q441" s="63"/>
      <c r="R441" s="63"/>
      <c r="S441" s="63"/>
      <c r="T441" s="63"/>
      <c r="U441" s="63"/>
      <c r="V441" s="63"/>
      <c r="W441" s="63"/>
      <c r="X441" s="63"/>
      <c r="Y441" s="63"/>
      <c r="Z441" s="62"/>
    </row>
    <row r="442" ht="14.25" customHeight="1">
      <c r="A442" s="59"/>
      <c r="B442" s="97"/>
      <c r="C442" s="97"/>
      <c r="D442" s="97"/>
      <c r="E442" s="97"/>
      <c r="F442" s="97"/>
      <c r="G442" s="97"/>
      <c r="H442" s="59"/>
      <c r="I442" s="61"/>
      <c r="J442" s="61"/>
      <c r="K442" s="61"/>
      <c r="L442" s="62"/>
      <c r="M442" s="62"/>
      <c r="N442" s="63"/>
      <c r="O442" s="63"/>
      <c r="P442" s="63"/>
      <c r="Q442" s="63"/>
      <c r="R442" s="63"/>
      <c r="S442" s="63"/>
      <c r="T442" s="63"/>
      <c r="U442" s="63"/>
      <c r="V442" s="63"/>
      <c r="W442" s="63"/>
      <c r="X442" s="63"/>
      <c r="Y442" s="63"/>
      <c r="Z442" s="62"/>
    </row>
    <row r="443" ht="14.25" customHeight="1">
      <c r="A443" s="59"/>
      <c r="B443" s="97"/>
      <c r="C443" s="97"/>
      <c r="D443" s="97"/>
      <c r="E443" s="97"/>
      <c r="F443" s="97"/>
      <c r="G443" s="97"/>
      <c r="H443" s="59"/>
      <c r="I443" s="61"/>
      <c r="J443" s="61"/>
      <c r="K443" s="61"/>
      <c r="L443" s="62"/>
      <c r="M443" s="62"/>
      <c r="N443" s="63"/>
      <c r="O443" s="63"/>
      <c r="P443" s="63"/>
      <c r="Q443" s="63"/>
      <c r="R443" s="63"/>
      <c r="S443" s="63"/>
      <c r="T443" s="63"/>
      <c r="U443" s="63"/>
      <c r="V443" s="63"/>
      <c r="W443" s="63"/>
      <c r="X443" s="63"/>
      <c r="Y443" s="63"/>
      <c r="Z443" s="62"/>
    </row>
    <row r="444" ht="14.25" customHeight="1">
      <c r="A444" s="59"/>
      <c r="B444" s="97"/>
      <c r="C444" s="97"/>
      <c r="D444" s="97"/>
      <c r="E444" s="97"/>
      <c r="F444" s="97"/>
      <c r="G444" s="97"/>
      <c r="H444" s="59"/>
      <c r="I444" s="61"/>
      <c r="J444" s="61"/>
      <c r="K444" s="61"/>
      <c r="L444" s="62"/>
      <c r="M444" s="62"/>
      <c r="N444" s="63"/>
      <c r="O444" s="63"/>
      <c r="P444" s="63"/>
      <c r="Q444" s="63"/>
      <c r="R444" s="63"/>
      <c r="S444" s="63"/>
      <c r="T444" s="63"/>
      <c r="U444" s="63"/>
      <c r="V444" s="63"/>
      <c r="W444" s="63"/>
      <c r="X444" s="63"/>
      <c r="Y444" s="63"/>
      <c r="Z444" s="62"/>
    </row>
    <row r="445" ht="14.25" customHeight="1">
      <c r="A445" s="59"/>
      <c r="B445" s="97"/>
      <c r="C445" s="97"/>
      <c r="D445" s="97"/>
      <c r="E445" s="97"/>
      <c r="F445" s="97"/>
      <c r="G445" s="97"/>
      <c r="H445" s="59"/>
      <c r="I445" s="61"/>
      <c r="J445" s="61"/>
      <c r="K445" s="61"/>
      <c r="L445" s="62"/>
      <c r="M445" s="62"/>
      <c r="N445" s="63"/>
      <c r="O445" s="63"/>
      <c r="P445" s="63"/>
      <c r="Q445" s="63"/>
      <c r="R445" s="63"/>
      <c r="S445" s="63"/>
      <c r="T445" s="63"/>
      <c r="U445" s="63"/>
      <c r="V445" s="63"/>
      <c r="W445" s="63"/>
      <c r="X445" s="63"/>
      <c r="Y445" s="63"/>
      <c r="Z445" s="62"/>
    </row>
    <row r="446" ht="14.25" customHeight="1">
      <c r="A446" s="59"/>
      <c r="B446" s="97"/>
      <c r="C446" s="97"/>
      <c r="D446" s="97"/>
      <c r="E446" s="97"/>
      <c r="F446" s="97"/>
      <c r="G446" s="97"/>
      <c r="H446" s="59"/>
      <c r="I446" s="61"/>
      <c r="J446" s="61"/>
      <c r="K446" s="61"/>
      <c r="L446" s="62"/>
      <c r="M446" s="62"/>
      <c r="N446" s="63"/>
      <c r="O446" s="63"/>
      <c r="P446" s="63"/>
      <c r="Q446" s="63"/>
      <c r="R446" s="63"/>
      <c r="S446" s="63"/>
      <c r="T446" s="63"/>
      <c r="U446" s="63"/>
      <c r="V446" s="63"/>
      <c r="W446" s="63"/>
      <c r="X446" s="63"/>
      <c r="Y446" s="63"/>
      <c r="Z446" s="62"/>
    </row>
    <row r="447" ht="14.25" customHeight="1">
      <c r="A447" s="59"/>
      <c r="B447" s="97"/>
      <c r="C447" s="97"/>
      <c r="D447" s="97"/>
      <c r="E447" s="97"/>
      <c r="F447" s="97"/>
      <c r="G447" s="97"/>
      <c r="H447" s="59"/>
      <c r="I447" s="61"/>
      <c r="J447" s="61"/>
      <c r="K447" s="61"/>
      <c r="L447" s="62"/>
      <c r="M447" s="62"/>
      <c r="N447" s="63"/>
      <c r="O447" s="63"/>
      <c r="P447" s="63"/>
      <c r="Q447" s="63"/>
      <c r="R447" s="63"/>
      <c r="S447" s="63"/>
      <c r="T447" s="63"/>
      <c r="U447" s="63"/>
      <c r="V447" s="63"/>
      <c r="W447" s="63"/>
      <c r="X447" s="63"/>
      <c r="Y447" s="63"/>
      <c r="Z447" s="62"/>
    </row>
    <row r="448" ht="14.25" customHeight="1">
      <c r="A448" s="59"/>
      <c r="B448" s="97"/>
      <c r="C448" s="97"/>
      <c r="D448" s="97"/>
      <c r="E448" s="97"/>
      <c r="F448" s="97"/>
      <c r="G448" s="97"/>
      <c r="H448" s="59"/>
      <c r="I448" s="61"/>
      <c r="J448" s="61"/>
      <c r="K448" s="61"/>
      <c r="L448" s="62"/>
      <c r="M448" s="62"/>
      <c r="N448" s="63"/>
      <c r="O448" s="63"/>
      <c r="P448" s="63"/>
      <c r="Q448" s="63"/>
      <c r="R448" s="63"/>
      <c r="S448" s="63"/>
      <c r="T448" s="63"/>
      <c r="U448" s="63"/>
      <c r="V448" s="63"/>
      <c r="W448" s="63"/>
      <c r="X448" s="63"/>
      <c r="Y448" s="63"/>
      <c r="Z448" s="62"/>
    </row>
    <row r="449" ht="14.25" customHeight="1">
      <c r="A449" s="59"/>
      <c r="B449" s="97"/>
      <c r="C449" s="97"/>
      <c r="D449" s="97"/>
      <c r="E449" s="97"/>
      <c r="F449" s="97"/>
      <c r="G449" s="97"/>
      <c r="H449" s="59"/>
      <c r="I449" s="61"/>
      <c r="J449" s="61"/>
      <c r="K449" s="61"/>
      <c r="L449" s="62"/>
      <c r="M449" s="62"/>
      <c r="N449" s="63"/>
      <c r="O449" s="63"/>
      <c r="P449" s="63"/>
      <c r="Q449" s="63"/>
      <c r="R449" s="63"/>
      <c r="S449" s="63"/>
      <c r="T449" s="63"/>
      <c r="U449" s="63"/>
      <c r="V449" s="63"/>
      <c r="W449" s="63"/>
      <c r="X449" s="63"/>
      <c r="Y449" s="63"/>
      <c r="Z449" s="62"/>
    </row>
    <row r="450" ht="14.25" customHeight="1">
      <c r="A450" s="59"/>
      <c r="B450" s="97"/>
      <c r="C450" s="97"/>
      <c r="D450" s="97"/>
      <c r="E450" s="97"/>
      <c r="F450" s="97"/>
      <c r="G450" s="97"/>
      <c r="H450" s="59"/>
      <c r="I450" s="61"/>
      <c r="J450" s="61"/>
      <c r="K450" s="61"/>
      <c r="L450" s="62"/>
      <c r="M450" s="62"/>
      <c r="N450" s="63"/>
      <c r="O450" s="63"/>
      <c r="P450" s="63"/>
      <c r="Q450" s="63"/>
      <c r="R450" s="63"/>
      <c r="S450" s="63"/>
      <c r="T450" s="63"/>
      <c r="U450" s="63"/>
      <c r="V450" s="63"/>
      <c r="W450" s="63"/>
      <c r="X450" s="63"/>
      <c r="Y450" s="63"/>
      <c r="Z450" s="62"/>
    </row>
    <row r="451" ht="14.25" customHeight="1">
      <c r="A451" s="59"/>
      <c r="B451" s="97"/>
      <c r="C451" s="97"/>
      <c r="D451" s="97"/>
      <c r="E451" s="97"/>
      <c r="F451" s="97"/>
      <c r="G451" s="97"/>
      <c r="H451" s="59"/>
      <c r="I451" s="61"/>
      <c r="J451" s="61"/>
      <c r="K451" s="61"/>
      <c r="L451" s="62"/>
      <c r="M451" s="62"/>
      <c r="N451" s="63"/>
      <c r="O451" s="63"/>
      <c r="P451" s="63"/>
      <c r="Q451" s="63"/>
      <c r="R451" s="63"/>
      <c r="S451" s="63"/>
      <c r="T451" s="63"/>
      <c r="U451" s="63"/>
      <c r="V451" s="63"/>
      <c r="W451" s="63"/>
      <c r="X451" s="63"/>
      <c r="Y451" s="63"/>
      <c r="Z451" s="62"/>
    </row>
    <row r="452" ht="14.25" customHeight="1">
      <c r="A452" s="59"/>
      <c r="B452" s="97"/>
      <c r="C452" s="97"/>
      <c r="D452" s="97"/>
      <c r="E452" s="97"/>
      <c r="F452" s="97"/>
      <c r="G452" s="97"/>
      <c r="H452" s="59"/>
      <c r="I452" s="61"/>
      <c r="J452" s="61"/>
      <c r="K452" s="61"/>
      <c r="L452" s="62"/>
      <c r="M452" s="62"/>
      <c r="N452" s="63"/>
      <c r="O452" s="63"/>
      <c r="P452" s="63"/>
      <c r="Q452" s="63"/>
      <c r="R452" s="63"/>
      <c r="S452" s="63"/>
      <c r="T452" s="63"/>
      <c r="U452" s="63"/>
      <c r="V452" s="63"/>
      <c r="W452" s="63"/>
      <c r="X452" s="63"/>
      <c r="Y452" s="63"/>
      <c r="Z452" s="62"/>
    </row>
    <row r="453" ht="14.25" customHeight="1">
      <c r="A453" s="59"/>
      <c r="B453" s="97"/>
      <c r="C453" s="97"/>
      <c r="D453" s="97"/>
      <c r="E453" s="97"/>
      <c r="F453" s="97"/>
      <c r="G453" s="97"/>
      <c r="H453" s="59"/>
      <c r="I453" s="61"/>
      <c r="J453" s="61"/>
      <c r="K453" s="61"/>
      <c r="L453" s="62"/>
      <c r="M453" s="62"/>
      <c r="N453" s="63"/>
      <c r="O453" s="63"/>
      <c r="P453" s="63"/>
      <c r="Q453" s="63"/>
      <c r="R453" s="63"/>
      <c r="S453" s="63"/>
      <c r="T453" s="63"/>
      <c r="U453" s="63"/>
      <c r="V453" s="63"/>
      <c r="W453" s="63"/>
      <c r="X453" s="63"/>
      <c r="Y453" s="63"/>
      <c r="Z453" s="62"/>
    </row>
    <row r="454" ht="14.25" customHeight="1">
      <c r="A454" s="59"/>
      <c r="B454" s="97"/>
      <c r="C454" s="97"/>
      <c r="D454" s="97"/>
      <c r="E454" s="97"/>
      <c r="F454" s="97"/>
      <c r="G454" s="97"/>
      <c r="H454" s="59"/>
      <c r="I454" s="61"/>
      <c r="J454" s="61"/>
      <c r="K454" s="61"/>
      <c r="L454" s="62"/>
      <c r="M454" s="62"/>
      <c r="N454" s="63"/>
      <c r="O454" s="63"/>
      <c r="P454" s="63"/>
      <c r="Q454" s="63"/>
      <c r="R454" s="63"/>
      <c r="S454" s="63"/>
      <c r="T454" s="63"/>
      <c r="U454" s="63"/>
      <c r="V454" s="63"/>
      <c r="W454" s="63"/>
      <c r="X454" s="63"/>
      <c r="Y454" s="63"/>
      <c r="Z454" s="62"/>
    </row>
    <row r="455" ht="14.25" customHeight="1">
      <c r="A455" s="59"/>
      <c r="B455" s="97"/>
      <c r="C455" s="97"/>
      <c r="D455" s="97"/>
      <c r="E455" s="97"/>
      <c r="F455" s="97"/>
      <c r="G455" s="97"/>
      <c r="H455" s="59"/>
      <c r="I455" s="61"/>
      <c r="J455" s="61"/>
      <c r="K455" s="61"/>
      <c r="L455" s="62"/>
      <c r="M455" s="62"/>
      <c r="N455" s="63"/>
      <c r="O455" s="63"/>
      <c r="P455" s="63"/>
      <c r="Q455" s="63"/>
      <c r="R455" s="63"/>
      <c r="S455" s="63"/>
      <c r="T455" s="63"/>
      <c r="U455" s="63"/>
      <c r="V455" s="63"/>
      <c r="W455" s="63"/>
      <c r="X455" s="63"/>
      <c r="Y455" s="63"/>
      <c r="Z455" s="62"/>
    </row>
    <row r="456" ht="14.25" customHeight="1">
      <c r="A456" s="59"/>
      <c r="B456" s="97"/>
      <c r="C456" s="97"/>
      <c r="D456" s="97"/>
      <c r="E456" s="97"/>
      <c r="F456" s="97"/>
      <c r="G456" s="97"/>
      <c r="H456" s="59"/>
      <c r="I456" s="61"/>
      <c r="J456" s="61"/>
      <c r="K456" s="61"/>
      <c r="L456" s="62"/>
      <c r="M456" s="62"/>
      <c r="N456" s="63"/>
      <c r="O456" s="63"/>
      <c r="P456" s="63"/>
      <c r="Q456" s="63"/>
      <c r="R456" s="63"/>
      <c r="S456" s="63"/>
      <c r="T456" s="63"/>
      <c r="U456" s="63"/>
      <c r="V456" s="63"/>
      <c r="W456" s="63"/>
      <c r="X456" s="63"/>
      <c r="Y456" s="63"/>
      <c r="Z456" s="62"/>
    </row>
    <row r="457" ht="14.25" customHeight="1">
      <c r="A457" s="59"/>
      <c r="B457" s="97"/>
      <c r="C457" s="97"/>
      <c r="D457" s="97"/>
      <c r="E457" s="97"/>
      <c r="F457" s="97"/>
      <c r="G457" s="97"/>
      <c r="H457" s="59"/>
      <c r="I457" s="61"/>
      <c r="J457" s="61"/>
      <c r="K457" s="61"/>
      <c r="L457" s="62"/>
      <c r="M457" s="62"/>
      <c r="N457" s="63"/>
      <c r="O457" s="63"/>
      <c r="P457" s="63"/>
      <c r="Q457" s="63"/>
      <c r="R457" s="63"/>
      <c r="S457" s="63"/>
      <c r="T457" s="63"/>
      <c r="U457" s="63"/>
      <c r="V457" s="63"/>
      <c r="W457" s="63"/>
      <c r="X457" s="63"/>
      <c r="Y457" s="63"/>
      <c r="Z457" s="62"/>
    </row>
    <row r="458" ht="14.25" customHeight="1">
      <c r="A458" s="59"/>
      <c r="B458" s="97"/>
      <c r="C458" s="97"/>
      <c r="D458" s="97"/>
      <c r="E458" s="97"/>
      <c r="F458" s="97"/>
      <c r="G458" s="97"/>
      <c r="H458" s="59"/>
      <c r="I458" s="61"/>
      <c r="J458" s="61"/>
      <c r="K458" s="61"/>
      <c r="L458" s="62"/>
      <c r="M458" s="62"/>
      <c r="N458" s="63"/>
      <c r="O458" s="63"/>
      <c r="P458" s="63"/>
      <c r="Q458" s="63"/>
      <c r="R458" s="63"/>
      <c r="S458" s="63"/>
      <c r="T458" s="63"/>
      <c r="U458" s="63"/>
      <c r="V458" s="63"/>
      <c r="W458" s="63"/>
      <c r="X458" s="63"/>
      <c r="Y458" s="63"/>
      <c r="Z458" s="62"/>
    </row>
    <row r="459" ht="14.25" customHeight="1">
      <c r="A459" s="59"/>
      <c r="B459" s="97"/>
      <c r="C459" s="97"/>
      <c r="D459" s="97"/>
      <c r="E459" s="97"/>
      <c r="F459" s="97"/>
      <c r="G459" s="97"/>
      <c r="H459" s="59"/>
      <c r="I459" s="61"/>
      <c r="J459" s="61"/>
      <c r="K459" s="61"/>
      <c r="L459" s="62"/>
      <c r="M459" s="62"/>
      <c r="N459" s="63"/>
      <c r="O459" s="63"/>
      <c r="P459" s="63"/>
      <c r="Q459" s="63"/>
      <c r="R459" s="63"/>
      <c r="S459" s="63"/>
      <c r="T459" s="63"/>
      <c r="U459" s="63"/>
      <c r="V459" s="63"/>
      <c r="W459" s="63"/>
      <c r="X459" s="63"/>
      <c r="Y459" s="63"/>
      <c r="Z459" s="62"/>
    </row>
    <row r="460" ht="14.25" customHeight="1">
      <c r="A460" s="59"/>
      <c r="B460" s="97"/>
      <c r="C460" s="97"/>
      <c r="D460" s="97"/>
      <c r="E460" s="97"/>
      <c r="F460" s="97"/>
      <c r="G460" s="97"/>
      <c r="H460" s="59"/>
      <c r="I460" s="61"/>
      <c r="J460" s="61"/>
      <c r="K460" s="61"/>
      <c r="L460" s="62"/>
      <c r="M460" s="62"/>
      <c r="N460" s="63"/>
      <c r="O460" s="63"/>
      <c r="P460" s="63"/>
      <c r="Q460" s="63"/>
      <c r="R460" s="63"/>
      <c r="S460" s="63"/>
      <c r="T460" s="63"/>
      <c r="U460" s="63"/>
      <c r="V460" s="63"/>
      <c r="W460" s="63"/>
      <c r="X460" s="63"/>
      <c r="Y460" s="63"/>
      <c r="Z460" s="62"/>
    </row>
    <row r="461" ht="14.25" customHeight="1">
      <c r="A461" s="59"/>
      <c r="B461" s="97"/>
      <c r="C461" s="97"/>
      <c r="D461" s="97"/>
      <c r="E461" s="97"/>
      <c r="F461" s="97"/>
      <c r="G461" s="97"/>
      <c r="H461" s="59"/>
      <c r="I461" s="61"/>
      <c r="J461" s="61"/>
      <c r="K461" s="61"/>
      <c r="L461" s="62"/>
      <c r="M461" s="62"/>
      <c r="N461" s="63"/>
      <c r="O461" s="63"/>
      <c r="P461" s="63"/>
      <c r="Q461" s="63"/>
      <c r="R461" s="63"/>
      <c r="S461" s="63"/>
      <c r="T461" s="63"/>
      <c r="U461" s="63"/>
      <c r="V461" s="63"/>
      <c r="W461" s="63"/>
      <c r="X461" s="63"/>
      <c r="Y461" s="63"/>
      <c r="Z461" s="62"/>
    </row>
    <row r="462" ht="14.25" customHeight="1">
      <c r="A462" s="59"/>
      <c r="B462" s="97"/>
      <c r="C462" s="97"/>
      <c r="D462" s="97"/>
      <c r="E462" s="97"/>
      <c r="F462" s="97"/>
      <c r="G462" s="97"/>
      <c r="H462" s="59"/>
      <c r="I462" s="61"/>
      <c r="J462" s="61"/>
      <c r="K462" s="61"/>
      <c r="L462" s="62"/>
      <c r="M462" s="62"/>
      <c r="N462" s="63"/>
      <c r="O462" s="63"/>
      <c r="P462" s="63"/>
      <c r="Q462" s="63"/>
      <c r="R462" s="63"/>
      <c r="S462" s="63"/>
      <c r="T462" s="63"/>
      <c r="U462" s="63"/>
      <c r="V462" s="63"/>
      <c r="W462" s="63"/>
      <c r="X462" s="63"/>
      <c r="Y462" s="63"/>
      <c r="Z462" s="62"/>
    </row>
    <row r="463" ht="14.25" customHeight="1">
      <c r="A463" s="59"/>
      <c r="B463" s="97"/>
      <c r="C463" s="97"/>
      <c r="D463" s="97"/>
      <c r="E463" s="97"/>
      <c r="F463" s="97"/>
      <c r="G463" s="97"/>
      <c r="H463" s="59"/>
      <c r="I463" s="61"/>
      <c r="J463" s="61"/>
      <c r="K463" s="61"/>
      <c r="L463" s="62"/>
      <c r="M463" s="62"/>
      <c r="N463" s="63"/>
      <c r="O463" s="63"/>
      <c r="P463" s="63"/>
      <c r="Q463" s="63"/>
      <c r="R463" s="63"/>
      <c r="S463" s="63"/>
      <c r="T463" s="63"/>
      <c r="U463" s="63"/>
      <c r="V463" s="63"/>
      <c r="W463" s="63"/>
      <c r="X463" s="63"/>
      <c r="Y463" s="63"/>
      <c r="Z463" s="62"/>
    </row>
    <row r="464" ht="14.25" customHeight="1">
      <c r="A464" s="59"/>
      <c r="B464" s="97"/>
      <c r="C464" s="97"/>
      <c r="D464" s="97"/>
      <c r="E464" s="97"/>
      <c r="F464" s="97"/>
      <c r="G464" s="97"/>
      <c r="H464" s="59"/>
      <c r="I464" s="61"/>
      <c r="J464" s="61"/>
      <c r="K464" s="61"/>
      <c r="L464" s="62"/>
      <c r="M464" s="62"/>
      <c r="N464" s="63"/>
      <c r="O464" s="63"/>
      <c r="P464" s="63"/>
      <c r="Q464" s="63"/>
      <c r="R464" s="63"/>
      <c r="S464" s="63"/>
      <c r="T464" s="63"/>
      <c r="U464" s="63"/>
      <c r="V464" s="63"/>
      <c r="W464" s="63"/>
      <c r="X464" s="63"/>
      <c r="Y464" s="63"/>
      <c r="Z464" s="62"/>
    </row>
    <row r="465" ht="14.25" customHeight="1">
      <c r="A465" s="59"/>
      <c r="B465" s="97"/>
      <c r="C465" s="97"/>
      <c r="D465" s="97"/>
      <c r="E465" s="97"/>
      <c r="F465" s="97"/>
      <c r="G465" s="97"/>
      <c r="H465" s="59"/>
      <c r="I465" s="61"/>
      <c r="J465" s="61"/>
      <c r="K465" s="61"/>
      <c r="L465" s="62"/>
      <c r="M465" s="62"/>
      <c r="N465" s="63"/>
      <c r="O465" s="63"/>
      <c r="P465" s="63"/>
      <c r="Q465" s="63"/>
      <c r="R465" s="63"/>
      <c r="S465" s="63"/>
      <c r="T465" s="63"/>
      <c r="U465" s="63"/>
      <c r="V465" s="63"/>
      <c r="W465" s="63"/>
      <c r="X465" s="63"/>
      <c r="Y465" s="63"/>
      <c r="Z465" s="62"/>
    </row>
    <row r="466" ht="14.25" customHeight="1">
      <c r="A466" s="59"/>
      <c r="B466" s="97"/>
      <c r="C466" s="97"/>
      <c r="D466" s="97"/>
      <c r="E466" s="97"/>
      <c r="F466" s="97"/>
      <c r="G466" s="97"/>
      <c r="H466" s="59"/>
      <c r="I466" s="61"/>
      <c r="J466" s="61"/>
      <c r="K466" s="61"/>
      <c r="L466" s="62"/>
      <c r="M466" s="62"/>
      <c r="N466" s="63"/>
      <c r="O466" s="63"/>
      <c r="P466" s="63"/>
      <c r="Q466" s="63"/>
      <c r="R466" s="63"/>
      <c r="S466" s="63"/>
      <c r="T466" s="63"/>
      <c r="U466" s="63"/>
      <c r="V466" s="63"/>
      <c r="W466" s="63"/>
      <c r="X466" s="63"/>
      <c r="Y466" s="63"/>
      <c r="Z466" s="62"/>
    </row>
    <row r="467" ht="14.25" customHeight="1">
      <c r="A467" s="59"/>
      <c r="B467" s="97"/>
      <c r="C467" s="97"/>
      <c r="D467" s="97"/>
      <c r="E467" s="97"/>
      <c r="F467" s="97"/>
      <c r="G467" s="97"/>
      <c r="H467" s="59"/>
      <c r="I467" s="61"/>
      <c r="J467" s="61"/>
      <c r="K467" s="61"/>
      <c r="L467" s="62"/>
      <c r="M467" s="62"/>
      <c r="N467" s="63"/>
      <c r="O467" s="63"/>
      <c r="P467" s="63"/>
      <c r="Q467" s="63"/>
      <c r="R467" s="63"/>
      <c r="S467" s="63"/>
      <c r="T467" s="63"/>
      <c r="U467" s="63"/>
      <c r="V467" s="63"/>
      <c r="W467" s="63"/>
      <c r="X467" s="63"/>
      <c r="Y467" s="63"/>
      <c r="Z467" s="62"/>
    </row>
    <row r="468" ht="14.25" customHeight="1">
      <c r="A468" s="59"/>
      <c r="B468" s="97"/>
      <c r="C468" s="97"/>
      <c r="D468" s="97"/>
      <c r="E468" s="97"/>
      <c r="F468" s="97"/>
      <c r="G468" s="97"/>
      <c r="H468" s="59"/>
      <c r="I468" s="61"/>
      <c r="J468" s="61"/>
      <c r="K468" s="61"/>
      <c r="L468" s="62"/>
      <c r="M468" s="62"/>
      <c r="N468" s="63"/>
      <c r="O468" s="63"/>
      <c r="P468" s="63"/>
      <c r="Q468" s="63"/>
      <c r="R468" s="63"/>
      <c r="S468" s="63"/>
      <c r="T468" s="63"/>
      <c r="U468" s="63"/>
      <c r="V468" s="63"/>
      <c r="W468" s="63"/>
      <c r="X468" s="63"/>
      <c r="Y468" s="63"/>
      <c r="Z468" s="62"/>
    </row>
    <row r="469" ht="14.25" customHeight="1">
      <c r="A469" s="59"/>
      <c r="B469" s="97"/>
      <c r="C469" s="97"/>
      <c r="D469" s="97"/>
      <c r="E469" s="97"/>
      <c r="F469" s="97"/>
      <c r="G469" s="97"/>
      <c r="H469" s="59"/>
      <c r="I469" s="61"/>
      <c r="J469" s="61"/>
      <c r="K469" s="61"/>
      <c r="L469" s="62"/>
      <c r="M469" s="62"/>
      <c r="N469" s="63"/>
      <c r="O469" s="63"/>
      <c r="P469" s="63"/>
      <c r="Q469" s="63"/>
      <c r="R469" s="63"/>
      <c r="S469" s="63"/>
      <c r="T469" s="63"/>
      <c r="U469" s="63"/>
      <c r="V469" s="63"/>
      <c r="W469" s="63"/>
      <c r="X469" s="63"/>
      <c r="Y469" s="63"/>
      <c r="Z469" s="62"/>
    </row>
    <row r="470" ht="14.25" customHeight="1">
      <c r="A470" s="59"/>
      <c r="B470" s="97"/>
      <c r="C470" s="97"/>
      <c r="D470" s="97"/>
      <c r="E470" s="97"/>
      <c r="F470" s="97"/>
      <c r="G470" s="97"/>
      <c r="H470" s="59"/>
      <c r="I470" s="61"/>
      <c r="J470" s="61"/>
      <c r="K470" s="61"/>
      <c r="L470" s="62"/>
      <c r="M470" s="62"/>
      <c r="N470" s="63"/>
      <c r="O470" s="63"/>
      <c r="P470" s="63"/>
      <c r="Q470" s="63"/>
      <c r="R470" s="63"/>
      <c r="S470" s="63"/>
      <c r="T470" s="63"/>
      <c r="U470" s="63"/>
      <c r="V470" s="63"/>
      <c r="W470" s="63"/>
      <c r="X470" s="63"/>
      <c r="Y470" s="63"/>
      <c r="Z470" s="62"/>
    </row>
    <row r="471" ht="14.25" customHeight="1">
      <c r="A471" s="59"/>
      <c r="B471" s="97"/>
      <c r="C471" s="97"/>
      <c r="D471" s="97"/>
      <c r="E471" s="97"/>
      <c r="F471" s="97"/>
      <c r="G471" s="97"/>
      <c r="H471" s="59"/>
      <c r="I471" s="61"/>
      <c r="J471" s="61"/>
      <c r="K471" s="61"/>
      <c r="L471" s="62"/>
      <c r="M471" s="62"/>
      <c r="N471" s="63"/>
      <c r="O471" s="63"/>
      <c r="P471" s="63"/>
      <c r="Q471" s="63"/>
      <c r="R471" s="63"/>
      <c r="S471" s="63"/>
      <c r="T471" s="63"/>
      <c r="U471" s="63"/>
      <c r="V471" s="63"/>
      <c r="W471" s="63"/>
      <c r="X471" s="63"/>
      <c r="Y471" s="63"/>
      <c r="Z471" s="62"/>
    </row>
    <row r="472" ht="14.25" customHeight="1">
      <c r="A472" s="59"/>
      <c r="B472" s="97"/>
      <c r="C472" s="97"/>
      <c r="D472" s="97"/>
      <c r="E472" s="97"/>
      <c r="F472" s="97"/>
      <c r="G472" s="97"/>
      <c r="H472" s="59"/>
      <c r="I472" s="61"/>
      <c r="J472" s="61"/>
      <c r="K472" s="61"/>
      <c r="L472" s="62"/>
      <c r="M472" s="62"/>
      <c r="N472" s="63"/>
      <c r="O472" s="63"/>
      <c r="P472" s="63"/>
      <c r="Q472" s="63"/>
      <c r="R472" s="63"/>
      <c r="S472" s="63"/>
      <c r="T472" s="63"/>
      <c r="U472" s="63"/>
      <c r="V472" s="63"/>
      <c r="W472" s="63"/>
      <c r="X472" s="63"/>
      <c r="Y472" s="63"/>
      <c r="Z472" s="62"/>
    </row>
    <row r="473" ht="14.25" customHeight="1">
      <c r="A473" s="59"/>
      <c r="B473" s="97"/>
      <c r="C473" s="97"/>
      <c r="D473" s="97"/>
      <c r="E473" s="97"/>
      <c r="F473" s="97"/>
      <c r="G473" s="97"/>
      <c r="H473" s="59"/>
      <c r="I473" s="61"/>
      <c r="J473" s="61"/>
      <c r="K473" s="61"/>
      <c r="L473" s="62"/>
      <c r="M473" s="62"/>
      <c r="N473" s="63"/>
      <c r="O473" s="63"/>
      <c r="P473" s="63"/>
      <c r="Q473" s="63"/>
      <c r="R473" s="63"/>
      <c r="S473" s="63"/>
      <c r="T473" s="63"/>
      <c r="U473" s="63"/>
      <c r="V473" s="63"/>
      <c r="W473" s="63"/>
      <c r="X473" s="63"/>
      <c r="Y473" s="63"/>
      <c r="Z473" s="62"/>
    </row>
    <row r="474" ht="14.25" customHeight="1">
      <c r="A474" s="59"/>
      <c r="B474" s="97"/>
      <c r="C474" s="97"/>
      <c r="D474" s="97"/>
      <c r="E474" s="97"/>
      <c r="F474" s="97"/>
      <c r="G474" s="97"/>
      <c r="H474" s="59"/>
      <c r="I474" s="61"/>
      <c r="J474" s="61"/>
      <c r="K474" s="61"/>
      <c r="L474" s="62"/>
      <c r="M474" s="62"/>
      <c r="N474" s="63"/>
      <c r="O474" s="63"/>
      <c r="P474" s="63"/>
      <c r="Q474" s="63"/>
      <c r="R474" s="63"/>
      <c r="S474" s="63"/>
      <c r="T474" s="63"/>
      <c r="U474" s="63"/>
      <c r="V474" s="63"/>
      <c r="W474" s="63"/>
      <c r="X474" s="63"/>
      <c r="Y474" s="63"/>
      <c r="Z474" s="62"/>
    </row>
    <row r="475" ht="14.25" customHeight="1">
      <c r="A475" s="59"/>
      <c r="B475" s="97"/>
      <c r="C475" s="97"/>
      <c r="D475" s="97"/>
      <c r="E475" s="97"/>
      <c r="F475" s="97"/>
      <c r="G475" s="97"/>
      <c r="H475" s="59"/>
      <c r="I475" s="61"/>
      <c r="J475" s="61"/>
      <c r="K475" s="61"/>
      <c r="L475" s="62"/>
      <c r="M475" s="62"/>
      <c r="N475" s="63"/>
      <c r="O475" s="63"/>
      <c r="P475" s="63"/>
      <c r="Q475" s="63"/>
      <c r="R475" s="63"/>
      <c r="S475" s="63"/>
      <c r="T475" s="63"/>
      <c r="U475" s="63"/>
      <c r="V475" s="63"/>
      <c r="W475" s="63"/>
      <c r="X475" s="63"/>
      <c r="Y475" s="63"/>
      <c r="Z475" s="62"/>
    </row>
    <row r="476" ht="14.25" customHeight="1">
      <c r="A476" s="59"/>
      <c r="B476" s="97"/>
      <c r="C476" s="97"/>
      <c r="D476" s="97"/>
      <c r="E476" s="97"/>
      <c r="F476" s="97"/>
      <c r="G476" s="97"/>
      <c r="H476" s="59"/>
      <c r="I476" s="61"/>
      <c r="J476" s="61"/>
      <c r="K476" s="61"/>
      <c r="L476" s="62"/>
      <c r="M476" s="62"/>
      <c r="N476" s="63"/>
      <c r="O476" s="63"/>
      <c r="P476" s="63"/>
      <c r="Q476" s="63"/>
      <c r="R476" s="63"/>
      <c r="S476" s="63"/>
      <c r="T476" s="63"/>
      <c r="U476" s="63"/>
      <c r="V476" s="63"/>
      <c r="W476" s="63"/>
      <c r="X476" s="63"/>
      <c r="Y476" s="63"/>
      <c r="Z476" s="62"/>
    </row>
    <row r="477" ht="14.25" customHeight="1">
      <c r="A477" s="59"/>
      <c r="B477" s="97"/>
      <c r="C477" s="97"/>
      <c r="D477" s="97"/>
      <c r="E477" s="97"/>
      <c r="F477" s="97"/>
      <c r="G477" s="97"/>
      <c r="H477" s="59"/>
      <c r="I477" s="61"/>
      <c r="J477" s="61"/>
      <c r="K477" s="61"/>
      <c r="L477" s="62"/>
      <c r="M477" s="62"/>
      <c r="N477" s="63"/>
      <c r="O477" s="63"/>
      <c r="P477" s="63"/>
      <c r="Q477" s="63"/>
      <c r="R477" s="63"/>
      <c r="S477" s="63"/>
      <c r="T477" s="63"/>
      <c r="U477" s="63"/>
      <c r="V477" s="63"/>
      <c r="W477" s="63"/>
      <c r="X477" s="63"/>
      <c r="Y477" s="63"/>
      <c r="Z477" s="62"/>
    </row>
    <row r="478" ht="14.25" customHeight="1">
      <c r="A478" s="59"/>
      <c r="B478" s="97"/>
      <c r="C478" s="97"/>
      <c r="D478" s="97"/>
      <c r="E478" s="97"/>
      <c r="F478" s="97"/>
      <c r="G478" s="97"/>
      <c r="H478" s="59"/>
      <c r="I478" s="61"/>
      <c r="J478" s="61"/>
      <c r="K478" s="61"/>
      <c r="L478" s="62"/>
      <c r="M478" s="62"/>
      <c r="N478" s="63"/>
      <c r="O478" s="63"/>
      <c r="P478" s="63"/>
      <c r="Q478" s="63"/>
      <c r="R478" s="63"/>
      <c r="S478" s="63"/>
      <c r="T478" s="63"/>
      <c r="U478" s="63"/>
      <c r="V478" s="63"/>
      <c r="W478" s="63"/>
      <c r="X478" s="63"/>
      <c r="Y478" s="63"/>
      <c r="Z478" s="62"/>
    </row>
    <row r="479" ht="14.25" customHeight="1">
      <c r="A479" s="59"/>
      <c r="B479" s="97"/>
      <c r="C479" s="97"/>
      <c r="D479" s="97"/>
      <c r="E479" s="97"/>
      <c r="F479" s="97"/>
      <c r="G479" s="97"/>
      <c r="H479" s="59"/>
      <c r="I479" s="61"/>
      <c r="J479" s="61"/>
      <c r="K479" s="61"/>
      <c r="L479" s="62"/>
      <c r="M479" s="62"/>
      <c r="N479" s="63"/>
      <c r="O479" s="63"/>
      <c r="P479" s="63"/>
      <c r="Q479" s="63"/>
      <c r="R479" s="63"/>
      <c r="S479" s="63"/>
      <c r="T479" s="63"/>
      <c r="U479" s="63"/>
      <c r="V479" s="63"/>
      <c r="W479" s="63"/>
      <c r="X479" s="63"/>
      <c r="Y479" s="63"/>
      <c r="Z479" s="62"/>
    </row>
    <row r="480" ht="14.25" customHeight="1">
      <c r="A480" s="59"/>
      <c r="B480" s="97"/>
      <c r="C480" s="97"/>
      <c r="D480" s="97"/>
      <c r="E480" s="97"/>
      <c r="F480" s="97"/>
      <c r="G480" s="97"/>
      <c r="H480" s="59"/>
      <c r="I480" s="61"/>
      <c r="J480" s="61"/>
      <c r="K480" s="61"/>
      <c r="L480" s="62"/>
      <c r="M480" s="62"/>
      <c r="N480" s="63"/>
      <c r="O480" s="63"/>
      <c r="P480" s="63"/>
      <c r="Q480" s="63"/>
      <c r="R480" s="63"/>
      <c r="S480" s="63"/>
      <c r="T480" s="63"/>
      <c r="U480" s="63"/>
      <c r="V480" s="63"/>
      <c r="W480" s="63"/>
      <c r="X480" s="63"/>
      <c r="Y480" s="63"/>
      <c r="Z480" s="62"/>
    </row>
    <row r="481" ht="14.25" customHeight="1">
      <c r="A481" s="59"/>
      <c r="B481" s="97"/>
      <c r="C481" s="97"/>
      <c r="D481" s="97"/>
      <c r="E481" s="97"/>
      <c r="F481" s="97"/>
      <c r="G481" s="97"/>
      <c r="H481" s="59"/>
      <c r="I481" s="61"/>
      <c r="J481" s="61"/>
      <c r="K481" s="61"/>
      <c r="L481" s="62"/>
      <c r="M481" s="62"/>
      <c r="N481" s="63"/>
      <c r="O481" s="63"/>
      <c r="P481" s="63"/>
      <c r="Q481" s="63"/>
      <c r="R481" s="63"/>
      <c r="S481" s="63"/>
      <c r="T481" s="63"/>
      <c r="U481" s="63"/>
      <c r="V481" s="63"/>
      <c r="W481" s="63"/>
      <c r="X481" s="63"/>
      <c r="Y481" s="63"/>
      <c r="Z481" s="62"/>
    </row>
    <row r="482" ht="14.25" customHeight="1">
      <c r="A482" s="59"/>
      <c r="B482" s="97"/>
      <c r="C482" s="97"/>
      <c r="D482" s="97"/>
      <c r="E482" s="97"/>
      <c r="F482" s="97"/>
      <c r="G482" s="97"/>
      <c r="H482" s="59"/>
      <c r="I482" s="61"/>
      <c r="J482" s="61"/>
      <c r="K482" s="61"/>
      <c r="L482" s="62"/>
      <c r="M482" s="62"/>
      <c r="N482" s="63"/>
      <c r="O482" s="63"/>
      <c r="P482" s="63"/>
      <c r="Q482" s="63"/>
      <c r="R482" s="63"/>
      <c r="S482" s="63"/>
      <c r="T482" s="63"/>
      <c r="U482" s="63"/>
      <c r="V482" s="63"/>
      <c r="W482" s="63"/>
      <c r="X482" s="63"/>
      <c r="Y482" s="63"/>
      <c r="Z482" s="62"/>
    </row>
    <row r="483" ht="14.25" customHeight="1">
      <c r="A483" s="59"/>
      <c r="B483" s="97"/>
      <c r="C483" s="97"/>
      <c r="D483" s="97"/>
      <c r="E483" s="97"/>
      <c r="F483" s="97"/>
      <c r="G483" s="97"/>
      <c r="H483" s="59"/>
      <c r="I483" s="61"/>
      <c r="J483" s="61"/>
      <c r="K483" s="61"/>
      <c r="L483" s="62"/>
      <c r="M483" s="62"/>
      <c r="N483" s="63"/>
      <c r="O483" s="63"/>
      <c r="P483" s="63"/>
      <c r="Q483" s="63"/>
      <c r="R483" s="63"/>
      <c r="S483" s="63"/>
      <c r="T483" s="63"/>
      <c r="U483" s="63"/>
      <c r="V483" s="63"/>
      <c r="W483" s="63"/>
      <c r="X483" s="63"/>
      <c r="Y483" s="63"/>
      <c r="Z483" s="62"/>
    </row>
    <row r="484" ht="14.25" customHeight="1">
      <c r="A484" s="59"/>
      <c r="B484" s="97"/>
      <c r="C484" s="97"/>
      <c r="D484" s="97"/>
      <c r="E484" s="97"/>
      <c r="F484" s="97"/>
      <c r="G484" s="97"/>
      <c r="H484" s="59"/>
      <c r="I484" s="61"/>
      <c r="J484" s="61"/>
      <c r="K484" s="61"/>
      <c r="L484" s="62"/>
      <c r="M484" s="62"/>
      <c r="N484" s="63"/>
      <c r="O484" s="63"/>
      <c r="P484" s="63"/>
      <c r="Q484" s="63"/>
      <c r="R484" s="63"/>
      <c r="S484" s="63"/>
      <c r="T484" s="63"/>
      <c r="U484" s="63"/>
      <c r="V484" s="63"/>
      <c r="W484" s="63"/>
      <c r="X484" s="63"/>
      <c r="Y484" s="63"/>
      <c r="Z484" s="62"/>
    </row>
    <row r="485" ht="14.25" customHeight="1">
      <c r="A485" s="59"/>
      <c r="B485" s="97"/>
      <c r="C485" s="97"/>
      <c r="D485" s="97"/>
      <c r="E485" s="97"/>
      <c r="F485" s="97"/>
      <c r="G485" s="97"/>
      <c r="H485" s="59"/>
      <c r="I485" s="61"/>
      <c r="J485" s="61"/>
      <c r="K485" s="61"/>
      <c r="L485" s="62"/>
      <c r="M485" s="62"/>
      <c r="N485" s="63"/>
      <c r="O485" s="63"/>
      <c r="P485" s="63"/>
      <c r="Q485" s="63"/>
      <c r="R485" s="63"/>
      <c r="S485" s="63"/>
      <c r="T485" s="63"/>
      <c r="U485" s="63"/>
      <c r="V485" s="63"/>
      <c r="W485" s="63"/>
      <c r="X485" s="63"/>
      <c r="Y485" s="63"/>
      <c r="Z485" s="62"/>
    </row>
    <row r="486" ht="14.25" customHeight="1">
      <c r="A486" s="59"/>
      <c r="B486" s="97"/>
      <c r="C486" s="97"/>
      <c r="D486" s="97"/>
      <c r="E486" s="97"/>
      <c r="F486" s="97"/>
      <c r="G486" s="97"/>
      <c r="H486" s="59"/>
      <c r="I486" s="61"/>
      <c r="J486" s="61"/>
      <c r="K486" s="61"/>
      <c r="L486" s="62"/>
      <c r="M486" s="62"/>
      <c r="N486" s="63"/>
      <c r="O486" s="63"/>
      <c r="P486" s="63"/>
      <c r="Q486" s="63"/>
      <c r="R486" s="63"/>
      <c r="S486" s="63"/>
      <c r="T486" s="63"/>
      <c r="U486" s="63"/>
      <c r="V486" s="63"/>
      <c r="W486" s="63"/>
      <c r="X486" s="63"/>
      <c r="Y486" s="63"/>
      <c r="Z486" s="62"/>
    </row>
    <row r="487" ht="14.25" customHeight="1">
      <c r="A487" s="59"/>
      <c r="B487" s="97"/>
      <c r="C487" s="97"/>
      <c r="D487" s="97"/>
      <c r="E487" s="97"/>
      <c r="F487" s="97"/>
      <c r="G487" s="97"/>
      <c r="H487" s="59"/>
      <c r="I487" s="61"/>
      <c r="J487" s="61"/>
      <c r="K487" s="61"/>
      <c r="L487" s="62"/>
      <c r="M487" s="62"/>
      <c r="N487" s="63"/>
      <c r="O487" s="63"/>
      <c r="P487" s="63"/>
      <c r="Q487" s="63"/>
      <c r="R487" s="63"/>
      <c r="S487" s="63"/>
      <c r="T487" s="63"/>
      <c r="U487" s="63"/>
      <c r="V487" s="63"/>
      <c r="W487" s="63"/>
      <c r="X487" s="63"/>
      <c r="Y487" s="63"/>
      <c r="Z487" s="62"/>
    </row>
    <row r="488" ht="14.25" customHeight="1">
      <c r="A488" s="59"/>
      <c r="B488" s="97"/>
      <c r="C488" s="97"/>
      <c r="D488" s="97"/>
      <c r="E488" s="97"/>
      <c r="F488" s="97"/>
      <c r="G488" s="97"/>
      <c r="H488" s="59"/>
      <c r="I488" s="61"/>
      <c r="J488" s="61"/>
      <c r="K488" s="61"/>
      <c r="L488" s="62"/>
      <c r="M488" s="62"/>
      <c r="N488" s="63"/>
      <c r="O488" s="63"/>
      <c r="P488" s="63"/>
      <c r="Q488" s="63"/>
      <c r="R488" s="63"/>
      <c r="S488" s="63"/>
      <c r="T488" s="63"/>
      <c r="U488" s="63"/>
      <c r="V488" s="63"/>
      <c r="W488" s="63"/>
      <c r="X488" s="63"/>
      <c r="Y488" s="63"/>
      <c r="Z488" s="62"/>
    </row>
    <row r="489" ht="14.25" customHeight="1">
      <c r="A489" s="59"/>
      <c r="B489" s="97"/>
      <c r="C489" s="97"/>
      <c r="D489" s="97"/>
      <c r="E489" s="97"/>
      <c r="F489" s="97"/>
      <c r="G489" s="97"/>
      <c r="H489" s="59"/>
      <c r="I489" s="61"/>
      <c r="J489" s="61"/>
      <c r="K489" s="61"/>
      <c r="L489" s="62"/>
      <c r="M489" s="62"/>
      <c r="N489" s="63"/>
      <c r="O489" s="63"/>
      <c r="P489" s="63"/>
      <c r="Q489" s="63"/>
      <c r="R489" s="63"/>
      <c r="S489" s="63"/>
      <c r="T489" s="63"/>
      <c r="U489" s="63"/>
      <c r="V489" s="63"/>
      <c r="W489" s="63"/>
      <c r="X489" s="63"/>
      <c r="Y489" s="63"/>
      <c r="Z489" s="62"/>
    </row>
    <row r="490" ht="14.25" customHeight="1">
      <c r="A490" s="59"/>
      <c r="B490" s="97"/>
      <c r="C490" s="97"/>
      <c r="D490" s="97"/>
      <c r="E490" s="97"/>
      <c r="F490" s="97"/>
      <c r="G490" s="97"/>
      <c r="H490" s="59"/>
      <c r="I490" s="61"/>
      <c r="J490" s="61"/>
      <c r="K490" s="61"/>
      <c r="L490" s="62"/>
      <c r="M490" s="62"/>
      <c r="N490" s="63"/>
      <c r="O490" s="63"/>
      <c r="P490" s="63"/>
      <c r="Q490" s="63"/>
      <c r="R490" s="63"/>
      <c r="S490" s="63"/>
      <c r="T490" s="63"/>
      <c r="U490" s="63"/>
      <c r="V490" s="63"/>
      <c r="W490" s="63"/>
      <c r="X490" s="63"/>
      <c r="Y490" s="63"/>
      <c r="Z490" s="62"/>
    </row>
    <row r="491" ht="14.25" customHeight="1">
      <c r="A491" s="59"/>
      <c r="B491" s="97"/>
      <c r="C491" s="97"/>
      <c r="D491" s="97"/>
      <c r="E491" s="97"/>
      <c r="F491" s="97"/>
      <c r="G491" s="97"/>
      <c r="H491" s="59"/>
      <c r="I491" s="61"/>
      <c r="J491" s="61"/>
      <c r="K491" s="61"/>
      <c r="L491" s="62"/>
      <c r="M491" s="62"/>
      <c r="N491" s="63"/>
      <c r="O491" s="63"/>
      <c r="P491" s="63"/>
      <c r="Q491" s="63"/>
      <c r="R491" s="63"/>
      <c r="S491" s="63"/>
      <c r="T491" s="63"/>
      <c r="U491" s="63"/>
      <c r="V491" s="63"/>
      <c r="W491" s="63"/>
      <c r="X491" s="63"/>
      <c r="Y491" s="63"/>
      <c r="Z491" s="62"/>
    </row>
    <row r="492" ht="14.25" customHeight="1">
      <c r="A492" s="59"/>
      <c r="B492" s="97"/>
      <c r="C492" s="97"/>
      <c r="D492" s="97"/>
      <c r="E492" s="97"/>
      <c r="F492" s="97"/>
      <c r="G492" s="97"/>
      <c r="H492" s="59"/>
      <c r="I492" s="61"/>
      <c r="J492" s="61"/>
      <c r="K492" s="61"/>
      <c r="L492" s="62"/>
      <c r="M492" s="62"/>
      <c r="N492" s="63"/>
      <c r="O492" s="63"/>
      <c r="P492" s="63"/>
      <c r="Q492" s="63"/>
      <c r="R492" s="63"/>
      <c r="S492" s="63"/>
      <c r="T492" s="63"/>
      <c r="U492" s="63"/>
      <c r="V492" s="63"/>
      <c r="W492" s="63"/>
      <c r="X492" s="63"/>
      <c r="Y492" s="63"/>
      <c r="Z492" s="62"/>
    </row>
    <row r="493" ht="14.25" customHeight="1">
      <c r="A493" s="59"/>
      <c r="B493" s="97"/>
      <c r="C493" s="97"/>
      <c r="D493" s="97"/>
      <c r="E493" s="97"/>
      <c r="F493" s="97"/>
      <c r="G493" s="97"/>
      <c r="H493" s="59"/>
      <c r="I493" s="61"/>
      <c r="J493" s="61"/>
      <c r="K493" s="61"/>
      <c r="L493" s="62"/>
      <c r="M493" s="62"/>
      <c r="N493" s="63"/>
      <c r="O493" s="63"/>
      <c r="P493" s="63"/>
      <c r="Q493" s="63"/>
      <c r="R493" s="63"/>
      <c r="S493" s="63"/>
      <c r="T493" s="63"/>
      <c r="U493" s="63"/>
      <c r="V493" s="63"/>
      <c r="W493" s="63"/>
      <c r="X493" s="63"/>
      <c r="Y493" s="63"/>
      <c r="Z493" s="62"/>
    </row>
    <row r="494" ht="14.25" customHeight="1">
      <c r="A494" s="59"/>
      <c r="B494" s="97"/>
      <c r="C494" s="97"/>
      <c r="D494" s="97"/>
      <c r="E494" s="97"/>
      <c r="F494" s="97"/>
      <c r="G494" s="97"/>
      <c r="H494" s="59"/>
      <c r="I494" s="61"/>
      <c r="J494" s="61"/>
      <c r="K494" s="61"/>
      <c r="L494" s="62"/>
      <c r="M494" s="62"/>
      <c r="N494" s="63"/>
      <c r="O494" s="63"/>
      <c r="P494" s="63"/>
      <c r="Q494" s="63"/>
      <c r="R494" s="63"/>
      <c r="S494" s="63"/>
      <c r="T494" s="63"/>
      <c r="U494" s="63"/>
      <c r="V494" s="63"/>
      <c r="W494" s="63"/>
      <c r="X494" s="63"/>
      <c r="Y494" s="63"/>
      <c r="Z494" s="62"/>
    </row>
    <row r="495" ht="14.25" customHeight="1">
      <c r="A495" s="59"/>
      <c r="B495" s="97"/>
      <c r="C495" s="97"/>
      <c r="D495" s="97"/>
      <c r="E495" s="97"/>
      <c r="F495" s="97"/>
      <c r="G495" s="97"/>
      <c r="H495" s="59"/>
      <c r="I495" s="61"/>
      <c r="J495" s="61"/>
      <c r="K495" s="61"/>
      <c r="L495" s="62"/>
      <c r="M495" s="62"/>
      <c r="N495" s="63"/>
      <c r="O495" s="63"/>
      <c r="P495" s="63"/>
      <c r="Q495" s="63"/>
      <c r="R495" s="63"/>
      <c r="S495" s="63"/>
      <c r="T495" s="63"/>
      <c r="U495" s="63"/>
      <c r="V495" s="63"/>
      <c r="W495" s="63"/>
      <c r="X495" s="63"/>
      <c r="Y495" s="63"/>
      <c r="Z495" s="62"/>
    </row>
    <row r="496" ht="14.25" customHeight="1">
      <c r="A496" s="59"/>
      <c r="B496" s="97"/>
      <c r="C496" s="97"/>
      <c r="D496" s="97"/>
      <c r="E496" s="97"/>
      <c r="F496" s="97"/>
      <c r="G496" s="97"/>
      <c r="H496" s="59"/>
      <c r="I496" s="61"/>
      <c r="J496" s="61"/>
      <c r="K496" s="61"/>
      <c r="L496" s="62"/>
      <c r="M496" s="62"/>
      <c r="N496" s="63"/>
      <c r="O496" s="63"/>
      <c r="P496" s="63"/>
      <c r="Q496" s="63"/>
      <c r="R496" s="63"/>
      <c r="S496" s="63"/>
      <c r="T496" s="63"/>
      <c r="U496" s="63"/>
      <c r="V496" s="63"/>
      <c r="W496" s="63"/>
      <c r="X496" s="63"/>
      <c r="Y496" s="63"/>
      <c r="Z496" s="62"/>
    </row>
    <row r="497" ht="14.25" customHeight="1">
      <c r="A497" s="59"/>
      <c r="B497" s="97"/>
      <c r="C497" s="97"/>
      <c r="D497" s="97"/>
      <c r="E497" s="97"/>
      <c r="F497" s="97"/>
      <c r="G497" s="97"/>
      <c r="H497" s="59"/>
      <c r="I497" s="61"/>
      <c r="J497" s="61"/>
      <c r="K497" s="61"/>
      <c r="L497" s="62"/>
      <c r="M497" s="62"/>
      <c r="N497" s="63"/>
      <c r="O497" s="63"/>
      <c r="P497" s="63"/>
      <c r="Q497" s="63"/>
      <c r="R497" s="63"/>
      <c r="S497" s="63"/>
      <c r="T497" s="63"/>
      <c r="U497" s="63"/>
      <c r="V497" s="63"/>
      <c r="W497" s="63"/>
      <c r="X497" s="63"/>
      <c r="Y497" s="63"/>
      <c r="Z497" s="62"/>
    </row>
    <row r="498" ht="14.25" customHeight="1">
      <c r="A498" s="59"/>
      <c r="B498" s="97"/>
      <c r="C498" s="97"/>
      <c r="D498" s="97"/>
      <c r="E498" s="97"/>
      <c r="F498" s="97"/>
      <c r="G498" s="97"/>
      <c r="H498" s="59"/>
      <c r="I498" s="61"/>
      <c r="J498" s="61"/>
      <c r="K498" s="61"/>
      <c r="L498" s="62"/>
      <c r="M498" s="62"/>
      <c r="N498" s="63"/>
      <c r="O498" s="63"/>
      <c r="P498" s="63"/>
      <c r="Q498" s="63"/>
      <c r="R498" s="63"/>
      <c r="S498" s="63"/>
      <c r="T498" s="63"/>
      <c r="U498" s="63"/>
      <c r="V498" s="63"/>
      <c r="W498" s="63"/>
      <c r="X498" s="63"/>
      <c r="Y498" s="63"/>
      <c r="Z498" s="62"/>
    </row>
    <row r="499" ht="14.25" customHeight="1">
      <c r="A499" s="59"/>
      <c r="B499" s="97"/>
      <c r="C499" s="97"/>
      <c r="D499" s="97"/>
      <c r="E499" s="97"/>
      <c r="F499" s="97"/>
      <c r="G499" s="97"/>
      <c r="H499" s="59"/>
      <c r="I499" s="61"/>
      <c r="J499" s="61"/>
      <c r="K499" s="61"/>
      <c r="L499" s="62"/>
      <c r="M499" s="62"/>
      <c r="N499" s="63"/>
      <c r="O499" s="63"/>
      <c r="P499" s="63"/>
      <c r="Q499" s="63"/>
      <c r="R499" s="63"/>
      <c r="S499" s="63"/>
      <c r="T499" s="63"/>
      <c r="U499" s="63"/>
      <c r="V499" s="63"/>
      <c r="W499" s="63"/>
      <c r="X499" s="63"/>
      <c r="Y499" s="63"/>
      <c r="Z499" s="62"/>
    </row>
    <row r="500" ht="14.25" customHeight="1">
      <c r="A500" s="59"/>
      <c r="B500" s="97"/>
      <c r="C500" s="97"/>
      <c r="D500" s="97"/>
      <c r="E500" s="97"/>
      <c r="F500" s="97"/>
      <c r="G500" s="97"/>
      <c r="H500" s="59"/>
      <c r="I500" s="61"/>
      <c r="J500" s="61"/>
      <c r="K500" s="61"/>
      <c r="L500" s="62"/>
      <c r="M500" s="62"/>
      <c r="N500" s="63"/>
      <c r="O500" s="63"/>
      <c r="P500" s="63"/>
      <c r="Q500" s="63"/>
      <c r="R500" s="63"/>
      <c r="S500" s="63"/>
      <c r="T500" s="63"/>
      <c r="U500" s="63"/>
      <c r="V500" s="63"/>
      <c r="W500" s="63"/>
      <c r="X500" s="63"/>
      <c r="Y500" s="63"/>
      <c r="Z500" s="62"/>
    </row>
    <row r="501" ht="14.25" customHeight="1">
      <c r="A501" s="59"/>
      <c r="B501" s="97"/>
      <c r="C501" s="97"/>
      <c r="D501" s="97"/>
      <c r="E501" s="97"/>
      <c r="F501" s="97"/>
      <c r="G501" s="97"/>
      <c r="H501" s="59"/>
      <c r="I501" s="61"/>
      <c r="J501" s="61"/>
      <c r="K501" s="61"/>
      <c r="L501" s="62"/>
      <c r="M501" s="62"/>
      <c r="N501" s="63"/>
      <c r="O501" s="63"/>
      <c r="P501" s="63"/>
      <c r="Q501" s="63"/>
      <c r="R501" s="63"/>
      <c r="S501" s="63"/>
      <c r="T501" s="63"/>
      <c r="U501" s="63"/>
      <c r="V501" s="63"/>
      <c r="W501" s="63"/>
      <c r="X501" s="63"/>
      <c r="Y501" s="63"/>
      <c r="Z501" s="62"/>
    </row>
    <row r="502" ht="14.25" customHeight="1">
      <c r="A502" s="59"/>
      <c r="B502" s="97"/>
      <c r="C502" s="97"/>
      <c r="D502" s="97"/>
      <c r="E502" s="97"/>
      <c r="F502" s="97"/>
      <c r="G502" s="97"/>
      <c r="H502" s="59"/>
      <c r="I502" s="61"/>
      <c r="J502" s="61"/>
      <c r="K502" s="61"/>
      <c r="L502" s="62"/>
      <c r="M502" s="62"/>
      <c r="N502" s="63"/>
      <c r="O502" s="63"/>
      <c r="P502" s="63"/>
      <c r="Q502" s="63"/>
      <c r="R502" s="63"/>
      <c r="S502" s="63"/>
      <c r="T502" s="63"/>
      <c r="U502" s="63"/>
      <c r="V502" s="63"/>
      <c r="W502" s="63"/>
      <c r="X502" s="63"/>
      <c r="Y502" s="63"/>
      <c r="Z502" s="62"/>
    </row>
    <row r="503" ht="14.25" customHeight="1">
      <c r="A503" s="59"/>
      <c r="B503" s="97"/>
      <c r="C503" s="97"/>
      <c r="D503" s="97"/>
      <c r="E503" s="97"/>
      <c r="F503" s="97"/>
      <c r="G503" s="97"/>
      <c r="H503" s="59"/>
      <c r="I503" s="61"/>
      <c r="J503" s="61"/>
      <c r="K503" s="61"/>
      <c r="L503" s="62"/>
      <c r="M503" s="62"/>
      <c r="N503" s="63"/>
      <c r="O503" s="63"/>
      <c r="P503" s="63"/>
      <c r="Q503" s="63"/>
      <c r="R503" s="63"/>
      <c r="S503" s="63"/>
      <c r="T503" s="63"/>
      <c r="U503" s="63"/>
      <c r="V503" s="63"/>
      <c r="W503" s="63"/>
      <c r="X503" s="63"/>
      <c r="Y503" s="63"/>
      <c r="Z503" s="62"/>
    </row>
    <row r="504" ht="14.25" customHeight="1">
      <c r="A504" s="59"/>
      <c r="B504" s="97"/>
      <c r="C504" s="97"/>
      <c r="D504" s="97"/>
      <c r="E504" s="97"/>
      <c r="F504" s="97"/>
      <c r="G504" s="97"/>
      <c r="H504" s="59"/>
      <c r="I504" s="61"/>
      <c r="J504" s="61"/>
      <c r="K504" s="61"/>
      <c r="L504" s="62"/>
      <c r="M504" s="62"/>
      <c r="N504" s="63"/>
      <c r="O504" s="63"/>
      <c r="P504" s="63"/>
      <c r="Q504" s="63"/>
      <c r="R504" s="63"/>
      <c r="S504" s="63"/>
      <c r="T504" s="63"/>
      <c r="U504" s="63"/>
      <c r="V504" s="63"/>
      <c r="W504" s="63"/>
      <c r="X504" s="63"/>
      <c r="Y504" s="63"/>
      <c r="Z504" s="62"/>
    </row>
    <row r="505" ht="14.25" customHeight="1">
      <c r="A505" s="59"/>
      <c r="B505" s="97"/>
      <c r="C505" s="97"/>
      <c r="D505" s="97"/>
      <c r="E505" s="97"/>
      <c r="F505" s="97"/>
      <c r="G505" s="97"/>
      <c r="H505" s="59"/>
      <c r="I505" s="61"/>
      <c r="J505" s="61"/>
      <c r="K505" s="61"/>
      <c r="L505" s="62"/>
      <c r="M505" s="62"/>
      <c r="N505" s="63"/>
      <c r="O505" s="63"/>
      <c r="P505" s="63"/>
      <c r="Q505" s="63"/>
      <c r="R505" s="63"/>
      <c r="S505" s="63"/>
      <c r="T505" s="63"/>
      <c r="U505" s="63"/>
      <c r="V505" s="63"/>
      <c r="W505" s="63"/>
      <c r="X505" s="63"/>
      <c r="Y505" s="63"/>
      <c r="Z505" s="62"/>
    </row>
    <row r="506" ht="14.25" customHeight="1">
      <c r="A506" s="59"/>
      <c r="B506" s="97"/>
      <c r="C506" s="97"/>
      <c r="D506" s="97"/>
      <c r="E506" s="97"/>
      <c r="F506" s="97"/>
      <c r="G506" s="97"/>
      <c r="H506" s="59"/>
      <c r="I506" s="61"/>
      <c r="J506" s="61"/>
      <c r="K506" s="61"/>
      <c r="L506" s="62"/>
      <c r="M506" s="62"/>
      <c r="N506" s="63"/>
      <c r="O506" s="63"/>
      <c r="P506" s="63"/>
      <c r="Q506" s="63"/>
      <c r="R506" s="63"/>
      <c r="S506" s="63"/>
      <c r="T506" s="63"/>
      <c r="U506" s="63"/>
      <c r="V506" s="63"/>
      <c r="W506" s="63"/>
      <c r="X506" s="63"/>
      <c r="Y506" s="63"/>
      <c r="Z506" s="62"/>
    </row>
    <row r="507" ht="14.25" customHeight="1">
      <c r="A507" s="59"/>
      <c r="B507" s="97"/>
      <c r="C507" s="97"/>
      <c r="D507" s="97"/>
      <c r="E507" s="97"/>
      <c r="F507" s="97"/>
      <c r="G507" s="97"/>
      <c r="H507" s="59"/>
      <c r="I507" s="61"/>
      <c r="J507" s="61"/>
      <c r="K507" s="61"/>
      <c r="L507" s="62"/>
      <c r="M507" s="62"/>
      <c r="N507" s="63"/>
      <c r="O507" s="63"/>
      <c r="P507" s="63"/>
      <c r="Q507" s="63"/>
      <c r="R507" s="63"/>
      <c r="S507" s="63"/>
      <c r="T507" s="63"/>
      <c r="U507" s="63"/>
      <c r="V507" s="63"/>
      <c r="W507" s="63"/>
      <c r="X507" s="63"/>
      <c r="Y507" s="63"/>
      <c r="Z507" s="62"/>
    </row>
    <row r="508" ht="14.25" customHeight="1">
      <c r="A508" s="59"/>
      <c r="B508" s="97"/>
      <c r="C508" s="97"/>
      <c r="D508" s="97"/>
      <c r="E508" s="97"/>
      <c r="F508" s="97"/>
      <c r="G508" s="97"/>
      <c r="H508" s="59"/>
      <c r="I508" s="61"/>
      <c r="J508" s="61"/>
      <c r="K508" s="61"/>
      <c r="L508" s="62"/>
      <c r="M508" s="62"/>
      <c r="N508" s="63"/>
      <c r="O508" s="63"/>
      <c r="P508" s="63"/>
      <c r="Q508" s="63"/>
      <c r="R508" s="63"/>
      <c r="S508" s="63"/>
      <c r="T508" s="63"/>
      <c r="U508" s="63"/>
      <c r="V508" s="63"/>
      <c r="W508" s="63"/>
      <c r="X508" s="63"/>
      <c r="Y508" s="63"/>
      <c r="Z508" s="62"/>
    </row>
    <row r="509" ht="14.25" customHeight="1">
      <c r="A509" s="59"/>
      <c r="B509" s="97"/>
      <c r="C509" s="97"/>
      <c r="D509" s="97"/>
      <c r="E509" s="97"/>
      <c r="F509" s="97"/>
      <c r="G509" s="97"/>
      <c r="H509" s="59"/>
      <c r="I509" s="61"/>
      <c r="J509" s="61"/>
      <c r="K509" s="61"/>
      <c r="L509" s="62"/>
      <c r="M509" s="62"/>
      <c r="N509" s="63"/>
      <c r="O509" s="63"/>
      <c r="P509" s="63"/>
      <c r="Q509" s="63"/>
      <c r="R509" s="63"/>
      <c r="S509" s="63"/>
      <c r="T509" s="63"/>
      <c r="U509" s="63"/>
      <c r="V509" s="63"/>
      <c r="W509" s="63"/>
      <c r="X509" s="63"/>
      <c r="Y509" s="63"/>
      <c r="Z509" s="62"/>
    </row>
    <row r="510" ht="14.25" customHeight="1">
      <c r="A510" s="59"/>
      <c r="B510" s="97"/>
      <c r="C510" s="97"/>
      <c r="D510" s="97"/>
      <c r="E510" s="97"/>
      <c r="F510" s="97"/>
      <c r="G510" s="97"/>
      <c r="H510" s="59"/>
      <c r="I510" s="61"/>
      <c r="J510" s="61"/>
      <c r="K510" s="61"/>
      <c r="L510" s="62"/>
      <c r="M510" s="62"/>
      <c r="N510" s="63"/>
      <c r="O510" s="63"/>
      <c r="P510" s="63"/>
      <c r="Q510" s="63"/>
      <c r="R510" s="63"/>
      <c r="S510" s="63"/>
      <c r="T510" s="63"/>
      <c r="U510" s="63"/>
      <c r="V510" s="63"/>
      <c r="W510" s="63"/>
      <c r="X510" s="63"/>
      <c r="Y510" s="63"/>
      <c r="Z510" s="62"/>
    </row>
    <row r="511" ht="14.25" customHeight="1">
      <c r="A511" s="59"/>
      <c r="B511" s="97"/>
      <c r="C511" s="97"/>
      <c r="D511" s="97"/>
      <c r="E511" s="97"/>
      <c r="F511" s="97"/>
      <c r="G511" s="97"/>
      <c r="H511" s="59"/>
      <c r="I511" s="61"/>
      <c r="J511" s="61"/>
      <c r="K511" s="61"/>
      <c r="L511" s="62"/>
      <c r="M511" s="62"/>
      <c r="N511" s="63"/>
      <c r="O511" s="63"/>
      <c r="P511" s="63"/>
      <c r="Q511" s="63"/>
      <c r="R511" s="63"/>
      <c r="S511" s="63"/>
      <c r="T511" s="63"/>
      <c r="U511" s="63"/>
      <c r="V511" s="63"/>
      <c r="W511" s="63"/>
      <c r="X511" s="63"/>
      <c r="Y511" s="63"/>
      <c r="Z511" s="62"/>
    </row>
    <row r="512" ht="14.25" customHeight="1">
      <c r="A512" s="59"/>
      <c r="B512" s="97"/>
      <c r="C512" s="97"/>
      <c r="D512" s="97"/>
      <c r="E512" s="97"/>
      <c r="F512" s="97"/>
      <c r="G512" s="97"/>
      <c r="H512" s="59"/>
      <c r="I512" s="61"/>
      <c r="J512" s="61"/>
      <c r="K512" s="61"/>
      <c r="L512" s="62"/>
      <c r="M512" s="62"/>
      <c r="N512" s="63"/>
      <c r="O512" s="63"/>
      <c r="P512" s="63"/>
      <c r="Q512" s="63"/>
      <c r="R512" s="63"/>
      <c r="S512" s="63"/>
      <c r="T512" s="63"/>
      <c r="U512" s="63"/>
      <c r="V512" s="63"/>
      <c r="W512" s="63"/>
      <c r="X512" s="63"/>
      <c r="Y512" s="63"/>
      <c r="Z512" s="62"/>
    </row>
    <row r="513" ht="14.25" customHeight="1">
      <c r="A513" s="59"/>
      <c r="B513" s="97"/>
      <c r="C513" s="97"/>
      <c r="D513" s="97"/>
      <c r="E513" s="97"/>
      <c r="F513" s="97"/>
      <c r="G513" s="97"/>
      <c r="H513" s="59"/>
      <c r="I513" s="61"/>
      <c r="J513" s="61"/>
      <c r="K513" s="61"/>
      <c r="L513" s="62"/>
      <c r="M513" s="62"/>
      <c r="N513" s="63"/>
      <c r="O513" s="63"/>
      <c r="P513" s="63"/>
      <c r="Q513" s="63"/>
      <c r="R513" s="63"/>
      <c r="S513" s="63"/>
      <c r="T513" s="63"/>
      <c r="U513" s="63"/>
      <c r="V513" s="63"/>
      <c r="W513" s="63"/>
      <c r="X513" s="63"/>
      <c r="Y513" s="63"/>
      <c r="Z513" s="62"/>
    </row>
    <row r="514" ht="14.25" customHeight="1">
      <c r="A514" s="59"/>
      <c r="B514" s="97"/>
      <c r="C514" s="97"/>
      <c r="D514" s="97"/>
      <c r="E514" s="97"/>
      <c r="F514" s="97"/>
      <c r="G514" s="97"/>
      <c r="H514" s="59"/>
      <c r="I514" s="61"/>
      <c r="J514" s="61"/>
      <c r="K514" s="61"/>
      <c r="L514" s="62"/>
      <c r="M514" s="62"/>
      <c r="N514" s="63"/>
      <c r="O514" s="63"/>
      <c r="P514" s="63"/>
      <c r="Q514" s="63"/>
      <c r="R514" s="63"/>
      <c r="S514" s="63"/>
      <c r="T514" s="63"/>
      <c r="U514" s="63"/>
      <c r="V514" s="63"/>
      <c r="W514" s="63"/>
      <c r="X514" s="63"/>
      <c r="Y514" s="63"/>
      <c r="Z514" s="62"/>
    </row>
    <row r="515" ht="14.25" customHeight="1">
      <c r="A515" s="59"/>
      <c r="B515" s="97"/>
      <c r="C515" s="97"/>
      <c r="D515" s="97"/>
      <c r="E515" s="97"/>
      <c r="F515" s="97"/>
      <c r="G515" s="97"/>
      <c r="H515" s="59"/>
      <c r="I515" s="61"/>
      <c r="J515" s="61"/>
      <c r="K515" s="61"/>
      <c r="L515" s="62"/>
      <c r="M515" s="62"/>
      <c r="N515" s="63"/>
      <c r="O515" s="63"/>
      <c r="P515" s="63"/>
      <c r="Q515" s="63"/>
      <c r="R515" s="63"/>
      <c r="S515" s="63"/>
      <c r="T515" s="63"/>
      <c r="U515" s="63"/>
      <c r="V515" s="63"/>
      <c r="W515" s="63"/>
      <c r="X515" s="63"/>
      <c r="Y515" s="63"/>
      <c r="Z515" s="62"/>
    </row>
    <row r="516" ht="14.25" customHeight="1">
      <c r="A516" s="59"/>
      <c r="B516" s="97"/>
      <c r="C516" s="97"/>
      <c r="D516" s="97"/>
      <c r="E516" s="97"/>
      <c r="F516" s="97"/>
      <c r="G516" s="97"/>
      <c r="H516" s="59"/>
      <c r="I516" s="61"/>
      <c r="J516" s="61"/>
      <c r="K516" s="61"/>
      <c r="L516" s="62"/>
      <c r="M516" s="62"/>
      <c r="N516" s="63"/>
      <c r="O516" s="63"/>
      <c r="P516" s="63"/>
      <c r="Q516" s="63"/>
      <c r="R516" s="63"/>
      <c r="S516" s="63"/>
      <c r="T516" s="63"/>
      <c r="U516" s="63"/>
      <c r="V516" s="63"/>
      <c r="W516" s="63"/>
      <c r="X516" s="63"/>
      <c r="Y516" s="63"/>
      <c r="Z516" s="62"/>
    </row>
    <row r="517" ht="14.25" customHeight="1">
      <c r="A517" s="59"/>
      <c r="B517" s="97"/>
      <c r="C517" s="97"/>
      <c r="D517" s="97"/>
      <c r="E517" s="97"/>
      <c r="F517" s="97"/>
      <c r="G517" s="97"/>
      <c r="H517" s="59"/>
      <c r="I517" s="61"/>
      <c r="J517" s="61"/>
      <c r="K517" s="61"/>
      <c r="L517" s="62"/>
      <c r="M517" s="62"/>
      <c r="N517" s="63"/>
      <c r="O517" s="63"/>
      <c r="P517" s="63"/>
      <c r="Q517" s="63"/>
      <c r="R517" s="63"/>
      <c r="S517" s="63"/>
      <c r="T517" s="63"/>
      <c r="U517" s="63"/>
      <c r="V517" s="63"/>
      <c r="W517" s="63"/>
      <c r="X517" s="63"/>
      <c r="Y517" s="63"/>
      <c r="Z517" s="62"/>
    </row>
    <row r="518" ht="14.25" customHeight="1">
      <c r="A518" s="59"/>
      <c r="B518" s="97"/>
      <c r="C518" s="97"/>
      <c r="D518" s="97"/>
      <c r="E518" s="97"/>
      <c r="F518" s="97"/>
      <c r="G518" s="97"/>
      <c r="H518" s="59"/>
      <c r="I518" s="61"/>
      <c r="J518" s="61"/>
      <c r="K518" s="61"/>
      <c r="L518" s="62"/>
      <c r="M518" s="62"/>
      <c r="N518" s="63"/>
      <c r="O518" s="63"/>
      <c r="P518" s="63"/>
      <c r="Q518" s="63"/>
      <c r="R518" s="63"/>
      <c r="S518" s="63"/>
      <c r="T518" s="63"/>
      <c r="U518" s="63"/>
      <c r="V518" s="63"/>
      <c r="W518" s="63"/>
      <c r="X518" s="63"/>
      <c r="Y518" s="63"/>
      <c r="Z518" s="62"/>
    </row>
    <row r="519" ht="14.25" customHeight="1">
      <c r="A519" s="59"/>
      <c r="B519" s="97"/>
      <c r="C519" s="97"/>
      <c r="D519" s="97"/>
      <c r="E519" s="97"/>
      <c r="F519" s="97"/>
      <c r="G519" s="97"/>
      <c r="H519" s="59"/>
      <c r="I519" s="61"/>
      <c r="J519" s="61"/>
      <c r="K519" s="61"/>
      <c r="L519" s="62"/>
      <c r="M519" s="62"/>
      <c r="N519" s="63"/>
      <c r="O519" s="63"/>
      <c r="P519" s="63"/>
      <c r="Q519" s="63"/>
      <c r="R519" s="63"/>
      <c r="S519" s="63"/>
      <c r="T519" s="63"/>
      <c r="U519" s="63"/>
      <c r="V519" s="63"/>
      <c r="W519" s="63"/>
      <c r="X519" s="63"/>
      <c r="Y519" s="63"/>
      <c r="Z519" s="62"/>
    </row>
    <row r="520" ht="14.25" customHeight="1">
      <c r="A520" s="59"/>
      <c r="B520" s="97"/>
      <c r="C520" s="97"/>
      <c r="D520" s="97"/>
      <c r="E520" s="97"/>
      <c r="F520" s="97"/>
      <c r="G520" s="97"/>
      <c r="H520" s="59"/>
      <c r="I520" s="61"/>
      <c r="J520" s="61"/>
      <c r="K520" s="61"/>
      <c r="L520" s="62"/>
      <c r="M520" s="62"/>
      <c r="N520" s="63"/>
      <c r="O520" s="63"/>
      <c r="P520" s="63"/>
      <c r="Q520" s="63"/>
      <c r="R520" s="63"/>
      <c r="S520" s="63"/>
      <c r="T520" s="63"/>
      <c r="U520" s="63"/>
      <c r="V520" s="63"/>
      <c r="W520" s="63"/>
      <c r="X520" s="63"/>
      <c r="Y520" s="63"/>
      <c r="Z520" s="62"/>
    </row>
    <row r="521" ht="14.25" customHeight="1">
      <c r="A521" s="59"/>
      <c r="B521" s="97"/>
      <c r="C521" s="97"/>
      <c r="D521" s="97"/>
      <c r="E521" s="97"/>
      <c r="F521" s="97"/>
      <c r="G521" s="97"/>
      <c r="H521" s="59"/>
      <c r="I521" s="61"/>
      <c r="J521" s="61"/>
      <c r="K521" s="61"/>
      <c r="L521" s="62"/>
      <c r="M521" s="62"/>
      <c r="N521" s="63"/>
      <c r="O521" s="63"/>
      <c r="P521" s="63"/>
      <c r="Q521" s="63"/>
      <c r="R521" s="63"/>
      <c r="S521" s="63"/>
      <c r="T521" s="63"/>
      <c r="U521" s="63"/>
      <c r="V521" s="63"/>
      <c r="W521" s="63"/>
      <c r="X521" s="63"/>
      <c r="Y521" s="63"/>
      <c r="Z521" s="62"/>
    </row>
    <row r="522" ht="14.25" customHeight="1">
      <c r="A522" s="59"/>
      <c r="B522" s="97"/>
      <c r="C522" s="97"/>
      <c r="D522" s="97"/>
      <c r="E522" s="97"/>
      <c r="F522" s="97"/>
      <c r="G522" s="97"/>
      <c r="H522" s="59"/>
      <c r="I522" s="61"/>
      <c r="J522" s="61"/>
      <c r="K522" s="61"/>
      <c r="L522" s="62"/>
      <c r="M522" s="62"/>
      <c r="N522" s="63"/>
      <c r="O522" s="63"/>
      <c r="P522" s="63"/>
      <c r="Q522" s="63"/>
      <c r="R522" s="63"/>
      <c r="S522" s="63"/>
      <c r="T522" s="63"/>
      <c r="U522" s="63"/>
      <c r="V522" s="63"/>
      <c r="W522" s="63"/>
      <c r="X522" s="63"/>
      <c r="Y522" s="63"/>
      <c r="Z522" s="62"/>
    </row>
    <row r="523" ht="14.25" customHeight="1">
      <c r="A523" s="59"/>
      <c r="B523" s="97"/>
      <c r="C523" s="97"/>
      <c r="D523" s="97"/>
      <c r="E523" s="97"/>
      <c r="F523" s="97"/>
      <c r="G523" s="97"/>
      <c r="H523" s="59"/>
      <c r="I523" s="61"/>
      <c r="J523" s="61"/>
      <c r="K523" s="61"/>
      <c r="L523" s="62"/>
      <c r="M523" s="62"/>
      <c r="N523" s="63"/>
      <c r="O523" s="63"/>
      <c r="P523" s="63"/>
      <c r="Q523" s="63"/>
      <c r="R523" s="63"/>
      <c r="S523" s="63"/>
      <c r="T523" s="63"/>
      <c r="U523" s="63"/>
      <c r="V523" s="63"/>
      <c r="W523" s="63"/>
      <c r="X523" s="63"/>
      <c r="Y523" s="63"/>
      <c r="Z523" s="62"/>
    </row>
    <row r="524" ht="14.25" customHeight="1">
      <c r="A524" s="59"/>
      <c r="B524" s="97"/>
      <c r="C524" s="97"/>
      <c r="D524" s="97"/>
      <c r="E524" s="97"/>
      <c r="F524" s="97"/>
      <c r="G524" s="97"/>
      <c r="H524" s="59"/>
      <c r="I524" s="61"/>
      <c r="J524" s="61"/>
      <c r="K524" s="61"/>
      <c r="L524" s="62"/>
      <c r="M524" s="62"/>
      <c r="N524" s="63"/>
      <c r="O524" s="63"/>
      <c r="P524" s="63"/>
      <c r="Q524" s="63"/>
      <c r="R524" s="63"/>
      <c r="S524" s="63"/>
      <c r="T524" s="63"/>
      <c r="U524" s="63"/>
      <c r="V524" s="63"/>
      <c r="W524" s="63"/>
      <c r="X524" s="63"/>
      <c r="Y524" s="63"/>
      <c r="Z524" s="62"/>
    </row>
    <row r="525" ht="14.25" customHeight="1">
      <c r="A525" s="59"/>
      <c r="B525" s="97"/>
      <c r="C525" s="97"/>
      <c r="D525" s="97"/>
      <c r="E525" s="97"/>
      <c r="F525" s="97"/>
      <c r="G525" s="97"/>
      <c r="H525" s="59"/>
      <c r="I525" s="61"/>
      <c r="J525" s="61"/>
      <c r="K525" s="61"/>
      <c r="L525" s="62"/>
      <c r="M525" s="62"/>
      <c r="N525" s="63"/>
      <c r="O525" s="63"/>
      <c r="P525" s="63"/>
      <c r="Q525" s="63"/>
      <c r="R525" s="63"/>
      <c r="S525" s="63"/>
      <c r="T525" s="63"/>
      <c r="U525" s="63"/>
      <c r="V525" s="63"/>
      <c r="W525" s="63"/>
      <c r="X525" s="63"/>
      <c r="Y525" s="63"/>
      <c r="Z525" s="62"/>
    </row>
    <row r="526" ht="14.25" customHeight="1">
      <c r="A526" s="59"/>
      <c r="B526" s="97"/>
      <c r="C526" s="97"/>
      <c r="D526" s="97"/>
      <c r="E526" s="97"/>
      <c r="F526" s="97"/>
      <c r="G526" s="97"/>
      <c r="H526" s="59"/>
      <c r="I526" s="61"/>
      <c r="J526" s="61"/>
      <c r="K526" s="61"/>
      <c r="L526" s="62"/>
      <c r="M526" s="62"/>
      <c r="N526" s="63"/>
      <c r="O526" s="63"/>
      <c r="P526" s="63"/>
      <c r="Q526" s="63"/>
      <c r="R526" s="63"/>
      <c r="S526" s="63"/>
      <c r="T526" s="63"/>
      <c r="U526" s="63"/>
      <c r="V526" s="63"/>
      <c r="W526" s="63"/>
      <c r="X526" s="63"/>
      <c r="Y526" s="63"/>
      <c r="Z526" s="62"/>
    </row>
    <row r="527" ht="14.25" customHeight="1">
      <c r="A527" s="59"/>
      <c r="B527" s="97"/>
      <c r="C527" s="97"/>
      <c r="D527" s="97"/>
      <c r="E527" s="97"/>
      <c r="F527" s="97"/>
      <c r="G527" s="97"/>
      <c r="H527" s="59"/>
      <c r="I527" s="61"/>
      <c r="J527" s="61"/>
      <c r="K527" s="61"/>
      <c r="L527" s="62"/>
      <c r="M527" s="62"/>
      <c r="N527" s="63"/>
      <c r="O527" s="63"/>
      <c r="P527" s="63"/>
      <c r="Q527" s="63"/>
      <c r="R527" s="63"/>
      <c r="S527" s="63"/>
      <c r="T527" s="63"/>
      <c r="U527" s="63"/>
      <c r="V527" s="63"/>
      <c r="W527" s="63"/>
      <c r="X527" s="63"/>
      <c r="Y527" s="63"/>
      <c r="Z527" s="62"/>
    </row>
    <row r="528" ht="14.25" customHeight="1">
      <c r="A528" s="59"/>
      <c r="B528" s="97"/>
      <c r="C528" s="97"/>
      <c r="D528" s="97"/>
      <c r="E528" s="97"/>
      <c r="F528" s="97"/>
      <c r="G528" s="97"/>
      <c r="H528" s="59"/>
      <c r="I528" s="61"/>
      <c r="J528" s="61"/>
      <c r="K528" s="61"/>
      <c r="L528" s="62"/>
      <c r="M528" s="62"/>
      <c r="N528" s="63"/>
      <c r="O528" s="63"/>
      <c r="P528" s="63"/>
      <c r="Q528" s="63"/>
      <c r="R528" s="63"/>
      <c r="S528" s="63"/>
      <c r="T528" s="63"/>
      <c r="U528" s="63"/>
      <c r="V528" s="63"/>
      <c r="W528" s="63"/>
      <c r="X528" s="63"/>
      <c r="Y528" s="63"/>
      <c r="Z528" s="62"/>
    </row>
    <row r="529" ht="14.25" customHeight="1">
      <c r="A529" s="59"/>
      <c r="B529" s="97"/>
      <c r="C529" s="97"/>
      <c r="D529" s="97"/>
      <c r="E529" s="97"/>
      <c r="F529" s="97"/>
      <c r="G529" s="97"/>
      <c r="H529" s="59"/>
      <c r="I529" s="61"/>
      <c r="J529" s="61"/>
      <c r="K529" s="61"/>
      <c r="L529" s="62"/>
      <c r="M529" s="62"/>
      <c r="N529" s="63"/>
      <c r="O529" s="63"/>
      <c r="P529" s="63"/>
      <c r="Q529" s="63"/>
      <c r="R529" s="63"/>
      <c r="S529" s="63"/>
      <c r="T529" s="63"/>
      <c r="U529" s="63"/>
      <c r="V529" s="63"/>
      <c r="W529" s="63"/>
      <c r="X529" s="63"/>
      <c r="Y529" s="63"/>
      <c r="Z529" s="62"/>
    </row>
    <row r="530" ht="14.25" customHeight="1">
      <c r="A530" s="59"/>
      <c r="B530" s="97"/>
      <c r="C530" s="97"/>
      <c r="D530" s="97"/>
      <c r="E530" s="97"/>
      <c r="F530" s="97"/>
      <c r="G530" s="97"/>
      <c r="H530" s="59"/>
      <c r="I530" s="61"/>
      <c r="J530" s="61"/>
      <c r="K530" s="61"/>
      <c r="L530" s="62"/>
      <c r="M530" s="62"/>
      <c r="N530" s="63"/>
      <c r="O530" s="63"/>
      <c r="P530" s="63"/>
      <c r="Q530" s="63"/>
      <c r="R530" s="63"/>
      <c r="S530" s="63"/>
      <c r="T530" s="63"/>
      <c r="U530" s="63"/>
      <c r="V530" s="63"/>
      <c r="W530" s="63"/>
      <c r="X530" s="63"/>
      <c r="Y530" s="63"/>
      <c r="Z530" s="62"/>
    </row>
    <row r="531" ht="14.25" customHeight="1">
      <c r="A531" s="59"/>
      <c r="B531" s="97"/>
      <c r="C531" s="97"/>
      <c r="D531" s="97"/>
      <c r="E531" s="97"/>
      <c r="F531" s="97"/>
      <c r="G531" s="97"/>
      <c r="H531" s="59"/>
      <c r="I531" s="61"/>
      <c r="J531" s="61"/>
      <c r="K531" s="61"/>
      <c r="L531" s="62"/>
      <c r="M531" s="62"/>
      <c r="N531" s="63"/>
      <c r="O531" s="63"/>
      <c r="P531" s="63"/>
      <c r="Q531" s="63"/>
      <c r="R531" s="63"/>
      <c r="S531" s="63"/>
      <c r="T531" s="63"/>
      <c r="U531" s="63"/>
      <c r="V531" s="63"/>
      <c r="W531" s="63"/>
      <c r="X531" s="63"/>
      <c r="Y531" s="63"/>
      <c r="Z531" s="62"/>
    </row>
    <row r="532" ht="14.25" customHeight="1">
      <c r="A532" s="59"/>
      <c r="B532" s="97"/>
      <c r="C532" s="97"/>
      <c r="D532" s="97"/>
      <c r="E532" s="97"/>
      <c r="F532" s="97"/>
      <c r="G532" s="97"/>
      <c r="H532" s="59"/>
      <c r="I532" s="61"/>
      <c r="J532" s="61"/>
      <c r="K532" s="61"/>
      <c r="L532" s="62"/>
      <c r="M532" s="62"/>
      <c r="N532" s="63"/>
      <c r="O532" s="63"/>
      <c r="P532" s="63"/>
      <c r="Q532" s="63"/>
      <c r="R532" s="63"/>
      <c r="S532" s="63"/>
      <c r="T532" s="63"/>
      <c r="U532" s="63"/>
      <c r="V532" s="63"/>
      <c r="W532" s="63"/>
      <c r="X532" s="63"/>
      <c r="Y532" s="63"/>
      <c r="Z532" s="62"/>
    </row>
    <row r="533" ht="14.25" customHeight="1">
      <c r="A533" s="59"/>
      <c r="B533" s="97"/>
      <c r="C533" s="97"/>
      <c r="D533" s="97"/>
      <c r="E533" s="97"/>
      <c r="F533" s="97"/>
      <c r="G533" s="97"/>
      <c r="H533" s="59"/>
      <c r="I533" s="61"/>
      <c r="J533" s="61"/>
      <c r="K533" s="61"/>
      <c r="L533" s="62"/>
      <c r="M533" s="62"/>
      <c r="N533" s="63"/>
      <c r="O533" s="63"/>
      <c r="P533" s="63"/>
      <c r="Q533" s="63"/>
      <c r="R533" s="63"/>
      <c r="S533" s="63"/>
      <c r="T533" s="63"/>
      <c r="U533" s="63"/>
      <c r="V533" s="63"/>
      <c r="W533" s="63"/>
      <c r="X533" s="63"/>
      <c r="Y533" s="63"/>
      <c r="Z533" s="62"/>
    </row>
    <row r="534" ht="14.25" customHeight="1">
      <c r="A534" s="59"/>
      <c r="B534" s="97"/>
      <c r="C534" s="97"/>
      <c r="D534" s="97"/>
      <c r="E534" s="97"/>
      <c r="F534" s="97"/>
      <c r="G534" s="97"/>
      <c r="H534" s="59"/>
      <c r="I534" s="61"/>
      <c r="J534" s="61"/>
      <c r="K534" s="61"/>
      <c r="L534" s="62"/>
      <c r="M534" s="62"/>
      <c r="N534" s="63"/>
      <c r="O534" s="63"/>
      <c r="P534" s="63"/>
      <c r="Q534" s="63"/>
      <c r="R534" s="63"/>
      <c r="S534" s="63"/>
      <c r="T534" s="63"/>
      <c r="U534" s="63"/>
      <c r="V534" s="63"/>
      <c r="W534" s="63"/>
      <c r="X534" s="63"/>
      <c r="Y534" s="63"/>
      <c r="Z534" s="62"/>
    </row>
    <row r="535" ht="14.25" customHeight="1">
      <c r="A535" s="59"/>
      <c r="B535" s="97"/>
      <c r="C535" s="97"/>
      <c r="D535" s="97"/>
      <c r="E535" s="97"/>
      <c r="F535" s="97"/>
      <c r="G535" s="97"/>
      <c r="H535" s="59"/>
      <c r="I535" s="61"/>
      <c r="J535" s="61"/>
      <c r="K535" s="61"/>
      <c r="L535" s="62"/>
      <c r="M535" s="62"/>
      <c r="N535" s="63"/>
      <c r="O535" s="63"/>
      <c r="P535" s="63"/>
      <c r="Q535" s="63"/>
      <c r="R535" s="63"/>
      <c r="S535" s="63"/>
      <c r="T535" s="63"/>
      <c r="U535" s="63"/>
      <c r="V535" s="63"/>
      <c r="W535" s="63"/>
      <c r="X535" s="63"/>
      <c r="Y535" s="63"/>
      <c r="Z535" s="62"/>
    </row>
    <row r="536" ht="14.25" customHeight="1">
      <c r="A536" s="59"/>
      <c r="B536" s="97"/>
      <c r="C536" s="97"/>
      <c r="D536" s="97"/>
      <c r="E536" s="97"/>
      <c r="F536" s="97"/>
      <c r="G536" s="97"/>
      <c r="H536" s="59"/>
      <c r="I536" s="61"/>
      <c r="J536" s="61"/>
      <c r="K536" s="61"/>
      <c r="L536" s="62"/>
      <c r="M536" s="62"/>
      <c r="N536" s="63"/>
      <c r="O536" s="63"/>
      <c r="P536" s="63"/>
      <c r="Q536" s="63"/>
      <c r="R536" s="63"/>
      <c r="S536" s="63"/>
      <c r="T536" s="63"/>
      <c r="U536" s="63"/>
      <c r="V536" s="63"/>
      <c r="W536" s="63"/>
      <c r="X536" s="63"/>
      <c r="Y536" s="63"/>
      <c r="Z536" s="62"/>
    </row>
    <row r="537" ht="14.25" customHeight="1">
      <c r="A537" s="59"/>
      <c r="B537" s="97"/>
      <c r="C537" s="97"/>
      <c r="D537" s="97"/>
      <c r="E537" s="97"/>
      <c r="F537" s="97"/>
      <c r="G537" s="97"/>
      <c r="H537" s="59"/>
      <c r="I537" s="61"/>
      <c r="J537" s="61"/>
      <c r="K537" s="61"/>
      <c r="L537" s="62"/>
      <c r="M537" s="62"/>
      <c r="N537" s="63"/>
      <c r="O537" s="63"/>
      <c r="P537" s="63"/>
      <c r="Q537" s="63"/>
      <c r="R537" s="63"/>
      <c r="S537" s="63"/>
      <c r="T537" s="63"/>
      <c r="U537" s="63"/>
      <c r="V537" s="63"/>
      <c r="W537" s="63"/>
      <c r="X537" s="63"/>
      <c r="Y537" s="63"/>
      <c r="Z537" s="62"/>
    </row>
    <row r="538" ht="14.25" customHeight="1">
      <c r="A538" s="59"/>
      <c r="B538" s="97"/>
      <c r="C538" s="97"/>
      <c r="D538" s="97"/>
      <c r="E538" s="97"/>
      <c r="F538" s="97"/>
      <c r="G538" s="97"/>
      <c r="H538" s="59"/>
      <c r="I538" s="61"/>
      <c r="J538" s="61"/>
      <c r="K538" s="61"/>
      <c r="L538" s="62"/>
      <c r="M538" s="62"/>
      <c r="N538" s="63"/>
      <c r="O538" s="63"/>
      <c r="P538" s="63"/>
      <c r="Q538" s="63"/>
      <c r="R538" s="63"/>
      <c r="S538" s="63"/>
      <c r="T538" s="63"/>
      <c r="U538" s="63"/>
      <c r="V538" s="63"/>
      <c r="W538" s="63"/>
      <c r="X538" s="63"/>
      <c r="Y538" s="63"/>
      <c r="Z538" s="62"/>
    </row>
    <row r="539" ht="14.25" customHeight="1">
      <c r="A539" s="59"/>
      <c r="B539" s="97"/>
      <c r="C539" s="97"/>
      <c r="D539" s="97"/>
      <c r="E539" s="97"/>
      <c r="F539" s="97"/>
      <c r="G539" s="97"/>
      <c r="H539" s="59"/>
      <c r="I539" s="61"/>
      <c r="J539" s="61"/>
      <c r="K539" s="61"/>
      <c r="L539" s="62"/>
      <c r="M539" s="62"/>
      <c r="N539" s="63"/>
      <c r="O539" s="63"/>
      <c r="P539" s="63"/>
      <c r="Q539" s="63"/>
      <c r="R539" s="63"/>
      <c r="S539" s="63"/>
      <c r="T539" s="63"/>
      <c r="U539" s="63"/>
      <c r="V539" s="63"/>
      <c r="W539" s="63"/>
      <c r="X539" s="63"/>
      <c r="Y539" s="63"/>
      <c r="Z539" s="62"/>
    </row>
    <row r="540" ht="14.25" customHeight="1">
      <c r="A540" s="59"/>
      <c r="B540" s="97"/>
      <c r="C540" s="97"/>
      <c r="D540" s="97"/>
      <c r="E540" s="97"/>
      <c r="F540" s="97"/>
      <c r="G540" s="97"/>
      <c r="H540" s="59"/>
      <c r="I540" s="61"/>
      <c r="J540" s="61"/>
      <c r="K540" s="61"/>
      <c r="L540" s="62"/>
      <c r="M540" s="62"/>
      <c r="N540" s="63"/>
      <c r="O540" s="63"/>
      <c r="P540" s="63"/>
      <c r="Q540" s="63"/>
      <c r="R540" s="63"/>
      <c r="S540" s="63"/>
      <c r="T540" s="63"/>
      <c r="U540" s="63"/>
      <c r="V540" s="63"/>
      <c r="W540" s="63"/>
      <c r="X540" s="63"/>
      <c r="Y540" s="63"/>
      <c r="Z540" s="62"/>
    </row>
    <row r="541" ht="14.25" customHeight="1">
      <c r="A541" s="59"/>
      <c r="B541" s="97"/>
      <c r="C541" s="97"/>
      <c r="D541" s="97"/>
      <c r="E541" s="97"/>
      <c r="F541" s="97"/>
      <c r="G541" s="97"/>
      <c r="H541" s="59"/>
      <c r="I541" s="61"/>
      <c r="J541" s="61"/>
      <c r="K541" s="61"/>
      <c r="L541" s="62"/>
      <c r="M541" s="62"/>
      <c r="N541" s="63"/>
      <c r="O541" s="63"/>
      <c r="P541" s="63"/>
      <c r="Q541" s="63"/>
      <c r="R541" s="63"/>
      <c r="S541" s="63"/>
      <c r="T541" s="63"/>
      <c r="U541" s="63"/>
      <c r="V541" s="63"/>
      <c r="W541" s="63"/>
      <c r="X541" s="63"/>
      <c r="Y541" s="63"/>
      <c r="Z541" s="62"/>
    </row>
    <row r="542" ht="14.25" customHeight="1">
      <c r="A542" s="59"/>
      <c r="B542" s="97"/>
      <c r="C542" s="97"/>
      <c r="D542" s="97"/>
      <c r="E542" s="97"/>
      <c r="F542" s="97"/>
      <c r="G542" s="97"/>
      <c r="H542" s="59"/>
      <c r="I542" s="61"/>
      <c r="J542" s="61"/>
      <c r="K542" s="61"/>
      <c r="L542" s="62"/>
      <c r="M542" s="62"/>
      <c r="N542" s="63"/>
      <c r="O542" s="63"/>
      <c r="P542" s="63"/>
      <c r="Q542" s="63"/>
      <c r="R542" s="63"/>
      <c r="S542" s="63"/>
      <c r="T542" s="63"/>
      <c r="U542" s="63"/>
      <c r="V542" s="63"/>
      <c r="W542" s="63"/>
      <c r="X542" s="63"/>
      <c r="Y542" s="63"/>
      <c r="Z542" s="62"/>
    </row>
    <row r="543" ht="14.25" customHeight="1">
      <c r="A543" s="59"/>
      <c r="B543" s="97"/>
      <c r="C543" s="97"/>
      <c r="D543" s="97"/>
      <c r="E543" s="97"/>
      <c r="F543" s="97"/>
      <c r="G543" s="97"/>
      <c r="H543" s="59"/>
      <c r="I543" s="61"/>
      <c r="J543" s="61"/>
      <c r="K543" s="61"/>
      <c r="L543" s="62"/>
      <c r="M543" s="62"/>
      <c r="N543" s="63"/>
      <c r="O543" s="63"/>
      <c r="P543" s="63"/>
      <c r="Q543" s="63"/>
      <c r="R543" s="63"/>
      <c r="S543" s="63"/>
      <c r="T543" s="63"/>
      <c r="U543" s="63"/>
      <c r="V543" s="63"/>
      <c r="W543" s="63"/>
      <c r="X543" s="63"/>
      <c r="Y543" s="63"/>
      <c r="Z543" s="62"/>
    </row>
    <row r="544" ht="14.25" customHeight="1">
      <c r="A544" s="59"/>
      <c r="B544" s="97"/>
      <c r="C544" s="97"/>
      <c r="D544" s="97"/>
      <c r="E544" s="97"/>
      <c r="F544" s="97"/>
      <c r="G544" s="97"/>
      <c r="H544" s="59"/>
      <c r="I544" s="61"/>
      <c r="J544" s="61"/>
      <c r="K544" s="61"/>
      <c r="L544" s="62"/>
      <c r="M544" s="62"/>
      <c r="N544" s="63"/>
      <c r="O544" s="63"/>
      <c r="P544" s="63"/>
      <c r="Q544" s="63"/>
      <c r="R544" s="63"/>
      <c r="S544" s="63"/>
      <c r="T544" s="63"/>
      <c r="U544" s="63"/>
      <c r="V544" s="63"/>
      <c r="W544" s="63"/>
      <c r="X544" s="63"/>
      <c r="Y544" s="63"/>
      <c r="Z544" s="62"/>
    </row>
    <row r="545" ht="14.25" customHeight="1">
      <c r="A545" s="59"/>
      <c r="B545" s="97"/>
      <c r="C545" s="97"/>
      <c r="D545" s="97"/>
      <c r="E545" s="97"/>
      <c r="F545" s="97"/>
      <c r="G545" s="97"/>
      <c r="H545" s="59"/>
      <c r="I545" s="61"/>
      <c r="J545" s="61"/>
      <c r="K545" s="61"/>
      <c r="L545" s="62"/>
      <c r="M545" s="62"/>
      <c r="N545" s="63"/>
      <c r="O545" s="63"/>
      <c r="P545" s="63"/>
      <c r="Q545" s="63"/>
      <c r="R545" s="63"/>
      <c r="S545" s="63"/>
      <c r="T545" s="63"/>
      <c r="U545" s="63"/>
      <c r="V545" s="63"/>
      <c r="W545" s="63"/>
      <c r="X545" s="63"/>
      <c r="Y545" s="63"/>
      <c r="Z545" s="62"/>
    </row>
    <row r="546" ht="14.25" customHeight="1">
      <c r="A546" s="59"/>
      <c r="B546" s="97"/>
      <c r="C546" s="97"/>
      <c r="D546" s="97"/>
      <c r="E546" s="97"/>
      <c r="F546" s="97"/>
      <c r="G546" s="97"/>
      <c r="H546" s="59"/>
      <c r="I546" s="61"/>
      <c r="J546" s="61"/>
      <c r="K546" s="61"/>
      <c r="L546" s="62"/>
      <c r="M546" s="62"/>
      <c r="N546" s="63"/>
      <c r="O546" s="63"/>
      <c r="P546" s="63"/>
      <c r="Q546" s="63"/>
      <c r="R546" s="63"/>
      <c r="S546" s="63"/>
      <c r="T546" s="63"/>
      <c r="U546" s="63"/>
      <c r="V546" s="63"/>
      <c r="W546" s="63"/>
      <c r="X546" s="63"/>
      <c r="Y546" s="63"/>
      <c r="Z546" s="62"/>
    </row>
    <row r="547" ht="14.25" customHeight="1">
      <c r="A547" s="59"/>
      <c r="B547" s="97"/>
      <c r="C547" s="97"/>
      <c r="D547" s="97"/>
      <c r="E547" s="97"/>
      <c r="F547" s="97"/>
      <c r="G547" s="97"/>
      <c r="H547" s="59"/>
      <c r="I547" s="61"/>
      <c r="J547" s="61"/>
      <c r="K547" s="61"/>
      <c r="L547" s="62"/>
      <c r="M547" s="62"/>
      <c r="N547" s="63"/>
      <c r="O547" s="63"/>
      <c r="P547" s="63"/>
      <c r="Q547" s="63"/>
      <c r="R547" s="63"/>
      <c r="S547" s="63"/>
      <c r="T547" s="63"/>
      <c r="U547" s="63"/>
      <c r="V547" s="63"/>
      <c r="W547" s="63"/>
      <c r="X547" s="63"/>
      <c r="Y547" s="63"/>
      <c r="Z547" s="62"/>
    </row>
    <row r="548" ht="14.25" customHeight="1">
      <c r="A548" s="59"/>
      <c r="B548" s="97"/>
      <c r="C548" s="97"/>
      <c r="D548" s="97"/>
      <c r="E548" s="97"/>
      <c r="F548" s="97"/>
      <c r="G548" s="97"/>
      <c r="H548" s="59"/>
      <c r="I548" s="61"/>
      <c r="J548" s="61"/>
      <c r="K548" s="61"/>
      <c r="L548" s="62"/>
      <c r="M548" s="62"/>
      <c r="N548" s="63"/>
      <c r="O548" s="63"/>
      <c r="P548" s="63"/>
      <c r="Q548" s="63"/>
      <c r="R548" s="63"/>
      <c r="S548" s="63"/>
      <c r="T548" s="63"/>
      <c r="U548" s="63"/>
      <c r="V548" s="63"/>
      <c r="W548" s="63"/>
      <c r="X548" s="63"/>
      <c r="Y548" s="63"/>
      <c r="Z548" s="62"/>
    </row>
    <row r="549" ht="14.25" customHeight="1">
      <c r="A549" s="59"/>
      <c r="B549" s="97"/>
      <c r="C549" s="97"/>
      <c r="D549" s="97"/>
      <c r="E549" s="97"/>
      <c r="F549" s="97"/>
      <c r="G549" s="97"/>
      <c r="H549" s="59"/>
      <c r="I549" s="61"/>
      <c r="J549" s="61"/>
      <c r="K549" s="61"/>
      <c r="L549" s="62"/>
      <c r="M549" s="62"/>
      <c r="N549" s="63"/>
      <c r="O549" s="63"/>
      <c r="P549" s="63"/>
      <c r="Q549" s="63"/>
      <c r="R549" s="63"/>
      <c r="S549" s="63"/>
      <c r="T549" s="63"/>
      <c r="U549" s="63"/>
      <c r="V549" s="63"/>
      <c r="W549" s="63"/>
      <c r="X549" s="63"/>
      <c r="Y549" s="63"/>
      <c r="Z549" s="62"/>
    </row>
    <row r="550" ht="14.25" customHeight="1">
      <c r="A550" s="59"/>
      <c r="B550" s="97"/>
      <c r="C550" s="97"/>
      <c r="D550" s="97"/>
      <c r="E550" s="97"/>
      <c r="F550" s="97"/>
      <c r="G550" s="97"/>
      <c r="H550" s="59"/>
      <c r="I550" s="61"/>
      <c r="J550" s="61"/>
      <c r="K550" s="61"/>
      <c r="L550" s="62"/>
      <c r="M550" s="62"/>
      <c r="N550" s="63"/>
      <c r="O550" s="63"/>
      <c r="P550" s="63"/>
      <c r="Q550" s="63"/>
      <c r="R550" s="63"/>
      <c r="S550" s="63"/>
      <c r="T550" s="63"/>
      <c r="U550" s="63"/>
      <c r="V550" s="63"/>
      <c r="W550" s="63"/>
      <c r="X550" s="63"/>
      <c r="Y550" s="63"/>
      <c r="Z550" s="62"/>
    </row>
    <row r="551" ht="14.25" customHeight="1">
      <c r="A551" s="59"/>
      <c r="B551" s="97"/>
      <c r="C551" s="97"/>
      <c r="D551" s="97"/>
      <c r="E551" s="97"/>
      <c r="F551" s="97"/>
      <c r="G551" s="97"/>
      <c r="H551" s="59"/>
      <c r="I551" s="61"/>
      <c r="J551" s="61"/>
      <c r="K551" s="61"/>
      <c r="L551" s="62"/>
      <c r="M551" s="62"/>
      <c r="N551" s="63"/>
      <c r="O551" s="63"/>
      <c r="P551" s="63"/>
      <c r="Q551" s="63"/>
      <c r="R551" s="63"/>
      <c r="S551" s="63"/>
      <c r="T551" s="63"/>
      <c r="U551" s="63"/>
      <c r="V551" s="63"/>
      <c r="W551" s="63"/>
      <c r="X551" s="63"/>
      <c r="Y551" s="63"/>
      <c r="Z551" s="62"/>
    </row>
    <row r="552" ht="14.25" customHeight="1">
      <c r="A552" s="59"/>
      <c r="B552" s="97"/>
      <c r="C552" s="97"/>
      <c r="D552" s="97"/>
      <c r="E552" s="97"/>
      <c r="F552" s="97"/>
      <c r="G552" s="97"/>
      <c r="H552" s="59"/>
      <c r="I552" s="61"/>
      <c r="J552" s="61"/>
      <c r="K552" s="61"/>
      <c r="L552" s="62"/>
      <c r="M552" s="62"/>
      <c r="N552" s="63"/>
      <c r="O552" s="63"/>
      <c r="P552" s="63"/>
      <c r="Q552" s="63"/>
      <c r="R552" s="63"/>
      <c r="S552" s="63"/>
      <c r="T552" s="63"/>
      <c r="U552" s="63"/>
      <c r="V552" s="63"/>
      <c r="W552" s="63"/>
      <c r="X552" s="63"/>
      <c r="Y552" s="63"/>
      <c r="Z552" s="62"/>
    </row>
    <row r="553" ht="14.25" customHeight="1">
      <c r="A553" s="59"/>
      <c r="B553" s="97"/>
      <c r="C553" s="97"/>
      <c r="D553" s="97"/>
      <c r="E553" s="97"/>
      <c r="F553" s="97"/>
      <c r="G553" s="97"/>
      <c r="H553" s="59"/>
      <c r="I553" s="61"/>
      <c r="J553" s="61"/>
      <c r="K553" s="61"/>
      <c r="L553" s="62"/>
      <c r="M553" s="62"/>
      <c r="N553" s="63"/>
      <c r="O553" s="63"/>
      <c r="P553" s="63"/>
      <c r="Q553" s="63"/>
      <c r="R553" s="63"/>
      <c r="S553" s="63"/>
      <c r="T553" s="63"/>
      <c r="U553" s="63"/>
      <c r="V553" s="63"/>
      <c r="W553" s="63"/>
      <c r="X553" s="63"/>
      <c r="Y553" s="63"/>
      <c r="Z553" s="62"/>
    </row>
    <row r="554" ht="14.25" customHeight="1">
      <c r="A554" s="59"/>
      <c r="B554" s="97"/>
      <c r="C554" s="97"/>
      <c r="D554" s="97"/>
      <c r="E554" s="97"/>
      <c r="F554" s="97"/>
      <c r="G554" s="97"/>
      <c r="H554" s="59"/>
      <c r="I554" s="61"/>
      <c r="J554" s="61"/>
      <c r="K554" s="61"/>
      <c r="L554" s="62"/>
      <c r="M554" s="62"/>
      <c r="N554" s="63"/>
      <c r="O554" s="63"/>
      <c r="P554" s="63"/>
      <c r="Q554" s="63"/>
      <c r="R554" s="63"/>
      <c r="S554" s="63"/>
      <c r="T554" s="63"/>
      <c r="U554" s="63"/>
      <c r="V554" s="63"/>
      <c r="W554" s="63"/>
      <c r="X554" s="63"/>
      <c r="Y554" s="63"/>
      <c r="Z554" s="62"/>
    </row>
    <row r="555" ht="14.25" customHeight="1">
      <c r="A555" s="59"/>
      <c r="B555" s="97"/>
      <c r="C555" s="97"/>
      <c r="D555" s="97"/>
      <c r="E555" s="97"/>
      <c r="F555" s="97"/>
      <c r="G555" s="97"/>
      <c r="H555" s="59"/>
      <c r="I555" s="61"/>
      <c r="J555" s="61"/>
      <c r="K555" s="61"/>
      <c r="L555" s="62"/>
      <c r="M555" s="62"/>
      <c r="N555" s="63"/>
      <c r="O555" s="63"/>
      <c r="P555" s="63"/>
      <c r="Q555" s="63"/>
      <c r="R555" s="63"/>
      <c r="S555" s="63"/>
      <c r="T555" s="63"/>
      <c r="U555" s="63"/>
      <c r="V555" s="63"/>
      <c r="W555" s="63"/>
      <c r="X555" s="63"/>
      <c r="Y555" s="63"/>
      <c r="Z555" s="62"/>
    </row>
    <row r="556" ht="14.25" customHeight="1">
      <c r="A556" s="59"/>
      <c r="B556" s="97"/>
      <c r="C556" s="97"/>
      <c r="D556" s="97"/>
      <c r="E556" s="97"/>
      <c r="F556" s="97"/>
      <c r="G556" s="97"/>
      <c r="H556" s="59"/>
      <c r="I556" s="61"/>
      <c r="J556" s="61"/>
      <c r="K556" s="61"/>
      <c r="L556" s="62"/>
      <c r="M556" s="62"/>
      <c r="N556" s="63"/>
      <c r="O556" s="63"/>
      <c r="P556" s="63"/>
      <c r="Q556" s="63"/>
      <c r="R556" s="63"/>
      <c r="S556" s="63"/>
      <c r="T556" s="63"/>
      <c r="U556" s="63"/>
      <c r="V556" s="63"/>
      <c r="W556" s="63"/>
      <c r="X556" s="63"/>
      <c r="Y556" s="63"/>
      <c r="Z556" s="62"/>
    </row>
    <row r="557" ht="14.25" customHeight="1">
      <c r="A557" s="59"/>
      <c r="B557" s="97"/>
      <c r="C557" s="97"/>
      <c r="D557" s="97"/>
      <c r="E557" s="97"/>
      <c r="F557" s="97"/>
      <c r="G557" s="97"/>
      <c r="H557" s="59"/>
      <c r="I557" s="61"/>
      <c r="J557" s="61"/>
      <c r="K557" s="61"/>
      <c r="L557" s="62"/>
      <c r="M557" s="62"/>
      <c r="N557" s="63"/>
      <c r="O557" s="63"/>
      <c r="P557" s="63"/>
      <c r="Q557" s="63"/>
      <c r="R557" s="63"/>
      <c r="S557" s="63"/>
      <c r="T557" s="63"/>
      <c r="U557" s="63"/>
      <c r="V557" s="63"/>
      <c r="W557" s="63"/>
      <c r="X557" s="63"/>
      <c r="Y557" s="63"/>
      <c r="Z557" s="62"/>
    </row>
    <row r="558" ht="14.25" customHeight="1">
      <c r="A558" s="59"/>
      <c r="B558" s="97"/>
      <c r="C558" s="97"/>
      <c r="D558" s="97"/>
      <c r="E558" s="97"/>
      <c r="F558" s="97"/>
      <c r="G558" s="97"/>
      <c r="H558" s="59"/>
      <c r="I558" s="61"/>
      <c r="J558" s="61"/>
      <c r="K558" s="61"/>
      <c r="L558" s="62"/>
      <c r="M558" s="62"/>
      <c r="N558" s="63"/>
      <c r="O558" s="63"/>
      <c r="P558" s="63"/>
      <c r="Q558" s="63"/>
      <c r="R558" s="63"/>
      <c r="S558" s="63"/>
      <c r="T558" s="63"/>
      <c r="U558" s="63"/>
      <c r="V558" s="63"/>
      <c r="W558" s="63"/>
      <c r="X558" s="63"/>
      <c r="Y558" s="63"/>
      <c r="Z558" s="62"/>
    </row>
    <row r="559" ht="14.25" customHeight="1">
      <c r="A559" s="59"/>
      <c r="B559" s="97"/>
      <c r="C559" s="97"/>
      <c r="D559" s="97"/>
      <c r="E559" s="97"/>
      <c r="F559" s="97"/>
      <c r="G559" s="97"/>
      <c r="H559" s="59"/>
      <c r="I559" s="61"/>
      <c r="J559" s="61"/>
      <c r="K559" s="61"/>
      <c r="L559" s="62"/>
      <c r="M559" s="62"/>
      <c r="N559" s="63"/>
      <c r="O559" s="63"/>
      <c r="P559" s="63"/>
      <c r="Q559" s="63"/>
      <c r="R559" s="63"/>
      <c r="S559" s="63"/>
      <c r="T559" s="63"/>
      <c r="U559" s="63"/>
      <c r="V559" s="63"/>
      <c r="W559" s="63"/>
      <c r="X559" s="63"/>
      <c r="Y559" s="63"/>
      <c r="Z559" s="62"/>
    </row>
    <row r="560" ht="14.25" customHeight="1">
      <c r="A560" s="59"/>
      <c r="B560" s="97"/>
      <c r="C560" s="97"/>
      <c r="D560" s="97"/>
      <c r="E560" s="97"/>
      <c r="F560" s="97"/>
      <c r="G560" s="97"/>
      <c r="H560" s="59"/>
      <c r="I560" s="61"/>
      <c r="J560" s="61"/>
      <c r="K560" s="61"/>
      <c r="L560" s="62"/>
      <c r="M560" s="62"/>
      <c r="N560" s="63"/>
      <c r="O560" s="63"/>
      <c r="P560" s="63"/>
      <c r="Q560" s="63"/>
      <c r="R560" s="63"/>
      <c r="S560" s="63"/>
      <c r="T560" s="63"/>
      <c r="U560" s="63"/>
      <c r="V560" s="63"/>
      <c r="W560" s="63"/>
      <c r="X560" s="63"/>
      <c r="Y560" s="63"/>
      <c r="Z560" s="62"/>
    </row>
    <row r="561" ht="14.25" customHeight="1">
      <c r="A561" s="59"/>
      <c r="B561" s="97"/>
      <c r="C561" s="97"/>
      <c r="D561" s="97"/>
      <c r="E561" s="97"/>
      <c r="F561" s="97"/>
      <c r="G561" s="97"/>
      <c r="H561" s="59"/>
      <c r="I561" s="61"/>
      <c r="J561" s="61"/>
      <c r="K561" s="61"/>
      <c r="L561" s="62"/>
      <c r="M561" s="62"/>
      <c r="N561" s="63"/>
      <c r="O561" s="63"/>
      <c r="P561" s="63"/>
      <c r="Q561" s="63"/>
      <c r="R561" s="63"/>
      <c r="S561" s="63"/>
      <c r="T561" s="63"/>
      <c r="U561" s="63"/>
      <c r="V561" s="63"/>
      <c r="W561" s="63"/>
      <c r="X561" s="63"/>
      <c r="Y561" s="63"/>
      <c r="Z561" s="62"/>
    </row>
    <row r="562" ht="14.25" customHeight="1">
      <c r="A562" s="59"/>
      <c r="B562" s="97"/>
      <c r="C562" s="97"/>
      <c r="D562" s="97"/>
      <c r="E562" s="97"/>
      <c r="F562" s="97"/>
      <c r="G562" s="97"/>
      <c r="H562" s="59"/>
      <c r="I562" s="61"/>
      <c r="J562" s="61"/>
      <c r="K562" s="61"/>
      <c r="L562" s="62"/>
      <c r="M562" s="62"/>
      <c r="N562" s="63"/>
      <c r="O562" s="63"/>
      <c r="P562" s="63"/>
      <c r="Q562" s="63"/>
      <c r="R562" s="63"/>
      <c r="S562" s="63"/>
      <c r="T562" s="63"/>
      <c r="U562" s="63"/>
      <c r="V562" s="63"/>
      <c r="W562" s="63"/>
      <c r="X562" s="63"/>
      <c r="Y562" s="63"/>
      <c r="Z562" s="62"/>
    </row>
    <row r="563" ht="14.25" customHeight="1">
      <c r="A563" s="59"/>
      <c r="B563" s="97"/>
      <c r="C563" s="97"/>
      <c r="D563" s="97"/>
      <c r="E563" s="97"/>
      <c r="F563" s="97"/>
      <c r="G563" s="97"/>
      <c r="H563" s="59"/>
      <c r="I563" s="61"/>
      <c r="J563" s="61"/>
      <c r="K563" s="61"/>
      <c r="L563" s="62"/>
      <c r="M563" s="62"/>
      <c r="N563" s="63"/>
      <c r="O563" s="63"/>
      <c r="P563" s="63"/>
      <c r="Q563" s="63"/>
      <c r="R563" s="63"/>
      <c r="S563" s="63"/>
      <c r="T563" s="63"/>
      <c r="U563" s="63"/>
      <c r="V563" s="63"/>
      <c r="W563" s="63"/>
      <c r="X563" s="63"/>
      <c r="Y563" s="63"/>
      <c r="Z563" s="62"/>
    </row>
    <row r="564" ht="14.25" customHeight="1">
      <c r="A564" s="59"/>
      <c r="B564" s="97"/>
      <c r="C564" s="97"/>
      <c r="D564" s="97"/>
      <c r="E564" s="97"/>
      <c r="F564" s="97"/>
      <c r="G564" s="97"/>
      <c r="H564" s="59"/>
      <c r="I564" s="61"/>
      <c r="J564" s="61"/>
      <c r="K564" s="61"/>
      <c r="L564" s="62"/>
      <c r="M564" s="62"/>
      <c r="N564" s="63"/>
      <c r="O564" s="63"/>
      <c r="P564" s="63"/>
      <c r="Q564" s="63"/>
      <c r="R564" s="63"/>
      <c r="S564" s="63"/>
      <c r="T564" s="63"/>
      <c r="U564" s="63"/>
      <c r="V564" s="63"/>
      <c r="W564" s="63"/>
      <c r="X564" s="63"/>
      <c r="Y564" s="63"/>
      <c r="Z564" s="62"/>
    </row>
    <row r="565" ht="14.25" customHeight="1">
      <c r="A565" s="59"/>
      <c r="B565" s="97"/>
      <c r="C565" s="97"/>
      <c r="D565" s="97"/>
      <c r="E565" s="97"/>
      <c r="F565" s="97"/>
      <c r="G565" s="97"/>
      <c r="H565" s="59"/>
      <c r="I565" s="61"/>
      <c r="J565" s="61"/>
      <c r="K565" s="61"/>
      <c r="L565" s="62"/>
      <c r="M565" s="62"/>
      <c r="N565" s="63"/>
      <c r="O565" s="63"/>
      <c r="P565" s="63"/>
      <c r="Q565" s="63"/>
      <c r="R565" s="63"/>
      <c r="S565" s="63"/>
      <c r="T565" s="63"/>
      <c r="U565" s="63"/>
      <c r="V565" s="63"/>
      <c r="W565" s="63"/>
      <c r="X565" s="63"/>
      <c r="Y565" s="63"/>
      <c r="Z565" s="62"/>
    </row>
    <row r="566" ht="14.25" customHeight="1">
      <c r="A566" s="59"/>
      <c r="B566" s="97"/>
      <c r="C566" s="97"/>
      <c r="D566" s="97"/>
      <c r="E566" s="97"/>
      <c r="F566" s="97"/>
      <c r="G566" s="97"/>
      <c r="H566" s="59"/>
      <c r="I566" s="61"/>
      <c r="J566" s="61"/>
      <c r="K566" s="61"/>
      <c r="L566" s="62"/>
      <c r="M566" s="62"/>
      <c r="N566" s="63"/>
      <c r="O566" s="63"/>
      <c r="P566" s="63"/>
      <c r="Q566" s="63"/>
      <c r="R566" s="63"/>
      <c r="S566" s="63"/>
      <c r="T566" s="63"/>
      <c r="U566" s="63"/>
      <c r="V566" s="63"/>
      <c r="W566" s="63"/>
      <c r="X566" s="63"/>
      <c r="Y566" s="63"/>
      <c r="Z566" s="62"/>
    </row>
    <row r="567" ht="14.25" customHeight="1">
      <c r="A567" s="59"/>
      <c r="B567" s="97"/>
      <c r="C567" s="97"/>
      <c r="D567" s="97"/>
      <c r="E567" s="97"/>
      <c r="F567" s="97"/>
      <c r="G567" s="97"/>
      <c r="H567" s="59"/>
      <c r="I567" s="61"/>
      <c r="J567" s="61"/>
      <c r="K567" s="61"/>
      <c r="L567" s="62"/>
      <c r="M567" s="62"/>
      <c r="N567" s="63"/>
      <c r="O567" s="63"/>
      <c r="P567" s="63"/>
      <c r="Q567" s="63"/>
      <c r="R567" s="63"/>
      <c r="S567" s="63"/>
      <c r="T567" s="63"/>
      <c r="U567" s="63"/>
      <c r="V567" s="63"/>
      <c r="W567" s="63"/>
      <c r="X567" s="63"/>
      <c r="Y567" s="63"/>
      <c r="Z567" s="62"/>
    </row>
    <row r="568" ht="14.25" customHeight="1">
      <c r="A568" s="59"/>
      <c r="B568" s="97"/>
      <c r="C568" s="97"/>
      <c r="D568" s="97"/>
      <c r="E568" s="97"/>
      <c r="F568" s="97"/>
      <c r="G568" s="97"/>
      <c r="H568" s="59"/>
      <c r="I568" s="61"/>
      <c r="J568" s="61"/>
      <c r="K568" s="61"/>
      <c r="L568" s="62"/>
      <c r="M568" s="62"/>
      <c r="N568" s="63"/>
      <c r="O568" s="63"/>
      <c r="P568" s="63"/>
      <c r="Q568" s="63"/>
      <c r="R568" s="63"/>
      <c r="S568" s="63"/>
      <c r="T568" s="63"/>
      <c r="U568" s="63"/>
      <c r="V568" s="63"/>
      <c r="W568" s="63"/>
      <c r="X568" s="63"/>
      <c r="Y568" s="63"/>
      <c r="Z568" s="62"/>
    </row>
    <row r="569" ht="14.25" customHeight="1">
      <c r="A569" s="59"/>
      <c r="B569" s="97"/>
      <c r="C569" s="97"/>
      <c r="D569" s="97"/>
      <c r="E569" s="97"/>
      <c r="F569" s="97"/>
      <c r="G569" s="97"/>
      <c r="H569" s="59"/>
      <c r="I569" s="61"/>
      <c r="J569" s="61"/>
      <c r="K569" s="61"/>
      <c r="L569" s="62"/>
      <c r="M569" s="62"/>
      <c r="N569" s="63"/>
      <c r="O569" s="63"/>
      <c r="P569" s="63"/>
      <c r="Q569" s="63"/>
      <c r="R569" s="63"/>
      <c r="S569" s="63"/>
      <c r="T569" s="63"/>
      <c r="U569" s="63"/>
      <c r="V569" s="63"/>
      <c r="W569" s="63"/>
      <c r="X569" s="63"/>
      <c r="Y569" s="63"/>
      <c r="Z569" s="62"/>
    </row>
    <row r="570" ht="14.25" customHeight="1">
      <c r="A570" s="59"/>
      <c r="B570" s="97"/>
      <c r="C570" s="97"/>
      <c r="D570" s="97"/>
      <c r="E570" s="97"/>
      <c r="F570" s="97"/>
      <c r="G570" s="97"/>
      <c r="H570" s="59"/>
      <c r="I570" s="61"/>
      <c r="J570" s="61"/>
      <c r="K570" s="61"/>
      <c r="L570" s="62"/>
      <c r="M570" s="62"/>
      <c r="N570" s="63"/>
      <c r="O570" s="63"/>
      <c r="P570" s="63"/>
      <c r="Q570" s="63"/>
      <c r="R570" s="63"/>
      <c r="S570" s="63"/>
      <c r="T570" s="63"/>
      <c r="U570" s="63"/>
      <c r="V570" s="63"/>
      <c r="W570" s="63"/>
      <c r="X570" s="63"/>
      <c r="Y570" s="63"/>
      <c r="Z570" s="62"/>
    </row>
    <row r="571" ht="14.25" customHeight="1">
      <c r="A571" s="59"/>
      <c r="B571" s="97"/>
      <c r="C571" s="97"/>
      <c r="D571" s="97"/>
      <c r="E571" s="97"/>
      <c r="F571" s="97"/>
      <c r="G571" s="97"/>
      <c r="H571" s="59"/>
      <c r="I571" s="61"/>
      <c r="J571" s="61"/>
      <c r="K571" s="61"/>
      <c r="L571" s="62"/>
      <c r="M571" s="62"/>
      <c r="N571" s="63"/>
      <c r="O571" s="63"/>
      <c r="P571" s="63"/>
      <c r="Q571" s="63"/>
      <c r="R571" s="63"/>
      <c r="S571" s="63"/>
      <c r="T571" s="63"/>
      <c r="U571" s="63"/>
      <c r="V571" s="63"/>
      <c r="W571" s="63"/>
      <c r="X571" s="63"/>
      <c r="Y571" s="63"/>
      <c r="Z571" s="62"/>
    </row>
    <row r="572" ht="14.25" customHeight="1">
      <c r="A572" s="59"/>
      <c r="B572" s="97"/>
      <c r="C572" s="97"/>
      <c r="D572" s="97"/>
      <c r="E572" s="97"/>
      <c r="F572" s="97"/>
      <c r="G572" s="97"/>
      <c r="H572" s="59"/>
      <c r="I572" s="61"/>
      <c r="J572" s="61"/>
      <c r="K572" s="61"/>
      <c r="L572" s="62"/>
      <c r="M572" s="62"/>
      <c r="N572" s="63"/>
      <c r="O572" s="63"/>
      <c r="P572" s="63"/>
      <c r="Q572" s="63"/>
      <c r="R572" s="63"/>
      <c r="S572" s="63"/>
      <c r="T572" s="63"/>
      <c r="U572" s="63"/>
      <c r="V572" s="63"/>
      <c r="W572" s="63"/>
      <c r="X572" s="63"/>
      <c r="Y572" s="63"/>
      <c r="Z572" s="62"/>
    </row>
    <row r="573" ht="14.25" customHeight="1">
      <c r="A573" s="59"/>
      <c r="B573" s="97"/>
      <c r="C573" s="97"/>
      <c r="D573" s="97"/>
      <c r="E573" s="97"/>
      <c r="F573" s="97"/>
      <c r="G573" s="97"/>
      <c r="H573" s="59"/>
      <c r="I573" s="61"/>
      <c r="J573" s="61"/>
      <c r="K573" s="61"/>
      <c r="L573" s="62"/>
      <c r="M573" s="62"/>
      <c r="N573" s="63"/>
      <c r="O573" s="63"/>
      <c r="P573" s="63"/>
      <c r="Q573" s="63"/>
      <c r="R573" s="63"/>
      <c r="S573" s="63"/>
      <c r="T573" s="63"/>
      <c r="U573" s="63"/>
      <c r="V573" s="63"/>
      <c r="W573" s="63"/>
      <c r="X573" s="63"/>
      <c r="Y573" s="63"/>
      <c r="Z573" s="62"/>
    </row>
    <row r="574" ht="14.25" customHeight="1">
      <c r="A574" s="59"/>
      <c r="B574" s="97"/>
      <c r="C574" s="97"/>
      <c r="D574" s="97"/>
      <c r="E574" s="97"/>
      <c r="F574" s="97"/>
      <c r="G574" s="97"/>
      <c r="H574" s="59"/>
      <c r="I574" s="61"/>
      <c r="J574" s="61"/>
      <c r="K574" s="61"/>
      <c r="L574" s="62"/>
      <c r="M574" s="62"/>
      <c r="N574" s="63"/>
      <c r="O574" s="63"/>
      <c r="P574" s="63"/>
      <c r="Q574" s="63"/>
      <c r="R574" s="63"/>
      <c r="S574" s="63"/>
      <c r="T574" s="63"/>
      <c r="U574" s="63"/>
      <c r="V574" s="63"/>
      <c r="W574" s="63"/>
      <c r="X574" s="63"/>
      <c r="Y574" s="63"/>
      <c r="Z574" s="62"/>
    </row>
    <row r="575" ht="14.25" customHeight="1">
      <c r="A575" s="59"/>
      <c r="B575" s="97"/>
      <c r="C575" s="97"/>
      <c r="D575" s="97"/>
      <c r="E575" s="97"/>
      <c r="F575" s="97"/>
      <c r="G575" s="97"/>
      <c r="H575" s="59"/>
      <c r="I575" s="61"/>
      <c r="J575" s="61"/>
      <c r="K575" s="61"/>
      <c r="L575" s="62"/>
      <c r="M575" s="62"/>
      <c r="N575" s="63"/>
      <c r="O575" s="63"/>
      <c r="P575" s="63"/>
      <c r="Q575" s="63"/>
      <c r="R575" s="63"/>
      <c r="S575" s="63"/>
      <c r="T575" s="63"/>
      <c r="U575" s="63"/>
      <c r="V575" s="63"/>
      <c r="W575" s="63"/>
      <c r="X575" s="63"/>
      <c r="Y575" s="63"/>
      <c r="Z575" s="62"/>
    </row>
    <row r="576" ht="14.25" customHeight="1">
      <c r="A576" s="59"/>
      <c r="B576" s="97"/>
      <c r="C576" s="97"/>
      <c r="D576" s="97"/>
      <c r="E576" s="97"/>
      <c r="F576" s="97"/>
      <c r="G576" s="97"/>
      <c r="H576" s="59"/>
      <c r="I576" s="61"/>
      <c r="J576" s="61"/>
      <c r="K576" s="61"/>
      <c r="L576" s="62"/>
      <c r="M576" s="62"/>
      <c r="N576" s="63"/>
      <c r="O576" s="63"/>
      <c r="P576" s="63"/>
      <c r="Q576" s="63"/>
      <c r="R576" s="63"/>
      <c r="S576" s="63"/>
      <c r="T576" s="63"/>
      <c r="U576" s="63"/>
      <c r="V576" s="63"/>
      <c r="W576" s="63"/>
      <c r="X576" s="63"/>
      <c r="Y576" s="63"/>
      <c r="Z576" s="62"/>
    </row>
    <row r="577" ht="14.25" customHeight="1">
      <c r="A577" s="59"/>
      <c r="B577" s="97"/>
      <c r="C577" s="97"/>
      <c r="D577" s="97"/>
      <c r="E577" s="97"/>
      <c r="F577" s="97"/>
      <c r="G577" s="97"/>
      <c r="H577" s="59"/>
      <c r="I577" s="61"/>
      <c r="J577" s="61"/>
      <c r="K577" s="61"/>
      <c r="L577" s="62"/>
      <c r="M577" s="62"/>
      <c r="N577" s="63"/>
      <c r="O577" s="63"/>
      <c r="P577" s="63"/>
      <c r="Q577" s="63"/>
      <c r="R577" s="63"/>
      <c r="S577" s="63"/>
      <c r="T577" s="63"/>
      <c r="U577" s="63"/>
      <c r="V577" s="63"/>
      <c r="W577" s="63"/>
      <c r="X577" s="63"/>
      <c r="Y577" s="63"/>
      <c r="Z577" s="62"/>
    </row>
    <row r="578" ht="14.25" customHeight="1">
      <c r="A578" s="59"/>
      <c r="B578" s="97"/>
      <c r="C578" s="97"/>
      <c r="D578" s="97"/>
      <c r="E578" s="97"/>
      <c r="F578" s="97"/>
      <c r="G578" s="97"/>
      <c r="H578" s="59"/>
      <c r="I578" s="61"/>
      <c r="J578" s="61"/>
      <c r="K578" s="61"/>
      <c r="L578" s="62"/>
      <c r="M578" s="62"/>
      <c r="N578" s="63"/>
      <c r="O578" s="63"/>
      <c r="P578" s="63"/>
      <c r="Q578" s="63"/>
      <c r="R578" s="63"/>
      <c r="S578" s="63"/>
      <c r="T578" s="63"/>
      <c r="U578" s="63"/>
      <c r="V578" s="63"/>
      <c r="W578" s="63"/>
      <c r="X578" s="63"/>
      <c r="Y578" s="63"/>
      <c r="Z578" s="62"/>
    </row>
    <row r="579" ht="14.25" customHeight="1">
      <c r="A579" s="59"/>
      <c r="B579" s="97"/>
      <c r="C579" s="97"/>
      <c r="D579" s="97"/>
      <c r="E579" s="97"/>
      <c r="F579" s="97"/>
      <c r="G579" s="97"/>
      <c r="H579" s="59"/>
      <c r="I579" s="61"/>
      <c r="J579" s="61"/>
      <c r="K579" s="61"/>
      <c r="L579" s="62"/>
      <c r="M579" s="62"/>
      <c r="N579" s="63"/>
      <c r="O579" s="63"/>
      <c r="P579" s="63"/>
      <c r="Q579" s="63"/>
      <c r="R579" s="63"/>
      <c r="S579" s="63"/>
      <c r="T579" s="63"/>
      <c r="U579" s="63"/>
      <c r="V579" s="63"/>
      <c r="W579" s="63"/>
      <c r="X579" s="63"/>
      <c r="Y579" s="63"/>
      <c r="Z579" s="62"/>
    </row>
    <row r="580" ht="14.25" customHeight="1">
      <c r="A580" s="59"/>
      <c r="B580" s="97"/>
      <c r="C580" s="97"/>
      <c r="D580" s="97"/>
      <c r="E580" s="97"/>
      <c r="F580" s="97"/>
      <c r="G580" s="97"/>
      <c r="H580" s="59"/>
      <c r="I580" s="61"/>
      <c r="J580" s="61"/>
      <c r="K580" s="61"/>
      <c r="L580" s="62"/>
      <c r="M580" s="62"/>
      <c r="N580" s="63"/>
      <c r="O580" s="63"/>
      <c r="P580" s="63"/>
      <c r="Q580" s="63"/>
      <c r="R580" s="63"/>
      <c r="S580" s="63"/>
      <c r="T580" s="63"/>
      <c r="U580" s="63"/>
      <c r="V580" s="63"/>
      <c r="W580" s="63"/>
      <c r="X580" s="63"/>
      <c r="Y580" s="63"/>
      <c r="Z580" s="62"/>
    </row>
    <row r="581" ht="14.25" customHeight="1">
      <c r="A581" s="59"/>
      <c r="B581" s="97"/>
      <c r="C581" s="97"/>
      <c r="D581" s="97"/>
      <c r="E581" s="97"/>
      <c r="F581" s="97"/>
      <c r="G581" s="97"/>
      <c r="H581" s="59"/>
      <c r="I581" s="61"/>
      <c r="J581" s="61"/>
      <c r="K581" s="61"/>
      <c r="L581" s="62"/>
      <c r="M581" s="62"/>
      <c r="N581" s="63"/>
      <c r="O581" s="63"/>
      <c r="P581" s="63"/>
      <c r="Q581" s="63"/>
      <c r="R581" s="63"/>
      <c r="S581" s="63"/>
      <c r="T581" s="63"/>
      <c r="U581" s="63"/>
      <c r="V581" s="63"/>
      <c r="W581" s="63"/>
      <c r="X581" s="63"/>
      <c r="Y581" s="63"/>
      <c r="Z581" s="62"/>
    </row>
    <row r="582" ht="14.25" customHeight="1">
      <c r="A582" s="59"/>
      <c r="B582" s="97"/>
      <c r="C582" s="97"/>
      <c r="D582" s="97"/>
      <c r="E582" s="97"/>
      <c r="F582" s="97"/>
      <c r="G582" s="97"/>
      <c r="H582" s="59"/>
      <c r="I582" s="61"/>
      <c r="J582" s="61"/>
      <c r="K582" s="61"/>
      <c r="L582" s="62"/>
      <c r="M582" s="62"/>
      <c r="N582" s="63"/>
      <c r="O582" s="63"/>
      <c r="P582" s="63"/>
      <c r="Q582" s="63"/>
      <c r="R582" s="63"/>
      <c r="S582" s="63"/>
      <c r="T582" s="63"/>
      <c r="U582" s="63"/>
      <c r="V582" s="63"/>
      <c r="W582" s="63"/>
      <c r="X582" s="63"/>
      <c r="Y582" s="63"/>
      <c r="Z582" s="62"/>
    </row>
    <row r="583" ht="14.25" customHeight="1">
      <c r="A583" s="59"/>
      <c r="B583" s="97"/>
      <c r="C583" s="97"/>
      <c r="D583" s="97"/>
      <c r="E583" s="97"/>
      <c r="F583" s="97"/>
      <c r="G583" s="97"/>
      <c r="H583" s="59"/>
      <c r="I583" s="61"/>
      <c r="J583" s="61"/>
      <c r="K583" s="61"/>
      <c r="L583" s="62"/>
      <c r="M583" s="62"/>
      <c r="N583" s="63"/>
      <c r="O583" s="63"/>
      <c r="P583" s="63"/>
      <c r="Q583" s="63"/>
      <c r="R583" s="63"/>
      <c r="S583" s="63"/>
      <c r="T583" s="63"/>
      <c r="U583" s="63"/>
      <c r="V583" s="63"/>
      <c r="W583" s="63"/>
      <c r="X583" s="63"/>
      <c r="Y583" s="63"/>
      <c r="Z583" s="62"/>
    </row>
    <row r="584" ht="14.25" customHeight="1">
      <c r="A584" s="59"/>
      <c r="B584" s="97"/>
      <c r="C584" s="97"/>
      <c r="D584" s="97"/>
      <c r="E584" s="97"/>
      <c r="F584" s="97"/>
      <c r="G584" s="97"/>
      <c r="H584" s="59"/>
      <c r="I584" s="61"/>
      <c r="J584" s="61"/>
      <c r="K584" s="61"/>
      <c r="L584" s="62"/>
      <c r="M584" s="62"/>
      <c r="N584" s="63"/>
      <c r="O584" s="63"/>
      <c r="P584" s="63"/>
      <c r="Q584" s="63"/>
      <c r="R584" s="63"/>
      <c r="S584" s="63"/>
      <c r="T584" s="63"/>
      <c r="U584" s="63"/>
      <c r="V584" s="63"/>
      <c r="W584" s="63"/>
      <c r="X584" s="63"/>
      <c r="Y584" s="63"/>
      <c r="Z584" s="62"/>
    </row>
    <row r="585" ht="14.25" customHeight="1">
      <c r="A585" s="59"/>
      <c r="B585" s="97"/>
      <c r="C585" s="97"/>
      <c r="D585" s="97"/>
      <c r="E585" s="97"/>
      <c r="F585" s="97"/>
      <c r="G585" s="97"/>
      <c r="H585" s="59"/>
      <c r="I585" s="61"/>
      <c r="J585" s="61"/>
      <c r="K585" s="61"/>
      <c r="L585" s="62"/>
      <c r="M585" s="62"/>
      <c r="N585" s="63"/>
      <c r="O585" s="63"/>
      <c r="P585" s="63"/>
      <c r="Q585" s="63"/>
      <c r="R585" s="63"/>
      <c r="S585" s="63"/>
      <c r="T585" s="63"/>
      <c r="U585" s="63"/>
      <c r="V585" s="63"/>
      <c r="W585" s="63"/>
      <c r="X585" s="63"/>
      <c r="Y585" s="63"/>
      <c r="Z585" s="62"/>
    </row>
    <row r="586" ht="14.25" customHeight="1">
      <c r="A586" s="59"/>
      <c r="B586" s="97"/>
      <c r="C586" s="97"/>
      <c r="D586" s="97"/>
      <c r="E586" s="97"/>
      <c r="F586" s="97"/>
      <c r="G586" s="97"/>
      <c r="H586" s="59"/>
      <c r="I586" s="61"/>
      <c r="J586" s="61"/>
      <c r="K586" s="61"/>
      <c r="L586" s="62"/>
      <c r="M586" s="62"/>
      <c r="N586" s="63"/>
      <c r="O586" s="63"/>
      <c r="P586" s="63"/>
      <c r="Q586" s="63"/>
      <c r="R586" s="63"/>
      <c r="S586" s="63"/>
      <c r="T586" s="63"/>
      <c r="U586" s="63"/>
      <c r="V586" s="63"/>
      <c r="W586" s="63"/>
      <c r="X586" s="63"/>
      <c r="Y586" s="63"/>
      <c r="Z586" s="62"/>
    </row>
    <row r="587" ht="14.25" customHeight="1">
      <c r="A587" s="59"/>
      <c r="B587" s="97"/>
      <c r="C587" s="97"/>
      <c r="D587" s="97"/>
      <c r="E587" s="97"/>
      <c r="F587" s="97"/>
      <c r="G587" s="97"/>
      <c r="H587" s="59"/>
      <c r="I587" s="61"/>
      <c r="J587" s="61"/>
      <c r="K587" s="61"/>
      <c r="L587" s="62"/>
      <c r="M587" s="62"/>
      <c r="N587" s="63"/>
      <c r="O587" s="63"/>
      <c r="P587" s="63"/>
      <c r="Q587" s="63"/>
      <c r="R587" s="63"/>
      <c r="S587" s="63"/>
      <c r="T587" s="63"/>
      <c r="U587" s="63"/>
      <c r="V587" s="63"/>
      <c r="W587" s="63"/>
      <c r="X587" s="63"/>
      <c r="Y587" s="63"/>
      <c r="Z587" s="62"/>
    </row>
    <row r="588" ht="14.25" customHeight="1">
      <c r="A588" s="59"/>
      <c r="B588" s="97"/>
      <c r="C588" s="97"/>
      <c r="D588" s="97"/>
      <c r="E588" s="97"/>
      <c r="F588" s="97"/>
      <c r="G588" s="97"/>
      <c r="H588" s="59"/>
      <c r="I588" s="61"/>
      <c r="J588" s="61"/>
      <c r="K588" s="61"/>
      <c r="L588" s="62"/>
      <c r="M588" s="62"/>
      <c r="N588" s="63"/>
      <c r="O588" s="63"/>
      <c r="P588" s="63"/>
      <c r="Q588" s="63"/>
      <c r="R588" s="63"/>
      <c r="S588" s="63"/>
      <c r="T588" s="63"/>
      <c r="U588" s="63"/>
      <c r="V588" s="63"/>
      <c r="W588" s="63"/>
      <c r="X588" s="63"/>
      <c r="Y588" s="63"/>
      <c r="Z588" s="62"/>
    </row>
    <row r="589" ht="14.25" customHeight="1">
      <c r="A589" s="59"/>
      <c r="B589" s="97"/>
      <c r="C589" s="97"/>
      <c r="D589" s="97"/>
      <c r="E589" s="97"/>
      <c r="F589" s="97"/>
      <c r="G589" s="97"/>
      <c r="H589" s="59"/>
      <c r="I589" s="61"/>
      <c r="J589" s="61"/>
      <c r="K589" s="61"/>
      <c r="L589" s="62"/>
      <c r="M589" s="62"/>
      <c r="N589" s="63"/>
      <c r="O589" s="63"/>
      <c r="P589" s="63"/>
      <c r="Q589" s="63"/>
      <c r="R589" s="63"/>
      <c r="S589" s="63"/>
      <c r="T589" s="63"/>
      <c r="U589" s="63"/>
      <c r="V589" s="63"/>
      <c r="W589" s="63"/>
      <c r="X589" s="63"/>
      <c r="Y589" s="63"/>
      <c r="Z589" s="62"/>
    </row>
    <row r="590" ht="14.25" customHeight="1">
      <c r="A590" s="59"/>
      <c r="B590" s="97"/>
      <c r="C590" s="97"/>
      <c r="D590" s="97"/>
      <c r="E590" s="97"/>
      <c r="F590" s="97"/>
      <c r="G590" s="97"/>
      <c r="H590" s="59"/>
      <c r="I590" s="61"/>
      <c r="J590" s="61"/>
      <c r="K590" s="61"/>
      <c r="L590" s="62"/>
      <c r="M590" s="62"/>
      <c r="N590" s="63"/>
      <c r="O590" s="63"/>
      <c r="P590" s="63"/>
      <c r="Q590" s="63"/>
      <c r="R590" s="63"/>
      <c r="S590" s="63"/>
      <c r="T590" s="63"/>
      <c r="U590" s="63"/>
      <c r="V590" s="63"/>
      <c r="W590" s="63"/>
      <c r="X590" s="63"/>
      <c r="Y590" s="63"/>
      <c r="Z590" s="62"/>
    </row>
    <row r="591" ht="14.25" customHeight="1">
      <c r="A591" s="59"/>
      <c r="B591" s="97"/>
      <c r="C591" s="97"/>
      <c r="D591" s="97"/>
      <c r="E591" s="97"/>
      <c r="F591" s="97"/>
      <c r="G591" s="97"/>
      <c r="H591" s="59"/>
      <c r="I591" s="61"/>
      <c r="J591" s="61"/>
      <c r="K591" s="61"/>
      <c r="L591" s="62"/>
      <c r="M591" s="62"/>
      <c r="N591" s="63"/>
      <c r="O591" s="63"/>
      <c r="P591" s="63"/>
      <c r="Q591" s="63"/>
      <c r="R591" s="63"/>
      <c r="S591" s="63"/>
      <c r="T591" s="63"/>
      <c r="U591" s="63"/>
      <c r="V591" s="63"/>
      <c r="W591" s="63"/>
      <c r="X591" s="63"/>
      <c r="Y591" s="63"/>
      <c r="Z591" s="62"/>
    </row>
    <row r="592" ht="14.25" customHeight="1">
      <c r="A592" s="59"/>
      <c r="B592" s="97"/>
      <c r="C592" s="97"/>
      <c r="D592" s="97"/>
      <c r="E592" s="97"/>
      <c r="F592" s="97"/>
      <c r="G592" s="97"/>
      <c r="H592" s="59"/>
      <c r="I592" s="61"/>
      <c r="J592" s="61"/>
      <c r="K592" s="61"/>
      <c r="L592" s="62"/>
      <c r="M592" s="62"/>
      <c r="N592" s="63"/>
      <c r="O592" s="63"/>
      <c r="P592" s="63"/>
      <c r="Q592" s="63"/>
      <c r="R592" s="63"/>
      <c r="S592" s="63"/>
      <c r="T592" s="63"/>
      <c r="U592" s="63"/>
      <c r="V592" s="63"/>
      <c r="W592" s="63"/>
      <c r="X592" s="63"/>
      <c r="Y592" s="63"/>
      <c r="Z592" s="62"/>
    </row>
    <row r="593" ht="14.25" customHeight="1">
      <c r="A593" s="59"/>
      <c r="B593" s="97"/>
      <c r="C593" s="97"/>
      <c r="D593" s="97"/>
      <c r="E593" s="97"/>
      <c r="F593" s="97"/>
      <c r="G593" s="97"/>
      <c r="H593" s="59"/>
      <c r="I593" s="61"/>
      <c r="J593" s="61"/>
      <c r="K593" s="61"/>
      <c r="L593" s="62"/>
      <c r="M593" s="62"/>
      <c r="N593" s="63"/>
      <c r="O593" s="63"/>
      <c r="P593" s="63"/>
      <c r="Q593" s="63"/>
      <c r="R593" s="63"/>
      <c r="S593" s="63"/>
      <c r="T593" s="63"/>
      <c r="U593" s="63"/>
      <c r="V593" s="63"/>
      <c r="W593" s="63"/>
      <c r="X593" s="63"/>
      <c r="Y593" s="63"/>
      <c r="Z593" s="62"/>
    </row>
    <row r="594" ht="14.25" customHeight="1">
      <c r="A594" s="59"/>
      <c r="B594" s="97"/>
      <c r="C594" s="97"/>
      <c r="D594" s="97"/>
      <c r="E594" s="97"/>
      <c r="F594" s="97"/>
      <c r="G594" s="97"/>
      <c r="H594" s="59"/>
      <c r="I594" s="61"/>
      <c r="J594" s="61"/>
      <c r="K594" s="61"/>
      <c r="L594" s="62"/>
      <c r="M594" s="62"/>
      <c r="N594" s="63"/>
      <c r="O594" s="63"/>
      <c r="P594" s="63"/>
      <c r="Q594" s="63"/>
      <c r="R594" s="63"/>
      <c r="S594" s="63"/>
      <c r="T594" s="63"/>
      <c r="U594" s="63"/>
      <c r="V594" s="63"/>
      <c r="W594" s="63"/>
      <c r="X594" s="63"/>
      <c r="Y594" s="63"/>
      <c r="Z594" s="62"/>
    </row>
    <row r="595" ht="14.25" customHeight="1">
      <c r="A595" s="59"/>
      <c r="B595" s="97"/>
      <c r="C595" s="97"/>
      <c r="D595" s="97"/>
      <c r="E595" s="97"/>
      <c r="F595" s="97"/>
      <c r="G595" s="97"/>
      <c r="H595" s="59"/>
      <c r="I595" s="61"/>
      <c r="J595" s="61"/>
      <c r="K595" s="61"/>
      <c r="L595" s="62"/>
      <c r="M595" s="62"/>
      <c r="N595" s="63"/>
      <c r="O595" s="63"/>
      <c r="P595" s="63"/>
      <c r="Q595" s="63"/>
      <c r="R595" s="63"/>
      <c r="S595" s="63"/>
      <c r="T595" s="63"/>
      <c r="U595" s="63"/>
      <c r="V595" s="63"/>
      <c r="W595" s="63"/>
      <c r="X595" s="63"/>
      <c r="Y595" s="63"/>
      <c r="Z595" s="62"/>
    </row>
    <row r="596" ht="14.25" customHeight="1">
      <c r="A596" s="59"/>
      <c r="B596" s="97"/>
      <c r="C596" s="97"/>
      <c r="D596" s="97"/>
      <c r="E596" s="97"/>
      <c r="F596" s="97"/>
      <c r="G596" s="97"/>
      <c r="H596" s="59"/>
      <c r="I596" s="61"/>
      <c r="J596" s="61"/>
      <c r="K596" s="61"/>
      <c r="L596" s="62"/>
      <c r="M596" s="62"/>
      <c r="N596" s="63"/>
      <c r="O596" s="63"/>
      <c r="P596" s="63"/>
      <c r="Q596" s="63"/>
      <c r="R596" s="63"/>
      <c r="S596" s="63"/>
      <c r="T596" s="63"/>
      <c r="U596" s="63"/>
      <c r="V596" s="63"/>
      <c r="W596" s="63"/>
      <c r="X596" s="63"/>
      <c r="Y596" s="63"/>
      <c r="Z596" s="62"/>
    </row>
    <row r="597" ht="14.25" customHeight="1">
      <c r="A597" s="59"/>
      <c r="B597" s="97"/>
      <c r="C597" s="97"/>
      <c r="D597" s="97"/>
      <c r="E597" s="97"/>
      <c r="F597" s="97"/>
      <c r="G597" s="97"/>
      <c r="H597" s="59"/>
      <c r="I597" s="61"/>
      <c r="J597" s="61"/>
      <c r="K597" s="61"/>
      <c r="L597" s="62"/>
      <c r="M597" s="62"/>
      <c r="N597" s="63"/>
      <c r="O597" s="63"/>
      <c r="P597" s="63"/>
      <c r="Q597" s="63"/>
      <c r="R597" s="63"/>
      <c r="S597" s="63"/>
      <c r="T597" s="63"/>
      <c r="U597" s="63"/>
      <c r="V597" s="63"/>
      <c r="W597" s="63"/>
      <c r="X597" s="63"/>
      <c r="Y597" s="63"/>
      <c r="Z597" s="62"/>
    </row>
    <row r="598" ht="14.25" customHeight="1">
      <c r="A598" s="59"/>
      <c r="B598" s="97"/>
      <c r="C598" s="97"/>
      <c r="D598" s="97"/>
      <c r="E598" s="97"/>
      <c r="F598" s="97"/>
      <c r="G598" s="97"/>
      <c r="H598" s="59"/>
      <c r="I598" s="61"/>
      <c r="J598" s="61"/>
      <c r="K598" s="61"/>
      <c r="L598" s="62"/>
      <c r="M598" s="62"/>
      <c r="N598" s="63"/>
      <c r="O598" s="63"/>
      <c r="P598" s="63"/>
      <c r="Q598" s="63"/>
      <c r="R598" s="63"/>
      <c r="S598" s="63"/>
      <c r="T598" s="63"/>
      <c r="U598" s="63"/>
      <c r="V598" s="63"/>
      <c r="W598" s="63"/>
      <c r="X598" s="63"/>
      <c r="Y598" s="63"/>
      <c r="Z598" s="62"/>
    </row>
    <row r="599" ht="14.25" customHeight="1">
      <c r="A599" s="59"/>
      <c r="B599" s="97"/>
      <c r="C599" s="97"/>
      <c r="D599" s="97"/>
      <c r="E599" s="97"/>
      <c r="F599" s="97"/>
      <c r="G599" s="97"/>
      <c r="H599" s="59"/>
      <c r="I599" s="61"/>
      <c r="J599" s="61"/>
      <c r="K599" s="61"/>
      <c r="L599" s="62"/>
      <c r="M599" s="62"/>
      <c r="N599" s="63"/>
      <c r="O599" s="63"/>
      <c r="P599" s="63"/>
      <c r="Q599" s="63"/>
      <c r="R599" s="63"/>
      <c r="S599" s="63"/>
      <c r="T599" s="63"/>
      <c r="U599" s="63"/>
      <c r="V599" s="63"/>
      <c r="W599" s="63"/>
      <c r="X599" s="63"/>
      <c r="Y599" s="63"/>
      <c r="Z599" s="62"/>
    </row>
    <row r="600" ht="14.25" customHeight="1">
      <c r="A600" s="59"/>
      <c r="B600" s="97"/>
      <c r="C600" s="97"/>
      <c r="D600" s="97"/>
      <c r="E600" s="97"/>
      <c r="F600" s="97"/>
      <c r="G600" s="97"/>
      <c r="H600" s="59"/>
      <c r="I600" s="61"/>
      <c r="J600" s="61"/>
      <c r="K600" s="61"/>
      <c r="L600" s="62"/>
      <c r="M600" s="62"/>
      <c r="N600" s="63"/>
      <c r="O600" s="63"/>
      <c r="P600" s="63"/>
      <c r="Q600" s="63"/>
      <c r="R600" s="63"/>
      <c r="S600" s="63"/>
      <c r="T600" s="63"/>
      <c r="U600" s="63"/>
      <c r="V600" s="63"/>
      <c r="W600" s="63"/>
      <c r="X600" s="63"/>
      <c r="Y600" s="63"/>
      <c r="Z600" s="62"/>
    </row>
    <row r="601" ht="14.25" customHeight="1">
      <c r="A601" s="59"/>
      <c r="B601" s="97"/>
      <c r="C601" s="97"/>
      <c r="D601" s="97"/>
      <c r="E601" s="97"/>
      <c r="F601" s="97"/>
      <c r="G601" s="97"/>
      <c r="H601" s="59"/>
      <c r="I601" s="61"/>
      <c r="J601" s="61"/>
      <c r="K601" s="61"/>
      <c r="L601" s="62"/>
      <c r="M601" s="62"/>
      <c r="N601" s="63"/>
      <c r="O601" s="63"/>
      <c r="P601" s="63"/>
      <c r="Q601" s="63"/>
      <c r="R601" s="63"/>
      <c r="S601" s="63"/>
      <c r="T601" s="63"/>
      <c r="U601" s="63"/>
      <c r="V601" s="63"/>
      <c r="W601" s="63"/>
      <c r="X601" s="63"/>
      <c r="Y601" s="63"/>
      <c r="Z601" s="62"/>
    </row>
    <row r="602" ht="14.25" customHeight="1">
      <c r="A602" s="59"/>
      <c r="B602" s="97"/>
      <c r="C602" s="97"/>
      <c r="D602" s="97"/>
      <c r="E602" s="97"/>
      <c r="F602" s="97"/>
      <c r="G602" s="97"/>
      <c r="H602" s="59"/>
      <c r="I602" s="61"/>
      <c r="J602" s="61"/>
      <c r="K602" s="61"/>
      <c r="L602" s="62"/>
      <c r="M602" s="62"/>
      <c r="N602" s="63"/>
      <c r="O602" s="63"/>
      <c r="P602" s="63"/>
      <c r="Q602" s="63"/>
      <c r="R602" s="63"/>
      <c r="S602" s="63"/>
      <c r="T602" s="63"/>
      <c r="U602" s="63"/>
      <c r="V602" s="63"/>
      <c r="W602" s="63"/>
      <c r="X602" s="63"/>
      <c r="Y602" s="63"/>
      <c r="Z602" s="62"/>
    </row>
    <row r="603" ht="14.25" customHeight="1">
      <c r="A603" s="59"/>
      <c r="B603" s="97"/>
      <c r="C603" s="97"/>
      <c r="D603" s="97"/>
      <c r="E603" s="97"/>
      <c r="F603" s="97"/>
      <c r="G603" s="97"/>
      <c r="H603" s="59"/>
      <c r="I603" s="61"/>
      <c r="J603" s="61"/>
      <c r="K603" s="61"/>
      <c r="L603" s="62"/>
      <c r="M603" s="62"/>
      <c r="N603" s="63"/>
      <c r="O603" s="63"/>
      <c r="P603" s="63"/>
      <c r="Q603" s="63"/>
      <c r="R603" s="63"/>
      <c r="S603" s="63"/>
      <c r="T603" s="63"/>
      <c r="U603" s="63"/>
      <c r="V603" s="63"/>
      <c r="W603" s="63"/>
      <c r="X603" s="63"/>
      <c r="Y603" s="63"/>
      <c r="Z603" s="62"/>
    </row>
    <row r="604" ht="14.25" customHeight="1">
      <c r="A604" s="59"/>
      <c r="B604" s="97"/>
      <c r="C604" s="97"/>
      <c r="D604" s="97"/>
      <c r="E604" s="97"/>
      <c r="F604" s="97"/>
      <c r="G604" s="97"/>
      <c r="H604" s="59"/>
      <c r="I604" s="61"/>
      <c r="J604" s="61"/>
      <c r="K604" s="61"/>
      <c r="L604" s="62"/>
      <c r="M604" s="62"/>
      <c r="N604" s="63"/>
      <c r="O604" s="63"/>
      <c r="P604" s="63"/>
      <c r="Q604" s="63"/>
      <c r="R604" s="63"/>
      <c r="S604" s="63"/>
      <c r="T604" s="63"/>
      <c r="U604" s="63"/>
      <c r="V604" s="63"/>
      <c r="W604" s="63"/>
      <c r="X604" s="63"/>
      <c r="Y604" s="63"/>
      <c r="Z604" s="62"/>
    </row>
    <row r="605" ht="14.25" customHeight="1">
      <c r="A605" s="59"/>
      <c r="B605" s="97"/>
      <c r="C605" s="97"/>
      <c r="D605" s="97"/>
      <c r="E605" s="97"/>
      <c r="F605" s="97"/>
      <c r="G605" s="97"/>
      <c r="H605" s="59"/>
      <c r="I605" s="61"/>
      <c r="J605" s="61"/>
      <c r="K605" s="61"/>
      <c r="L605" s="62"/>
      <c r="M605" s="62"/>
      <c r="N605" s="63"/>
      <c r="O605" s="63"/>
      <c r="P605" s="63"/>
      <c r="Q605" s="63"/>
      <c r="R605" s="63"/>
      <c r="S605" s="63"/>
      <c r="T605" s="63"/>
      <c r="U605" s="63"/>
      <c r="V605" s="63"/>
      <c r="W605" s="63"/>
      <c r="X605" s="63"/>
      <c r="Y605" s="63"/>
      <c r="Z605" s="62"/>
    </row>
    <row r="606" ht="14.25" customHeight="1">
      <c r="A606" s="59"/>
      <c r="B606" s="97"/>
      <c r="C606" s="97"/>
      <c r="D606" s="97"/>
      <c r="E606" s="97"/>
      <c r="F606" s="97"/>
      <c r="G606" s="97"/>
      <c r="H606" s="59"/>
      <c r="I606" s="61"/>
      <c r="J606" s="61"/>
      <c r="K606" s="61"/>
      <c r="L606" s="62"/>
      <c r="M606" s="62"/>
      <c r="N606" s="63"/>
      <c r="O606" s="63"/>
      <c r="P606" s="63"/>
      <c r="Q606" s="63"/>
      <c r="R606" s="63"/>
      <c r="S606" s="63"/>
      <c r="T606" s="63"/>
      <c r="U606" s="63"/>
      <c r="V606" s="63"/>
      <c r="W606" s="63"/>
      <c r="X606" s="63"/>
      <c r="Y606" s="63"/>
      <c r="Z606" s="62"/>
    </row>
    <row r="607" ht="14.25" customHeight="1">
      <c r="A607" s="59"/>
      <c r="B607" s="97"/>
      <c r="C607" s="97"/>
      <c r="D607" s="97"/>
      <c r="E607" s="97"/>
      <c r="F607" s="97"/>
      <c r="G607" s="97"/>
      <c r="H607" s="59"/>
      <c r="I607" s="61"/>
      <c r="J607" s="61"/>
      <c r="K607" s="61"/>
      <c r="L607" s="62"/>
      <c r="M607" s="62"/>
      <c r="N607" s="63"/>
      <c r="O607" s="63"/>
      <c r="P607" s="63"/>
      <c r="Q607" s="63"/>
      <c r="R607" s="63"/>
      <c r="S607" s="63"/>
      <c r="T607" s="63"/>
      <c r="U607" s="63"/>
      <c r="V607" s="63"/>
      <c r="W607" s="63"/>
      <c r="X607" s="63"/>
      <c r="Y607" s="63"/>
      <c r="Z607" s="62"/>
    </row>
    <row r="608" ht="14.25" customHeight="1">
      <c r="A608" s="59"/>
      <c r="B608" s="97"/>
      <c r="C608" s="97"/>
      <c r="D608" s="97"/>
      <c r="E608" s="97"/>
      <c r="F608" s="97"/>
      <c r="G608" s="97"/>
      <c r="H608" s="59"/>
      <c r="I608" s="61"/>
      <c r="J608" s="61"/>
      <c r="K608" s="61"/>
      <c r="L608" s="62"/>
      <c r="M608" s="62"/>
      <c r="N608" s="63"/>
      <c r="O608" s="63"/>
      <c r="P608" s="63"/>
      <c r="Q608" s="63"/>
      <c r="R608" s="63"/>
      <c r="S608" s="63"/>
      <c r="T608" s="63"/>
      <c r="U608" s="63"/>
      <c r="V608" s="63"/>
      <c r="W608" s="63"/>
      <c r="X608" s="63"/>
      <c r="Y608" s="63"/>
      <c r="Z608" s="62"/>
    </row>
    <row r="609" ht="14.25" customHeight="1">
      <c r="A609" s="59"/>
      <c r="B609" s="97"/>
      <c r="C609" s="97"/>
      <c r="D609" s="97"/>
      <c r="E609" s="97"/>
      <c r="F609" s="97"/>
      <c r="G609" s="97"/>
      <c r="H609" s="59"/>
      <c r="I609" s="61"/>
      <c r="J609" s="61"/>
      <c r="K609" s="61"/>
      <c r="L609" s="62"/>
      <c r="M609" s="62"/>
      <c r="N609" s="63"/>
      <c r="O609" s="63"/>
      <c r="P609" s="63"/>
      <c r="Q609" s="63"/>
      <c r="R609" s="63"/>
      <c r="S609" s="63"/>
      <c r="T609" s="63"/>
      <c r="U609" s="63"/>
      <c r="V609" s="63"/>
      <c r="W609" s="63"/>
      <c r="X609" s="63"/>
      <c r="Y609" s="63"/>
      <c r="Z609" s="62"/>
    </row>
    <row r="610" ht="14.25" customHeight="1">
      <c r="A610" s="59"/>
      <c r="B610" s="97"/>
      <c r="C610" s="97"/>
      <c r="D610" s="97"/>
      <c r="E610" s="97"/>
      <c r="F610" s="97"/>
      <c r="G610" s="97"/>
      <c r="H610" s="59"/>
      <c r="I610" s="61"/>
      <c r="J610" s="61"/>
      <c r="K610" s="61"/>
      <c r="L610" s="62"/>
      <c r="M610" s="62"/>
      <c r="N610" s="63"/>
      <c r="O610" s="63"/>
      <c r="P610" s="63"/>
      <c r="Q610" s="63"/>
      <c r="R610" s="63"/>
      <c r="S610" s="63"/>
      <c r="T610" s="63"/>
      <c r="U610" s="63"/>
      <c r="V610" s="63"/>
      <c r="W610" s="63"/>
      <c r="X610" s="63"/>
      <c r="Y610" s="63"/>
      <c r="Z610" s="62"/>
    </row>
    <row r="611" ht="14.25" customHeight="1">
      <c r="A611" s="59"/>
      <c r="B611" s="97"/>
      <c r="C611" s="97"/>
      <c r="D611" s="97"/>
      <c r="E611" s="97"/>
      <c r="F611" s="97"/>
      <c r="G611" s="97"/>
      <c r="H611" s="59"/>
      <c r="I611" s="61"/>
      <c r="J611" s="61"/>
      <c r="K611" s="61"/>
      <c r="L611" s="62"/>
      <c r="M611" s="62"/>
      <c r="N611" s="63"/>
      <c r="O611" s="63"/>
      <c r="P611" s="63"/>
      <c r="Q611" s="63"/>
      <c r="R611" s="63"/>
      <c r="S611" s="63"/>
      <c r="T611" s="63"/>
      <c r="U611" s="63"/>
      <c r="V611" s="63"/>
      <c r="W611" s="63"/>
      <c r="X611" s="63"/>
      <c r="Y611" s="63"/>
      <c r="Z611" s="62"/>
    </row>
    <row r="612" ht="14.25" customHeight="1">
      <c r="A612" s="59"/>
      <c r="B612" s="97"/>
      <c r="C612" s="97"/>
      <c r="D612" s="97"/>
      <c r="E612" s="97"/>
      <c r="F612" s="97"/>
      <c r="G612" s="97"/>
      <c r="H612" s="59"/>
      <c r="I612" s="61"/>
      <c r="J612" s="61"/>
      <c r="K612" s="61"/>
      <c r="L612" s="62"/>
      <c r="M612" s="62"/>
      <c r="N612" s="63"/>
      <c r="O612" s="63"/>
      <c r="P612" s="63"/>
      <c r="Q612" s="63"/>
      <c r="R612" s="63"/>
      <c r="S612" s="63"/>
      <c r="T612" s="63"/>
      <c r="U612" s="63"/>
      <c r="V612" s="63"/>
      <c r="W612" s="63"/>
      <c r="X612" s="63"/>
      <c r="Y612" s="63"/>
      <c r="Z612" s="62"/>
    </row>
    <row r="613" ht="14.25" customHeight="1">
      <c r="A613" s="59"/>
      <c r="B613" s="97"/>
      <c r="C613" s="97"/>
      <c r="D613" s="97"/>
      <c r="E613" s="97"/>
      <c r="F613" s="97"/>
      <c r="G613" s="97"/>
      <c r="H613" s="59"/>
      <c r="I613" s="61"/>
      <c r="J613" s="61"/>
      <c r="K613" s="61"/>
      <c r="L613" s="62"/>
      <c r="M613" s="62"/>
      <c r="N613" s="63"/>
      <c r="O613" s="63"/>
      <c r="P613" s="63"/>
      <c r="Q613" s="63"/>
      <c r="R613" s="63"/>
      <c r="S613" s="63"/>
      <c r="T613" s="63"/>
      <c r="U613" s="63"/>
      <c r="V613" s="63"/>
      <c r="W613" s="63"/>
      <c r="X613" s="63"/>
      <c r="Y613" s="63"/>
      <c r="Z613" s="62"/>
    </row>
    <row r="614" ht="14.25" customHeight="1">
      <c r="A614" s="59"/>
      <c r="B614" s="97"/>
      <c r="C614" s="97"/>
      <c r="D614" s="97"/>
      <c r="E614" s="97"/>
      <c r="F614" s="97"/>
      <c r="G614" s="97"/>
      <c r="H614" s="59"/>
      <c r="I614" s="61"/>
      <c r="J614" s="61"/>
      <c r="K614" s="61"/>
      <c r="L614" s="62"/>
      <c r="M614" s="62"/>
      <c r="N614" s="63"/>
      <c r="O614" s="63"/>
      <c r="P614" s="63"/>
      <c r="Q614" s="63"/>
      <c r="R614" s="63"/>
      <c r="S614" s="63"/>
      <c r="T614" s="63"/>
      <c r="U614" s="63"/>
      <c r="V614" s="63"/>
      <c r="W614" s="63"/>
      <c r="X614" s="63"/>
      <c r="Y614" s="63"/>
      <c r="Z614" s="62"/>
    </row>
    <row r="615" ht="14.25" customHeight="1">
      <c r="A615" s="59"/>
      <c r="B615" s="97"/>
      <c r="C615" s="97"/>
      <c r="D615" s="97"/>
      <c r="E615" s="97"/>
      <c r="F615" s="97"/>
      <c r="G615" s="97"/>
      <c r="H615" s="59"/>
      <c r="I615" s="61"/>
      <c r="J615" s="61"/>
      <c r="K615" s="61"/>
      <c r="L615" s="62"/>
      <c r="M615" s="62"/>
      <c r="N615" s="63"/>
      <c r="O615" s="63"/>
      <c r="P615" s="63"/>
      <c r="Q615" s="63"/>
      <c r="R615" s="63"/>
      <c r="S615" s="63"/>
      <c r="T615" s="63"/>
      <c r="U615" s="63"/>
      <c r="V615" s="63"/>
      <c r="W615" s="63"/>
      <c r="X615" s="63"/>
      <c r="Y615" s="63"/>
      <c r="Z615" s="62"/>
    </row>
    <row r="616" ht="14.25" customHeight="1">
      <c r="A616" s="59"/>
      <c r="B616" s="97"/>
      <c r="C616" s="97"/>
      <c r="D616" s="97"/>
      <c r="E616" s="97"/>
      <c r="F616" s="97"/>
      <c r="G616" s="97"/>
      <c r="H616" s="59"/>
      <c r="I616" s="61"/>
      <c r="J616" s="61"/>
      <c r="K616" s="61"/>
      <c r="L616" s="62"/>
      <c r="M616" s="62"/>
      <c r="N616" s="63"/>
      <c r="O616" s="63"/>
      <c r="P616" s="63"/>
      <c r="Q616" s="63"/>
      <c r="R616" s="63"/>
      <c r="S616" s="63"/>
      <c r="T616" s="63"/>
      <c r="U616" s="63"/>
      <c r="V616" s="63"/>
      <c r="W616" s="63"/>
      <c r="X616" s="63"/>
      <c r="Y616" s="63"/>
      <c r="Z616" s="62"/>
    </row>
    <row r="617" ht="14.25" customHeight="1">
      <c r="A617" s="59"/>
      <c r="B617" s="97"/>
      <c r="C617" s="97"/>
      <c r="D617" s="97"/>
      <c r="E617" s="97"/>
      <c r="F617" s="97"/>
      <c r="G617" s="97"/>
      <c r="H617" s="59"/>
      <c r="I617" s="61"/>
      <c r="J617" s="61"/>
      <c r="K617" s="61"/>
      <c r="L617" s="62"/>
      <c r="M617" s="62"/>
      <c r="N617" s="63"/>
      <c r="O617" s="63"/>
      <c r="P617" s="63"/>
      <c r="Q617" s="63"/>
      <c r="R617" s="63"/>
      <c r="S617" s="63"/>
      <c r="T617" s="63"/>
      <c r="U617" s="63"/>
      <c r="V617" s="63"/>
      <c r="W617" s="63"/>
      <c r="X617" s="63"/>
      <c r="Y617" s="63"/>
      <c r="Z617" s="62"/>
    </row>
    <row r="618" ht="14.25" customHeight="1">
      <c r="A618" s="59"/>
      <c r="B618" s="97"/>
      <c r="C618" s="97"/>
      <c r="D618" s="97"/>
      <c r="E618" s="97"/>
      <c r="F618" s="97"/>
      <c r="G618" s="97"/>
      <c r="H618" s="59"/>
      <c r="I618" s="61"/>
      <c r="J618" s="61"/>
      <c r="K618" s="61"/>
      <c r="L618" s="62"/>
      <c r="M618" s="62"/>
      <c r="N618" s="63"/>
      <c r="O618" s="63"/>
      <c r="P618" s="63"/>
      <c r="Q618" s="63"/>
      <c r="R618" s="63"/>
      <c r="S618" s="63"/>
      <c r="T618" s="63"/>
      <c r="U618" s="63"/>
      <c r="V618" s="63"/>
      <c r="W618" s="63"/>
      <c r="X618" s="63"/>
      <c r="Y618" s="63"/>
      <c r="Z618" s="62"/>
    </row>
    <row r="619" ht="14.25" customHeight="1">
      <c r="A619" s="59"/>
      <c r="B619" s="97"/>
      <c r="C619" s="97"/>
      <c r="D619" s="97"/>
      <c r="E619" s="97"/>
      <c r="F619" s="97"/>
      <c r="G619" s="97"/>
      <c r="H619" s="59"/>
      <c r="I619" s="61"/>
      <c r="J619" s="61"/>
      <c r="K619" s="61"/>
      <c r="L619" s="62"/>
      <c r="M619" s="62"/>
      <c r="N619" s="63"/>
      <c r="O619" s="63"/>
      <c r="P619" s="63"/>
      <c r="Q619" s="63"/>
      <c r="R619" s="63"/>
      <c r="S619" s="63"/>
      <c r="T619" s="63"/>
      <c r="U619" s="63"/>
      <c r="V619" s="63"/>
      <c r="W619" s="63"/>
      <c r="X619" s="63"/>
      <c r="Y619" s="63"/>
      <c r="Z619" s="62"/>
    </row>
    <row r="620" ht="14.25" customHeight="1">
      <c r="A620" s="59"/>
      <c r="B620" s="97"/>
      <c r="C620" s="97"/>
      <c r="D620" s="97"/>
      <c r="E620" s="97"/>
      <c r="F620" s="97"/>
      <c r="G620" s="97"/>
      <c r="H620" s="59"/>
      <c r="I620" s="61"/>
      <c r="J620" s="61"/>
      <c r="K620" s="61"/>
      <c r="L620" s="62"/>
      <c r="M620" s="62"/>
      <c r="N620" s="63"/>
      <c r="O620" s="63"/>
      <c r="P620" s="63"/>
      <c r="Q620" s="63"/>
      <c r="R620" s="63"/>
      <c r="S620" s="63"/>
      <c r="T620" s="63"/>
      <c r="U620" s="63"/>
      <c r="V620" s="63"/>
      <c r="W620" s="63"/>
      <c r="X620" s="63"/>
      <c r="Y620" s="63"/>
      <c r="Z620" s="62"/>
    </row>
    <row r="621" ht="14.25" customHeight="1">
      <c r="A621" s="59"/>
      <c r="B621" s="97"/>
      <c r="C621" s="97"/>
      <c r="D621" s="97"/>
      <c r="E621" s="97"/>
      <c r="F621" s="97"/>
      <c r="G621" s="97"/>
      <c r="H621" s="59"/>
      <c r="I621" s="61"/>
      <c r="J621" s="61"/>
      <c r="K621" s="61"/>
      <c r="L621" s="62"/>
      <c r="M621" s="62"/>
      <c r="N621" s="63"/>
      <c r="O621" s="63"/>
      <c r="P621" s="63"/>
      <c r="Q621" s="63"/>
      <c r="R621" s="63"/>
      <c r="S621" s="63"/>
      <c r="T621" s="63"/>
      <c r="U621" s="63"/>
      <c r="V621" s="63"/>
      <c r="W621" s="63"/>
      <c r="X621" s="63"/>
      <c r="Y621" s="63"/>
      <c r="Z621" s="62"/>
    </row>
    <row r="622" ht="14.25" customHeight="1">
      <c r="A622" s="59"/>
      <c r="B622" s="97"/>
      <c r="C622" s="97"/>
      <c r="D622" s="97"/>
      <c r="E622" s="97"/>
      <c r="F622" s="97"/>
      <c r="G622" s="97"/>
      <c r="H622" s="59"/>
      <c r="I622" s="61"/>
      <c r="J622" s="61"/>
      <c r="K622" s="61"/>
      <c r="L622" s="62"/>
      <c r="M622" s="62"/>
      <c r="N622" s="63"/>
      <c r="O622" s="63"/>
      <c r="P622" s="63"/>
      <c r="Q622" s="63"/>
      <c r="R622" s="63"/>
      <c r="S622" s="63"/>
      <c r="T622" s="63"/>
      <c r="U622" s="63"/>
      <c r="V622" s="63"/>
      <c r="W622" s="63"/>
      <c r="X622" s="63"/>
      <c r="Y622" s="63"/>
      <c r="Z622" s="62"/>
    </row>
    <row r="623" ht="14.25" customHeight="1">
      <c r="A623" s="59"/>
      <c r="B623" s="97"/>
      <c r="C623" s="97"/>
      <c r="D623" s="97"/>
      <c r="E623" s="97"/>
      <c r="F623" s="97"/>
      <c r="G623" s="97"/>
      <c r="H623" s="59"/>
      <c r="I623" s="61"/>
      <c r="J623" s="61"/>
      <c r="K623" s="61"/>
      <c r="L623" s="62"/>
      <c r="M623" s="62"/>
      <c r="N623" s="63"/>
      <c r="O623" s="63"/>
      <c r="P623" s="63"/>
      <c r="Q623" s="63"/>
      <c r="R623" s="63"/>
      <c r="S623" s="63"/>
      <c r="T623" s="63"/>
      <c r="U623" s="63"/>
      <c r="V623" s="63"/>
      <c r="W623" s="63"/>
      <c r="X623" s="63"/>
      <c r="Y623" s="63"/>
      <c r="Z623" s="62"/>
    </row>
    <row r="624" ht="14.25" customHeight="1">
      <c r="A624" s="59"/>
      <c r="B624" s="97"/>
      <c r="C624" s="97"/>
      <c r="D624" s="97"/>
      <c r="E624" s="97"/>
      <c r="F624" s="97"/>
      <c r="G624" s="97"/>
      <c r="H624" s="59"/>
      <c r="I624" s="61"/>
      <c r="J624" s="61"/>
      <c r="K624" s="61"/>
      <c r="L624" s="62"/>
      <c r="M624" s="62"/>
      <c r="N624" s="63"/>
      <c r="O624" s="63"/>
      <c r="P624" s="63"/>
      <c r="Q624" s="63"/>
      <c r="R624" s="63"/>
      <c r="S624" s="63"/>
      <c r="T624" s="63"/>
      <c r="U624" s="63"/>
      <c r="V624" s="63"/>
      <c r="W624" s="63"/>
      <c r="X624" s="63"/>
      <c r="Y624" s="63"/>
      <c r="Z624" s="62"/>
    </row>
    <row r="625" ht="14.25" customHeight="1">
      <c r="A625" s="59"/>
      <c r="B625" s="97"/>
      <c r="C625" s="97"/>
      <c r="D625" s="97"/>
      <c r="E625" s="97"/>
      <c r="F625" s="97"/>
      <c r="G625" s="97"/>
      <c r="H625" s="59"/>
      <c r="I625" s="61"/>
      <c r="J625" s="61"/>
      <c r="K625" s="61"/>
      <c r="L625" s="62"/>
      <c r="M625" s="62"/>
      <c r="N625" s="63"/>
      <c r="O625" s="63"/>
      <c r="P625" s="63"/>
      <c r="Q625" s="63"/>
      <c r="R625" s="63"/>
      <c r="S625" s="63"/>
      <c r="T625" s="63"/>
      <c r="U625" s="63"/>
      <c r="V625" s="63"/>
      <c r="W625" s="63"/>
      <c r="X625" s="63"/>
      <c r="Y625" s="63"/>
      <c r="Z625" s="62"/>
    </row>
    <row r="626" ht="14.25" customHeight="1">
      <c r="A626" s="59"/>
      <c r="B626" s="97"/>
      <c r="C626" s="97"/>
      <c r="D626" s="97"/>
      <c r="E626" s="97"/>
      <c r="F626" s="97"/>
      <c r="G626" s="97"/>
      <c r="H626" s="59"/>
      <c r="I626" s="61"/>
      <c r="J626" s="61"/>
      <c r="K626" s="61"/>
      <c r="L626" s="62"/>
      <c r="M626" s="62"/>
      <c r="N626" s="63"/>
      <c r="O626" s="63"/>
      <c r="P626" s="63"/>
      <c r="Q626" s="63"/>
      <c r="R626" s="63"/>
      <c r="S626" s="63"/>
      <c r="T626" s="63"/>
      <c r="U626" s="63"/>
      <c r="V626" s="63"/>
      <c r="W626" s="63"/>
      <c r="X626" s="63"/>
      <c r="Y626" s="63"/>
      <c r="Z626" s="62"/>
    </row>
    <row r="627" ht="14.25" customHeight="1">
      <c r="A627" s="59"/>
      <c r="B627" s="97"/>
      <c r="C627" s="97"/>
      <c r="D627" s="97"/>
      <c r="E627" s="97"/>
      <c r="F627" s="97"/>
      <c r="G627" s="97"/>
      <c r="H627" s="59"/>
      <c r="I627" s="61"/>
      <c r="J627" s="61"/>
      <c r="K627" s="61"/>
      <c r="L627" s="62"/>
      <c r="M627" s="62"/>
      <c r="N627" s="63"/>
      <c r="O627" s="63"/>
      <c r="P627" s="63"/>
      <c r="Q627" s="63"/>
      <c r="R627" s="63"/>
      <c r="S627" s="63"/>
      <c r="T627" s="63"/>
      <c r="U627" s="63"/>
      <c r="V627" s="63"/>
      <c r="W627" s="63"/>
      <c r="X627" s="63"/>
      <c r="Y627" s="63"/>
      <c r="Z627" s="62"/>
    </row>
    <row r="628" ht="14.25" customHeight="1">
      <c r="A628" s="59"/>
      <c r="B628" s="97"/>
      <c r="C628" s="97"/>
      <c r="D628" s="97"/>
      <c r="E628" s="97"/>
      <c r="F628" s="97"/>
      <c r="G628" s="97"/>
      <c r="H628" s="59"/>
      <c r="I628" s="61"/>
      <c r="J628" s="61"/>
      <c r="K628" s="61"/>
      <c r="L628" s="62"/>
      <c r="M628" s="62"/>
      <c r="N628" s="63"/>
      <c r="O628" s="63"/>
      <c r="P628" s="63"/>
      <c r="Q628" s="63"/>
      <c r="R628" s="63"/>
      <c r="S628" s="63"/>
      <c r="T628" s="63"/>
      <c r="U628" s="63"/>
      <c r="V628" s="63"/>
      <c r="W628" s="63"/>
      <c r="X628" s="63"/>
      <c r="Y628" s="63"/>
      <c r="Z628" s="62"/>
    </row>
    <row r="629" ht="14.25" customHeight="1">
      <c r="A629" s="59"/>
      <c r="B629" s="97"/>
      <c r="C629" s="97"/>
      <c r="D629" s="97"/>
      <c r="E629" s="97"/>
      <c r="F629" s="97"/>
      <c r="G629" s="97"/>
      <c r="H629" s="59"/>
      <c r="I629" s="61"/>
      <c r="J629" s="61"/>
      <c r="K629" s="61"/>
      <c r="L629" s="62"/>
      <c r="M629" s="62"/>
      <c r="N629" s="63"/>
      <c r="O629" s="63"/>
      <c r="P629" s="63"/>
      <c r="Q629" s="63"/>
      <c r="R629" s="63"/>
      <c r="S629" s="63"/>
      <c r="T629" s="63"/>
      <c r="U629" s="63"/>
      <c r="V629" s="63"/>
      <c r="W629" s="63"/>
      <c r="X629" s="63"/>
      <c r="Y629" s="63"/>
      <c r="Z629" s="62"/>
    </row>
    <row r="630" ht="14.25" customHeight="1">
      <c r="A630" s="59"/>
      <c r="B630" s="97"/>
      <c r="C630" s="97"/>
      <c r="D630" s="97"/>
      <c r="E630" s="97"/>
      <c r="F630" s="97"/>
      <c r="G630" s="97"/>
      <c r="H630" s="59"/>
      <c r="I630" s="61"/>
      <c r="J630" s="61"/>
      <c r="K630" s="61"/>
      <c r="L630" s="62"/>
      <c r="M630" s="62"/>
      <c r="N630" s="63"/>
      <c r="O630" s="63"/>
      <c r="P630" s="63"/>
      <c r="Q630" s="63"/>
      <c r="R630" s="63"/>
      <c r="S630" s="63"/>
      <c r="T630" s="63"/>
      <c r="U630" s="63"/>
      <c r="V630" s="63"/>
      <c r="W630" s="63"/>
      <c r="X630" s="63"/>
      <c r="Y630" s="63"/>
      <c r="Z630" s="62"/>
    </row>
    <row r="631" ht="14.25" customHeight="1">
      <c r="A631" s="59"/>
      <c r="B631" s="97"/>
      <c r="C631" s="97"/>
      <c r="D631" s="97"/>
      <c r="E631" s="97"/>
      <c r="F631" s="97"/>
      <c r="G631" s="97"/>
      <c r="H631" s="59"/>
      <c r="I631" s="61"/>
      <c r="J631" s="61"/>
      <c r="K631" s="61"/>
      <c r="L631" s="62"/>
      <c r="M631" s="62"/>
      <c r="N631" s="63"/>
      <c r="O631" s="63"/>
      <c r="P631" s="63"/>
      <c r="Q631" s="63"/>
      <c r="R631" s="63"/>
      <c r="S631" s="63"/>
      <c r="T631" s="63"/>
      <c r="U631" s="63"/>
      <c r="V631" s="63"/>
      <c r="W631" s="63"/>
      <c r="X631" s="63"/>
      <c r="Y631" s="63"/>
      <c r="Z631" s="62"/>
    </row>
    <row r="632" ht="14.25" customHeight="1">
      <c r="A632" s="59"/>
      <c r="B632" s="97"/>
      <c r="C632" s="97"/>
      <c r="D632" s="97"/>
      <c r="E632" s="97"/>
      <c r="F632" s="97"/>
      <c r="G632" s="97"/>
      <c r="H632" s="59"/>
      <c r="I632" s="61"/>
      <c r="J632" s="61"/>
      <c r="K632" s="61"/>
      <c r="L632" s="62"/>
      <c r="M632" s="62"/>
      <c r="N632" s="63"/>
      <c r="O632" s="63"/>
      <c r="P632" s="63"/>
      <c r="Q632" s="63"/>
      <c r="R632" s="63"/>
      <c r="S632" s="63"/>
      <c r="T632" s="63"/>
      <c r="U632" s="63"/>
      <c r="V632" s="63"/>
      <c r="W632" s="63"/>
      <c r="X632" s="63"/>
      <c r="Y632" s="63"/>
      <c r="Z632" s="62"/>
    </row>
    <row r="633" ht="14.25" customHeight="1">
      <c r="A633" s="59"/>
      <c r="B633" s="97"/>
      <c r="C633" s="97"/>
      <c r="D633" s="97"/>
      <c r="E633" s="97"/>
      <c r="F633" s="97"/>
      <c r="G633" s="97"/>
      <c r="H633" s="59"/>
      <c r="I633" s="61"/>
      <c r="J633" s="61"/>
      <c r="K633" s="61"/>
      <c r="L633" s="62"/>
      <c r="M633" s="62"/>
      <c r="N633" s="63"/>
      <c r="O633" s="63"/>
      <c r="P633" s="63"/>
      <c r="Q633" s="63"/>
      <c r="R633" s="63"/>
      <c r="S633" s="63"/>
      <c r="T633" s="63"/>
      <c r="U633" s="63"/>
      <c r="V633" s="63"/>
      <c r="W633" s="63"/>
      <c r="X633" s="63"/>
      <c r="Y633" s="63"/>
      <c r="Z633" s="62"/>
    </row>
    <row r="634" ht="14.25" customHeight="1">
      <c r="A634" s="59"/>
      <c r="B634" s="97"/>
      <c r="C634" s="97"/>
      <c r="D634" s="97"/>
      <c r="E634" s="97"/>
      <c r="F634" s="97"/>
      <c r="G634" s="97"/>
      <c r="H634" s="59"/>
      <c r="I634" s="61"/>
      <c r="J634" s="61"/>
      <c r="K634" s="61"/>
      <c r="L634" s="62"/>
      <c r="M634" s="62"/>
      <c r="N634" s="63"/>
      <c r="O634" s="63"/>
      <c r="P634" s="63"/>
      <c r="Q634" s="63"/>
      <c r="R634" s="63"/>
      <c r="S634" s="63"/>
      <c r="T634" s="63"/>
      <c r="U634" s="63"/>
      <c r="V634" s="63"/>
      <c r="W634" s="63"/>
      <c r="X634" s="63"/>
      <c r="Y634" s="63"/>
      <c r="Z634" s="62"/>
    </row>
    <row r="635" ht="14.25" customHeight="1">
      <c r="A635" s="59"/>
      <c r="B635" s="97"/>
      <c r="C635" s="97"/>
      <c r="D635" s="97"/>
      <c r="E635" s="97"/>
      <c r="F635" s="97"/>
      <c r="G635" s="97"/>
      <c r="H635" s="59"/>
      <c r="I635" s="61"/>
      <c r="J635" s="61"/>
      <c r="K635" s="61"/>
      <c r="L635" s="62"/>
      <c r="M635" s="62"/>
      <c r="N635" s="63"/>
      <c r="O635" s="63"/>
      <c r="P635" s="63"/>
      <c r="Q635" s="63"/>
      <c r="R635" s="63"/>
      <c r="S635" s="63"/>
      <c r="T635" s="63"/>
      <c r="U635" s="63"/>
      <c r="V635" s="63"/>
      <c r="W635" s="63"/>
      <c r="X635" s="63"/>
      <c r="Y635" s="63"/>
      <c r="Z635" s="62"/>
    </row>
    <row r="636" ht="14.25" customHeight="1">
      <c r="A636" s="59"/>
      <c r="B636" s="97"/>
      <c r="C636" s="97"/>
      <c r="D636" s="97"/>
      <c r="E636" s="97"/>
      <c r="F636" s="97"/>
      <c r="G636" s="97"/>
      <c r="H636" s="59"/>
      <c r="I636" s="61"/>
      <c r="J636" s="61"/>
      <c r="K636" s="61"/>
      <c r="L636" s="62"/>
      <c r="M636" s="62"/>
      <c r="N636" s="63"/>
      <c r="O636" s="63"/>
      <c r="P636" s="63"/>
      <c r="Q636" s="63"/>
      <c r="R636" s="63"/>
      <c r="S636" s="63"/>
      <c r="T636" s="63"/>
      <c r="U636" s="63"/>
      <c r="V636" s="63"/>
      <c r="W636" s="63"/>
      <c r="X636" s="63"/>
      <c r="Y636" s="63"/>
      <c r="Z636" s="62"/>
    </row>
    <row r="637" ht="14.25" customHeight="1">
      <c r="A637" s="59"/>
      <c r="B637" s="97"/>
      <c r="C637" s="97"/>
      <c r="D637" s="97"/>
      <c r="E637" s="97"/>
      <c r="F637" s="97"/>
      <c r="G637" s="97"/>
      <c r="H637" s="59"/>
      <c r="I637" s="61"/>
      <c r="J637" s="61"/>
      <c r="K637" s="61"/>
      <c r="L637" s="62"/>
      <c r="M637" s="62"/>
      <c r="N637" s="63"/>
      <c r="O637" s="63"/>
      <c r="P637" s="63"/>
      <c r="Q637" s="63"/>
      <c r="R637" s="63"/>
      <c r="S637" s="63"/>
      <c r="T637" s="63"/>
      <c r="U637" s="63"/>
      <c r="V637" s="63"/>
      <c r="W637" s="63"/>
      <c r="X637" s="63"/>
      <c r="Y637" s="63"/>
      <c r="Z637" s="62"/>
    </row>
    <row r="638" ht="14.25" customHeight="1">
      <c r="A638" s="59"/>
      <c r="B638" s="97"/>
      <c r="C638" s="97"/>
      <c r="D638" s="97"/>
      <c r="E638" s="97"/>
      <c r="F638" s="97"/>
      <c r="G638" s="97"/>
      <c r="H638" s="59"/>
      <c r="I638" s="61"/>
      <c r="J638" s="61"/>
      <c r="K638" s="61"/>
      <c r="L638" s="62"/>
      <c r="M638" s="62"/>
      <c r="N638" s="63"/>
      <c r="O638" s="63"/>
      <c r="P638" s="63"/>
      <c r="Q638" s="63"/>
      <c r="R638" s="63"/>
      <c r="S638" s="63"/>
      <c r="T638" s="63"/>
      <c r="U638" s="63"/>
      <c r="V638" s="63"/>
      <c r="W638" s="63"/>
      <c r="X638" s="63"/>
      <c r="Y638" s="63"/>
      <c r="Z638" s="62"/>
    </row>
    <row r="639" ht="14.25" customHeight="1">
      <c r="A639" s="59"/>
      <c r="B639" s="97"/>
      <c r="C639" s="97"/>
      <c r="D639" s="97"/>
      <c r="E639" s="97"/>
      <c r="F639" s="97"/>
      <c r="G639" s="97"/>
      <c r="H639" s="59"/>
      <c r="I639" s="61"/>
      <c r="J639" s="61"/>
      <c r="K639" s="61"/>
      <c r="L639" s="62"/>
      <c r="M639" s="62"/>
      <c r="N639" s="63"/>
      <c r="O639" s="63"/>
      <c r="P639" s="63"/>
      <c r="Q639" s="63"/>
      <c r="R639" s="63"/>
      <c r="S639" s="63"/>
      <c r="T639" s="63"/>
      <c r="U639" s="63"/>
      <c r="V639" s="63"/>
      <c r="W639" s="63"/>
      <c r="X639" s="63"/>
      <c r="Y639" s="63"/>
      <c r="Z639" s="62"/>
    </row>
    <row r="640" ht="14.25" customHeight="1">
      <c r="A640" s="59"/>
      <c r="B640" s="97"/>
      <c r="C640" s="97"/>
      <c r="D640" s="97"/>
      <c r="E640" s="97"/>
      <c r="F640" s="97"/>
      <c r="G640" s="97"/>
      <c r="H640" s="59"/>
      <c r="I640" s="61"/>
      <c r="J640" s="61"/>
      <c r="K640" s="61"/>
      <c r="L640" s="62"/>
      <c r="M640" s="62"/>
      <c r="N640" s="63"/>
      <c r="O640" s="63"/>
      <c r="P640" s="63"/>
      <c r="Q640" s="63"/>
      <c r="R640" s="63"/>
      <c r="S640" s="63"/>
      <c r="T640" s="63"/>
      <c r="U640" s="63"/>
      <c r="V640" s="63"/>
      <c r="W640" s="63"/>
      <c r="X640" s="63"/>
      <c r="Y640" s="63"/>
      <c r="Z640" s="62"/>
    </row>
    <row r="641" ht="14.25" customHeight="1">
      <c r="A641" s="59"/>
      <c r="B641" s="97"/>
      <c r="C641" s="97"/>
      <c r="D641" s="97"/>
      <c r="E641" s="97"/>
      <c r="F641" s="97"/>
      <c r="G641" s="97"/>
      <c r="H641" s="59"/>
      <c r="I641" s="61"/>
      <c r="J641" s="61"/>
      <c r="K641" s="61"/>
      <c r="L641" s="62"/>
      <c r="M641" s="62"/>
      <c r="N641" s="63"/>
      <c r="O641" s="63"/>
      <c r="P641" s="63"/>
      <c r="Q641" s="63"/>
      <c r="R641" s="63"/>
      <c r="S641" s="63"/>
      <c r="T641" s="63"/>
      <c r="U641" s="63"/>
      <c r="V641" s="63"/>
      <c r="W641" s="63"/>
      <c r="X641" s="63"/>
      <c r="Y641" s="63"/>
      <c r="Z641" s="62"/>
    </row>
    <row r="642" ht="14.25" customHeight="1">
      <c r="A642" s="59"/>
      <c r="B642" s="97"/>
      <c r="C642" s="97"/>
      <c r="D642" s="97"/>
      <c r="E642" s="97"/>
      <c r="F642" s="97"/>
      <c r="G642" s="97"/>
      <c r="H642" s="59"/>
      <c r="I642" s="61"/>
      <c r="J642" s="61"/>
      <c r="K642" s="61"/>
      <c r="L642" s="62"/>
      <c r="M642" s="62"/>
      <c r="N642" s="63"/>
      <c r="O642" s="63"/>
      <c r="P642" s="63"/>
      <c r="Q642" s="63"/>
      <c r="R642" s="63"/>
      <c r="S642" s="63"/>
      <c r="T642" s="63"/>
      <c r="U642" s="63"/>
      <c r="V642" s="63"/>
      <c r="W642" s="63"/>
      <c r="X642" s="63"/>
      <c r="Y642" s="63"/>
      <c r="Z642" s="62"/>
    </row>
    <row r="643" ht="14.25" customHeight="1">
      <c r="A643" s="59"/>
      <c r="B643" s="97"/>
      <c r="C643" s="97"/>
      <c r="D643" s="97"/>
      <c r="E643" s="97"/>
      <c r="F643" s="97"/>
      <c r="G643" s="97"/>
      <c r="H643" s="59"/>
      <c r="I643" s="61"/>
      <c r="J643" s="61"/>
      <c r="K643" s="61"/>
      <c r="L643" s="62"/>
      <c r="M643" s="62"/>
      <c r="N643" s="63"/>
      <c r="O643" s="63"/>
      <c r="P643" s="63"/>
      <c r="Q643" s="63"/>
      <c r="R643" s="63"/>
      <c r="S643" s="63"/>
      <c r="T643" s="63"/>
      <c r="U643" s="63"/>
      <c r="V643" s="63"/>
      <c r="W643" s="63"/>
      <c r="X643" s="63"/>
      <c r="Y643" s="63"/>
      <c r="Z643" s="62"/>
    </row>
    <row r="644" ht="14.25" customHeight="1">
      <c r="A644" s="59"/>
      <c r="B644" s="97"/>
      <c r="C644" s="97"/>
      <c r="D644" s="97"/>
      <c r="E644" s="97"/>
      <c r="F644" s="97"/>
      <c r="G644" s="97"/>
      <c r="H644" s="59"/>
      <c r="I644" s="61"/>
      <c r="J644" s="61"/>
      <c r="K644" s="61"/>
      <c r="L644" s="62"/>
      <c r="M644" s="62"/>
      <c r="N644" s="63"/>
      <c r="O644" s="63"/>
      <c r="P644" s="63"/>
      <c r="Q644" s="63"/>
      <c r="R644" s="63"/>
      <c r="S644" s="63"/>
      <c r="T644" s="63"/>
      <c r="U644" s="63"/>
      <c r="V644" s="63"/>
      <c r="W644" s="63"/>
      <c r="X644" s="63"/>
      <c r="Y644" s="63"/>
      <c r="Z644" s="62"/>
    </row>
    <row r="645" ht="14.25" customHeight="1">
      <c r="A645" s="59"/>
      <c r="B645" s="97"/>
      <c r="C645" s="97"/>
      <c r="D645" s="97"/>
      <c r="E645" s="97"/>
      <c r="F645" s="97"/>
      <c r="G645" s="97"/>
      <c r="H645" s="59"/>
      <c r="I645" s="61"/>
      <c r="J645" s="61"/>
      <c r="K645" s="61"/>
      <c r="L645" s="62"/>
      <c r="M645" s="62"/>
      <c r="N645" s="63"/>
      <c r="O645" s="63"/>
      <c r="P645" s="63"/>
      <c r="Q645" s="63"/>
      <c r="R645" s="63"/>
      <c r="S645" s="63"/>
      <c r="T645" s="63"/>
      <c r="U645" s="63"/>
      <c r="V645" s="63"/>
      <c r="W645" s="63"/>
      <c r="X645" s="63"/>
      <c r="Y645" s="63"/>
      <c r="Z645" s="62"/>
    </row>
    <row r="646" ht="14.25" customHeight="1">
      <c r="A646" s="59"/>
      <c r="B646" s="97"/>
      <c r="C646" s="97"/>
      <c r="D646" s="97"/>
      <c r="E646" s="97"/>
      <c r="F646" s="97"/>
      <c r="G646" s="97"/>
      <c r="H646" s="59"/>
      <c r="I646" s="61"/>
      <c r="J646" s="61"/>
      <c r="K646" s="61"/>
      <c r="L646" s="62"/>
      <c r="M646" s="62"/>
      <c r="N646" s="63"/>
      <c r="O646" s="63"/>
      <c r="P646" s="63"/>
      <c r="Q646" s="63"/>
      <c r="R646" s="63"/>
      <c r="S646" s="63"/>
      <c r="T646" s="63"/>
      <c r="U646" s="63"/>
      <c r="V646" s="63"/>
      <c r="W646" s="63"/>
      <c r="X646" s="63"/>
      <c r="Y646" s="63"/>
      <c r="Z646" s="62"/>
    </row>
    <row r="647" ht="14.25" customHeight="1">
      <c r="A647" s="59"/>
      <c r="B647" s="97"/>
      <c r="C647" s="97"/>
      <c r="D647" s="97"/>
      <c r="E647" s="97"/>
      <c r="F647" s="97"/>
      <c r="G647" s="97"/>
      <c r="H647" s="59"/>
      <c r="I647" s="61"/>
      <c r="J647" s="61"/>
      <c r="K647" s="61"/>
      <c r="L647" s="62"/>
      <c r="M647" s="62"/>
      <c r="N647" s="63"/>
      <c r="O647" s="63"/>
      <c r="P647" s="63"/>
      <c r="Q647" s="63"/>
      <c r="R647" s="63"/>
      <c r="S647" s="63"/>
      <c r="T647" s="63"/>
      <c r="U647" s="63"/>
      <c r="V647" s="63"/>
      <c r="W647" s="63"/>
      <c r="X647" s="63"/>
      <c r="Y647" s="63"/>
      <c r="Z647" s="62"/>
    </row>
    <row r="648" ht="14.25" customHeight="1">
      <c r="A648" s="59"/>
      <c r="B648" s="97"/>
      <c r="C648" s="97"/>
      <c r="D648" s="97"/>
      <c r="E648" s="97"/>
      <c r="F648" s="97"/>
      <c r="G648" s="97"/>
      <c r="H648" s="59"/>
      <c r="I648" s="61"/>
      <c r="J648" s="61"/>
      <c r="K648" s="61"/>
      <c r="L648" s="62"/>
      <c r="M648" s="62"/>
      <c r="N648" s="63"/>
      <c r="O648" s="63"/>
      <c r="P648" s="63"/>
      <c r="Q648" s="63"/>
      <c r="R648" s="63"/>
      <c r="S648" s="63"/>
      <c r="T648" s="63"/>
      <c r="U648" s="63"/>
      <c r="V648" s="63"/>
      <c r="W648" s="63"/>
      <c r="X648" s="63"/>
      <c r="Y648" s="63"/>
      <c r="Z648" s="62"/>
    </row>
    <row r="649" ht="14.25" customHeight="1">
      <c r="A649" s="59"/>
      <c r="B649" s="97"/>
      <c r="C649" s="97"/>
      <c r="D649" s="97"/>
      <c r="E649" s="97"/>
      <c r="F649" s="97"/>
      <c r="G649" s="97"/>
      <c r="H649" s="59"/>
      <c r="I649" s="61"/>
      <c r="J649" s="61"/>
      <c r="K649" s="61"/>
      <c r="L649" s="62"/>
      <c r="M649" s="62"/>
      <c r="N649" s="63"/>
      <c r="O649" s="63"/>
      <c r="P649" s="63"/>
      <c r="Q649" s="63"/>
      <c r="R649" s="63"/>
      <c r="S649" s="63"/>
      <c r="T649" s="63"/>
      <c r="U649" s="63"/>
      <c r="V649" s="63"/>
      <c r="W649" s="63"/>
      <c r="X649" s="63"/>
      <c r="Y649" s="63"/>
      <c r="Z649" s="62"/>
    </row>
    <row r="650" ht="14.25" customHeight="1">
      <c r="A650" s="59"/>
      <c r="B650" s="97"/>
      <c r="C650" s="97"/>
      <c r="D650" s="97"/>
      <c r="E650" s="97"/>
      <c r="F650" s="97"/>
      <c r="G650" s="97"/>
      <c r="H650" s="59"/>
      <c r="I650" s="61"/>
      <c r="J650" s="61"/>
      <c r="K650" s="61"/>
      <c r="L650" s="62"/>
      <c r="M650" s="62"/>
      <c r="N650" s="63"/>
      <c r="O650" s="63"/>
      <c r="P650" s="63"/>
      <c r="Q650" s="63"/>
      <c r="R650" s="63"/>
      <c r="S650" s="63"/>
      <c r="T650" s="63"/>
      <c r="U650" s="63"/>
      <c r="V650" s="63"/>
      <c r="W650" s="63"/>
      <c r="X650" s="63"/>
      <c r="Y650" s="63"/>
      <c r="Z650" s="62"/>
    </row>
    <row r="651" ht="14.25" customHeight="1">
      <c r="A651" s="59"/>
      <c r="B651" s="97"/>
      <c r="C651" s="97"/>
      <c r="D651" s="97"/>
      <c r="E651" s="97"/>
      <c r="F651" s="97"/>
      <c r="G651" s="97"/>
      <c r="H651" s="59"/>
      <c r="I651" s="61"/>
      <c r="J651" s="61"/>
      <c r="K651" s="61"/>
      <c r="L651" s="62"/>
      <c r="M651" s="62"/>
      <c r="N651" s="63"/>
      <c r="O651" s="63"/>
      <c r="P651" s="63"/>
      <c r="Q651" s="63"/>
      <c r="R651" s="63"/>
      <c r="S651" s="63"/>
      <c r="T651" s="63"/>
      <c r="U651" s="63"/>
      <c r="V651" s="63"/>
      <c r="W651" s="63"/>
      <c r="X651" s="63"/>
      <c r="Y651" s="63"/>
      <c r="Z651" s="62"/>
    </row>
    <row r="652" ht="14.25" customHeight="1">
      <c r="A652" s="59"/>
      <c r="B652" s="97"/>
      <c r="C652" s="97"/>
      <c r="D652" s="97"/>
      <c r="E652" s="97"/>
      <c r="F652" s="97"/>
      <c r="G652" s="97"/>
      <c r="H652" s="59"/>
      <c r="I652" s="61"/>
      <c r="J652" s="61"/>
      <c r="K652" s="61"/>
      <c r="L652" s="62"/>
      <c r="M652" s="62"/>
      <c r="N652" s="63"/>
      <c r="O652" s="63"/>
      <c r="P652" s="63"/>
      <c r="Q652" s="63"/>
      <c r="R652" s="63"/>
      <c r="S652" s="63"/>
      <c r="T652" s="63"/>
      <c r="U652" s="63"/>
      <c r="V652" s="63"/>
      <c r="W652" s="63"/>
      <c r="X652" s="63"/>
      <c r="Y652" s="63"/>
      <c r="Z652" s="62"/>
    </row>
    <row r="653" ht="14.25" customHeight="1">
      <c r="A653" s="59"/>
      <c r="B653" s="97"/>
      <c r="C653" s="97"/>
      <c r="D653" s="97"/>
      <c r="E653" s="97"/>
      <c r="F653" s="97"/>
      <c r="G653" s="97"/>
      <c r="H653" s="59"/>
      <c r="I653" s="61"/>
      <c r="J653" s="61"/>
      <c r="K653" s="61"/>
      <c r="L653" s="62"/>
      <c r="M653" s="62"/>
      <c r="N653" s="63"/>
      <c r="O653" s="63"/>
      <c r="P653" s="63"/>
      <c r="Q653" s="63"/>
      <c r="R653" s="63"/>
      <c r="S653" s="63"/>
      <c r="T653" s="63"/>
      <c r="U653" s="63"/>
      <c r="V653" s="63"/>
      <c r="W653" s="63"/>
      <c r="X653" s="63"/>
      <c r="Y653" s="63"/>
      <c r="Z653" s="62"/>
    </row>
    <row r="654" ht="14.25" customHeight="1">
      <c r="A654" s="59"/>
      <c r="B654" s="97"/>
      <c r="C654" s="97"/>
      <c r="D654" s="97"/>
      <c r="E654" s="97"/>
      <c r="F654" s="97"/>
      <c r="G654" s="97"/>
      <c r="H654" s="59"/>
      <c r="I654" s="61"/>
      <c r="J654" s="61"/>
      <c r="K654" s="61"/>
      <c r="L654" s="62"/>
      <c r="M654" s="62"/>
      <c r="N654" s="63"/>
      <c r="O654" s="63"/>
      <c r="P654" s="63"/>
      <c r="Q654" s="63"/>
      <c r="R654" s="63"/>
      <c r="S654" s="63"/>
      <c r="T654" s="63"/>
      <c r="U654" s="63"/>
      <c r="V654" s="63"/>
      <c r="W654" s="63"/>
      <c r="X654" s="63"/>
      <c r="Y654" s="63"/>
      <c r="Z654" s="62"/>
    </row>
    <row r="655" ht="14.25" customHeight="1">
      <c r="A655" s="59"/>
      <c r="B655" s="97"/>
      <c r="C655" s="97"/>
      <c r="D655" s="97"/>
      <c r="E655" s="97"/>
      <c r="F655" s="97"/>
      <c r="G655" s="97"/>
      <c r="H655" s="59"/>
      <c r="I655" s="61"/>
      <c r="J655" s="61"/>
      <c r="K655" s="61"/>
      <c r="L655" s="62"/>
      <c r="M655" s="62"/>
      <c r="N655" s="63"/>
      <c r="O655" s="63"/>
      <c r="P655" s="63"/>
      <c r="Q655" s="63"/>
      <c r="R655" s="63"/>
      <c r="S655" s="63"/>
      <c r="T655" s="63"/>
      <c r="U655" s="63"/>
      <c r="V655" s="63"/>
      <c r="W655" s="63"/>
      <c r="X655" s="63"/>
      <c r="Y655" s="63"/>
      <c r="Z655" s="62"/>
    </row>
    <row r="656" ht="14.25" customHeight="1">
      <c r="A656" s="59"/>
      <c r="B656" s="97"/>
      <c r="C656" s="97"/>
      <c r="D656" s="97"/>
      <c r="E656" s="97"/>
      <c r="F656" s="97"/>
      <c r="G656" s="97"/>
      <c r="H656" s="59"/>
      <c r="I656" s="61"/>
      <c r="J656" s="61"/>
      <c r="K656" s="61"/>
      <c r="L656" s="62"/>
      <c r="M656" s="62"/>
      <c r="N656" s="63"/>
      <c r="O656" s="63"/>
      <c r="P656" s="63"/>
      <c r="Q656" s="63"/>
      <c r="R656" s="63"/>
      <c r="S656" s="63"/>
      <c r="T656" s="63"/>
      <c r="U656" s="63"/>
      <c r="V656" s="63"/>
      <c r="W656" s="63"/>
      <c r="X656" s="63"/>
      <c r="Y656" s="63"/>
      <c r="Z656" s="62"/>
    </row>
    <row r="657" ht="14.25" customHeight="1">
      <c r="A657" s="59"/>
      <c r="B657" s="97"/>
      <c r="C657" s="97"/>
      <c r="D657" s="97"/>
      <c r="E657" s="97"/>
      <c r="F657" s="97"/>
      <c r="G657" s="97"/>
      <c r="H657" s="59"/>
      <c r="I657" s="61"/>
      <c r="J657" s="61"/>
      <c r="K657" s="61"/>
      <c r="L657" s="62"/>
      <c r="M657" s="62"/>
      <c r="N657" s="63"/>
      <c r="O657" s="63"/>
      <c r="P657" s="63"/>
      <c r="Q657" s="63"/>
      <c r="R657" s="63"/>
      <c r="S657" s="63"/>
      <c r="T657" s="63"/>
      <c r="U657" s="63"/>
      <c r="V657" s="63"/>
      <c r="W657" s="63"/>
      <c r="X657" s="63"/>
      <c r="Y657" s="63"/>
      <c r="Z657" s="62"/>
    </row>
    <row r="658" ht="14.25" customHeight="1">
      <c r="A658" s="59"/>
      <c r="B658" s="97"/>
      <c r="C658" s="97"/>
      <c r="D658" s="97"/>
      <c r="E658" s="97"/>
      <c r="F658" s="97"/>
      <c r="G658" s="97"/>
      <c r="H658" s="59"/>
      <c r="I658" s="61"/>
      <c r="J658" s="61"/>
      <c r="K658" s="61"/>
      <c r="L658" s="62"/>
      <c r="M658" s="62"/>
      <c r="N658" s="63"/>
      <c r="O658" s="63"/>
      <c r="P658" s="63"/>
      <c r="Q658" s="63"/>
      <c r="R658" s="63"/>
      <c r="S658" s="63"/>
      <c r="T658" s="63"/>
      <c r="U658" s="63"/>
      <c r="V658" s="63"/>
      <c r="W658" s="63"/>
      <c r="X658" s="63"/>
      <c r="Y658" s="63"/>
      <c r="Z658" s="62"/>
    </row>
    <row r="659" ht="14.25" customHeight="1">
      <c r="A659" s="59"/>
      <c r="B659" s="97"/>
      <c r="C659" s="97"/>
      <c r="D659" s="97"/>
      <c r="E659" s="97"/>
      <c r="F659" s="97"/>
      <c r="G659" s="97"/>
      <c r="H659" s="59"/>
      <c r="I659" s="61"/>
      <c r="J659" s="61"/>
      <c r="K659" s="61"/>
      <c r="L659" s="62"/>
      <c r="M659" s="62"/>
      <c r="N659" s="63"/>
      <c r="O659" s="63"/>
      <c r="P659" s="63"/>
      <c r="Q659" s="63"/>
      <c r="R659" s="63"/>
      <c r="S659" s="63"/>
      <c r="T659" s="63"/>
      <c r="U659" s="63"/>
      <c r="V659" s="63"/>
      <c r="W659" s="63"/>
      <c r="X659" s="63"/>
      <c r="Y659" s="63"/>
      <c r="Z659" s="62"/>
    </row>
    <row r="660" ht="14.25" customHeight="1">
      <c r="A660" s="59"/>
      <c r="B660" s="97"/>
      <c r="C660" s="97"/>
      <c r="D660" s="97"/>
      <c r="E660" s="97"/>
      <c r="F660" s="97"/>
      <c r="G660" s="97"/>
      <c r="H660" s="59"/>
      <c r="I660" s="61"/>
      <c r="J660" s="61"/>
      <c r="K660" s="61"/>
      <c r="L660" s="62"/>
      <c r="M660" s="62"/>
      <c r="N660" s="63"/>
      <c r="O660" s="63"/>
      <c r="P660" s="63"/>
      <c r="Q660" s="63"/>
      <c r="R660" s="63"/>
      <c r="S660" s="63"/>
      <c r="T660" s="63"/>
      <c r="U660" s="63"/>
      <c r="V660" s="63"/>
      <c r="W660" s="63"/>
      <c r="X660" s="63"/>
      <c r="Y660" s="63"/>
      <c r="Z660" s="62"/>
    </row>
    <row r="661" ht="14.25" customHeight="1">
      <c r="A661" s="59"/>
      <c r="B661" s="97"/>
      <c r="C661" s="97"/>
      <c r="D661" s="97"/>
      <c r="E661" s="97"/>
      <c r="F661" s="97"/>
      <c r="G661" s="97"/>
      <c r="H661" s="59"/>
      <c r="I661" s="61"/>
      <c r="J661" s="61"/>
      <c r="K661" s="61"/>
      <c r="L661" s="62"/>
      <c r="M661" s="62"/>
      <c r="N661" s="63"/>
      <c r="O661" s="63"/>
      <c r="P661" s="63"/>
      <c r="Q661" s="63"/>
      <c r="R661" s="63"/>
      <c r="S661" s="63"/>
      <c r="T661" s="63"/>
      <c r="U661" s="63"/>
      <c r="V661" s="63"/>
      <c r="W661" s="63"/>
      <c r="X661" s="63"/>
      <c r="Y661" s="63"/>
      <c r="Z661" s="62"/>
    </row>
    <row r="662" ht="14.25" customHeight="1">
      <c r="A662" s="59"/>
      <c r="B662" s="97"/>
      <c r="C662" s="97"/>
      <c r="D662" s="97"/>
      <c r="E662" s="97"/>
      <c r="F662" s="97"/>
      <c r="G662" s="97"/>
      <c r="H662" s="59"/>
      <c r="I662" s="61"/>
      <c r="J662" s="61"/>
      <c r="K662" s="61"/>
      <c r="L662" s="62"/>
      <c r="M662" s="62"/>
      <c r="N662" s="63"/>
      <c r="O662" s="63"/>
      <c r="P662" s="63"/>
      <c r="Q662" s="63"/>
      <c r="R662" s="63"/>
      <c r="S662" s="63"/>
      <c r="T662" s="63"/>
      <c r="U662" s="63"/>
      <c r="V662" s="63"/>
      <c r="W662" s="63"/>
      <c r="X662" s="63"/>
      <c r="Y662" s="63"/>
      <c r="Z662" s="62"/>
    </row>
    <row r="663" ht="14.25" customHeight="1">
      <c r="A663" s="59"/>
      <c r="B663" s="97"/>
      <c r="C663" s="97"/>
      <c r="D663" s="97"/>
      <c r="E663" s="97"/>
      <c r="F663" s="97"/>
      <c r="G663" s="97"/>
      <c r="H663" s="59"/>
      <c r="I663" s="61"/>
      <c r="J663" s="61"/>
      <c r="K663" s="61"/>
      <c r="L663" s="62"/>
      <c r="M663" s="62"/>
      <c r="N663" s="63"/>
      <c r="O663" s="63"/>
      <c r="P663" s="63"/>
      <c r="Q663" s="63"/>
      <c r="R663" s="63"/>
      <c r="S663" s="63"/>
      <c r="T663" s="63"/>
      <c r="U663" s="63"/>
      <c r="V663" s="63"/>
      <c r="W663" s="63"/>
      <c r="X663" s="63"/>
      <c r="Y663" s="63"/>
      <c r="Z663" s="62"/>
    </row>
    <row r="664" ht="14.25" customHeight="1">
      <c r="A664" s="59"/>
      <c r="B664" s="97"/>
      <c r="C664" s="97"/>
      <c r="D664" s="97"/>
      <c r="E664" s="97"/>
      <c r="F664" s="97"/>
      <c r="G664" s="97"/>
      <c r="H664" s="59"/>
      <c r="I664" s="61"/>
      <c r="J664" s="61"/>
      <c r="K664" s="61"/>
      <c r="L664" s="62"/>
      <c r="M664" s="62"/>
      <c r="N664" s="63"/>
      <c r="O664" s="63"/>
      <c r="P664" s="63"/>
      <c r="Q664" s="63"/>
      <c r="R664" s="63"/>
      <c r="S664" s="63"/>
      <c r="T664" s="63"/>
      <c r="U664" s="63"/>
      <c r="V664" s="63"/>
      <c r="W664" s="63"/>
      <c r="X664" s="63"/>
      <c r="Y664" s="63"/>
      <c r="Z664" s="62"/>
    </row>
    <row r="665" ht="14.25" customHeight="1">
      <c r="A665" s="59"/>
      <c r="B665" s="97"/>
      <c r="C665" s="97"/>
      <c r="D665" s="97"/>
      <c r="E665" s="97"/>
      <c r="F665" s="97"/>
      <c r="G665" s="97"/>
      <c r="H665" s="59"/>
      <c r="I665" s="61"/>
      <c r="J665" s="61"/>
      <c r="K665" s="61"/>
      <c r="L665" s="62"/>
      <c r="M665" s="62"/>
      <c r="N665" s="63"/>
      <c r="O665" s="63"/>
      <c r="P665" s="63"/>
      <c r="Q665" s="63"/>
      <c r="R665" s="63"/>
      <c r="S665" s="63"/>
      <c r="T665" s="63"/>
      <c r="U665" s="63"/>
      <c r="V665" s="63"/>
      <c r="W665" s="63"/>
      <c r="X665" s="63"/>
      <c r="Y665" s="63"/>
      <c r="Z665" s="62"/>
    </row>
    <row r="666" ht="14.25" customHeight="1">
      <c r="A666" s="59"/>
      <c r="B666" s="97"/>
      <c r="C666" s="97"/>
      <c r="D666" s="97"/>
      <c r="E666" s="97"/>
      <c r="F666" s="97"/>
      <c r="G666" s="97"/>
      <c r="H666" s="59"/>
      <c r="I666" s="61"/>
      <c r="J666" s="61"/>
      <c r="K666" s="61"/>
      <c r="L666" s="62"/>
      <c r="M666" s="62"/>
      <c r="N666" s="63"/>
      <c r="O666" s="63"/>
      <c r="P666" s="63"/>
      <c r="Q666" s="63"/>
      <c r="R666" s="63"/>
      <c r="S666" s="63"/>
      <c r="T666" s="63"/>
      <c r="U666" s="63"/>
      <c r="V666" s="63"/>
      <c r="W666" s="63"/>
      <c r="X666" s="63"/>
      <c r="Y666" s="63"/>
      <c r="Z666" s="62"/>
    </row>
    <row r="667" ht="14.25" customHeight="1">
      <c r="A667" s="59"/>
      <c r="B667" s="97"/>
      <c r="C667" s="97"/>
      <c r="D667" s="97"/>
      <c r="E667" s="97"/>
      <c r="F667" s="97"/>
      <c r="G667" s="97"/>
      <c r="H667" s="59"/>
      <c r="I667" s="61"/>
      <c r="J667" s="61"/>
      <c r="K667" s="61"/>
      <c r="L667" s="62"/>
      <c r="M667" s="62"/>
      <c r="N667" s="63"/>
      <c r="O667" s="63"/>
      <c r="P667" s="63"/>
      <c r="Q667" s="63"/>
      <c r="R667" s="63"/>
      <c r="S667" s="63"/>
      <c r="T667" s="63"/>
      <c r="U667" s="63"/>
      <c r="V667" s="63"/>
      <c r="W667" s="63"/>
      <c r="X667" s="63"/>
      <c r="Y667" s="63"/>
      <c r="Z667" s="62"/>
    </row>
    <row r="668" ht="14.25" customHeight="1">
      <c r="A668" s="59"/>
      <c r="B668" s="97"/>
      <c r="C668" s="97"/>
      <c r="D668" s="97"/>
      <c r="E668" s="97"/>
      <c r="F668" s="97"/>
      <c r="G668" s="97"/>
      <c r="H668" s="59"/>
      <c r="I668" s="61"/>
      <c r="J668" s="61"/>
      <c r="K668" s="61"/>
      <c r="L668" s="62"/>
      <c r="M668" s="62"/>
      <c r="N668" s="63"/>
      <c r="O668" s="63"/>
      <c r="P668" s="63"/>
      <c r="Q668" s="63"/>
      <c r="R668" s="63"/>
      <c r="S668" s="63"/>
      <c r="T668" s="63"/>
      <c r="U668" s="63"/>
      <c r="V668" s="63"/>
      <c r="W668" s="63"/>
      <c r="X668" s="63"/>
      <c r="Y668" s="63"/>
      <c r="Z668" s="62"/>
    </row>
    <row r="669" ht="14.25" customHeight="1">
      <c r="A669" s="59"/>
      <c r="B669" s="97"/>
      <c r="C669" s="97"/>
      <c r="D669" s="97"/>
      <c r="E669" s="97"/>
      <c r="F669" s="97"/>
      <c r="G669" s="97"/>
      <c r="H669" s="59"/>
      <c r="I669" s="61"/>
      <c r="J669" s="61"/>
      <c r="K669" s="61"/>
      <c r="L669" s="62"/>
      <c r="M669" s="62"/>
      <c r="N669" s="63"/>
      <c r="O669" s="63"/>
      <c r="P669" s="63"/>
      <c r="Q669" s="63"/>
      <c r="R669" s="63"/>
      <c r="S669" s="63"/>
      <c r="T669" s="63"/>
      <c r="U669" s="63"/>
      <c r="V669" s="63"/>
      <c r="W669" s="63"/>
      <c r="X669" s="63"/>
      <c r="Y669" s="63"/>
      <c r="Z669" s="62"/>
    </row>
    <row r="670" ht="14.25" customHeight="1">
      <c r="A670" s="59"/>
      <c r="B670" s="97"/>
      <c r="C670" s="97"/>
      <c r="D670" s="97"/>
      <c r="E670" s="97"/>
      <c r="F670" s="97"/>
      <c r="G670" s="97"/>
      <c r="H670" s="59"/>
      <c r="I670" s="61"/>
      <c r="J670" s="61"/>
      <c r="K670" s="61"/>
      <c r="L670" s="62"/>
      <c r="M670" s="62"/>
      <c r="N670" s="63"/>
      <c r="O670" s="63"/>
      <c r="P670" s="63"/>
      <c r="Q670" s="63"/>
      <c r="R670" s="63"/>
      <c r="S670" s="63"/>
      <c r="T670" s="63"/>
      <c r="U670" s="63"/>
      <c r="V670" s="63"/>
      <c r="W670" s="63"/>
      <c r="X670" s="63"/>
      <c r="Y670" s="63"/>
      <c r="Z670" s="62"/>
    </row>
    <row r="671" ht="14.25" customHeight="1">
      <c r="A671" s="59"/>
      <c r="B671" s="97"/>
      <c r="C671" s="97"/>
      <c r="D671" s="97"/>
      <c r="E671" s="97"/>
      <c r="F671" s="97"/>
      <c r="G671" s="97"/>
      <c r="H671" s="59"/>
      <c r="I671" s="61"/>
      <c r="J671" s="61"/>
      <c r="K671" s="61"/>
      <c r="L671" s="62"/>
      <c r="M671" s="62"/>
      <c r="N671" s="63"/>
      <c r="O671" s="63"/>
      <c r="P671" s="63"/>
      <c r="Q671" s="63"/>
      <c r="R671" s="63"/>
      <c r="S671" s="63"/>
      <c r="T671" s="63"/>
      <c r="U671" s="63"/>
      <c r="V671" s="63"/>
      <c r="W671" s="63"/>
      <c r="X671" s="63"/>
      <c r="Y671" s="63"/>
      <c r="Z671" s="62"/>
    </row>
    <row r="672" ht="14.25" customHeight="1">
      <c r="A672" s="59"/>
      <c r="B672" s="97"/>
      <c r="C672" s="97"/>
      <c r="D672" s="97"/>
      <c r="E672" s="97"/>
      <c r="F672" s="97"/>
      <c r="G672" s="97"/>
      <c r="H672" s="59"/>
      <c r="I672" s="61"/>
      <c r="J672" s="61"/>
      <c r="K672" s="61"/>
      <c r="L672" s="62"/>
      <c r="M672" s="62"/>
      <c r="N672" s="63"/>
      <c r="O672" s="63"/>
      <c r="P672" s="63"/>
      <c r="Q672" s="63"/>
      <c r="R672" s="63"/>
      <c r="S672" s="63"/>
      <c r="T672" s="63"/>
      <c r="U672" s="63"/>
      <c r="V672" s="63"/>
      <c r="W672" s="63"/>
      <c r="X672" s="63"/>
      <c r="Y672" s="63"/>
      <c r="Z672" s="62"/>
    </row>
    <row r="673" ht="14.25" customHeight="1">
      <c r="A673" s="59"/>
      <c r="B673" s="97"/>
      <c r="C673" s="97"/>
      <c r="D673" s="97"/>
      <c r="E673" s="97"/>
      <c r="F673" s="97"/>
      <c r="G673" s="97"/>
      <c r="H673" s="59"/>
      <c r="I673" s="61"/>
      <c r="J673" s="61"/>
      <c r="K673" s="61"/>
      <c r="L673" s="62"/>
      <c r="M673" s="62"/>
      <c r="N673" s="63"/>
      <c r="O673" s="63"/>
      <c r="P673" s="63"/>
      <c r="Q673" s="63"/>
      <c r="R673" s="63"/>
      <c r="S673" s="63"/>
      <c r="T673" s="63"/>
      <c r="U673" s="63"/>
      <c r="V673" s="63"/>
      <c r="W673" s="63"/>
      <c r="X673" s="63"/>
      <c r="Y673" s="63"/>
      <c r="Z673" s="62"/>
    </row>
    <row r="674" ht="14.25" customHeight="1">
      <c r="A674" s="59"/>
      <c r="B674" s="97"/>
      <c r="C674" s="97"/>
      <c r="D674" s="97"/>
      <c r="E674" s="97"/>
      <c r="F674" s="97"/>
      <c r="G674" s="97"/>
      <c r="H674" s="59"/>
      <c r="I674" s="61"/>
      <c r="J674" s="61"/>
      <c r="K674" s="61"/>
      <c r="L674" s="62"/>
      <c r="M674" s="62"/>
      <c r="N674" s="63"/>
      <c r="O674" s="63"/>
      <c r="P674" s="63"/>
      <c r="Q674" s="63"/>
      <c r="R674" s="63"/>
      <c r="S674" s="63"/>
      <c r="T674" s="63"/>
      <c r="U674" s="63"/>
      <c r="V674" s="63"/>
      <c r="W674" s="63"/>
      <c r="X674" s="63"/>
      <c r="Y674" s="63"/>
      <c r="Z674" s="62"/>
    </row>
    <row r="675" ht="14.25" customHeight="1">
      <c r="A675" s="59"/>
      <c r="B675" s="97"/>
      <c r="C675" s="97"/>
      <c r="D675" s="97"/>
      <c r="E675" s="97"/>
      <c r="F675" s="97"/>
      <c r="G675" s="97"/>
      <c r="H675" s="59"/>
      <c r="I675" s="61"/>
      <c r="J675" s="61"/>
      <c r="K675" s="61"/>
      <c r="L675" s="62"/>
      <c r="M675" s="62"/>
      <c r="N675" s="63"/>
      <c r="O675" s="63"/>
      <c r="P675" s="63"/>
      <c r="Q675" s="63"/>
      <c r="R675" s="63"/>
      <c r="S675" s="63"/>
      <c r="T675" s="63"/>
      <c r="U675" s="63"/>
      <c r="V675" s="63"/>
      <c r="W675" s="63"/>
      <c r="X675" s="63"/>
      <c r="Y675" s="63"/>
      <c r="Z675" s="62"/>
    </row>
    <row r="676" ht="14.25" customHeight="1">
      <c r="A676" s="59"/>
      <c r="B676" s="97"/>
      <c r="C676" s="97"/>
      <c r="D676" s="97"/>
      <c r="E676" s="97"/>
      <c r="F676" s="97"/>
      <c r="G676" s="97"/>
      <c r="H676" s="59"/>
      <c r="I676" s="61"/>
      <c r="J676" s="61"/>
      <c r="K676" s="61"/>
      <c r="L676" s="62"/>
      <c r="M676" s="62"/>
      <c r="N676" s="63"/>
      <c r="O676" s="63"/>
      <c r="P676" s="63"/>
      <c r="Q676" s="63"/>
      <c r="R676" s="63"/>
      <c r="S676" s="63"/>
      <c r="T676" s="63"/>
      <c r="U676" s="63"/>
      <c r="V676" s="63"/>
      <c r="W676" s="63"/>
      <c r="X676" s="63"/>
      <c r="Y676" s="63"/>
      <c r="Z676" s="62"/>
    </row>
    <row r="677" ht="14.25" customHeight="1">
      <c r="A677" s="59"/>
      <c r="B677" s="97"/>
      <c r="C677" s="97"/>
      <c r="D677" s="97"/>
      <c r="E677" s="97"/>
      <c r="F677" s="97"/>
      <c r="G677" s="97"/>
      <c r="H677" s="59"/>
      <c r="I677" s="61"/>
      <c r="J677" s="61"/>
      <c r="K677" s="61"/>
      <c r="L677" s="62"/>
      <c r="M677" s="62"/>
      <c r="N677" s="63"/>
      <c r="O677" s="63"/>
      <c r="P677" s="63"/>
      <c r="Q677" s="63"/>
      <c r="R677" s="63"/>
      <c r="S677" s="63"/>
      <c r="T677" s="63"/>
      <c r="U677" s="63"/>
      <c r="V677" s="63"/>
      <c r="W677" s="63"/>
      <c r="X677" s="63"/>
      <c r="Y677" s="63"/>
      <c r="Z677" s="62"/>
    </row>
    <row r="678" ht="14.25" customHeight="1">
      <c r="A678" s="59"/>
      <c r="B678" s="97"/>
      <c r="C678" s="97"/>
      <c r="D678" s="97"/>
      <c r="E678" s="97"/>
      <c r="F678" s="97"/>
      <c r="G678" s="97"/>
      <c r="H678" s="59"/>
      <c r="I678" s="61"/>
      <c r="J678" s="61"/>
      <c r="K678" s="61"/>
      <c r="L678" s="62"/>
      <c r="M678" s="62"/>
      <c r="N678" s="63"/>
      <c r="O678" s="63"/>
      <c r="P678" s="63"/>
      <c r="Q678" s="63"/>
      <c r="R678" s="63"/>
      <c r="S678" s="63"/>
      <c r="T678" s="63"/>
      <c r="U678" s="63"/>
      <c r="V678" s="63"/>
      <c r="W678" s="63"/>
      <c r="X678" s="63"/>
      <c r="Y678" s="63"/>
      <c r="Z678" s="62"/>
    </row>
    <row r="679" ht="14.25" customHeight="1">
      <c r="A679" s="59"/>
      <c r="B679" s="97"/>
      <c r="C679" s="97"/>
      <c r="D679" s="97"/>
      <c r="E679" s="97"/>
      <c r="F679" s="97"/>
      <c r="G679" s="97"/>
      <c r="H679" s="59"/>
      <c r="I679" s="61"/>
      <c r="J679" s="61"/>
      <c r="K679" s="61"/>
      <c r="L679" s="62"/>
      <c r="M679" s="62"/>
      <c r="N679" s="63"/>
      <c r="O679" s="63"/>
      <c r="P679" s="63"/>
      <c r="Q679" s="63"/>
      <c r="R679" s="63"/>
      <c r="S679" s="63"/>
      <c r="T679" s="63"/>
      <c r="U679" s="63"/>
      <c r="V679" s="63"/>
      <c r="W679" s="63"/>
      <c r="X679" s="63"/>
      <c r="Y679" s="63"/>
      <c r="Z679" s="62"/>
    </row>
    <row r="680" ht="14.25" customHeight="1">
      <c r="A680" s="59"/>
      <c r="B680" s="97"/>
      <c r="C680" s="97"/>
      <c r="D680" s="97"/>
      <c r="E680" s="97"/>
      <c r="F680" s="97"/>
      <c r="G680" s="97"/>
      <c r="H680" s="59"/>
      <c r="I680" s="61"/>
      <c r="J680" s="61"/>
      <c r="K680" s="61"/>
      <c r="L680" s="62"/>
      <c r="M680" s="62"/>
      <c r="N680" s="63"/>
      <c r="O680" s="63"/>
      <c r="P680" s="63"/>
      <c r="Q680" s="63"/>
      <c r="R680" s="63"/>
      <c r="S680" s="63"/>
      <c r="T680" s="63"/>
      <c r="U680" s="63"/>
      <c r="V680" s="63"/>
      <c r="W680" s="63"/>
      <c r="X680" s="63"/>
      <c r="Y680" s="63"/>
      <c r="Z680" s="62"/>
    </row>
    <row r="681" ht="14.25" customHeight="1">
      <c r="A681" s="59"/>
      <c r="B681" s="97"/>
      <c r="C681" s="97"/>
      <c r="D681" s="97"/>
      <c r="E681" s="97"/>
      <c r="F681" s="97"/>
      <c r="G681" s="97"/>
      <c r="H681" s="59"/>
      <c r="I681" s="61"/>
      <c r="J681" s="61"/>
      <c r="K681" s="61"/>
      <c r="L681" s="62"/>
      <c r="M681" s="62"/>
      <c r="N681" s="63"/>
      <c r="O681" s="63"/>
      <c r="P681" s="63"/>
      <c r="Q681" s="63"/>
      <c r="R681" s="63"/>
      <c r="S681" s="63"/>
      <c r="T681" s="63"/>
      <c r="U681" s="63"/>
      <c r="V681" s="63"/>
      <c r="W681" s="63"/>
      <c r="X681" s="63"/>
      <c r="Y681" s="63"/>
      <c r="Z681" s="62"/>
    </row>
    <row r="682" ht="14.25" customHeight="1">
      <c r="A682" s="59"/>
      <c r="B682" s="97"/>
      <c r="C682" s="97"/>
      <c r="D682" s="97"/>
      <c r="E682" s="97"/>
      <c r="F682" s="97"/>
      <c r="G682" s="97"/>
      <c r="H682" s="59"/>
      <c r="I682" s="61"/>
      <c r="J682" s="61"/>
      <c r="K682" s="61"/>
      <c r="L682" s="62"/>
      <c r="M682" s="62"/>
      <c r="N682" s="63"/>
      <c r="O682" s="63"/>
      <c r="P682" s="63"/>
      <c r="Q682" s="63"/>
      <c r="R682" s="63"/>
      <c r="S682" s="63"/>
      <c r="T682" s="63"/>
      <c r="U682" s="63"/>
      <c r="V682" s="63"/>
      <c r="W682" s="63"/>
      <c r="X682" s="63"/>
      <c r="Y682" s="63"/>
      <c r="Z682" s="62"/>
    </row>
    <row r="683" ht="14.25" customHeight="1">
      <c r="A683" s="59"/>
      <c r="B683" s="97"/>
      <c r="C683" s="97"/>
      <c r="D683" s="97"/>
      <c r="E683" s="97"/>
      <c r="F683" s="97"/>
      <c r="G683" s="97"/>
      <c r="H683" s="59"/>
      <c r="I683" s="61"/>
      <c r="J683" s="61"/>
      <c r="K683" s="61"/>
      <c r="L683" s="62"/>
      <c r="M683" s="62"/>
      <c r="N683" s="63"/>
      <c r="O683" s="63"/>
      <c r="P683" s="63"/>
      <c r="Q683" s="63"/>
      <c r="R683" s="63"/>
      <c r="S683" s="63"/>
      <c r="T683" s="63"/>
      <c r="U683" s="63"/>
      <c r="V683" s="63"/>
      <c r="W683" s="63"/>
      <c r="X683" s="63"/>
      <c r="Y683" s="63"/>
      <c r="Z683" s="62"/>
    </row>
    <row r="684" ht="14.25" customHeight="1">
      <c r="A684" s="59"/>
      <c r="B684" s="97"/>
      <c r="C684" s="97"/>
      <c r="D684" s="97"/>
      <c r="E684" s="97"/>
      <c r="F684" s="97"/>
      <c r="G684" s="97"/>
      <c r="H684" s="59"/>
      <c r="I684" s="61"/>
      <c r="J684" s="61"/>
      <c r="K684" s="61"/>
      <c r="L684" s="62"/>
      <c r="M684" s="62"/>
      <c r="N684" s="63"/>
      <c r="O684" s="63"/>
      <c r="P684" s="63"/>
      <c r="Q684" s="63"/>
      <c r="R684" s="63"/>
      <c r="S684" s="63"/>
      <c r="T684" s="63"/>
      <c r="U684" s="63"/>
      <c r="V684" s="63"/>
      <c r="W684" s="63"/>
      <c r="X684" s="63"/>
      <c r="Y684" s="63"/>
      <c r="Z684" s="62"/>
    </row>
    <row r="685" ht="14.25" customHeight="1">
      <c r="A685" s="59"/>
      <c r="B685" s="97"/>
      <c r="C685" s="97"/>
      <c r="D685" s="97"/>
      <c r="E685" s="97"/>
      <c r="F685" s="97"/>
      <c r="G685" s="97"/>
      <c r="H685" s="59"/>
      <c r="I685" s="61"/>
      <c r="J685" s="61"/>
      <c r="K685" s="61"/>
      <c r="L685" s="62"/>
      <c r="M685" s="62"/>
      <c r="N685" s="63"/>
      <c r="O685" s="63"/>
      <c r="P685" s="63"/>
      <c r="Q685" s="63"/>
      <c r="R685" s="63"/>
      <c r="S685" s="63"/>
      <c r="T685" s="63"/>
      <c r="U685" s="63"/>
      <c r="V685" s="63"/>
      <c r="W685" s="63"/>
      <c r="X685" s="63"/>
      <c r="Y685" s="63"/>
      <c r="Z685" s="62"/>
    </row>
    <row r="686" ht="14.25" customHeight="1">
      <c r="A686" s="59"/>
      <c r="B686" s="97"/>
      <c r="C686" s="97"/>
      <c r="D686" s="97"/>
      <c r="E686" s="97"/>
      <c r="F686" s="97"/>
      <c r="G686" s="97"/>
      <c r="H686" s="59"/>
      <c r="I686" s="61"/>
      <c r="J686" s="61"/>
      <c r="K686" s="61"/>
      <c r="L686" s="62"/>
      <c r="M686" s="62"/>
      <c r="N686" s="63"/>
      <c r="O686" s="63"/>
      <c r="P686" s="63"/>
      <c r="Q686" s="63"/>
      <c r="R686" s="63"/>
      <c r="S686" s="63"/>
      <c r="T686" s="63"/>
      <c r="U686" s="63"/>
      <c r="V686" s="63"/>
      <c r="W686" s="63"/>
      <c r="X686" s="63"/>
      <c r="Y686" s="63"/>
      <c r="Z686" s="62"/>
    </row>
    <row r="687" ht="14.25" customHeight="1">
      <c r="A687" s="59"/>
      <c r="B687" s="97"/>
      <c r="C687" s="97"/>
      <c r="D687" s="97"/>
      <c r="E687" s="97"/>
      <c r="F687" s="97"/>
      <c r="G687" s="97"/>
      <c r="H687" s="59"/>
      <c r="I687" s="61"/>
      <c r="J687" s="61"/>
      <c r="K687" s="61"/>
      <c r="L687" s="62"/>
      <c r="M687" s="62"/>
      <c r="N687" s="63"/>
      <c r="O687" s="63"/>
      <c r="P687" s="63"/>
      <c r="Q687" s="63"/>
      <c r="R687" s="63"/>
      <c r="S687" s="63"/>
      <c r="T687" s="63"/>
      <c r="U687" s="63"/>
      <c r="V687" s="63"/>
      <c r="W687" s="63"/>
      <c r="X687" s="63"/>
      <c r="Y687" s="63"/>
      <c r="Z687" s="62"/>
    </row>
    <row r="688" ht="14.25" customHeight="1">
      <c r="A688" s="59"/>
      <c r="B688" s="97"/>
      <c r="C688" s="97"/>
      <c r="D688" s="97"/>
      <c r="E688" s="97"/>
      <c r="F688" s="97"/>
      <c r="G688" s="97"/>
      <c r="H688" s="59"/>
      <c r="I688" s="61"/>
      <c r="J688" s="61"/>
      <c r="K688" s="61"/>
      <c r="L688" s="62"/>
      <c r="M688" s="62"/>
      <c r="N688" s="63"/>
      <c r="O688" s="63"/>
      <c r="P688" s="63"/>
      <c r="Q688" s="63"/>
      <c r="R688" s="63"/>
      <c r="S688" s="63"/>
      <c r="T688" s="63"/>
      <c r="U688" s="63"/>
      <c r="V688" s="63"/>
      <c r="W688" s="63"/>
      <c r="X688" s="63"/>
      <c r="Y688" s="63"/>
      <c r="Z688" s="62"/>
    </row>
    <row r="689" ht="14.25" customHeight="1">
      <c r="A689" s="59"/>
      <c r="B689" s="97"/>
      <c r="C689" s="97"/>
      <c r="D689" s="97"/>
      <c r="E689" s="97"/>
      <c r="F689" s="97"/>
      <c r="G689" s="97"/>
      <c r="H689" s="59"/>
      <c r="I689" s="61"/>
      <c r="J689" s="61"/>
      <c r="K689" s="61"/>
      <c r="L689" s="62"/>
      <c r="M689" s="62"/>
      <c r="N689" s="63"/>
      <c r="O689" s="63"/>
      <c r="P689" s="63"/>
      <c r="Q689" s="63"/>
      <c r="R689" s="63"/>
      <c r="S689" s="63"/>
      <c r="T689" s="63"/>
      <c r="U689" s="63"/>
      <c r="V689" s="63"/>
      <c r="W689" s="63"/>
      <c r="X689" s="63"/>
      <c r="Y689" s="63"/>
      <c r="Z689" s="62"/>
    </row>
    <row r="690" ht="14.25" customHeight="1">
      <c r="A690" s="59"/>
      <c r="B690" s="97"/>
      <c r="C690" s="97"/>
      <c r="D690" s="97"/>
      <c r="E690" s="97"/>
      <c r="F690" s="97"/>
      <c r="G690" s="97"/>
      <c r="H690" s="59"/>
      <c r="I690" s="61"/>
      <c r="J690" s="61"/>
      <c r="K690" s="61"/>
      <c r="L690" s="62"/>
      <c r="M690" s="62"/>
      <c r="N690" s="63"/>
      <c r="O690" s="63"/>
      <c r="P690" s="63"/>
      <c r="Q690" s="63"/>
      <c r="R690" s="63"/>
      <c r="S690" s="63"/>
      <c r="T690" s="63"/>
      <c r="U690" s="63"/>
      <c r="V690" s="63"/>
      <c r="W690" s="63"/>
      <c r="X690" s="63"/>
      <c r="Y690" s="63"/>
      <c r="Z690" s="62"/>
    </row>
    <row r="691" ht="14.25" customHeight="1">
      <c r="A691" s="59"/>
      <c r="B691" s="97"/>
      <c r="C691" s="97"/>
      <c r="D691" s="97"/>
      <c r="E691" s="97"/>
      <c r="F691" s="97"/>
      <c r="G691" s="97"/>
      <c r="H691" s="59"/>
      <c r="I691" s="61"/>
      <c r="J691" s="61"/>
      <c r="K691" s="61"/>
      <c r="L691" s="62"/>
      <c r="M691" s="62"/>
      <c r="N691" s="63"/>
      <c r="O691" s="63"/>
      <c r="P691" s="63"/>
      <c r="Q691" s="63"/>
      <c r="R691" s="63"/>
      <c r="S691" s="63"/>
      <c r="T691" s="63"/>
      <c r="U691" s="63"/>
      <c r="V691" s="63"/>
      <c r="W691" s="63"/>
      <c r="X691" s="63"/>
      <c r="Y691" s="63"/>
      <c r="Z691" s="62"/>
    </row>
    <row r="692" ht="14.25" customHeight="1">
      <c r="A692" s="59"/>
      <c r="B692" s="97"/>
      <c r="C692" s="97"/>
      <c r="D692" s="97"/>
      <c r="E692" s="97"/>
      <c r="F692" s="97"/>
      <c r="G692" s="97"/>
      <c r="H692" s="59"/>
      <c r="I692" s="61"/>
      <c r="J692" s="61"/>
      <c r="K692" s="61"/>
      <c r="L692" s="62"/>
      <c r="M692" s="62"/>
      <c r="N692" s="63"/>
      <c r="O692" s="63"/>
      <c r="P692" s="63"/>
      <c r="Q692" s="63"/>
      <c r="R692" s="63"/>
      <c r="S692" s="63"/>
      <c r="T692" s="63"/>
      <c r="U692" s="63"/>
      <c r="V692" s="63"/>
      <c r="W692" s="63"/>
      <c r="X692" s="63"/>
      <c r="Y692" s="63"/>
      <c r="Z692" s="62"/>
    </row>
    <row r="693" ht="14.25" customHeight="1">
      <c r="A693" s="59"/>
      <c r="B693" s="97"/>
      <c r="C693" s="97"/>
      <c r="D693" s="97"/>
      <c r="E693" s="97"/>
      <c r="F693" s="97"/>
      <c r="G693" s="97"/>
      <c r="H693" s="59"/>
      <c r="I693" s="61"/>
      <c r="J693" s="61"/>
      <c r="K693" s="61"/>
      <c r="L693" s="62"/>
      <c r="M693" s="62"/>
      <c r="N693" s="63"/>
      <c r="O693" s="63"/>
      <c r="P693" s="63"/>
      <c r="Q693" s="63"/>
      <c r="R693" s="63"/>
      <c r="S693" s="63"/>
      <c r="T693" s="63"/>
      <c r="U693" s="63"/>
      <c r="V693" s="63"/>
      <c r="W693" s="63"/>
      <c r="X693" s="63"/>
      <c r="Y693" s="63"/>
      <c r="Z693" s="62"/>
    </row>
    <row r="694" ht="14.25" customHeight="1">
      <c r="A694" s="59"/>
      <c r="B694" s="97"/>
      <c r="C694" s="97"/>
      <c r="D694" s="97"/>
      <c r="E694" s="97"/>
      <c r="F694" s="97"/>
      <c r="G694" s="97"/>
      <c r="H694" s="59"/>
      <c r="I694" s="61"/>
      <c r="J694" s="61"/>
      <c r="K694" s="61"/>
      <c r="L694" s="62"/>
      <c r="M694" s="62"/>
      <c r="N694" s="63"/>
      <c r="O694" s="63"/>
      <c r="P694" s="63"/>
      <c r="Q694" s="63"/>
      <c r="R694" s="63"/>
      <c r="S694" s="63"/>
      <c r="T694" s="63"/>
      <c r="U694" s="63"/>
      <c r="V694" s="63"/>
      <c r="W694" s="63"/>
      <c r="X694" s="63"/>
      <c r="Y694" s="63"/>
      <c r="Z694" s="62"/>
    </row>
    <row r="695" ht="14.25" customHeight="1">
      <c r="A695" s="59"/>
      <c r="B695" s="97"/>
      <c r="C695" s="97"/>
      <c r="D695" s="97"/>
      <c r="E695" s="97"/>
      <c r="F695" s="97"/>
      <c r="G695" s="97"/>
      <c r="H695" s="59"/>
      <c r="I695" s="61"/>
      <c r="J695" s="61"/>
      <c r="K695" s="61"/>
      <c r="L695" s="62"/>
      <c r="M695" s="62"/>
      <c r="N695" s="63"/>
      <c r="O695" s="63"/>
      <c r="P695" s="63"/>
      <c r="Q695" s="63"/>
      <c r="R695" s="63"/>
      <c r="S695" s="63"/>
      <c r="T695" s="63"/>
      <c r="U695" s="63"/>
      <c r="V695" s="63"/>
      <c r="W695" s="63"/>
      <c r="X695" s="63"/>
      <c r="Y695" s="63"/>
      <c r="Z695" s="62"/>
    </row>
    <row r="696" ht="14.25" customHeight="1">
      <c r="A696" s="59"/>
      <c r="B696" s="97"/>
      <c r="C696" s="97"/>
      <c r="D696" s="97"/>
      <c r="E696" s="97"/>
      <c r="F696" s="97"/>
      <c r="G696" s="97"/>
      <c r="H696" s="59"/>
      <c r="I696" s="61"/>
      <c r="J696" s="61"/>
      <c r="K696" s="61"/>
      <c r="L696" s="62"/>
      <c r="M696" s="62"/>
      <c r="N696" s="63"/>
      <c r="O696" s="63"/>
      <c r="P696" s="63"/>
      <c r="Q696" s="63"/>
      <c r="R696" s="63"/>
      <c r="S696" s="63"/>
      <c r="T696" s="63"/>
      <c r="U696" s="63"/>
      <c r="V696" s="63"/>
      <c r="W696" s="63"/>
      <c r="X696" s="63"/>
      <c r="Y696" s="63"/>
      <c r="Z696" s="62"/>
    </row>
    <row r="697" ht="14.25" customHeight="1">
      <c r="A697" s="59"/>
      <c r="B697" s="97"/>
      <c r="C697" s="97"/>
      <c r="D697" s="97"/>
      <c r="E697" s="97"/>
      <c r="F697" s="97"/>
      <c r="G697" s="97"/>
      <c r="H697" s="59"/>
      <c r="I697" s="61"/>
      <c r="J697" s="61"/>
      <c r="K697" s="61"/>
      <c r="L697" s="62"/>
      <c r="M697" s="62"/>
      <c r="N697" s="63"/>
      <c r="O697" s="63"/>
      <c r="P697" s="63"/>
      <c r="Q697" s="63"/>
      <c r="R697" s="63"/>
      <c r="S697" s="63"/>
      <c r="T697" s="63"/>
      <c r="U697" s="63"/>
      <c r="V697" s="63"/>
      <c r="W697" s="63"/>
      <c r="X697" s="63"/>
      <c r="Y697" s="63"/>
      <c r="Z697" s="62"/>
    </row>
    <row r="698" ht="14.25" customHeight="1">
      <c r="A698" s="59"/>
      <c r="B698" s="97"/>
      <c r="C698" s="97"/>
      <c r="D698" s="97"/>
      <c r="E698" s="97"/>
      <c r="F698" s="97"/>
      <c r="G698" s="97"/>
      <c r="H698" s="59"/>
      <c r="I698" s="61"/>
      <c r="J698" s="61"/>
      <c r="K698" s="61"/>
      <c r="L698" s="62"/>
      <c r="M698" s="62"/>
      <c r="N698" s="63"/>
      <c r="O698" s="63"/>
      <c r="P698" s="63"/>
      <c r="Q698" s="63"/>
      <c r="R698" s="63"/>
      <c r="S698" s="63"/>
      <c r="T698" s="63"/>
      <c r="U698" s="63"/>
      <c r="V698" s="63"/>
      <c r="W698" s="63"/>
      <c r="X698" s="63"/>
      <c r="Y698" s="63"/>
      <c r="Z698" s="62"/>
    </row>
    <row r="699" ht="14.25" customHeight="1">
      <c r="A699" s="59"/>
      <c r="B699" s="97"/>
      <c r="C699" s="97"/>
      <c r="D699" s="97"/>
      <c r="E699" s="97"/>
      <c r="F699" s="97"/>
      <c r="G699" s="97"/>
      <c r="H699" s="59"/>
      <c r="I699" s="61"/>
      <c r="J699" s="61"/>
      <c r="K699" s="61"/>
      <c r="L699" s="62"/>
      <c r="M699" s="62"/>
      <c r="N699" s="63"/>
      <c r="O699" s="63"/>
      <c r="P699" s="63"/>
      <c r="Q699" s="63"/>
      <c r="R699" s="63"/>
      <c r="S699" s="63"/>
      <c r="T699" s="63"/>
      <c r="U699" s="63"/>
      <c r="V699" s="63"/>
      <c r="W699" s="63"/>
      <c r="X699" s="63"/>
      <c r="Y699" s="63"/>
      <c r="Z699" s="62"/>
    </row>
    <row r="700" ht="14.25" customHeight="1">
      <c r="A700" s="59"/>
      <c r="B700" s="97"/>
      <c r="C700" s="97"/>
      <c r="D700" s="97"/>
      <c r="E700" s="97"/>
      <c r="F700" s="97"/>
      <c r="G700" s="97"/>
      <c r="H700" s="59"/>
      <c r="I700" s="61"/>
      <c r="J700" s="61"/>
      <c r="K700" s="61"/>
      <c r="L700" s="62"/>
      <c r="M700" s="62"/>
      <c r="N700" s="63"/>
      <c r="O700" s="63"/>
      <c r="P700" s="63"/>
      <c r="Q700" s="63"/>
      <c r="R700" s="63"/>
      <c r="S700" s="63"/>
      <c r="T700" s="63"/>
      <c r="U700" s="63"/>
      <c r="V700" s="63"/>
      <c r="W700" s="63"/>
      <c r="X700" s="63"/>
      <c r="Y700" s="63"/>
      <c r="Z700" s="62"/>
    </row>
    <row r="701" ht="14.25" customHeight="1">
      <c r="A701" s="59"/>
      <c r="B701" s="97"/>
      <c r="C701" s="97"/>
      <c r="D701" s="97"/>
      <c r="E701" s="97"/>
      <c r="F701" s="97"/>
      <c r="G701" s="97"/>
      <c r="H701" s="59"/>
      <c r="I701" s="61"/>
      <c r="J701" s="61"/>
      <c r="K701" s="61"/>
      <c r="L701" s="62"/>
      <c r="M701" s="62"/>
      <c r="N701" s="63"/>
      <c r="O701" s="63"/>
      <c r="P701" s="63"/>
      <c r="Q701" s="63"/>
      <c r="R701" s="63"/>
      <c r="S701" s="63"/>
      <c r="T701" s="63"/>
      <c r="U701" s="63"/>
      <c r="V701" s="63"/>
      <c r="W701" s="63"/>
      <c r="X701" s="63"/>
      <c r="Y701" s="63"/>
      <c r="Z701" s="62"/>
    </row>
    <row r="702" ht="14.25" customHeight="1">
      <c r="A702" s="59"/>
      <c r="B702" s="97"/>
      <c r="C702" s="97"/>
      <c r="D702" s="97"/>
      <c r="E702" s="97"/>
      <c r="F702" s="97"/>
      <c r="G702" s="97"/>
      <c r="H702" s="59"/>
      <c r="I702" s="61"/>
      <c r="J702" s="61"/>
      <c r="K702" s="61"/>
      <c r="L702" s="62"/>
      <c r="M702" s="62"/>
      <c r="N702" s="63"/>
      <c r="O702" s="63"/>
      <c r="P702" s="63"/>
      <c r="Q702" s="63"/>
      <c r="R702" s="63"/>
      <c r="S702" s="63"/>
      <c r="T702" s="63"/>
      <c r="U702" s="63"/>
      <c r="V702" s="63"/>
      <c r="W702" s="63"/>
      <c r="X702" s="63"/>
      <c r="Y702" s="63"/>
      <c r="Z702" s="62"/>
    </row>
    <row r="703" ht="14.25" customHeight="1">
      <c r="A703" s="59"/>
      <c r="B703" s="97"/>
      <c r="C703" s="97"/>
      <c r="D703" s="97"/>
      <c r="E703" s="97"/>
      <c r="F703" s="97"/>
      <c r="G703" s="97"/>
      <c r="H703" s="59"/>
      <c r="I703" s="61"/>
      <c r="J703" s="61"/>
      <c r="K703" s="61"/>
      <c r="L703" s="62"/>
      <c r="M703" s="62"/>
      <c r="N703" s="63"/>
      <c r="O703" s="63"/>
      <c r="P703" s="63"/>
      <c r="Q703" s="63"/>
      <c r="R703" s="63"/>
      <c r="S703" s="63"/>
      <c r="T703" s="63"/>
      <c r="U703" s="63"/>
      <c r="V703" s="63"/>
      <c r="W703" s="63"/>
      <c r="X703" s="63"/>
      <c r="Y703" s="63"/>
      <c r="Z703" s="62"/>
    </row>
    <row r="704" ht="14.25" customHeight="1">
      <c r="A704" s="59"/>
      <c r="B704" s="97"/>
      <c r="C704" s="97"/>
      <c r="D704" s="97"/>
      <c r="E704" s="97"/>
      <c r="F704" s="97"/>
      <c r="G704" s="97"/>
      <c r="H704" s="59"/>
      <c r="I704" s="61"/>
      <c r="J704" s="61"/>
      <c r="K704" s="61"/>
      <c r="L704" s="62"/>
      <c r="M704" s="62"/>
      <c r="N704" s="63"/>
      <c r="O704" s="63"/>
      <c r="P704" s="63"/>
      <c r="Q704" s="63"/>
      <c r="R704" s="63"/>
      <c r="S704" s="63"/>
      <c r="T704" s="63"/>
      <c r="U704" s="63"/>
      <c r="V704" s="63"/>
      <c r="W704" s="63"/>
      <c r="X704" s="63"/>
      <c r="Y704" s="63"/>
      <c r="Z704" s="62"/>
    </row>
    <row r="705" ht="14.25" customHeight="1">
      <c r="A705" s="59"/>
      <c r="B705" s="97"/>
      <c r="C705" s="97"/>
      <c r="D705" s="97"/>
      <c r="E705" s="97"/>
      <c r="F705" s="97"/>
      <c r="G705" s="97"/>
      <c r="H705" s="59"/>
      <c r="I705" s="61"/>
      <c r="J705" s="61"/>
      <c r="K705" s="61"/>
      <c r="L705" s="62"/>
      <c r="M705" s="62"/>
      <c r="N705" s="63"/>
      <c r="O705" s="63"/>
      <c r="P705" s="63"/>
      <c r="Q705" s="63"/>
      <c r="R705" s="63"/>
      <c r="S705" s="63"/>
      <c r="T705" s="63"/>
      <c r="U705" s="63"/>
      <c r="V705" s="63"/>
      <c r="W705" s="63"/>
      <c r="X705" s="63"/>
      <c r="Y705" s="63"/>
      <c r="Z705" s="62"/>
    </row>
    <row r="706" ht="14.25" customHeight="1">
      <c r="A706" s="59"/>
      <c r="B706" s="97"/>
      <c r="C706" s="97"/>
      <c r="D706" s="97"/>
      <c r="E706" s="97"/>
      <c r="F706" s="97"/>
      <c r="G706" s="97"/>
      <c r="H706" s="59"/>
      <c r="I706" s="61"/>
      <c r="J706" s="61"/>
      <c r="K706" s="61"/>
      <c r="L706" s="62"/>
      <c r="M706" s="62"/>
      <c r="N706" s="63"/>
      <c r="O706" s="63"/>
      <c r="P706" s="63"/>
      <c r="Q706" s="63"/>
      <c r="R706" s="63"/>
      <c r="S706" s="63"/>
      <c r="T706" s="63"/>
      <c r="U706" s="63"/>
      <c r="V706" s="63"/>
      <c r="W706" s="63"/>
      <c r="X706" s="63"/>
      <c r="Y706" s="63"/>
      <c r="Z706" s="62"/>
    </row>
    <row r="707" ht="14.25" customHeight="1">
      <c r="A707" s="59"/>
      <c r="B707" s="97"/>
      <c r="C707" s="97"/>
      <c r="D707" s="97"/>
      <c r="E707" s="97"/>
      <c r="F707" s="97"/>
      <c r="G707" s="97"/>
      <c r="H707" s="59"/>
      <c r="I707" s="61"/>
      <c r="J707" s="61"/>
      <c r="K707" s="61"/>
      <c r="L707" s="62"/>
      <c r="M707" s="62"/>
      <c r="N707" s="63"/>
      <c r="O707" s="63"/>
      <c r="P707" s="63"/>
      <c r="Q707" s="63"/>
      <c r="R707" s="63"/>
      <c r="S707" s="63"/>
      <c r="T707" s="63"/>
      <c r="U707" s="63"/>
      <c r="V707" s="63"/>
      <c r="W707" s="63"/>
      <c r="X707" s="63"/>
      <c r="Y707" s="63"/>
      <c r="Z707" s="62"/>
    </row>
    <row r="708" ht="14.25" customHeight="1">
      <c r="A708" s="59"/>
      <c r="B708" s="97"/>
      <c r="C708" s="97"/>
      <c r="D708" s="97"/>
      <c r="E708" s="97"/>
      <c r="F708" s="97"/>
      <c r="G708" s="97"/>
      <c r="H708" s="59"/>
      <c r="I708" s="61"/>
      <c r="J708" s="61"/>
      <c r="K708" s="61"/>
      <c r="L708" s="62"/>
      <c r="M708" s="62"/>
      <c r="N708" s="63"/>
      <c r="O708" s="63"/>
      <c r="P708" s="63"/>
      <c r="Q708" s="63"/>
      <c r="R708" s="63"/>
      <c r="S708" s="63"/>
      <c r="T708" s="63"/>
      <c r="U708" s="63"/>
      <c r="V708" s="63"/>
      <c r="W708" s="63"/>
      <c r="X708" s="63"/>
      <c r="Y708" s="63"/>
      <c r="Z708" s="62"/>
    </row>
    <row r="709" ht="14.25" customHeight="1">
      <c r="A709" s="59"/>
      <c r="B709" s="97"/>
      <c r="C709" s="97"/>
      <c r="D709" s="97"/>
      <c r="E709" s="97"/>
      <c r="F709" s="97"/>
      <c r="G709" s="97"/>
      <c r="H709" s="59"/>
      <c r="I709" s="61"/>
      <c r="J709" s="61"/>
      <c r="K709" s="61"/>
      <c r="L709" s="62"/>
      <c r="M709" s="62"/>
      <c r="N709" s="63"/>
      <c r="O709" s="63"/>
      <c r="P709" s="63"/>
      <c r="Q709" s="63"/>
      <c r="R709" s="63"/>
      <c r="S709" s="63"/>
      <c r="T709" s="63"/>
      <c r="U709" s="63"/>
      <c r="V709" s="63"/>
      <c r="W709" s="63"/>
      <c r="X709" s="63"/>
      <c r="Y709" s="63"/>
      <c r="Z709" s="62"/>
    </row>
    <row r="710" ht="14.25" customHeight="1">
      <c r="A710" s="59"/>
      <c r="B710" s="97"/>
      <c r="C710" s="97"/>
      <c r="D710" s="97"/>
      <c r="E710" s="97"/>
      <c r="F710" s="97"/>
      <c r="G710" s="97"/>
      <c r="H710" s="59"/>
      <c r="I710" s="61"/>
      <c r="J710" s="61"/>
      <c r="K710" s="61"/>
      <c r="L710" s="62"/>
      <c r="M710" s="62"/>
      <c r="N710" s="63"/>
      <c r="O710" s="63"/>
      <c r="P710" s="63"/>
      <c r="Q710" s="63"/>
      <c r="R710" s="63"/>
      <c r="S710" s="63"/>
      <c r="T710" s="63"/>
      <c r="U710" s="63"/>
      <c r="V710" s="63"/>
      <c r="W710" s="63"/>
      <c r="X710" s="63"/>
      <c r="Y710" s="63"/>
      <c r="Z710" s="62"/>
    </row>
    <row r="711" ht="14.25" customHeight="1">
      <c r="A711" s="59"/>
      <c r="B711" s="97"/>
      <c r="C711" s="97"/>
      <c r="D711" s="97"/>
      <c r="E711" s="97"/>
      <c r="F711" s="97"/>
      <c r="G711" s="97"/>
      <c r="H711" s="59"/>
      <c r="I711" s="61"/>
      <c r="J711" s="61"/>
      <c r="K711" s="61"/>
      <c r="L711" s="62"/>
      <c r="M711" s="62"/>
      <c r="N711" s="63"/>
      <c r="O711" s="63"/>
      <c r="P711" s="63"/>
      <c r="Q711" s="63"/>
      <c r="R711" s="63"/>
      <c r="S711" s="63"/>
      <c r="T711" s="63"/>
      <c r="U711" s="63"/>
      <c r="V711" s="63"/>
      <c r="W711" s="63"/>
      <c r="X711" s="63"/>
      <c r="Y711" s="63"/>
      <c r="Z711" s="62"/>
    </row>
    <row r="712" ht="14.25" customHeight="1">
      <c r="A712" s="59"/>
      <c r="B712" s="97"/>
      <c r="C712" s="97"/>
      <c r="D712" s="97"/>
      <c r="E712" s="97"/>
      <c r="F712" s="97"/>
      <c r="G712" s="97"/>
      <c r="H712" s="59"/>
      <c r="I712" s="61"/>
      <c r="J712" s="61"/>
      <c r="K712" s="61"/>
      <c r="L712" s="62"/>
      <c r="M712" s="62"/>
      <c r="N712" s="63"/>
      <c r="O712" s="63"/>
      <c r="P712" s="63"/>
      <c r="Q712" s="63"/>
      <c r="R712" s="63"/>
      <c r="S712" s="63"/>
      <c r="T712" s="63"/>
      <c r="U712" s="63"/>
      <c r="V712" s="63"/>
      <c r="W712" s="63"/>
      <c r="X712" s="63"/>
      <c r="Y712" s="63"/>
      <c r="Z712" s="62"/>
    </row>
    <row r="713" ht="14.25" customHeight="1">
      <c r="A713" s="59"/>
      <c r="B713" s="97"/>
      <c r="C713" s="97"/>
      <c r="D713" s="97"/>
      <c r="E713" s="97"/>
      <c r="F713" s="97"/>
      <c r="G713" s="97"/>
      <c r="H713" s="59"/>
      <c r="I713" s="61"/>
      <c r="J713" s="61"/>
      <c r="K713" s="61"/>
      <c r="L713" s="62"/>
      <c r="M713" s="62"/>
      <c r="N713" s="63"/>
      <c r="O713" s="63"/>
      <c r="P713" s="63"/>
      <c r="Q713" s="63"/>
      <c r="R713" s="63"/>
      <c r="S713" s="63"/>
      <c r="T713" s="63"/>
      <c r="U713" s="63"/>
      <c r="V713" s="63"/>
      <c r="W713" s="63"/>
      <c r="X713" s="63"/>
      <c r="Y713" s="63"/>
      <c r="Z713" s="62"/>
    </row>
    <row r="714" ht="14.25" customHeight="1">
      <c r="A714" s="59"/>
      <c r="B714" s="97"/>
      <c r="C714" s="97"/>
      <c r="D714" s="97"/>
      <c r="E714" s="97"/>
      <c r="F714" s="97"/>
      <c r="G714" s="97"/>
      <c r="H714" s="59"/>
      <c r="I714" s="61"/>
      <c r="J714" s="61"/>
      <c r="K714" s="61"/>
      <c r="L714" s="62"/>
      <c r="M714" s="62"/>
      <c r="N714" s="63"/>
      <c r="O714" s="63"/>
      <c r="P714" s="63"/>
      <c r="Q714" s="63"/>
      <c r="R714" s="63"/>
      <c r="S714" s="63"/>
      <c r="T714" s="63"/>
      <c r="U714" s="63"/>
      <c r="V714" s="63"/>
      <c r="W714" s="63"/>
      <c r="X714" s="63"/>
      <c r="Y714" s="63"/>
      <c r="Z714" s="62"/>
    </row>
    <row r="715" ht="14.25" customHeight="1">
      <c r="A715" s="59"/>
      <c r="B715" s="97"/>
      <c r="C715" s="97"/>
      <c r="D715" s="97"/>
      <c r="E715" s="97"/>
      <c r="F715" s="97"/>
      <c r="G715" s="97"/>
      <c r="H715" s="59"/>
      <c r="I715" s="61"/>
      <c r="J715" s="61"/>
      <c r="K715" s="61"/>
      <c r="L715" s="62"/>
      <c r="M715" s="62"/>
      <c r="N715" s="63"/>
      <c r="O715" s="63"/>
      <c r="P715" s="63"/>
      <c r="Q715" s="63"/>
      <c r="R715" s="63"/>
      <c r="S715" s="63"/>
      <c r="T715" s="63"/>
      <c r="U715" s="63"/>
      <c r="V715" s="63"/>
      <c r="W715" s="63"/>
      <c r="X715" s="63"/>
      <c r="Y715" s="63"/>
      <c r="Z715" s="62"/>
    </row>
    <row r="716" ht="14.25" customHeight="1">
      <c r="A716" s="59"/>
      <c r="B716" s="97"/>
      <c r="C716" s="97"/>
      <c r="D716" s="97"/>
      <c r="E716" s="97"/>
      <c r="F716" s="97"/>
      <c r="G716" s="97"/>
      <c r="H716" s="59"/>
      <c r="I716" s="61"/>
      <c r="J716" s="61"/>
      <c r="K716" s="61"/>
      <c r="L716" s="62"/>
      <c r="M716" s="62"/>
      <c r="N716" s="63"/>
      <c r="O716" s="63"/>
      <c r="P716" s="63"/>
      <c r="Q716" s="63"/>
      <c r="R716" s="63"/>
      <c r="S716" s="63"/>
      <c r="T716" s="63"/>
      <c r="U716" s="63"/>
      <c r="V716" s="63"/>
      <c r="W716" s="63"/>
      <c r="X716" s="63"/>
      <c r="Y716" s="63"/>
      <c r="Z716" s="62"/>
    </row>
    <row r="717" ht="14.25" customHeight="1">
      <c r="A717" s="59"/>
      <c r="B717" s="97"/>
      <c r="C717" s="97"/>
      <c r="D717" s="97"/>
      <c r="E717" s="97"/>
      <c r="F717" s="97"/>
      <c r="G717" s="97"/>
      <c r="H717" s="59"/>
      <c r="I717" s="61"/>
      <c r="J717" s="61"/>
      <c r="K717" s="61"/>
      <c r="L717" s="62"/>
      <c r="M717" s="62"/>
      <c r="N717" s="63"/>
      <c r="O717" s="63"/>
      <c r="P717" s="63"/>
      <c r="Q717" s="63"/>
      <c r="R717" s="63"/>
      <c r="S717" s="63"/>
      <c r="T717" s="63"/>
      <c r="U717" s="63"/>
      <c r="V717" s="63"/>
      <c r="W717" s="63"/>
      <c r="X717" s="63"/>
      <c r="Y717" s="63"/>
      <c r="Z717" s="62"/>
    </row>
    <row r="718" ht="14.25" customHeight="1">
      <c r="A718" s="59"/>
      <c r="B718" s="97"/>
      <c r="C718" s="97"/>
      <c r="D718" s="97"/>
      <c r="E718" s="97"/>
      <c r="F718" s="97"/>
      <c r="G718" s="97"/>
      <c r="H718" s="59"/>
      <c r="I718" s="61"/>
      <c r="J718" s="61"/>
      <c r="K718" s="61"/>
      <c r="L718" s="62"/>
      <c r="M718" s="62"/>
      <c r="N718" s="63"/>
      <c r="O718" s="63"/>
      <c r="P718" s="63"/>
      <c r="Q718" s="63"/>
      <c r="R718" s="63"/>
      <c r="S718" s="63"/>
      <c r="T718" s="63"/>
      <c r="U718" s="63"/>
      <c r="V718" s="63"/>
      <c r="W718" s="63"/>
      <c r="X718" s="63"/>
      <c r="Y718" s="63"/>
      <c r="Z718" s="62"/>
    </row>
    <row r="719" ht="14.25" customHeight="1">
      <c r="A719" s="59"/>
      <c r="B719" s="97"/>
      <c r="C719" s="97"/>
      <c r="D719" s="97"/>
      <c r="E719" s="97"/>
      <c r="F719" s="97"/>
      <c r="G719" s="97"/>
      <c r="H719" s="59"/>
      <c r="I719" s="61"/>
      <c r="J719" s="61"/>
      <c r="K719" s="61"/>
      <c r="L719" s="62"/>
      <c r="M719" s="62"/>
      <c r="N719" s="63"/>
      <c r="O719" s="63"/>
      <c r="P719" s="63"/>
      <c r="Q719" s="63"/>
      <c r="R719" s="63"/>
      <c r="S719" s="63"/>
      <c r="T719" s="63"/>
      <c r="U719" s="63"/>
      <c r="V719" s="63"/>
      <c r="W719" s="63"/>
      <c r="X719" s="63"/>
      <c r="Y719" s="63"/>
      <c r="Z719" s="62"/>
    </row>
    <row r="720" ht="14.25" customHeight="1">
      <c r="A720" s="59"/>
      <c r="B720" s="97"/>
      <c r="C720" s="97"/>
      <c r="D720" s="97"/>
      <c r="E720" s="97"/>
      <c r="F720" s="97"/>
      <c r="G720" s="97"/>
      <c r="H720" s="59"/>
      <c r="I720" s="61"/>
      <c r="J720" s="61"/>
      <c r="K720" s="61"/>
      <c r="L720" s="62"/>
      <c r="M720" s="62"/>
      <c r="N720" s="63"/>
      <c r="O720" s="63"/>
      <c r="P720" s="63"/>
      <c r="Q720" s="63"/>
      <c r="R720" s="63"/>
      <c r="S720" s="63"/>
      <c r="T720" s="63"/>
      <c r="U720" s="63"/>
      <c r="V720" s="63"/>
      <c r="W720" s="63"/>
      <c r="X720" s="63"/>
      <c r="Y720" s="63"/>
      <c r="Z720" s="62"/>
    </row>
    <row r="721" ht="14.25" customHeight="1">
      <c r="A721" s="59"/>
      <c r="B721" s="97"/>
      <c r="C721" s="97"/>
      <c r="D721" s="97"/>
      <c r="E721" s="97"/>
      <c r="F721" s="97"/>
      <c r="G721" s="97"/>
      <c r="H721" s="59"/>
      <c r="I721" s="61"/>
      <c r="J721" s="61"/>
      <c r="K721" s="61"/>
      <c r="L721" s="62"/>
      <c r="M721" s="62"/>
      <c r="N721" s="63"/>
      <c r="O721" s="63"/>
      <c r="P721" s="63"/>
      <c r="Q721" s="63"/>
      <c r="R721" s="63"/>
      <c r="S721" s="63"/>
      <c r="T721" s="63"/>
      <c r="U721" s="63"/>
      <c r="V721" s="63"/>
      <c r="W721" s="63"/>
      <c r="X721" s="63"/>
      <c r="Y721" s="63"/>
      <c r="Z721" s="62"/>
    </row>
    <row r="722" ht="14.25" customHeight="1">
      <c r="A722" s="59"/>
      <c r="B722" s="97"/>
      <c r="C722" s="97"/>
      <c r="D722" s="97"/>
      <c r="E722" s="97"/>
      <c r="F722" s="97"/>
      <c r="G722" s="97"/>
      <c r="H722" s="59"/>
      <c r="I722" s="61"/>
      <c r="J722" s="61"/>
      <c r="K722" s="61"/>
      <c r="L722" s="62"/>
      <c r="M722" s="62"/>
      <c r="N722" s="63"/>
      <c r="O722" s="63"/>
      <c r="P722" s="63"/>
      <c r="Q722" s="63"/>
      <c r="R722" s="63"/>
      <c r="S722" s="63"/>
      <c r="T722" s="63"/>
      <c r="U722" s="63"/>
      <c r="V722" s="63"/>
      <c r="W722" s="63"/>
      <c r="X722" s="63"/>
      <c r="Y722" s="63"/>
      <c r="Z722" s="62"/>
    </row>
    <row r="723" ht="14.25" customHeight="1">
      <c r="A723" s="59"/>
      <c r="B723" s="97"/>
      <c r="C723" s="97"/>
      <c r="D723" s="97"/>
      <c r="E723" s="97"/>
      <c r="F723" s="97"/>
      <c r="G723" s="97"/>
      <c r="H723" s="59"/>
      <c r="I723" s="61"/>
      <c r="J723" s="61"/>
      <c r="K723" s="61"/>
      <c r="L723" s="62"/>
      <c r="M723" s="62"/>
      <c r="N723" s="63"/>
      <c r="O723" s="63"/>
      <c r="P723" s="63"/>
      <c r="Q723" s="63"/>
      <c r="R723" s="63"/>
      <c r="S723" s="63"/>
      <c r="T723" s="63"/>
      <c r="U723" s="63"/>
      <c r="V723" s="63"/>
      <c r="W723" s="63"/>
      <c r="X723" s="63"/>
      <c r="Y723" s="63"/>
      <c r="Z723" s="62"/>
    </row>
    <row r="724" ht="14.25" customHeight="1">
      <c r="A724" s="59"/>
      <c r="B724" s="97"/>
      <c r="C724" s="97"/>
      <c r="D724" s="97"/>
      <c r="E724" s="97"/>
      <c r="F724" s="97"/>
      <c r="G724" s="97"/>
      <c r="H724" s="59"/>
      <c r="I724" s="61"/>
      <c r="J724" s="61"/>
      <c r="K724" s="61"/>
      <c r="L724" s="62"/>
      <c r="M724" s="62"/>
      <c r="N724" s="63"/>
      <c r="O724" s="63"/>
      <c r="P724" s="63"/>
      <c r="Q724" s="63"/>
      <c r="R724" s="63"/>
      <c r="S724" s="63"/>
      <c r="T724" s="63"/>
      <c r="U724" s="63"/>
      <c r="V724" s="63"/>
      <c r="W724" s="63"/>
      <c r="X724" s="63"/>
      <c r="Y724" s="63"/>
      <c r="Z724" s="62"/>
    </row>
    <row r="725" ht="14.25" customHeight="1">
      <c r="A725" s="59"/>
      <c r="B725" s="97"/>
      <c r="C725" s="97"/>
      <c r="D725" s="97"/>
      <c r="E725" s="97"/>
      <c r="F725" s="97"/>
      <c r="G725" s="97"/>
      <c r="H725" s="59"/>
      <c r="I725" s="61"/>
      <c r="J725" s="61"/>
      <c r="K725" s="61"/>
      <c r="L725" s="62"/>
      <c r="M725" s="62"/>
      <c r="N725" s="63"/>
      <c r="O725" s="63"/>
      <c r="P725" s="63"/>
      <c r="Q725" s="63"/>
      <c r="R725" s="63"/>
      <c r="S725" s="63"/>
      <c r="T725" s="63"/>
      <c r="U725" s="63"/>
      <c r="V725" s="63"/>
      <c r="W725" s="63"/>
      <c r="X725" s="63"/>
      <c r="Y725" s="63"/>
      <c r="Z725" s="62"/>
    </row>
    <row r="726" ht="14.25" customHeight="1">
      <c r="A726" s="59"/>
      <c r="B726" s="97"/>
      <c r="C726" s="97"/>
      <c r="D726" s="97"/>
      <c r="E726" s="97"/>
      <c r="F726" s="97"/>
      <c r="G726" s="97"/>
      <c r="H726" s="59"/>
      <c r="I726" s="61"/>
      <c r="J726" s="61"/>
      <c r="K726" s="61"/>
      <c r="L726" s="62"/>
      <c r="M726" s="62"/>
      <c r="N726" s="63"/>
      <c r="O726" s="63"/>
      <c r="P726" s="63"/>
      <c r="Q726" s="63"/>
      <c r="R726" s="63"/>
      <c r="S726" s="63"/>
      <c r="T726" s="63"/>
      <c r="U726" s="63"/>
      <c r="V726" s="63"/>
      <c r="W726" s="63"/>
      <c r="X726" s="63"/>
      <c r="Y726" s="63"/>
      <c r="Z726" s="62"/>
    </row>
    <row r="727" ht="14.25" customHeight="1">
      <c r="A727" s="59"/>
      <c r="B727" s="97"/>
      <c r="C727" s="97"/>
      <c r="D727" s="97"/>
      <c r="E727" s="97"/>
      <c r="F727" s="97"/>
      <c r="G727" s="97"/>
      <c r="H727" s="59"/>
      <c r="I727" s="61"/>
      <c r="J727" s="61"/>
      <c r="K727" s="61"/>
      <c r="L727" s="62"/>
      <c r="M727" s="62"/>
      <c r="N727" s="63"/>
      <c r="O727" s="63"/>
      <c r="P727" s="63"/>
      <c r="Q727" s="63"/>
      <c r="R727" s="63"/>
      <c r="S727" s="63"/>
      <c r="T727" s="63"/>
      <c r="U727" s="63"/>
      <c r="V727" s="63"/>
      <c r="W727" s="63"/>
      <c r="X727" s="63"/>
      <c r="Y727" s="63"/>
      <c r="Z727" s="62"/>
    </row>
    <row r="728" ht="14.25" customHeight="1">
      <c r="A728" s="59"/>
      <c r="B728" s="97"/>
      <c r="C728" s="97"/>
      <c r="D728" s="97"/>
      <c r="E728" s="97"/>
      <c r="F728" s="97"/>
      <c r="G728" s="97"/>
      <c r="H728" s="59"/>
      <c r="I728" s="61"/>
      <c r="J728" s="61"/>
      <c r="K728" s="61"/>
      <c r="L728" s="62"/>
      <c r="M728" s="62"/>
      <c r="N728" s="63"/>
      <c r="O728" s="63"/>
      <c r="P728" s="63"/>
      <c r="Q728" s="63"/>
      <c r="R728" s="63"/>
      <c r="S728" s="63"/>
      <c r="T728" s="63"/>
      <c r="U728" s="63"/>
      <c r="V728" s="63"/>
      <c r="W728" s="63"/>
      <c r="X728" s="63"/>
      <c r="Y728" s="63"/>
      <c r="Z728" s="62"/>
    </row>
    <row r="729" ht="14.25" customHeight="1">
      <c r="A729" s="59"/>
      <c r="B729" s="97"/>
      <c r="C729" s="97"/>
      <c r="D729" s="97"/>
      <c r="E729" s="97"/>
      <c r="F729" s="97"/>
      <c r="G729" s="97"/>
      <c r="H729" s="59"/>
      <c r="I729" s="61"/>
      <c r="J729" s="61"/>
      <c r="K729" s="61"/>
      <c r="L729" s="62"/>
      <c r="M729" s="62"/>
      <c r="N729" s="63"/>
      <c r="O729" s="63"/>
      <c r="P729" s="63"/>
      <c r="Q729" s="63"/>
      <c r="R729" s="63"/>
      <c r="S729" s="63"/>
      <c r="T729" s="63"/>
      <c r="U729" s="63"/>
      <c r="V729" s="63"/>
      <c r="W729" s="63"/>
      <c r="X729" s="63"/>
      <c r="Y729" s="63"/>
      <c r="Z729" s="62"/>
    </row>
    <row r="730" ht="14.25" customHeight="1">
      <c r="A730" s="59"/>
      <c r="B730" s="97"/>
      <c r="C730" s="97"/>
      <c r="D730" s="97"/>
      <c r="E730" s="97"/>
      <c r="F730" s="97"/>
      <c r="G730" s="97"/>
      <c r="H730" s="59"/>
      <c r="I730" s="61"/>
      <c r="J730" s="61"/>
      <c r="K730" s="61"/>
      <c r="L730" s="62"/>
      <c r="M730" s="62"/>
      <c r="N730" s="63"/>
      <c r="O730" s="63"/>
      <c r="P730" s="63"/>
      <c r="Q730" s="63"/>
      <c r="R730" s="63"/>
      <c r="S730" s="63"/>
      <c r="T730" s="63"/>
      <c r="U730" s="63"/>
      <c r="V730" s="63"/>
      <c r="W730" s="63"/>
      <c r="X730" s="63"/>
      <c r="Y730" s="63"/>
      <c r="Z730" s="62"/>
    </row>
    <row r="731" ht="14.25" customHeight="1">
      <c r="A731" s="59"/>
      <c r="B731" s="97"/>
      <c r="C731" s="97"/>
      <c r="D731" s="97"/>
      <c r="E731" s="97"/>
      <c r="F731" s="97"/>
      <c r="G731" s="97"/>
      <c r="H731" s="59"/>
      <c r="I731" s="61"/>
      <c r="J731" s="61"/>
      <c r="K731" s="61"/>
      <c r="L731" s="62"/>
      <c r="M731" s="62"/>
      <c r="N731" s="63"/>
      <c r="O731" s="63"/>
      <c r="P731" s="63"/>
      <c r="Q731" s="63"/>
      <c r="R731" s="63"/>
      <c r="S731" s="63"/>
      <c r="T731" s="63"/>
      <c r="U731" s="63"/>
      <c r="V731" s="63"/>
      <c r="W731" s="63"/>
      <c r="X731" s="63"/>
      <c r="Y731" s="63"/>
      <c r="Z731" s="62"/>
    </row>
    <row r="732" ht="14.25" customHeight="1">
      <c r="A732" s="59"/>
      <c r="B732" s="97"/>
      <c r="C732" s="97"/>
      <c r="D732" s="97"/>
      <c r="E732" s="97"/>
      <c r="F732" s="97"/>
      <c r="G732" s="97"/>
      <c r="H732" s="59"/>
      <c r="I732" s="61"/>
      <c r="J732" s="61"/>
      <c r="K732" s="61"/>
      <c r="L732" s="62"/>
      <c r="M732" s="62"/>
      <c r="N732" s="63"/>
      <c r="O732" s="63"/>
      <c r="P732" s="63"/>
      <c r="Q732" s="63"/>
      <c r="R732" s="63"/>
      <c r="S732" s="63"/>
      <c r="T732" s="63"/>
      <c r="U732" s="63"/>
      <c r="V732" s="63"/>
      <c r="W732" s="63"/>
      <c r="X732" s="63"/>
      <c r="Y732" s="63"/>
      <c r="Z732" s="62"/>
    </row>
    <row r="733" ht="14.25" customHeight="1">
      <c r="A733" s="59"/>
      <c r="B733" s="97"/>
      <c r="C733" s="97"/>
      <c r="D733" s="97"/>
      <c r="E733" s="97"/>
      <c r="F733" s="97"/>
      <c r="G733" s="97"/>
      <c r="H733" s="59"/>
      <c r="I733" s="61"/>
      <c r="J733" s="61"/>
      <c r="K733" s="61"/>
      <c r="L733" s="62"/>
      <c r="M733" s="62"/>
      <c r="N733" s="63"/>
      <c r="O733" s="63"/>
      <c r="P733" s="63"/>
      <c r="Q733" s="63"/>
      <c r="R733" s="63"/>
      <c r="S733" s="63"/>
      <c r="T733" s="63"/>
      <c r="U733" s="63"/>
      <c r="V733" s="63"/>
      <c r="W733" s="63"/>
      <c r="X733" s="63"/>
      <c r="Y733" s="63"/>
      <c r="Z733" s="62"/>
    </row>
    <row r="734" ht="14.25" customHeight="1">
      <c r="A734" s="59"/>
      <c r="B734" s="97"/>
      <c r="C734" s="97"/>
      <c r="D734" s="97"/>
      <c r="E734" s="97"/>
      <c r="F734" s="97"/>
      <c r="G734" s="97"/>
      <c r="H734" s="59"/>
      <c r="I734" s="61"/>
      <c r="J734" s="61"/>
      <c r="K734" s="61"/>
      <c r="L734" s="62"/>
      <c r="M734" s="62"/>
      <c r="N734" s="63"/>
      <c r="O734" s="63"/>
      <c r="P734" s="63"/>
      <c r="Q734" s="63"/>
      <c r="R734" s="63"/>
      <c r="S734" s="63"/>
      <c r="T734" s="63"/>
      <c r="U734" s="63"/>
      <c r="V734" s="63"/>
      <c r="W734" s="63"/>
      <c r="X734" s="63"/>
      <c r="Y734" s="63"/>
      <c r="Z734" s="62"/>
    </row>
    <row r="735" ht="14.25" customHeight="1">
      <c r="A735" s="59"/>
      <c r="B735" s="97"/>
      <c r="C735" s="97"/>
      <c r="D735" s="97"/>
      <c r="E735" s="97"/>
      <c r="F735" s="97"/>
      <c r="G735" s="97"/>
      <c r="H735" s="59"/>
      <c r="I735" s="61"/>
      <c r="J735" s="61"/>
      <c r="K735" s="61"/>
      <c r="L735" s="62"/>
      <c r="M735" s="62"/>
      <c r="N735" s="63"/>
      <c r="O735" s="63"/>
      <c r="P735" s="63"/>
      <c r="Q735" s="63"/>
      <c r="R735" s="63"/>
      <c r="S735" s="63"/>
      <c r="T735" s="63"/>
      <c r="U735" s="63"/>
      <c r="V735" s="63"/>
      <c r="W735" s="63"/>
      <c r="X735" s="63"/>
      <c r="Y735" s="63"/>
      <c r="Z735" s="62"/>
    </row>
    <row r="736" ht="14.25" customHeight="1">
      <c r="A736" s="59"/>
      <c r="B736" s="97"/>
      <c r="C736" s="97"/>
      <c r="D736" s="97"/>
      <c r="E736" s="97"/>
      <c r="F736" s="97"/>
      <c r="G736" s="97"/>
      <c r="H736" s="59"/>
      <c r="I736" s="61"/>
      <c r="J736" s="61"/>
      <c r="K736" s="61"/>
      <c r="L736" s="62"/>
      <c r="M736" s="62"/>
      <c r="N736" s="63"/>
      <c r="O736" s="63"/>
      <c r="P736" s="63"/>
      <c r="Q736" s="63"/>
      <c r="R736" s="63"/>
      <c r="S736" s="63"/>
      <c r="T736" s="63"/>
      <c r="U736" s="63"/>
      <c r="V736" s="63"/>
      <c r="W736" s="63"/>
      <c r="X736" s="63"/>
      <c r="Y736" s="63"/>
      <c r="Z736" s="62"/>
    </row>
    <row r="737" ht="14.25" customHeight="1">
      <c r="A737" s="59"/>
      <c r="B737" s="97"/>
      <c r="C737" s="97"/>
      <c r="D737" s="97"/>
      <c r="E737" s="97"/>
      <c r="F737" s="97"/>
      <c r="G737" s="97"/>
      <c r="H737" s="59"/>
      <c r="I737" s="61"/>
      <c r="J737" s="61"/>
      <c r="K737" s="61"/>
      <c r="L737" s="62"/>
      <c r="M737" s="62"/>
      <c r="N737" s="63"/>
      <c r="O737" s="63"/>
      <c r="P737" s="63"/>
      <c r="Q737" s="63"/>
      <c r="R737" s="63"/>
      <c r="S737" s="63"/>
      <c r="T737" s="63"/>
      <c r="U737" s="63"/>
      <c r="V737" s="63"/>
      <c r="W737" s="63"/>
      <c r="X737" s="63"/>
      <c r="Y737" s="63"/>
      <c r="Z737" s="62"/>
    </row>
    <row r="738" ht="14.25" customHeight="1">
      <c r="A738" s="59"/>
      <c r="B738" s="97"/>
      <c r="C738" s="97"/>
      <c r="D738" s="97"/>
      <c r="E738" s="97"/>
      <c r="F738" s="97"/>
      <c r="G738" s="97"/>
      <c r="H738" s="59"/>
      <c r="I738" s="61"/>
      <c r="J738" s="61"/>
      <c r="K738" s="61"/>
      <c r="L738" s="62"/>
      <c r="M738" s="62"/>
      <c r="N738" s="63"/>
      <c r="O738" s="63"/>
      <c r="P738" s="63"/>
      <c r="Q738" s="63"/>
      <c r="R738" s="63"/>
      <c r="S738" s="63"/>
      <c r="T738" s="63"/>
      <c r="U738" s="63"/>
      <c r="V738" s="63"/>
      <c r="W738" s="63"/>
      <c r="X738" s="63"/>
      <c r="Y738" s="63"/>
      <c r="Z738" s="62"/>
    </row>
    <row r="739" ht="14.25" customHeight="1">
      <c r="A739" s="59"/>
      <c r="B739" s="97"/>
      <c r="C739" s="97"/>
      <c r="D739" s="97"/>
      <c r="E739" s="97"/>
      <c r="F739" s="97"/>
      <c r="G739" s="97"/>
      <c r="H739" s="59"/>
      <c r="I739" s="61"/>
      <c r="J739" s="61"/>
      <c r="K739" s="61"/>
      <c r="L739" s="62"/>
      <c r="M739" s="62"/>
      <c r="N739" s="63"/>
      <c r="O739" s="63"/>
      <c r="P739" s="63"/>
      <c r="Q739" s="63"/>
      <c r="R739" s="63"/>
      <c r="S739" s="63"/>
      <c r="T739" s="63"/>
      <c r="U739" s="63"/>
      <c r="V739" s="63"/>
      <c r="W739" s="63"/>
      <c r="X739" s="63"/>
      <c r="Y739" s="63"/>
      <c r="Z739" s="62"/>
    </row>
    <row r="740" ht="14.25" customHeight="1">
      <c r="A740" s="59"/>
      <c r="B740" s="97"/>
      <c r="C740" s="97"/>
      <c r="D740" s="97"/>
      <c r="E740" s="97"/>
      <c r="F740" s="97"/>
      <c r="G740" s="97"/>
      <c r="H740" s="59"/>
      <c r="I740" s="61"/>
      <c r="J740" s="61"/>
      <c r="K740" s="61"/>
      <c r="L740" s="62"/>
      <c r="M740" s="62"/>
      <c r="N740" s="63"/>
      <c r="O740" s="63"/>
      <c r="P740" s="63"/>
      <c r="Q740" s="63"/>
      <c r="R740" s="63"/>
      <c r="S740" s="63"/>
      <c r="T740" s="63"/>
      <c r="U740" s="63"/>
      <c r="V740" s="63"/>
      <c r="W740" s="63"/>
      <c r="X740" s="63"/>
      <c r="Y740" s="63"/>
      <c r="Z740" s="62"/>
    </row>
    <row r="741" ht="14.25" customHeight="1">
      <c r="A741" s="59"/>
      <c r="B741" s="97"/>
      <c r="C741" s="97"/>
      <c r="D741" s="97"/>
      <c r="E741" s="97"/>
      <c r="F741" s="97"/>
      <c r="G741" s="97"/>
      <c r="H741" s="59"/>
      <c r="I741" s="61"/>
      <c r="J741" s="61"/>
      <c r="K741" s="61"/>
      <c r="L741" s="62"/>
      <c r="M741" s="62"/>
      <c r="N741" s="63"/>
      <c r="O741" s="63"/>
      <c r="P741" s="63"/>
      <c r="Q741" s="63"/>
      <c r="R741" s="63"/>
      <c r="S741" s="63"/>
      <c r="T741" s="63"/>
      <c r="U741" s="63"/>
      <c r="V741" s="63"/>
      <c r="W741" s="63"/>
      <c r="X741" s="63"/>
      <c r="Y741" s="63"/>
      <c r="Z741" s="62"/>
    </row>
    <row r="742" ht="14.25" customHeight="1">
      <c r="A742" s="59"/>
      <c r="B742" s="97"/>
      <c r="C742" s="97"/>
      <c r="D742" s="97"/>
      <c r="E742" s="97"/>
      <c r="F742" s="97"/>
      <c r="G742" s="97"/>
      <c r="H742" s="59"/>
      <c r="I742" s="61"/>
      <c r="J742" s="61"/>
      <c r="K742" s="61"/>
      <c r="L742" s="62"/>
      <c r="M742" s="62"/>
      <c r="N742" s="63"/>
      <c r="O742" s="63"/>
      <c r="P742" s="63"/>
      <c r="Q742" s="63"/>
      <c r="R742" s="63"/>
      <c r="S742" s="63"/>
      <c r="T742" s="63"/>
      <c r="U742" s="63"/>
      <c r="V742" s="63"/>
      <c r="W742" s="63"/>
      <c r="X742" s="63"/>
      <c r="Y742" s="63"/>
      <c r="Z742" s="62"/>
    </row>
    <row r="743" ht="14.25" customHeight="1">
      <c r="A743" s="59"/>
      <c r="B743" s="97"/>
      <c r="C743" s="97"/>
      <c r="D743" s="97"/>
      <c r="E743" s="97"/>
      <c r="F743" s="97"/>
      <c r="G743" s="97"/>
      <c r="H743" s="59"/>
      <c r="I743" s="61"/>
      <c r="J743" s="61"/>
      <c r="K743" s="61"/>
      <c r="L743" s="62"/>
      <c r="M743" s="62"/>
      <c r="N743" s="63"/>
      <c r="O743" s="63"/>
      <c r="P743" s="63"/>
      <c r="Q743" s="63"/>
      <c r="R743" s="63"/>
      <c r="S743" s="63"/>
      <c r="T743" s="63"/>
      <c r="U743" s="63"/>
      <c r="V743" s="63"/>
      <c r="W743" s="63"/>
      <c r="X743" s="63"/>
      <c r="Y743" s="63"/>
      <c r="Z743" s="62"/>
    </row>
    <row r="744" ht="14.25" customHeight="1">
      <c r="A744" s="59"/>
      <c r="B744" s="97"/>
      <c r="C744" s="97"/>
      <c r="D744" s="97"/>
      <c r="E744" s="97"/>
      <c r="F744" s="97"/>
      <c r="G744" s="97"/>
      <c r="H744" s="59"/>
      <c r="I744" s="61"/>
      <c r="J744" s="61"/>
      <c r="K744" s="61"/>
      <c r="L744" s="62"/>
      <c r="M744" s="62"/>
      <c r="N744" s="63"/>
      <c r="O744" s="63"/>
      <c r="P744" s="63"/>
      <c r="Q744" s="63"/>
      <c r="R744" s="63"/>
      <c r="S744" s="63"/>
      <c r="T744" s="63"/>
      <c r="U744" s="63"/>
      <c r="V744" s="63"/>
      <c r="W744" s="63"/>
      <c r="X744" s="63"/>
      <c r="Y744" s="63"/>
      <c r="Z744" s="62"/>
    </row>
    <row r="745" ht="14.25" customHeight="1">
      <c r="A745" s="59"/>
      <c r="B745" s="97"/>
      <c r="C745" s="97"/>
      <c r="D745" s="97"/>
      <c r="E745" s="97"/>
      <c r="F745" s="97"/>
      <c r="G745" s="97"/>
      <c r="H745" s="59"/>
      <c r="I745" s="61"/>
      <c r="J745" s="61"/>
      <c r="K745" s="61"/>
      <c r="L745" s="62"/>
      <c r="M745" s="62"/>
      <c r="N745" s="63"/>
      <c r="O745" s="63"/>
      <c r="P745" s="63"/>
      <c r="Q745" s="63"/>
      <c r="R745" s="63"/>
      <c r="S745" s="63"/>
      <c r="T745" s="63"/>
      <c r="U745" s="63"/>
      <c r="V745" s="63"/>
      <c r="W745" s="63"/>
      <c r="X745" s="63"/>
      <c r="Y745" s="63"/>
      <c r="Z745" s="62"/>
    </row>
    <row r="746" ht="14.25" customHeight="1">
      <c r="A746" s="59"/>
      <c r="B746" s="97"/>
      <c r="C746" s="97"/>
      <c r="D746" s="97"/>
      <c r="E746" s="97"/>
      <c r="F746" s="97"/>
      <c r="G746" s="97"/>
      <c r="H746" s="59"/>
      <c r="I746" s="61"/>
      <c r="J746" s="61"/>
      <c r="K746" s="61"/>
      <c r="L746" s="62"/>
      <c r="M746" s="62"/>
      <c r="N746" s="63"/>
      <c r="O746" s="63"/>
      <c r="P746" s="63"/>
      <c r="Q746" s="63"/>
      <c r="R746" s="63"/>
      <c r="S746" s="63"/>
      <c r="T746" s="63"/>
      <c r="U746" s="63"/>
      <c r="V746" s="63"/>
      <c r="W746" s="63"/>
      <c r="X746" s="63"/>
      <c r="Y746" s="63"/>
      <c r="Z746" s="62"/>
    </row>
    <row r="747" ht="14.25" customHeight="1">
      <c r="A747" s="59"/>
      <c r="B747" s="97"/>
      <c r="C747" s="97"/>
      <c r="D747" s="97"/>
      <c r="E747" s="97"/>
      <c r="F747" s="97"/>
      <c r="G747" s="97"/>
      <c r="H747" s="59"/>
      <c r="I747" s="61"/>
      <c r="J747" s="61"/>
      <c r="K747" s="61"/>
      <c r="L747" s="62"/>
      <c r="M747" s="62"/>
      <c r="N747" s="63"/>
      <c r="O747" s="63"/>
      <c r="P747" s="63"/>
      <c r="Q747" s="63"/>
      <c r="R747" s="63"/>
      <c r="S747" s="63"/>
      <c r="T747" s="63"/>
      <c r="U747" s="63"/>
      <c r="V747" s="63"/>
      <c r="W747" s="63"/>
      <c r="X747" s="63"/>
      <c r="Y747" s="63"/>
      <c r="Z747" s="62"/>
    </row>
    <row r="748" ht="14.25" customHeight="1">
      <c r="A748" s="59"/>
      <c r="B748" s="97"/>
      <c r="C748" s="97"/>
      <c r="D748" s="97"/>
      <c r="E748" s="97"/>
      <c r="F748" s="97"/>
      <c r="G748" s="97"/>
      <c r="H748" s="59"/>
      <c r="I748" s="61"/>
      <c r="J748" s="61"/>
      <c r="K748" s="61"/>
      <c r="L748" s="62"/>
      <c r="M748" s="62"/>
      <c r="N748" s="63"/>
      <c r="O748" s="63"/>
      <c r="P748" s="63"/>
      <c r="Q748" s="63"/>
      <c r="R748" s="63"/>
      <c r="S748" s="63"/>
      <c r="T748" s="63"/>
      <c r="U748" s="63"/>
      <c r="V748" s="63"/>
      <c r="W748" s="63"/>
      <c r="X748" s="63"/>
      <c r="Y748" s="63"/>
      <c r="Z748" s="62"/>
    </row>
    <row r="749" ht="14.25" customHeight="1">
      <c r="A749" s="59"/>
      <c r="B749" s="97"/>
      <c r="C749" s="97"/>
      <c r="D749" s="97"/>
      <c r="E749" s="97"/>
      <c r="F749" s="97"/>
      <c r="G749" s="97"/>
      <c r="H749" s="59"/>
      <c r="I749" s="61"/>
      <c r="J749" s="61"/>
      <c r="K749" s="61"/>
      <c r="L749" s="62"/>
      <c r="M749" s="62"/>
      <c r="N749" s="63"/>
      <c r="O749" s="63"/>
      <c r="P749" s="63"/>
      <c r="Q749" s="63"/>
      <c r="R749" s="63"/>
      <c r="S749" s="63"/>
      <c r="T749" s="63"/>
      <c r="U749" s="63"/>
      <c r="V749" s="63"/>
      <c r="W749" s="63"/>
      <c r="X749" s="63"/>
      <c r="Y749" s="63"/>
      <c r="Z749" s="62"/>
    </row>
    <row r="750" ht="14.25" customHeight="1">
      <c r="A750" s="59"/>
      <c r="B750" s="97"/>
      <c r="C750" s="97"/>
      <c r="D750" s="97"/>
      <c r="E750" s="97"/>
      <c r="F750" s="97"/>
      <c r="G750" s="97"/>
      <c r="H750" s="59"/>
      <c r="I750" s="61"/>
      <c r="J750" s="61"/>
      <c r="K750" s="61"/>
      <c r="L750" s="62"/>
      <c r="M750" s="62"/>
      <c r="N750" s="63"/>
      <c r="O750" s="63"/>
      <c r="P750" s="63"/>
      <c r="Q750" s="63"/>
      <c r="R750" s="63"/>
      <c r="S750" s="63"/>
      <c r="T750" s="63"/>
      <c r="U750" s="63"/>
      <c r="V750" s="63"/>
      <c r="W750" s="63"/>
      <c r="X750" s="63"/>
      <c r="Y750" s="63"/>
      <c r="Z750" s="62"/>
    </row>
    <row r="751" ht="14.25" customHeight="1">
      <c r="A751" s="59"/>
      <c r="B751" s="97"/>
      <c r="C751" s="97"/>
      <c r="D751" s="97"/>
      <c r="E751" s="97"/>
      <c r="F751" s="97"/>
      <c r="G751" s="97"/>
      <c r="H751" s="59"/>
      <c r="I751" s="61"/>
      <c r="J751" s="61"/>
      <c r="K751" s="61"/>
      <c r="L751" s="62"/>
      <c r="M751" s="62"/>
      <c r="N751" s="63"/>
      <c r="O751" s="63"/>
      <c r="P751" s="63"/>
      <c r="Q751" s="63"/>
      <c r="R751" s="63"/>
      <c r="S751" s="63"/>
      <c r="T751" s="63"/>
      <c r="U751" s="63"/>
      <c r="V751" s="63"/>
      <c r="W751" s="63"/>
      <c r="X751" s="63"/>
      <c r="Y751" s="63"/>
      <c r="Z751" s="62"/>
    </row>
    <row r="752" ht="14.25" customHeight="1">
      <c r="A752" s="59"/>
      <c r="B752" s="97"/>
      <c r="C752" s="97"/>
      <c r="D752" s="97"/>
      <c r="E752" s="97"/>
      <c r="F752" s="97"/>
      <c r="G752" s="97"/>
      <c r="H752" s="59"/>
      <c r="I752" s="61"/>
      <c r="J752" s="61"/>
      <c r="K752" s="61"/>
      <c r="L752" s="62"/>
      <c r="M752" s="62"/>
      <c r="N752" s="63"/>
      <c r="O752" s="63"/>
      <c r="P752" s="63"/>
      <c r="Q752" s="63"/>
      <c r="R752" s="63"/>
      <c r="S752" s="63"/>
      <c r="T752" s="63"/>
      <c r="U752" s="63"/>
      <c r="V752" s="63"/>
      <c r="W752" s="63"/>
      <c r="X752" s="63"/>
      <c r="Y752" s="63"/>
      <c r="Z752" s="62"/>
    </row>
    <row r="753" ht="14.25" customHeight="1">
      <c r="A753" s="59"/>
      <c r="B753" s="97"/>
      <c r="C753" s="97"/>
      <c r="D753" s="97"/>
      <c r="E753" s="97"/>
      <c r="F753" s="97"/>
      <c r="G753" s="97"/>
      <c r="H753" s="59"/>
      <c r="I753" s="61"/>
      <c r="J753" s="61"/>
      <c r="K753" s="61"/>
      <c r="L753" s="62"/>
      <c r="M753" s="62"/>
      <c r="N753" s="63"/>
      <c r="O753" s="63"/>
      <c r="P753" s="63"/>
      <c r="Q753" s="63"/>
      <c r="R753" s="63"/>
      <c r="S753" s="63"/>
      <c r="T753" s="63"/>
      <c r="U753" s="63"/>
      <c r="V753" s="63"/>
      <c r="W753" s="63"/>
      <c r="X753" s="63"/>
      <c r="Y753" s="63"/>
      <c r="Z753" s="62"/>
    </row>
    <row r="754" ht="14.25" customHeight="1">
      <c r="A754" s="59"/>
      <c r="B754" s="97"/>
      <c r="C754" s="97"/>
      <c r="D754" s="97"/>
      <c r="E754" s="97"/>
      <c r="F754" s="97"/>
      <c r="G754" s="97"/>
      <c r="H754" s="59"/>
      <c r="I754" s="61"/>
      <c r="J754" s="61"/>
      <c r="K754" s="61"/>
      <c r="L754" s="62"/>
      <c r="M754" s="62"/>
      <c r="N754" s="63"/>
      <c r="O754" s="63"/>
      <c r="P754" s="63"/>
      <c r="Q754" s="63"/>
      <c r="R754" s="63"/>
      <c r="S754" s="63"/>
      <c r="T754" s="63"/>
      <c r="U754" s="63"/>
      <c r="V754" s="63"/>
      <c r="W754" s="63"/>
      <c r="X754" s="63"/>
      <c r="Y754" s="63"/>
      <c r="Z754" s="62"/>
    </row>
    <row r="755" ht="14.25" customHeight="1">
      <c r="A755" s="59"/>
      <c r="B755" s="97"/>
      <c r="C755" s="97"/>
      <c r="D755" s="97"/>
      <c r="E755" s="97"/>
      <c r="F755" s="97"/>
      <c r="G755" s="97"/>
      <c r="H755" s="59"/>
      <c r="I755" s="61"/>
      <c r="J755" s="61"/>
      <c r="K755" s="61"/>
      <c r="L755" s="62"/>
      <c r="M755" s="62"/>
      <c r="N755" s="63"/>
      <c r="O755" s="63"/>
      <c r="P755" s="63"/>
      <c r="Q755" s="63"/>
      <c r="R755" s="63"/>
      <c r="S755" s="63"/>
      <c r="T755" s="63"/>
      <c r="U755" s="63"/>
      <c r="V755" s="63"/>
      <c r="W755" s="63"/>
      <c r="X755" s="63"/>
      <c r="Y755" s="63"/>
      <c r="Z755" s="62"/>
    </row>
    <row r="756" ht="14.25" customHeight="1">
      <c r="A756" s="59"/>
      <c r="B756" s="97"/>
      <c r="C756" s="97"/>
      <c r="D756" s="97"/>
      <c r="E756" s="97"/>
      <c r="F756" s="97"/>
      <c r="G756" s="97"/>
      <c r="H756" s="59"/>
      <c r="I756" s="61"/>
      <c r="J756" s="61"/>
      <c r="K756" s="61"/>
      <c r="L756" s="62"/>
      <c r="M756" s="62"/>
      <c r="N756" s="63"/>
      <c r="O756" s="63"/>
      <c r="P756" s="63"/>
      <c r="Q756" s="63"/>
      <c r="R756" s="63"/>
      <c r="S756" s="63"/>
      <c r="T756" s="63"/>
      <c r="U756" s="63"/>
      <c r="V756" s="63"/>
      <c r="W756" s="63"/>
      <c r="X756" s="63"/>
      <c r="Y756" s="63"/>
      <c r="Z756" s="62"/>
    </row>
    <row r="757" ht="14.25" customHeight="1">
      <c r="A757" s="59"/>
      <c r="B757" s="97"/>
      <c r="C757" s="97"/>
      <c r="D757" s="97"/>
      <c r="E757" s="97"/>
      <c r="F757" s="97"/>
      <c r="G757" s="97"/>
      <c r="H757" s="59"/>
      <c r="I757" s="61"/>
      <c r="J757" s="61"/>
      <c r="K757" s="61"/>
      <c r="L757" s="62"/>
      <c r="M757" s="62"/>
      <c r="N757" s="63"/>
      <c r="O757" s="63"/>
      <c r="P757" s="63"/>
      <c r="Q757" s="63"/>
      <c r="R757" s="63"/>
      <c r="S757" s="63"/>
      <c r="T757" s="63"/>
      <c r="U757" s="63"/>
      <c r="V757" s="63"/>
      <c r="W757" s="63"/>
      <c r="X757" s="63"/>
      <c r="Y757" s="63"/>
      <c r="Z757" s="62"/>
    </row>
    <row r="758" ht="14.25" customHeight="1">
      <c r="A758" s="59"/>
      <c r="B758" s="97"/>
      <c r="C758" s="97"/>
      <c r="D758" s="97"/>
      <c r="E758" s="97"/>
      <c r="F758" s="97"/>
      <c r="G758" s="97"/>
      <c r="H758" s="59"/>
      <c r="I758" s="61"/>
      <c r="J758" s="61"/>
      <c r="K758" s="61"/>
      <c r="L758" s="62"/>
      <c r="M758" s="62"/>
      <c r="N758" s="63"/>
      <c r="O758" s="63"/>
      <c r="P758" s="63"/>
      <c r="Q758" s="63"/>
      <c r="R758" s="63"/>
      <c r="S758" s="63"/>
      <c r="T758" s="63"/>
      <c r="U758" s="63"/>
      <c r="V758" s="63"/>
      <c r="W758" s="63"/>
      <c r="X758" s="63"/>
      <c r="Y758" s="63"/>
      <c r="Z758" s="62"/>
    </row>
    <row r="759" ht="14.25" customHeight="1">
      <c r="A759" s="59"/>
      <c r="B759" s="97"/>
      <c r="C759" s="97"/>
      <c r="D759" s="97"/>
      <c r="E759" s="97"/>
      <c r="F759" s="97"/>
      <c r="G759" s="97"/>
      <c r="H759" s="59"/>
      <c r="I759" s="61"/>
      <c r="J759" s="61"/>
      <c r="K759" s="61"/>
      <c r="L759" s="62"/>
      <c r="M759" s="62"/>
      <c r="N759" s="63"/>
      <c r="O759" s="63"/>
      <c r="P759" s="63"/>
      <c r="Q759" s="63"/>
      <c r="R759" s="63"/>
      <c r="S759" s="63"/>
      <c r="T759" s="63"/>
      <c r="U759" s="63"/>
      <c r="V759" s="63"/>
      <c r="W759" s="63"/>
      <c r="X759" s="63"/>
      <c r="Y759" s="63"/>
      <c r="Z759" s="62"/>
    </row>
    <row r="760" ht="14.25" customHeight="1">
      <c r="A760" s="59"/>
      <c r="B760" s="97"/>
      <c r="C760" s="97"/>
      <c r="D760" s="97"/>
      <c r="E760" s="97"/>
      <c r="F760" s="97"/>
      <c r="G760" s="97"/>
      <c r="H760" s="59"/>
      <c r="I760" s="61"/>
      <c r="J760" s="61"/>
      <c r="K760" s="61"/>
      <c r="L760" s="62"/>
      <c r="M760" s="62"/>
      <c r="N760" s="63"/>
      <c r="O760" s="63"/>
      <c r="P760" s="63"/>
      <c r="Q760" s="63"/>
      <c r="R760" s="63"/>
      <c r="S760" s="63"/>
      <c r="T760" s="63"/>
      <c r="U760" s="63"/>
      <c r="V760" s="63"/>
      <c r="W760" s="63"/>
      <c r="X760" s="63"/>
      <c r="Y760" s="63"/>
      <c r="Z760" s="62"/>
    </row>
    <row r="761" ht="14.25" customHeight="1">
      <c r="A761" s="59"/>
      <c r="B761" s="97"/>
      <c r="C761" s="97"/>
      <c r="D761" s="97"/>
      <c r="E761" s="97"/>
      <c r="F761" s="97"/>
      <c r="G761" s="97"/>
      <c r="H761" s="59"/>
      <c r="I761" s="61"/>
      <c r="J761" s="61"/>
      <c r="K761" s="61"/>
      <c r="L761" s="62"/>
      <c r="M761" s="62"/>
      <c r="N761" s="63"/>
      <c r="O761" s="63"/>
      <c r="P761" s="63"/>
      <c r="Q761" s="63"/>
      <c r="R761" s="63"/>
      <c r="S761" s="63"/>
      <c r="T761" s="63"/>
      <c r="U761" s="63"/>
      <c r="V761" s="63"/>
      <c r="W761" s="63"/>
      <c r="X761" s="63"/>
      <c r="Y761" s="63"/>
      <c r="Z761" s="62"/>
    </row>
    <row r="762" ht="14.25" customHeight="1">
      <c r="A762" s="59"/>
      <c r="B762" s="97"/>
      <c r="C762" s="97"/>
      <c r="D762" s="97"/>
      <c r="E762" s="97"/>
      <c r="F762" s="97"/>
      <c r="G762" s="97"/>
      <c r="H762" s="59"/>
      <c r="I762" s="61"/>
      <c r="J762" s="61"/>
      <c r="K762" s="61"/>
      <c r="L762" s="62"/>
      <c r="M762" s="62"/>
      <c r="N762" s="63"/>
      <c r="O762" s="63"/>
      <c r="P762" s="63"/>
      <c r="Q762" s="63"/>
      <c r="R762" s="63"/>
      <c r="S762" s="63"/>
      <c r="T762" s="63"/>
      <c r="U762" s="63"/>
      <c r="V762" s="63"/>
      <c r="W762" s="63"/>
      <c r="X762" s="63"/>
      <c r="Y762" s="63"/>
      <c r="Z762" s="62"/>
    </row>
    <row r="763" ht="14.25" customHeight="1">
      <c r="A763" s="59"/>
      <c r="B763" s="97"/>
      <c r="C763" s="97"/>
      <c r="D763" s="97"/>
      <c r="E763" s="97"/>
      <c r="F763" s="97"/>
      <c r="G763" s="97"/>
      <c r="H763" s="59"/>
      <c r="I763" s="61"/>
      <c r="J763" s="61"/>
      <c r="K763" s="61"/>
      <c r="L763" s="62"/>
      <c r="M763" s="62"/>
      <c r="N763" s="63"/>
      <c r="O763" s="63"/>
      <c r="P763" s="63"/>
      <c r="Q763" s="63"/>
      <c r="R763" s="63"/>
      <c r="S763" s="63"/>
      <c r="T763" s="63"/>
      <c r="U763" s="63"/>
      <c r="V763" s="63"/>
      <c r="W763" s="63"/>
      <c r="X763" s="63"/>
      <c r="Y763" s="63"/>
      <c r="Z763" s="62"/>
    </row>
    <row r="764" ht="14.25" customHeight="1">
      <c r="A764" s="59"/>
      <c r="B764" s="97"/>
      <c r="C764" s="97"/>
      <c r="D764" s="97"/>
      <c r="E764" s="97"/>
      <c r="F764" s="97"/>
      <c r="G764" s="97"/>
      <c r="H764" s="59"/>
      <c r="I764" s="61"/>
      <c r="J764" s="61"/>
      <c r="K764" s="61"/>
      <c r="L764" s="62"/>
      <c r="M764" s="62"/>
      <c r="N764" s="63"/>
      <c r="O764" s="63"/>
      <c r="P764" s="63"/>
      <c r="Q764" s="63"/>
      <c r="R764" s="63"/>
      <c r="S764" s="63"/>
      <c r="T764" s="63"/>
      <c r="U764" s="63"/>
      <c r="V764" s="63"/>
      <c r="W764" s="63"/>
      <c r="X764" s="63"/>
      <c r="Y764" s="63"/>
      <c r="Z764" s="62"/>
    </row>
    <row r="765" ht="14.25" customHeight="1">
      <c r="A765" s="59"/>
      <c r="B765" s="97"/>
      <c r="C765" s="97"/>
      <c r="D765" s="97"/>
      <c r="E765" s="97"/>
      <c r="F765" s="97"/>
      <c r="G765" s="97"/>
      <c r="H765" s="59"/>
      <c r="I765" s="61"/>
      <c r="J765" s="61"/>
      <c r="K765" s="61"/>
      <c r="L765" s="62"/>
      <c r="M765" s="62"/>
      <c r="N765" s="63"/>
      <c r="O765" s="63"/>
      <c r="P765" s="63"/>
      <c r="Q765" s="63"/>
      <c r="R765" s="63"/>
      <c r="S765" s="63"/>
      <c r="T765" s="63"/>
      <c r="U765" s="63"/>
      <c r="V765" s="63"/>
      <c r="W765" s="63"/>
      <c r="X765" s="63"/>
      <c r="Y765" s="63"/>
      <c r="Z765" s="62"/>
    </row>
    <row r="766" ht="14.25" customHeight="1">
      <c r="A766" s="59"/>
      <c r="B766" s="97"/>
      <c r="C766" s="97"/>
      <c r="D766" s="97"/>
      <c r="E766" s="97"/>
      <c r="F766" s="97"/>
      <c r="G766" s="97"/>
      <c r="H766" s="59"/>
      <c r="I766" s="61"/>
      <c r="J766" s="61"/>
      <c r="K766" s="61"/>
      <c r="L766" s="62"/>
      <c r="M766" s="62"/>
      <c r="N766" s="63"/>
      <c r="O766" s="63"/>
      <c r="P766" s="63"/>
      <c r="Q766" s="63"/>
      <c r="R766" s="63"/>
      <c r="S766" s="63"/>
      <c r="T766" s="63"/>
      <c r="U766" s="63"/>
      <c r="V766" s="63"/>
      <c r="W766" s="63"/>
      <c r="X766" s="63"/>
      <c r="Y766" s="63"/>
      <c r="Z766" s="62"/>
    </row>
    <row r="767" ht="14.25" customHeight="1">
      <c r="A767" s="59"/>
      <c r="B767" s="97"/>
      <c r="C767" s="97"/>
      <c r="D767" s="97"/>
      <c r="E767" s="97"/>
      <c r="F767" s="97"/>
      <c r="G767" s="97"/>
      <c r="H767" s="59"/>
      <c r="I767" s="61"/>
      <c r="J767" s="61"/>
      <c r="K767" s="61"/>
      <c r="L767" s="62"/>
      <c r="M767" s="62"/>
      <c r="N767" s="63"/>
      <c r="O767" s="63"/>
      <c r="P767" s="63"/>
      <c r="Q767" s="63"/>
      <c r="R767" s="63"/>
      <c r="S767" s="63"/>
      <c r="T767" s="63"/>
      <c r="U767" s="63"/>
      <c r="V767" s="63"/>
      <c r="W767" s="63"/>
      <c r="X767" s="63"/>
      <c r="Y767" s="63"/>
      <c r="Z767" s="62"/>
    </row>
    <row r="768" ht="14.25" customHeight="1">
      <c r="A768" s="59"/>
      <c r="B768" s="97"/>
      <c r="C768" s="97"/>
      <c r="D768" s="97"/>
      <c r="E768" s="97"/>
      <c r="F768" s="97"/>
      <c r="G768" s="97"/>
      <c r="H768" s="59"/>
      <c r="I768" s="61"/>
      <c r="J768" s="61"/>
      <c r="K768" s="61"/>
      <c r="L768" s="62"/>
      <c r="M768" s="62"/>
      <c r="N768" s="63"/>
      <c r="O768" s="63"/>
      <c r="P768" s="63"/>
      <c r="Q768" s="63"/>
      <c r="R768" s="63"/>
      <c r="S768" s="63"/>
      <c r="T768" s="63"/>
      <c r="U768" s="63"/>
      <c r="V768" s="63"/>
      <c r="W768" s="63"/>
      <c r="X768" s="63"/>
      <c r="Y768" s="63"/>
      <c r="Z768" s="62"/>
    </row>
    <row r="769" ht="14.25" customHeight="1">
      <c r="A769" s="59"/>
      <c r="B769" s="97"/>
      <c r="C769" s="97"/>
      <c r="D769" s="97"/>
      <c r="E769" s="97"/>
      <c r="F769" s="97"/>
      <c r="G769" s="97"/>
      <c r="H769" s="59"/>
      <c r="I769" s="61"/>
      <c r="J769" s="61"/>
      <c r="K769" s="61"/>
      <c r="L769" s="62"/>
      <c r="M769" s="62"/>
      <c r="N769" s="63"/>
      <c r="O769" s="63"/>
      <c r="P769" s="63"/>
      <c r="Q769" s="63"/>
      <c r="R769" s="63"/>
      <c r="S769" s="63"/>
      <c r="T769" s="63"/>
      <c r="U769" s="63"/>
      <c r="V769" s="63"/>
      <c r="W769" s="63"/>
      <c r="X769" s="63"/>
      <c r="Y769" s="63"/>
      <c r="Z769" s="62"/>
    </row>
    <row r="770" ht="14.25" customHeight="1">
      <c r="A770" s="59"/>
      <c r="B770" s="97"/>
      <c r="C770" s="97"/>
      <c r="D770" s="97"/>
      <c r="E770" s="97"/>
      <c r="F770" s="97"/>
      <c r="G770" s="97"/>
      <c r="H770" s="59"/>
      <c r="I770" s="61"/>
      <c r="J770" s="61"/>
      <c r="K770" s="61"/>
      <c r="L770" s="62"/>
      <c r="M770" s="62"/>
      <c r="N770" s="63"/>
      <c r="O770" s="63"/>
      <c r="P770" s="63"/>
      <c r="Q770" s="63"/>
      <c r="R770" s="63"/>
      <c r="S770" s="63"/>
      <c r="T770" s="63"/>
      <c r="U770" s="63"/>
      <c r="V770" s="63"/>
      <c r="W770" s="63"/>
      <c r="X770" s="63"/>
      <c r="Y770" s="63"/>
      <c r="Z770" s="62"/>
    </row>
    <row r="771" ht="14.25" customHeight="1">
      <c r="A771" s="59"/>
      <c r="B771" s="97"/>
      <c r="C771" s="97"/>
      <c r="D771" s="97"/>
      <c r="E771" s="97"/>
      <c r="F771" s="97"/>
      <c r="G771" s="97"/>
      <c r="H771" s="59"/>
      <c r="I771" s="61"/>
      <c r="J771" s="61"/>
      <c r="K771" s="61"/>
      <c r="L771" s="62"/>
      <c r="M771" s="62"/>
      <c r="N771" s="63"/>
      <c r="O771" s="63"/>
      <c r="P771" s="63"/>
      <c r="Q771" s="63"/>
      <c r="R771" s="63"/>
      <c r="S771" s="63"/>
      <c r="T771" s="63"/>
      <c r="U771" s="63"/>
      <c r="V771" s="63"/>
      <c r="W771" s="63"/>
      <c r="X771" s="63"/>
      <c r="Y771" s="63"/>
      <c r="Z771" s="62"/>
    </row>
    <row r="772" ht="14.25" customHeight="1">
      <c r="A772" s="59"/>
      <c r="B772" s="97"/>
      <c r="C772" s="97"/>
      <c r="D772" s="97"/>
      <c r="E772" s="97"/>
      <c r="F772" s="97"/>
      <c r="G772" s="97"/>
      <c r="H772" s="59"/>
      <c r="I772" s="61"/>
      <c r="J772" s="61"/>
      <c r="K772" s="61"/>
      <c r="L772" s="62"/>
      <c r="M772" s="62"/>
      <c r="N772" s="63"/>
      <c r="O772" s="63"/>
      <c r="P772" s="63"/>
      <c r="Q772" s="63"/>
      <c r="R772" s="63"/>
      <c r="S772" s="63"/>
      <c r="T772" s="63"/>
      <c r="U772" s="63"/>
      <c r="V772" s="63"/>
      <c r="W772" s="63"/>
      <c r="X772" s="63"/>
      <c r="Y772" s="63"/>
      <c r="Z772" s="62"/>
    </row>
    <row r="773" ht="14.25" customHeight="1">
      <c r="A773" s="59"/>
      <c r="B773" s="97"/>
      <c r="C773" s="97"/>
      <c r="D773" s="97"/>
      <c r="E773" s="97"/>
      <c r="F773" s="97"/>
      <c r="G773" s="97"/>
      <c r="H773" s="59"/>
      <c r="I773" s="61"/>
      <c r="J773" s="61"/>
      <c r="K773" s="61"/>
      <c r="L773" s="62"/>
      <c r="M773" s="62"/>
      <c r="N773" s="63"/>
      <c r="O773" s="63"/>
      <c r="P773" s="63"/>
      <c r="Q773" s="63"/>
      <c r="R773" s="63"/>
      <c r="S773" s="63"/>
      <c r="T773" s="63"/>
      <c r="U773" s="63"/>
      <c r="V773" s="63"/>
      <c r="W773" s="63"/>
      <c r="X773" s="63"/>
      <c r="Y773" s="63"/>
      <c r="Z773" s="62"/>
    </row>
    <row r="774" ht="14.25" customHeight="1">
      <c r="A774" s="59"/>
      <c r="B774" s="97"/>
      <c r="C774" s="97"/>
      <c r="D774" s="97"/>
      <c r="E774" s="97"/>
      <c r="F774" s="97"/>
      <c r="G774" s="97"/>
      <c r="H774" s="59"/>
      <c r="I774" s="61"/>
      <c r="J774" s="61"/>
      <c r="K774" s="61"/>
      <c r="L774" s="62"/>
      <c r="M774" s="62"/>
      <c r="N774" s="63"/>
      <c r="O774" s="63"/>
      <c r="P774" s="63"/>
      <c r="Q774" s="63"/>
      <c r="R774" s="63"/>
      <c r="S774" s="63"/>
      <c r="T774" s="63"/>
      <c r="U774" s="63"/>
      <c r="V774" s="63"/>
      <c r="W774" s="63"/>
      <c r="X774" s="63"/>
      <c r="Y774" s="63"/>
      <c r="Z774" s="62"/>
    </row>
    <row r="775" ht="14.25" customHeight="1">
      <c r="A775" s="59"/>
      <c r="B775" s="97"/>
      <c r="C775" s="97"/>
      <c r="D775" s="97"/>
      <c r="E775" s="97"/>
      <c r="F775" s="97"/>
      <c r="G775" s="97"/>
      <c r="H775" s="59"/>
      <c r="I775" s="61"/>
      <c r="J775" s="61"/>
      <c r="K775" s="61"/>
      <c r="L775" s="62"/>
      <c r="M775" s="62"/>
      <c r="N775" s="63"/>
      <c r="O775" s="63"/>
      <c r="P775" s="63"/>
      <c r="Q775" s="63"/>
      <c r="R775" s="63"/>
      <c r="S775" s="63"/>
      <c r="T775" s="63"/>
      <c r="U775" s="63"/>
      <c r="V775" s="63"/>
      <c r="W775" s="63"/>
      <c r="X775" s="63"/>
      <c r="Y775" s="63"/>
      <c r="Z775" s="62"/>
    </row>
    <row r="776" ht="14.25" customHeight="1">
      <c r="A776" s="59"/>
      <c r="B776" s="97"/>
      <c r="C776" s="97"/>
      <c r="D776" s="97"/>
      <c r="E776" s="97"/>
      <c r="F776" s="97"/>
      <c r="G776" s="97"/>
      <c r="H776" s="59"/>
      <c r="I776" s="61"/>
      <c r="J776" s="61"/>
      <c r="K776" s="61"/>
      <c r="L776" s="62"/>
      <c r="M776" s="62"/>
      <c r="N776" s="63"/>
      <c r="O776" s="63"/>
      <c r="P776" s="63"/>
      <c r="Q776" s="63"/>
      <c r="R776" s="63"/>
      <c r="S776" s="63"/>
      <c r="T776" s="63"/>
      <c r="U776" s="63"/>
      <c r="V776" s="63"/>
      <c r="W776" s="63"/>
      <c r="X776" s="63"/>
      <c r="Y776" s="63"/>
      <c r="Z776" s="62"/>
    </row>
    <row r="777" ht="14.25" customHeight="1">
      <c r="A777" s="59"/>
      <c r="B777" s="97"/>
      <c r="C777" s="97"/>
      <c r="D777" s="97"/>
      <c r="E777" s="97"/>
      <c r="F777" s="97"/>
      <c r="G777" s="97"/>
      <c r="H777" s="59"/>
      <c r="I777" s="61"/>
      <c r="J777" s="61"/>
      <c r="K777" s="61"/>
      <c r="L777" s="62"/>
      <c r="M777" s="62"/>
      <c r="N777" s="63"/>
      <c r="O777" s="63"/>
      <c r="P777" s="63"/>
      <c r="Q777" s="63"/>
      <c r="R777" s="63"/>
      <c r="S777" s="63"/>
      <c r="T777" s="63"/>
      <c r="U777" s="63"/>
      <c r="V777" s="63"/>
      <c r="W777" s="63"/>
      <c r="X777" s="63"/>
      <c r="Y777" s="63"/>
      <c r="Z777" s="62"/>
    </row>
    <row r="778" ht="14.25" customHeight="1">
      <c r="A778" s="59"/>
      <c r="B778" s="97"/>
      <c r="C778" s="97"/>
      <c r="D778" s="97"/>
      <c r="E778" s="97"/>
      <c r="F778" s="97"/>
      <c r="G778" s="97"/>
      <c r="H778" s="59"/>
      <c r="I778" s="61"/>
      <c r="J778" s="61"/>
      <c r="K778" s="61"/>
      <c r="L778" s="62"/>
      <c r="M778" s="62"/>
      <c r="N778" s="63"/>
      <c r="O778" s="63"/>
      <c r="P778" s="63"/>
      <c r="Q778" s="63"/>
      <c r="R778" s="63"/>
      <c r="S778" s="63"/>
      <c r="T778" s="63"/>
      <c r="U778" s="63"/>
      <c r="V778" s="63"/>
      <c r="W778" s="63"/>
      <c r="X778" s="63"/>
      <c r="Y778" s="63"/>
      <c r="Z778" s="62"/>
    </row>
    <row r="779" ht="14.25" customHeight="1">
      <c r="A779" s="59"/>
      <c r="B779" s="97"/>
      <c r="C779" s="97"/>
      <c r="D779" s="97"/>
      <c r="E779" s="97"/>
      <c r="F779" s="97"/>
      <c r="G779" s="97"/>
      <c r="H779" s="59"/>
      <c r="I779" s="61"/>
      <c r="J779" s="61"/>
      <c r="K779" s="61"/>
      <c r="L779" s="62"/>
      <c r="M779" s="62"/>
      <c r="N779" s="63"/>
      <c r="O779" s="63"/>
      <c r="P779" s="63"/>
      <c r="Q779" s="63"/>
      <c r="R779" s="63"/>
      <c r="S779" s="63"/>
      <c r="T779" s="63"/>
      <c r="U779" s="63"/>
      <c r="V779" s="63"/>
      <c r="W779" s="63"/>
      <c r="X779" s="63"/>
      <c r="Y779" s="63"/>
      <c r="Z779" s="62"/>
    </row>
    <row r="780" ht="14.25" customHeight="1">
      <c r="A780" s="59"/>
      <c r="B780" s="97"/>
      <c r="C780" s="97"/>
      <c r="D780" s="97"/>
      <c r="E780" s="97"/>
      <c r="F780" s="97"/>
      <c r="G780" s="97"/>
      <c r="H780" s="59"/>
      <c r="I780" s="61"/>
      <c r="J780" s="61"/>
      <c r="K780" s="61"/>
      <c r="L780" s="62"/>
      <c r="M780" s="62"/>
      <c r="N780" s="63"/>
      <c r="O780" s="63"/>
      <c r="P780" s="63"/>
      <c r="Q780" s="63"/>
      <c r="R780" s="63"/>
      <c r="S780" s="63"/>
      <c r="T780" s="63"/>
      <c r="U780" s="63"/>
      <c r="V780" s="63"/>
      <c r="W780" s="63"/>
      <c r="X780" s="63"/>
      <c r="Y780" s="63"/>
      <c r="Z780" s="62"/>
    </row>
    <row r="781" ht="14.25" customHeight="1">
      <c r="A781" s="59"/>
      <c r="B781" s="97"/>
      <c r="C781" s="97"/>
      <c r="D781" s="97"/>
      <c r="E781" s="97"/>
      <c r="F781" s="97"/>
      <c r="G781" s="97"/>
      <c r="H781" s="59"/>
      <c r="I781" s="61"/>
      <c r="J781" s="61"/>
      <c r="K781" s="61"/>
      <c r="L781" s="62"/>
      <c r="M781" s="62"/>
      <c r="N781" s="63"/>
      <c r="O781" s="63"/>
      <c r="P781" s="63"/>
      <c r="Q781" s="63"/>
      <c r="R781" s="63"/>
      <c r="S781" s="63"/>
      <c r="T781" s="63"/>
      <c r="U781" s="63"/>
      <c r="V781" s="63"/>
      <c r="W781" s="63"/>
      <c r="X781" s="63"/>
      <c r="Y781" s="63"/>
      <c r="Z781" s="62"/>
    </row>
    <row r="782" ht="14.25" customHeight="1">
      <c r="A782" s="59"/>
      <c r="B782" s="97"/>
      <c r="C782" s="97"/>
      <c r="D782" s="97"/>
      <c r="E782" s="97"/>
      <c r="F782" s="97"/>
      <c r="G782" s="97"/>
      <c r="H782" s="59"/>
      <c r="I782" s="61"/>
      <c r="J782" s="61"/>
      <c r="K782" s="61"/>
      <c r="L782" s="62"/>
      <c r="M782" s="62"/>
      <c r="N782" s="63"/>
      <c r="O782" s="63"/>
      <c r="P782" s="63"/>
      <c r="Q782" s="63"/>
      <c r="R782" s="63"/>
      <c r="S782" s="63"/>
      <c r="T782" s="63"/>
      <c r="U782" s="63"/>
      <c r="V782" s="63"/>
      <c r="W782" s="63"/>
      <c r="X782" s="63"/>
      <c r="Y782" s="63"/>
      <c r="Z782" s="62"/>
    </row>
    <row r="783" ht="14.25" customHeight="1">
      <c r="A783" s="59"/>
      <c r="B783" s="97"/>
      <c r="C783" s="97"/>
      <c r="D783" s="97"/>
      <c r="E783" s="97"/>
      <c r="F783" s="97"/>
      <c r="G783" s="97"/>
      <c r="H783" s="59"/>
      <c r="I783" s="61"/>
      <c r="J783" s="61"/>
      <c r="K783" s="61"/>
      <c r="L783" s="62"/>
      <c r="M783" s="62"/>
      <c r="N783" s="63"/>
      <c r="O783" s="63"/>
      <c r="P783" s="63"/>
      <c r="Q783" s="63"/>
      <c r="R783" s="63"/>
      <c r="S783" s="63"/>
      <c r="T783" s="63"/>
      <c r="U783" s="63"/>
      <c r="V783" s="63"/>
      <c r="W783" s="63"/>
      <c r="X783" s="63"/>
      <c r="Y783" s="63"/>
      <c r="Z783" s="62"/>
    </row>
    <row r="784" ht="14.25" customHeight="1">
      <c r="A784" s="59"/>
      <c r="B784" s="97"/>
      <c r="C784" s="97"/>
      <c r="D784" s="97"/>
      <c r="E784" s="97"/>
      <c r="F784" s="97"/>
      <c r="G784" s="97"/>
      <c r="H784" s="59"/>
      <c r="I784" s="61"/>
      <c r="J784" s="61"/>
      <c r="K784" s="61"/>
      <c r="L784" s="62"/>
      <c r="M784" s="62"/>
      <c r="N784" s="63"/>
      <c r="O784" s="63"/>
      <c r="P784" s="63"/>
      <c r="Q784" s="63"/>
      <c r="R784" s="63"/>
      <c r="S784" s="63"/>
      <c r="T784" s="63"/>
      <c r="U784" s="63"/>
      <c r="V784" s="63"/>
      <c r="W784" s="63"/>
      <c r="X784" s="63"/>
      <c r="Y784" s="63"/>
      <c r="Z784" s="62"/>
    </row>
    <row r="785" ht="14.25" customHeight="1">
      <c r="A785" s="59"/>
      <c r="B785" s="97"/>
      <c r="C785" s="97"/>
      <c r="D785" s="97"/>
      <c r="E785" s="97"/>
      <c r="F785" s="97"/>
      <c r="G785" s="97"/>
      <c r="H785" s="59"/>
      <c r="I785" s="61"/>
      <c r="J785" s="61"/>
      <c r="K785" s="61"/>
      <c r="L785" s="62"/>
      <c r="M785" s="62"/>
      <c r="N785" s="63"/>
      <c r="O785" s="63"/>
      <c r="P785" s="63"/>
      <c r="Q785" s="63"/>
      <c r="R785" s="63"/>
      <c r="S785" s="63"/>
      <c r="T785" s="63"/>
      <c r="U785" s="63"/>
      <c r="V785" s="63"/>
      <c r="W785" s="63"/>
      <c r="X785" s="63"/>
      <c r="Y785" s="63"/>
      <c r="Z785" s="62"/>
    </row>
    <row r="786" ht="14.25" customHeight="1">
      <c r="A786" s="59"/>
      <c r="B786" s="97"/>
      <c r="C786" s="97"/>
      <c r="D786" s="97"/>
      <c r="E786" s="97"/>
      <c r="F786" s="97"/>
      <c r="G786" s="97"/>
      <c r="H786" s="59"/>
      <c r="I786" s="61"/>
      <c r="J786" s="61"/>
      <c r="K786" s="61"/>
      <c r="L786" s="62"/>
      <c r="M786" s="62"/>
      <c r="N786" s="63"/>
      <c r="O786" s="63"/>
      <c r="P786" s="63"/>
      <c r="Q786" s="63"/>
      <c r="R786" s="63"/>
      <c r="S786" s="63"/>
      <c r="T786" s="63"/>
      <c r="U786" s="63"/>
      <c r="V786" s="63"/>
      <c r="W786" s="63"/>
      <c r="X786" s="63"/>
      <c r="Y786" s="63"/>
      <c r="Z786" s="62"/>
    </row>
    <row r="787" ht="14.25" customHeight="1">
      <c r="A787" s="59"/>
      <c r="B787" s="97"/>
      <c r="C787" s="97"/>
      <c r="D787" s="97"/>
      <c r="E787" s="97"/>
      <c r="F787" s="97"/>
      <c r="G787" s="97"/>
      <c r="H787" s="59"/>
      <c r="I787" s="61"/>
      <c r="J787" s="61"/>
      <c r="K787" s="61"/>
      <c r="L787" s="62"/>
      <c r="M787" s="62"/>
      <c r="N787" s="63"/>
      <c r="O787" s="63"/>
      <c r="P787" s="63"/>
      <c r="Q787" s="63"/>
      <c r="R787" s="63"/>
      <c r="S787" s="63"/>
      <c r="T787" s="63"/>
      <c r="U787" s="63"/>
      <c r="V787" s="63"/>
      <c r="W787" s="63"/>
      <c r="X787" s="63"/>
      <c r="Y787" s="63"/>
      <c r="Z787" s="62"/>
    </row>
    <row r="788" ht="14.25" customHeight="1">
      <c r="A788" s="59"/>
      <c r="B788" s="97"/>
      <c r="C788" s="97"/>
      <c r="D788" s="97"/>
      <c r="E788" s="97"/>
      <c r="F788" s="97"/>
      <c r="G788" s="97"/>
      <c r="H788" s="59"/>
      <c r="I788" s="61"/>
      <c r="J788" s="61"/>
      <c r="K788" s="61"/>
      <c r="L788" s="62"/>
      <c r="M788" s="62"/>
      <c r="N788" s="63"/>
      <c r="O788" s="63"/>
      <c r="P788" s="63"/>
      <c r="Q788" s="63"/>
      <c r="R788" s="63"/>
      <c r="S788" s="63"/>
      <c r="T788" s="63"/>
      <c r="U788" s="63"/>
      <c r="V788" s="63"/>
      <c r="W788" s="63"/>
      <c r="X788" s="63"/>
      <c r="Y788" s="63"/>
      <c r="Z788" s="62"/>
    </row>
    <row r="789" ht="14.25" customHeight="1">
      <c r="A789" s="59"/>
      <c r="B789" s="97"/>
      <c r="C789" s="97"/>
      <c r="D789" s="97"/>
      <c r="E789" s="97"/>
      <c r="F789" s="97"/>
      <c r="G789" s="97"/>
      <c r="H789" s="59"/>
      <c r="I789" s="61"/>
      <c r="J789" s="61"/>
      <c r="K789" s="61"/>
      <c r="L789" s="62"/>
      <c r="M789" s="62"/>
      <c r="N789" s="63"/>
      <c r="O789" s="63"/>
      <c r="P789" s="63"/>
      <c r="Q789" s="63"/>
      <c r="R789" s="63"/>
      <c r="S789" s="63"/>
      <c r="T789" s="63"/>
      <c r="U789" s="63"/>
      <c r="V789" s="63"/>
      <c r="W789" s="63"/>
      <c r="X789" s="63"/>
      <c r="Y789" s="63"/>
      <c r="Z789" s="62"/>
    </row>
    <row r="790" ht="14.25" customHeight="1">
      <c r="A790" s="59"/>
      <c r="B790" s="97"/>
      <c r="C790" s="97"/>
      <c r="D790" s="97"/>
      <c r="E790" s="97"/>
      <c r="F790" s="97"/>
      <c r="G790" s="97"/>
      <c r="H790" s="59"/>
      <c r="I790" s="61"/>
      <c r="J790" s="61"/>
      <c r="K790" s="61"/>
      <c r="L790" s="62"/>
      <c r="M790" s="62"/>
      <c r="N790" s="63"/>
      <c r="O790" s="63"/>
      <c r="P790" s="63"/>
      <c r="Q790" s="63"/>
      <c r="R790" s="63"/>
      <c r="S790" s="63"/>
      <c r="T790" s="63"/>
      <c r="U790" s="63"/>
      <c r="V790" s="63"/>
      <c r="W790" s="63"/>
      <c r="X790" s="63"/>
      <c r="Y790" s="63"/>
      <c r="Z790" s="62"/>
    </row>
    <row r="791" ht="14.25" customHeight="1">
      <c r="A791" s="59"/>
      <c r="B791" s="97"/>
      <c r="C791" s="97"/>
      <c r="D791" s="97"/>
      <c r="E791" s="97"/>
      <c r="F791" s="97"/>
      <c r="G791" s="97"/>
      <c r="H791" s="59"/>
      <c r="I791" s="61"/>
      <c r="J791" s="61"/>
      <c r="K791" s="61"/>
      <c r="L791" s="62"/>
      <c r="M791" s="62"/>
      <c r="N791" s="63"/>
      <c r="O791" s="63"/>
      <c r="P791" s="63"/>
      <c r="Q791" s="63"/>
      <c r="R791" s="63"/>
      <c r="S791" s="63"/>
      <c r="T791" s="63"/>
      <c r="U791" s="63"/>
      <c r="V791" s="63"/>
      <c r="W791" s="63"/>
      <c r="X791" s="63"/>
      <c r="Y791" s="63"/>
      <c r="Z791" s="62"/>
    </row>
    <row r="792" ht="14.25" customHeight="1">
      <c r="A792" s="59"/>
      <c r="B792" s="97"/>
      <c r="C792" s="97"/>
      <c r="D792" s="97"/>
      <c r="E792" s="97"/>
      <c r="F792" s="97"/>
      <c r="G792" s="97"/>
      <c r="H792" s="59"/>
      <c r="I792" s="61"/>
      <c r="J792" s="61"/>
      <c r="K792" s="61"/>
      <c r="L792" s="62"/>
      <c r="M792" s="62"/>
      <c r="N792" s="63"/>
      <c r="O792" s="63"/>
      <c r="P792" s="63"/>
      <c r="Q792" s="63"/>
      <c r="R792" s="63"/>
      <c r="S792" s="63"/>
      <c r="T792" s="63"/>
      <c r="U792" s="63"/>
      <c r="V792" s="63"/>
      <c r="W792" s="63"/>
      <c r="X792" s="63"/>
      <c r="Y792" s="63"/>
      <c r="Z792" s="62"/>
    </row>
    <row r="793" ht="14.25" customHeight="1">
      <c r="A793" s="59"/>
      <c r="B793" s="97"/>
      <c r="C793" s="97"/>
      <c r="D793" s="97"/>
      <c r="E793" s="97"/>
      <c r="F793" s="97"/>
      <c r="G793" s="97"/>
      <c r="H793" s="59"/>
      <c r="I793" s="61"/>
      <c r="J793" s="61"/>
      <c r="K793" s="61"/>
      <c r="L793" s="62"/>
      <c r="M793" s="62"/>
      <c r="N793" s="63"/>
      <c r="O793" s="63"/>
      <c r="P793" s="63"/>
      <c r="Q793" s="63"/>
      <c r="R793" s="63"/>
      <c r="S793" s="63"/>
      <c r="T793" s="63"/>
      <c r="U793" s="63"/>
      <c r="V793" s="63"/>
      <c r="W793" s="63"/>
      <c r="X793" s="63"/>
      <c r="Y793" s="63"/>
      <c r="Z793" s="62"/>
    </row>
    <row r="794" ht="14.25" customHeight="1">
      <c r="A794" s="59"/>
      <c r="B794" s="97"/>
      <c r="C794" s="97"/>
      <c r="D794" s="97"/>
      <c r="E794" s="97"/>
      <c r="F794" s="97"/>
      <c r="G794" s="97"/>
      <c r="H794" s="59"/>
      <c r="I794" s="61"/>
      <c r="J794" s="61"/>
      <c r="K794" s="61"/>
      <c r="L794" s="62"/>
      <c r="M794" s="62"/>
      <c r="N794" s="63"/>
      <c r="O794" s="63"/>
      <c r="P794" s="63"/>
      <c r="Q794" s="63"/>
      <c r="R794" s="63"/>
      <c r="S794" s="63"/>
      <c r="T794" s="63"/>
      <c r="U794" s="63"/>
      <c r="V794" s="63"/>
      <c r="W794" s="63"/>
      <c r="X794" s="63"/>
      <c r="Y794" s="63"/>
      <c r="Z794" s="62"/>
    </row>
    <row r="795" ht="14.25" customHeight="1">
      <c r="A795" s="59"/>
      <c r="B795" s="97"/>
      <c r="C795" s="97"/>
      <c r="D795" s="97"/>
      <c r="E795" s="97"/>
      <c r="F795" s="97"/>
      <c r="G795" s="97"/>
      <c r="H795" s="59"/>
      <c r="I795" s="61"/>
      <c r="J795" s="61"/>
      <c r="K795" s="61"/>
      <c r="L795" s="62"/>
      <c r="M795" s="62"/>
      <c r="N795" s="63"/>
      <c r="O795" s="63"/>
      <c r="P795" s="63"/>
      <c r="Q795" s="63"/>
      <c r="R795" s="63"/>
      <c r="S795" s="63"/>
      <c r="T795" s="63"/>
      <c r="U795" s="63"/>
      <c r="V795" s="63"/>
      <c r="W795" s="63"/>
      <c r="X795" s="63"/>
      <c r="Y795" s="63"/>
      <c r="Z795" s="62"/>
    </row>
    <row r="796" ht="14.25" customHeight="1">
      <c r="A796" s="59"/>
      <c r="B796" s="97"/>
      <c r="C796" s="97"/>
      <c r="D796" s="97"/>
      <c r="E796" s="97"/>
      <c r="F796" s="97"/>
      <c r="G796" s="97"/>
      <c r="H796" s="59"/>
      <c r="I796" s="61"/>
      <c r="J796" s="61"/>
      <c r="K796" s="61"/>
      <c r="L796" s="62"/>
      <c r="M796" s="62"/>
      <c r="N796" s="63"/>
      <c r="O796" s="63"/>
      <c r="P796" s="63"/>
      <c r="Q796" s="63"/>
      <c r="R796" s="63"/>
      <c r="S796" s="63"/>
      <c r="T796" s="63"/>
      <c r="U796" s="63"/>
      <c r="V796" s="63"/>
      <c r="W796" s="63"/>
      <c r="X796" s="63"/>
      <c r="Y796" s="63"/>
      <c r="Z796" s="62"/>
    </row>
    <row r="797" ht="14.25" customHeight="1">
      <c r="A797" s="59"/>
      <c r="B797" s="97"/>
      <c r="C797" s="97"/>
      <c r="D797" s="97"/>
      <c r="E797" s="97"/>
      <c r="F797" s="97"/>
      <c r="G797" s="97"/>
      <c r="H797" s="59"/>
      <c r="I797" s="61"/>
      <c r="J797" s="61"/>
      <c r="K797" s="61"/>
      <c r="L797" s="62"/>
      <c r="M797" s="62"/>
      <c r="N797" s="63"/>
      <c r="O797" s="63"/>
      <c r="P797" s="63"/>
      <c r="Q797" s="63"/>
      <c r="R797" s="63"/>
      <c r="S797" s="63"/>
      <c r="T797" s="63"/>
      <c r="U797" s="63"/>
      <c r="V797" s="63"/>
      <c r="W797" s="63"/>
      <c r="X797" s="63"/>
      <c r="Y797" s="63"/>
      <c r="Z797" s="62"/>
    </row>
    <row r="798" ht="14.25" customHeight="1">
      <c r="A798" s="59"/>
      <c r="B798" s="97"/>
      <c r="C798" s="97"/>
      <c r="D798" s="97"/>
      <c r="E798" s="97"/>
      <c r="F798" s="97"/>
      <c r="G798" s="97"/>
      <c r="H798" s="59"/>
      <c r="I798" s="61"/>
      <c r="J798" s="61"/>
      <c r="K798" s="61"/>
      <c r="L798" s="62"/>
      <c r="M798" s="62"/>
      <c r="N798" s="63"/>
      <c r="O798" s="63"/>
      <c r="P798" s="63"/>
      <c r="Q798" s="63"/>
      <c r="R798" s="63"/>
      <c r="S798" s="63"/>
      <c r="T798" s="63"/>
      <c r="U798" s="63"/>
      <c r="V798" s="63"/>
      <c r="W798" s="63"/>
      <c r="X798" s="63"/>
      <c r="Y798" s="63"/>
      <c r="Z798" s="62"/>
    </row>
    <row r="799" ht="14.25" customHeight="1">
      <c r="A799" s="59"/>
      <c r="B799" s="97"/>
      <c r="C799" s="97"/>
      <c r="D799" s="97"/>
      <c r="E799" s="97"/>
      <c r="F799" s="97"/>
      <c r="G799" s="97"/>
      <c r="H799" s="59"/>
      <c r="I799" s="61"/>
      <c r="J799" s="61"/>
      <c r="K799" s="61"/>
      <c r="L799" s="62"/>
      <c r="M799" s="62"/>
      <c r="N799" s="63"/>
      <c r="O799" s="63"/>
      <c r="P799" s="63"/>
      <c r="Q799" s="63"/>
      <c r="R799" s="63"/>
      <c r="S799" s="63"/>
      <c r="T799" s="63"/>
      <c r="U799" s="63"/>
      <c r="V799" s="63"/>
      <c r="W799" s="63"/>
      <c r="X799" s="63"/>
      <c r="Y799" s="63"/>
      <c r="Z799" s="62"/>
    </row>
    <row r="800" ht="14.25" customHeight="1">
      <c r="A800" s="59"/>
      <c r="B800" s="97"/>
      <c r="C800" s="97"/>
      <c r="D800" s="97"/>
      <c r="E800" s="97"/>
      <c r="F800" s="97"/>
      <c r="G800" s="97"/>
      <c r="H800" s="59"/>
      <c r="I800" s="61"/>
      <c r="J800" s="61"/>
      <c r="K800" s="61"/>
      <c r="L800" s="62"/>
      <c r="M800" s="62"/>
      <c r="N800" s="63"/>
      <c r="O800" s="63"/>
      <c r="P800" s="63"/>
      <c r="Q800" s="63"/>
      <c r="R800" s="63"/>
      <c r="S800" s="63"/>
      <c r="T800" s="63"/>
      <c r="U800" s="63"/>
      <c r="V800" s="63"/>
      <c r="W800" s="63"/>
      <c r="X800" s="63"/>
      <c r="Y800" s="63"/>
      <c r="Z800" s="62"/>
    </row>
    <row r="801" ht="14.25" customHeight="1">
      <c r="A801" s="59"/>
      <c r="B801" s="97"/>
      <c r="C801" s="97"/>
      <c r="D801" s="97"/>
      <c r="E801" s="97"/>
      <c r="F801" s="97"/>
      <c r="G801" s="97"/>
      <c r="H801" s="59"/>
      <c r="I801" s="61"/>
      <c r="J801" s="61"/>
      <c r="K801" s="61"/>
      <c r="L801" s="62"/>
      <c r="M801" s="62"/>
      <c r="N801" s="63"/>
      <c r="O801" s="63"/>
      <c r="P801" s="63"/>
      <c r="Q801" s="63"/>
      <c r="R801" s="63"/>
      <c r="S801" s="63"/>
      <c r="T801" s="63"/>
      <c r="U801" s="63"/>
      <c r="V801" s="63"/>
      <c r="W801" s="63"/>
      <c r="X801" s="63"/>
      <c r="Y801" s="63"/>
      <c r="Z801" s="62"/>
    </row>
    <row r="802" ht="14.25" customHeight="1">
      <c r="A802" s="59"/>
      <c r="B802" s="97"/>
      <c r="C802" s="97"/>
      <c r="D802" s="97"/>
      <c r="E802" s="97"/>
      <c r="F802" s="97"/>
      <c r="G802" s="97"/>
      <c r="H802" s="59"/>
      <c r="I802" s="61"/>
      <c r="J802" s="61"/>
      <c r="K802" s="61"/>
      <c r="L802" s="62"/>
      <c r="M802" s="62"/>
      <c r="N802" s="63"/>
      <c r="O802" s="63"/>
      <c r="P802" s="63"/>
      <c r="Q802" s="63"/>
      <c r="R802" s="63"/>
      <c r="S802" s="63"/>
      <c r="T802" s="63"/>
      <c r="U802" s="63"/>
      <c r="V802" s="63"/>
      <c r="W802" s="63"/>
      <c r="X802" s="63"/>
      <c r="Y802" s="63"/>
      <c r="Z802" s="62"/>
    </row>
    <row r="803" ht="14.25" customHeight="1">
      <c r="A803" s="59"/>
      <c r="B803" s="97"/>
      <c r="C803" s="97"/>
      <c r="D803" s="97"/>
      <c r="E803" s="97"/>
      <c r="F803" s="97"/>
      <c r="G803" s="97"/>
      <c r="H803" s="59"/>
      <c r="I803" s="61"/>
      <c r="J803" s="61"/>
      <c r="K803" s="61"/>
      <c r="L803" s="62"/>
      <c r="M803" s="62"/>
      <c r="N803" s="63"/>
      <c r="O803" s="63"/>
      <c r="P803" s="63"/>
      <c r="Q803" s="63"/>
      <c r="R803" s="63"/>
      <c r="S803" s="63"/>
      <c r="T803" s="63"/>
      <c r="U803" s="63"/>
      <c r="V803" s="63"/>
      <c r="W803" s="63"/>
      <c r="X803" s="63"/>
      <c r="Y803" s="63"/>
      <c r="Z803" s="62"/>
    </row>
    <row r="804" ht="14.25" customHeight="1">
      <c r="A804" s="59"/>
      <c r="B804" s="97"/>
      <c r="C804" s="97"/>
      <c r="D804" s="97"/>
      <c r="E804" s="97"/>
      <c r="F804" s="97"/>
      <c r="G804" s="97"/>
      <c r="H804" s="59"/>
      <c r="I804" s="61"/>
      <c r="J804" s="61"/>
      <c r="K804" s="61"/>
      <c r="L804" s="62"/>
      <c r="M804" s="62"/>
      <c r="N804" s="63"/>
      <c r="O804" s="63"/>
      <c r="P804" s="63"/>
      <c r="Q804" s="63"/>
      <c r="R804" s="63"/>
      <c r="S804" s="63"/>
      <c r="T804" s="63"/>
      <c r="U804" s="63"/>
      <c r="V804" s="63"/>
      <c r="W804" s="63"/>
      <c r="X804" s="63"/>
      <c r="Y804" s="63"/>
      <c r="Z804" s="62"/>
    </row>
    <row r="805" ht="14.25" customHeight="1">
      <c r="A805" s="59"/>
      <c r="B805" s="97"/>
      <c r="C805" s="97"/>
      <c r="D805" s="97"/>
      <c r="E805" s="97"/>
      <c r="F805" s="97"/>
      <c r="G805" s="97"/>
      <c r="H805" s="59"/>
      <c r="I805" s="61"/>
      <c r="J805" s="61"/>
      <c r="K805" s="61"/>
      <c r="L805" s="62"/>
      <c r="M805" s="62"/>
      <c r="N805" s="63"/>
      <c r="O805" s="63"/>
      <c r="P805" s="63"/>
      <c r="Q805" s="63"/>
      <c r="R805" s="63"/>
      <c r="S805" s="63"/>
      <c r="T805" s="63"/>
      <c r="U805" s="63"/>
      <c r="V805" s="63"/>
      <c r="W805" s="63"/>
      <c r="X805" s="63"/>
      <c r="Y805" s="63"/>
      <c r="Z805" s="62"/>
    </row>
    <row r="806" ht="14.25" customHeight="1">
      <c r="A806" s="59"/>
      <c r="B806" s="97"/>
      <c r="C806" s="97"/>
      <c r="D806" s="97"/>
      <c r="E806" s="97"/>
      <c r="F806" s="97"/>
      <c r="G806" s="97"/>
      <c r="H806" s="59"/>
      <c r="I806" s="61"/>
      <c r="J806" s="61"/>
      <c r="K806" s="61"/>
      <c r="L806" s="62"/>
      <c r="M806" s="62"/>
      <c r="N806" s="63"/>
      <c r="O806" s="63"/>
      <c r="P806" s="63"/>
      <c r="Q806" s="63"/>
      <c r="R806" s="63"/>
      <c r="S806" s="63"/>
      <c r="T806" s="63"/>
      <c r="U806" s="63"/>
      <c r="V806" s="63"/>
      <c r="W806" s="63"/>
      <c r="X806" s="63"/>
      <c r="Y806" s="63"/>
      <c r="Z806" s="62"/>
    </row>
    <row r="807" ht="14.25" customHeight="1">
      <c r="A807" s="59"/>
      <c r="B807" s="97"/>
      <c r="C807" s="97"/>
      <c r="D807" s="97"/>
      <c r="E807" s="97"/>
      <c r="F807" s="97"/>
      <c r="G807" s="97"/>
      <c r="H807" s="59"/>
      <c r="I807" s="61"/>
      <c r="J807" s="61"/>
      <c r="K807" s="61"/>
      <c r="L807" s="62"/>
      <c r="M807" s="62"/>
      <c r="N807" s="63"/>
      <c r="O807" s="63"/>
      <c r="P807" s="63"/>
      <c r="Q807" s="63"/>
      <c r="R807" s="63"/>
      <c r="S807" s="63"/>
      <c r="T807" s="63"/>
      <c r="U807" s="63"/>
      <c r="V807" s="63"/>
      <c r="W807" s="63"/>
      <c r="X807" s="63"/>
      <c r="Y807" s="63"/>
      <c r="Z807" s="62"/>
    </row>
    <row r="808" ht="14.25" customHeight="1">
      <c r="A808" s="59"/>
      <c r="B808" s="97"/>
      <c r="C808" s="97"/>
      <c r="D808" s="97"/>
      <c r="E808" s="97"/>
      <c r="F808" s="97"/>
      <c r="G808" s="97"/>
      <c r="H808" s="59"/>
      <c r="I808" s="61"/>
      <c r="J808" s="61"/>
      <c r="K808" s="61"/>
      <c r="L808" s="62"/>
      <c r="M808" s="62"/>
      <c r="N808" s="63"/>
      <c r="O808" s="63"/>
      <c r="P808" s="63"/>
      <c r="Q808" s="63"/>
      <c r="R808" s="63"/>
      <c r="S808" s="63"/>
      <c r="T808" s="63"/>
      <c r="U808" s="63"/>
      <c r="V808" s="63"/>
      <c r="W808" s="63"/>
      <c r="X808" s="63"/>
      <c r="Y808" s="63"/>
      <c r="Z808" s="62"/>
    </row>
    <row r="809" ht="14.25" customHeight="1">
      <c r="A809" s="59"/>
      <c r="B809" s="97"/>
      <c r="C809" s="97"/>
      <c r="D809" s="97"/>
      <c r="E809" s="97"/>
      <c r="F809" s="97"/>
      <c r="G809" s="97"/>
      <c r="H809" s="59"/>
      <c r="I809" s="61"/>
      <c r="J809" s="61"/>
      <c r="K809" s="61"/>
      <c r="L809" s="62"/>
      <c r="M809" s="62"/>
      <c r="N809" s="63"/>
      <c r="O809" s="63"/>
      <c r="P809" s="63"/>
      <c r="Q809" s="63"/>
      <c r="R809" s="63"/>
      <c r="S809" s="63"/>
      <c r="T809" s="63"/>
      <c r="U809" s="63"/>
      <c r="V809" s="63"/>
      <c r="W809" s="63"/>
      <c r="X809" s="63"/>
      <c r="Y809" s="63"/>
      <c r="Z809" s="62"/>
    </row>
    <row r="810" ht="14.25" customHeight="1">
      <c r="A810" s="59"/>
      <c r="B810" s="97"/>
      <c r="C810" s="97"/>
      <c r="D810" s="97"/>
      <c r="E810" s="97"/>
      <c r="F810" s="97"/>
      <c r="G810" s="97"/>
      <c r="H810" s="59"/>
      <c r="I810" s="61"/>
      <c r="J810" s="61"/>
      <c r="K810" s="61"/>
      <c r="L810" s="62"/>
      <c r="M810" s="62"/>
      <c r="N810" s="63"/>
      <c r="O810" s="63"/>
      <c r="P810" s="63"/>
      <c r="Q810" s="63"/>
      <c r="R810" s="63"/>
      <c r="S810" s="63"/>
      <c r="T810" s="63"/>
      <c r="U810" s="63"/>
      <c r="V810" s="63"/>
      <c r="W810" s="63"/>
      <c r="X810" s="63"/>
      <c r="Y810" s="63"/>
      <c r="Z810" s="62"/>
    </row>
    <row r="811" ht="14.25" customHeight="1">
      <c r="A811" s="59"/>
      <c r="B811" s="97"/>
      <c r="C811" s="97"/>
      <c r="D811" s="97"/>
      <c r="E811" s="97"/>
      <c r="F811" s="97"/>
      <c r="G811" s="97"/>
      <c r="H811" s="59"/>
      <c r="I811" s="61"/>
      <c r="J811" s="61"/>
      <c r="K811" s="61"/>
      <c r="L811" s="62"/>
      <c r="M811" s="62"/>
      <c r="N811" s="63"/>
      <c r="O811" s="63"/>
      <c r="P811" s="63"/>
      <c r="Q811" s="63"/>
      <c r="R811" s="63"/>
      <c r="S811" s="63"/>
      <c r="T811" s="63"/>
      <c r="U811" s="63"/>
      <c r="V811" s="63"/>
      <c r="W811" s="63"/>
      <c r="X811" s="63"/>
      <c r="Y811" s="63"/>
      <c r="Z811" s="62"/>
    </row>
    <row r="812" ht="14.25" customHeight="1">
      <c r="A812" s="59"/>
      <c r="B812" s="97"/>
      <c r="C812" s="97"/>
      <c r="D812" s="97"/>
      <c r="E812" s="97"/>
      <c r="F812" s="97"/>
      <c r="G812" s="97"/>
      <c r="H812" s="59"/>
      <c r="I812" s="61"/>
      <c r="J812" s="61"/>
      <c r="K812" s="61"/>
      <c r="L812" s="62"/>
      <c r="M812" s="62"/>
      <c r="N812" s="63"/>
      <c r="O812" s="63"/>
      <c r="P812" s="63"/>
      <c r="Q812" s="63"/>
      <c r="R812" s="63"/>
      <c r="S812" s="63"/>
      <c r="T812" s="63"/>
      <c r="U812" s="63"/>
      <c r="V812" s="63"/>
      <c r="W812" s="63"/>
      <c r="X812" s="63"/>
      <c r="Y812" s="63"/>
      <c r="Z812" s="62"/>
    </row>
    <row r="813" ht="14.25" customHeight="1">
      <c r="A813" s="59"/>
      <c r="B813" s="97"/>
      <c r="C813" s="97"/>
      <c r="D813" s="97"/>
      <c r="E813" s="97"/>
      <c r="F813" s="97"/>
      <c r="G813" s="97"/>
      <c r="H813" s="59"/>
      <c r="I813" s="61"/>
      <c r="J813" s="61"/>
      <c r="K813" s="61"/>
      <c r="L813" s="62"/>
      <c r="M813" s="62"/>
      <c r="N813" s="63"/>
      <c r="O813" s="63"/>
      <c r="P813" s="63"/>
      <c r="Q813" s="63"/>
      <c r="R813" s="63"/>
      <c r="S813" s="63"/>
      <c r="T813" s="63"/>
      <c r="U813" s="63"/>
      <c r="V813" s="63"/>
      <c r="W813" s="63"/>
      <c r="X813" s="63"/>
      <c r="Y813" s="63"/>
      <c r="Z813" s="62"/>
    </row>
    <row r="814" ht="14.25" customHeight="1">
      <c r="A814" s="59"/>
      <c r="B814" s="97"/>
      <c r="C814" s="97"/>
      <c r="D814" s="97"/>
      <c r="E814" s="97"/>
      <c r="F814" s="97"/>
      <c r="G814" s="97"/>
      <c r="H814" s="59"/>
      <c r="I814" s="61"/>
      <c r="J814" s="61"/>
      <c r="K814" s="61"/>
      <c r="L814" s="62"/>
      <c r="M814" s="62"/>
      <c r="N814" s="63"/>
      <c r="O814" s="63"/>
      <c r="P814" s="63"/>
      <c r="Q814" s="63"/>
      <c r="R814" s="63"/>
      <c r="S814" s="63"/>
      <c r="T814" s="63"/>
      <c r="U814" s="63"/>
      <c r="V814" s="63"/>
      <c r="W814" s="63"/>
      <c r="X814" s="63"/>
      <c r="Y814" s="63"/>
      <c r="Z814" s="62"/>
    </row>
    <row r="815" ht="14.25" customHeight="1">
      <c r="A815" s="59"/>
      <c r="B815" s="97"/>
      <c r="C815" s="97"/>
      <c r="D815" s="97"/>
      <c r="E815" s="97"/>
      <c r="F815" s="97"/>
      <c r="G815" s="97"/>
      <c r="H815" s="59"/>
      <c r="I815" s="61"/>
      <c r="J815" s="61"/>
      <c r="K815" s="61"/>
      <c r="L815" s="62"/>
      <c r="M815" s="62"/>
      <c r="N815" s="63"/>
      <c r="O815" s="63"/>
      <c r="P815" s="63"/>
      <c r="Q815" s="63"/>
      <c r="R815" s="63"/>
      <c r="S815" s="63"/>
      <c r="T815" s="63"/>
      <c r="U815" s="63"/>
      <c r="V815" s="63"/>
      <c r="W815" s="63"/>
      <c r="X815" s="63"/>
      <c r="Y815" s="63"/>
      <c r="Z815" s="62"/>
    </row>
    <row r="816" ht="14.25" customHeight="1">
      <c r="A816" s="59"/>
      <c r="B816" s="97"/>
      <c r="C816" s="97"/>
      <c r="D816" s="97"/>
      <c r="E816" s="97"/>
      <c r="F816" s="97"/>
      <c r="G816" s="97"/>
      <c r="H816" s="59"/>
      <c r="I816" s="61"/>
      <c r="J816" s="61"/>
      <c r="K816" s="61"/>
      <c r="L816" s="62"/>
      <c r="M816" s="62"/>
      <c r="N816" s="63"/>
      <c r="O816" s="63"/>
      <c r="P816" s="63"/>
      <c r="Q816" s="63"/>
      <c r="R816" s="63"/>
      <c r="S816" s="63"/>
      <c r="T816" s="63"/>
      <c r="U816" s="63"/>
      <c r="V816" s="63"/>
      <c r="W816" s="63"/>
      <c r="X816" s="63"/>
      <c r="Y816" s="63"/>
      <c r="Z816" s="62"/>
    </row>
    <row r="817" ht="14.25" customHeight="1">
      <c r="A817" s="59"/>
      <c r="B817" s="97"/>
      <c r="C817" s="97"/>
      <c r="D817" s="97"/>
      <c r="E817" s="97"/>
      <c r="F817" s="97"/>
      <c r="G817" s="97"/>
      <c r="H817" s="59"/>
      <c r="I817" s="61"/>
      <c r="J817" s="61"/>
      <c r="K817" s="61"/>
      <c r="L817" s="62"/>
      <c r="M817" s="62"/>
      <c r="N817" s="63"/>
      <c r="O817" s="63"/>
      <c r="P817" s="63"/>
      <c r="Q817" s="63"/>
      <c r="R817" s="63"/>
      <c r="S817" s="63"/>
      <c r="T817" s="63"/>
      <c r="U817" s="63"/>
      <c r="V817" s="63"/>
      <c r="W817" s="63"/>
      <c r="X817" s="63"/>
      <c r="Y817" s="63"/>
      <c r="Z817" s="62"/>
    </row>
    <row r="818" ht="14.25" customHeight="1">
      <c r="A818" s="59"/>
      <c r="B818" s="97"/>
      <c r="C818" s="97"/>
      <c r="D818" s="97"/>
      <c r="E818" s="97"/>
      <c r="F818" s="97"/>
      <c r="G818" s="97"/>
      <c r="H818" s="59"/>
      <c r="I818" s="61"/>
      <c r="J818" s="61"/>
      <c r="K818" s="61"/>
      <c r="L818" s="62"/>
      <c r="M818" s="62"/>
      <c r="N818" s="63"/>
      <c r="O818" s="63"/>
      <c r="P818" s="63"/>
      <c r="Q818" s="63"/>
      <c r="R818" s="63"/>
      <c r="S818" s="63"/>
      <c r="T818" s="63"/>
      <c r="U818" s="63"/>
      <c r="V818" s="63"/>
      <c r="W818" s="63"/>
      <c r="X818" s="63"/>
      <c r="Y818" s="63"/>
      <c r="Z818" s="62"/>
    </row>
    <row r="819" ht="14.25" customHeight="1">
      <c r="A819" s="59"/>
      <c r="B819" s="97"/>
      <c r="C819" s="97"/>
      <c r="D819" s="97"/>
      <c r="E819" s="97"/>
      <c r="F819" s="97"/>
      <c r="G819" s="97"/>
      <c r="H819" s="59"/>
      <c r="I819" s="61"/>
      <c r="J819" s="61"/>
      <c r="K819" s="61"/>
      <c r="L819" s="62"/>
      <c r="M819" s="62"/>
      <c r="N819" s="63"/>
      <c r="O819" s="63"/>
      <c r="P819" s="63"/>
      <c r="Q819" s="63"/>
      <c r="R819" s="63"/>
      <c r="S819" s="63"/>
      <c r="T819" s="63"/>
      <c r="U819" s="63"/>
      <c r="V819" s="63"/>
      <c r="W819" s="63"/>
      <c r="X819" s="63"/>
      <c r="Y819" s="63"/>
      <c r="Z819" s="62"/>
    </row>
    <row r="820" ht="14.25" customHeight="1">
      <c r="A820" s="59"/>
      <c r="B820" s="97"/>
      <c r="C820" s="97"/>
      <c r="D820" s="97"/>
      <c r="E820" s="97"/>
      <c r="F820" s="97"/>
      <c r="G820" s="97"/>
      <c r="H820" s="59"/>
      <c r="I820" s="61"/>
      <c r="J820" s="61"/>
      <c r="K820" s="61"/>
      <c r="L820" s="62"/>
      <c r="M820" s="62"/>
      <c r="N820" s="63"/>
      <c r="O820" s="63"/>
      <c r="P820" s="63"/>
      <c r="Q820" s="63"/>
      <c r="R820" s="63"/>
      <c r="S820" s="63"/>
      <c r="T820" s="63"/>
      <c r="U820" s="63"/>
      <c r="V820" s="63"/>
      <c r="W820" s="63"/>
      <c r="X820" s="63"/>
      <c r="Y820" s="63"/>
      <c r="Z820" s="62"/>
    </row>
    <row r="821" ht="14.25" customHeight="1">
      <c r="A821" s="59"/>
      <c r="B821" s="97"/>
      <c r="C821" s="97"/>
      <c r="D821" s="97"/>
      <c r="E821" s="97"/>
      <c r="F821" s="97"/>
      <c r="G821" s="97"/>
      <c r="H821" s="59"/>
      <c r="I821" s="61"/>
      <c r="J821" s="61"/>
      <c r="K821" s="61"/>
      <c r="L821" s="62"/>
      <c r="M821" s="62"/>
      <c r="N821" s="63"/>
      <c r="O821" s="63"/>
      <c r="P821" s="63"/>
      <c r="Q821" s="63"/>
      <c r="R821" s="63"/>
      <c r="S821" s="63"/>
      <c r="T821" s="63"/>
      <c r="U821" s="63"/>
      <c r="V821" s="63"/>
      <c r="W821" s="63"/>
      <c r="X821" s="63"/>
      <c r="Y821" s="63"/>
      <c r="Z821" s="62"/>
    </row>
    <row r="822" ht="14.25" customHeight="1">
      <c r="A822" s="59"/>
      <c r="B822" s="97"/>
      <c r="C822" s="97"/>
      <c r="D822" s="97"/>
      <c r="E822" s="97"/>
      <c r="F822" s="97"/>
      <c r="G822" s="97"/>
      <c r="H822" s="59"/>
      <c r="I822" s="61"/>
      <c r="J822" s="61"/>
      <c r="K822" s="61"/>
      <c r="L822" s="62"/>
      <c r="M822" s="62"/>
      <c r="N822" s="63"/>
      <c r="O822" s="63"/>
      <c r="P822" s="63"/>
      <c r="Q822" s="63"/>
      <c r="R822" s="63"/>
      <c r="S822" s="63"/>
      <c r="T822" s="63"/>
      <c r="U822" s="63"/>
      <c r="V822" s="63"/>
      <c r="W822" s="63"/>
      <c r="X822" s="63"/>
      <c r="Y822" s="63"/>
      <c r="Z822" s="62"/>
    </row>
    <row r="823" ht="14.25" customHeight="1">
      <c r="A823" s="59"/>
      <c r="B823" s="97"/>
      <c r="C823" s="97"/>
      <c r="D823" s="97"/>
      <c r="E823" s="97"/>
      <c r="F823" s="97"/>
      <c r="G823" s="97"/>
      <c r="H823" s="59"/>
      <c r="I823" s="61"/>
      <c r="J823" s="61"/>
      <c r="K823" s="61"/>
      <c r="L823" s="62"/>
      <c r="M823" s="62"/>
      <c r="N823" s="63"/>
      <c r="O823" s="63"/>
      <c r="P823" s="63"/>
      <c r="Q823" s="63"/>
      <c r="R823" s="63"/>
      <c r="S823" s="63"/>
      <c r="T823" s="63"/>
      <c r="U823" s="63"/>
      <c r="V823" s="63"/>
      <c r="W823" s="63"/>
      <c r="X823" s="63"/>
      <c r="Y823" s="63"/>
      <c r="Z823" s="62"/>
    </row>
    <row r="824" ht="14.25" customHeight="1">
      <c r="A824" s="59"/>
      <c r="B824" s="97"/>
      <c r="C824" s="97"/>
      <c r="D824" s="97"/>
      <c r="E824" s="97"/>
      <c r="F824" s="97"/>
      <c r="G824" s="97"/>
      <c r="H824" s="59"/>
      <c r="I824" s="61"/>
      <c r="J824" s="61"/>
      <c r="K824" s="61"/>
      <c r="L824" s="62"/>
      <c r="M824" s="62"/>
      <c r="N824" s="63"/>
      <c r="O824" s="63"/>
      <c r="P824" s="63"/>
      <c r="Q824" s="63"/>
      <c r="R824" s="63"/>
      <c r="S824" s="63"/>
      <c r="T824" s="63"/>
      <c r="U824" s="63"/>
      <c r="V824" s="63"/>
      <c r="W824" s="63"/>
      <c r="X824" s="63"/>
      <c r="Y824" s="63"/>
      <c r="Z824" s="62"/>
    </row>
    <row r="825" ht="14.25" customHeight="1">
      <c r="A825" s="59"/>
      <c r="B825" s="97"/>
      <c r="C825" s="97"/>
      <c r="D825" s="97"/>
      <c r="E825" s="97"/>
      <c r="F825" s="97"/>
      <c r="G825" s="97"/>
      <c r="H825" s="59"/>
      <c r="I825" s="61"/>
      <c r="J825" s="61"/>
      <c r="K825" s="61"/>
      <c r="L825" s="62"/>
      <c r="M825" s="62"/>
      <c r="N825" s="63"/>
      <c r="O825" s="63"/>
      <c r="P825" s="63"/>
      <c r="Q825" s="63"/>
      <c r="R825" s="63"/>
      <c r="S825" s="63"/>
      <c r="T825" s="63"/>
      <c r="U825" s="63"/>
      <c r="V825" s="63"/>
      <c r="W825" s="63"/>
      <c r="X825" s="63"/>
      <c r="Y825" s="63"/>
      <c r="Z825" s="62"/>
    </row>
    <row r="826" ht="14.25" customHeight="1">
      <c r="A826" s="59"/>
      <c r="B826" s="97"/>
      <c r="C826" s="97"/>
      <c r="D826" s="97"/>
      <c r="E826" s="97"/>
      <c r="F826" s="97"/>
      <c r="G826" s="97"/>
      <c r="H826" s="59"/>
      <c r="I826" s="61"/>
      <c r="J826" s="61"/>
      <c r="K826" s="61"/>
      <c r="L826" s="62"/>
      <c r="M826" s="62"/>
      <c r="N826" s="63"/>
      <c r="O826" s="63"/>
      <c r="P826" s="63"/>
      <c r="Q826" s="63"/>
      <c r="R826" s="63"/>
      <c r="S826" s="63"/>
      <c r="T826" s="63"/>
      <c r="U826" s="63"/>
      <c r="V826" s="63"/>
      <c r="W826" s="63"/>
      <c r="X826" s="63"/>
      <c r="Y826" s="63"/>
      <c r="Z826" s="62"/>
    </row>
    <row r="827" ht="14.25" customHeight="1">
      <c r="A827" s="59"/>
      <c r="B827" s="97"/>
      <c r="C827" s="97"/>
      <c r="D827" s="97"/>
      <c r="E827" s="97"/>
      <c r="F827" s="97"/>
      <c r="G827" s="97"/>
      <c r="H827" s="59"/>
      <c r="I827" s="61"/>
      <c r="J827" s="61"/>
      <c r="K827" s="61"/>
      <c r="L827" s="62"/>
      <c r="M827" s="62"/>
      <c r="N827" s="63"/>
      <c r="O827" s="63"/>
      <c r="P827" s="63"/>
      <c r="Q827" s="63"/>
      <c r="R827" s="63"/>
      <c r="S827" s="63"/>
      <c r="T827" s="63"/>
      <c r="U827" s="63"/>
      <c r="V827" s="63"/>
      <c r="W827" s="63"/>
      <c r="X827" s="63"/>
      <c r="Y827" s="63"/>
      <c r="Z827" s="62"/>
    </row>
    <row r="828" ht="14.25" customHeight="1">
      <c r="A828" s="59"/>
      <c r="B828" s="97"/>
      <c r="C828" s="97"/>
      <c r="D828" s="97"/>
      <c r="E828" s="97"/>
      <c r="F828" s="97"/>
      <c r="G828" s="97"/>
      <c r="H828" s="59"/>
      <c r="I828" s="61"/>
      <c r="J828" s="61"/>
      <c r="K828" s="61"/>
      <c r="L828" s="62"/>
      <c r="M828" s="62"/>
      <c r="N828" s="63"/>
      <c r="O828" s="63"/>
      <c r="P828" s="63"/>
      <c r="Q828" s="63"/>
      <c r="R828" s="63"/>
      <c r="S828" s="63"/>
      <c r="T828" s="63"/>
      <c r="U828" s="63"/>
      <c r="V828" s="63"/>
      <c r="W828" s="63"/>
      <c r="X828" s="63"/>
      <c r="Y828" s="63"/>
      <c r="Z828" s="62"/>
    </row>
    <row r="829" ht="14.25" customHeight="1">
      <c r="A829" s="59"/>
      <c r="B829" s="97"/>
      <c r="C829" s="97"/>
      <c r="D829" s="97"/>
      <c r="E829" s="97"/>
      <c r="F829" s="97"/>
      <c r="G829" s="97"/>
      <c r="H829" s="59"/>
      <c r="I829" s="61"/>
      <c r="J829" s="61"/>
      <c r="K829" s="61"/>
      <c r="L829" s="62"/>
      <c r="M829" s="62"/>
      <c r="N829" s="63"/>
      <c r="O829" s="63"/>
      <c r="P829" s="63"/>
      <c r="Q829" s="63"/>
      <c r="R829" s="63"/>
      <c r="S829" s="63"/>
      <c r="T829" s="63"/>
      <c r="U829" s="63"/>
      <c r="V829" s="63"/>
      <c r="W829" s="63"/>
      <c r="X829" s="63"/>
      <c r="Y829" s="63"/>
      <c r="Z829" s="62"/>
    </row>
    <row r="830" ht="14.25" customHeight="1">
      <c r="A830" s="59"/>
      <c r="B830" s="97"/>
      <c r="C830" s="97"/>
      <c r="D830" s="97"/>
      <c r="E830" s="97"/>
      <c r="F830" s="97"/>
      <c r="G830" s="97"/>
      <c r="H830" s="59"/>
      <c r="I830" s="61"/>
      <c r="J830" s="61"/>
      <c r="K830" s="61"/>
      <c r="L830" s="62"/>
      <c r="M830" s="62"/>
      <c r="N830" s="63"/>
      <c r="O830" s="63"/>
      <c r="P830" s="63"/>
      <c r="Q830" s="63"/>
      <c r="R830" s="63"/>
      <c r="S830" s="63"/>
      <c r="T830" s="63"/>
      <c r="U830" s="63"/>
      <c r="V830" s="63"/>
      <c r="W830" s="63"/>
      <c r="X830" s="63"/>
      <c r="Y830" s="63"/>
      <c r="Z830" s="62"/>
    </row>
    <row r="831" ht="14.25" customHeight="1">
      <c r="A831" s="59"/>
      <c r="B831" s="97"/>
      <c r="C831" s="97"/>
      <c r="D831" s="97"/>
      <c r="E831" s="97"/>
      <c r="F831" s="97"/>
      <c r="G831" s="97"/>
      <c r="H831" s="59"/>
      <c r="I831" s="61"/>
      <c r="J831" s="61"/>
      <c r="K831" s="61"/>
      <c r="L831" s="62"/>
      <c r="M831" s="62"/>
      <c r="N831" s="63"/>
      <c r="O831" s="63"/>
      <c r="P831" s="63"/>
      <c r="Q831" s="63"/>
      <c r="R831" s="63"/>
      <c r="S831" s="63"/>
      <c r="T831" s="63"/>
      <c r="U831" s="63"/>
      <c r="V831" s="63"/>
      <c r="W831" s="63"/>
      <c r="X831" s="63"/>
      <c r="Y831" s="63"/>
      <c r="Z831" s="62"/>
    </row>
    <row r="832" ht="14.25" customHeight="1">
      <c r="A832" s="59"/>
      <c r="B832" s="97"/>
      <c r="C832" s="97"/>
      <c r="D832" s="97"/>
      <c r="E832" s="97"/>
      <c r="F832" s="97"/>
      <c r="G832" s="97"/>
      <c r="H832" s="59"/>
      <c r="I832" s="61"/>
      <c r="J832" s="61"/>
      <c r="K832" s="61"/>
      <c r="L832" s="62"/>
      <c r="M832" s="62"/>
      <c r="N832" s="63"/>
      <c r="O832" s="63"/>
      <c r="P832" s="63"/>
      <c r="Q832" s="63"/>
      <c r="R832" s="63"/>
      <c r="S832" s="63"/>
      <c r="T832" s="63"/>
      <c r="U832" s="63"/>
      <c r="V832" s="63"/>
      <c r="W832" s="63"/>
      <c r="X832" s="63"/>
      <c r="Y832" s="63"/>
      <c r="Z832" s="62"/>
    </row>
    <row r="833" ht="14.25" customHeight="1">
      <c r="A833" s="59"/>
      <c r="B833" s="97"/>
      <c r="C833" s="97"/>
      <c r="D833" s="97"/>
      <c r="E833" s="97"/>
      <c r="F833" s="97"/>
      <c r="G833" s="97"/>
      <c r="H833" s="59"/>
      <c r="I833" s="61"/>
      <c r="J833" s="61"/>
      <c r="K833" s="61"/>
      <c r="L833" s="62"/>
      <c r="M833" s="62"/>
      <c r="N833" s="63"/>
      <c r="O833" s="63"/>
      <c r="P833" s="63"/>
      <c r="Q833" s="63"/>
      <c r="R833" s="63"/>
      <c r="S833" s="63"/>
      <c r="T833" s="63"/>
      <c r="U833" s="63"/>
      <c r="V833" s="63"/>
      <c r="W833" s="63"/>
      <c r="X833" s="63"/>
      <c r="Y833" s="63"/>
      <c r="Z833" s="62"/>
    </row>
    <row r="834" ht="14.25" customHeight="1">
      <c r="A834" s="59"/>
      <c r="B834" s="97"/>
      <c r="C834" s="97"/>
      <c r="D834" s="97"/>
      <c r="E834" s="97"/>
      <c r="F834" s="97"/>
      <c r="G834" s="97"/>
      <c r="H834" s="59"/>
      <c r="I834" s="61"/>
      <c r="J834" s="61"/>
      <c r="K834" s="61"/>
      <c r="L834" s="62"/>
      <c r="M834" s="62"/>
      <c r="N834" s="63"/>
      <c r="O834" s="63"/>
      <c r="P834" s="63"/>
      <c r="Q834" s="63"/>
      <c r="R834" s="63"/>
      <c r="S834" s="63"/>
      <c r="T834" s="63"/>
      <c r="U834" s="63"/>
      <c r="V834" s="63"/>
      <c r="W834" s="63"/>
      <c r="X834" s="63"/>
      <c r="Y834" s="63"/>
      <c r="Z834" s="62"/>
    </row>
    <row r="835" ht="14.25" customHeight="1">
      <c r="A835" s="59"/>
      <c r="B835" s="97"/>
      <c r="C835" s="97"/>
      <c r="D835" s="97"/>
      <c r="E835" s="97"/>
      <c r="F835" s="97"/>
      <c r="G835" s="97"/>
      <c r="H835" s="59"/>
      <c r="I835" s="61"/>
      <c r="J835" s="61"/>
      <c r="K835" s="61"/>
      <c r="L835" s="62"/>
      <c r="M835" s="62"/>
      <c r="N835" s="63"/>
      <c r="O835" s="63"/>
      <c r="P835" s="63"/>
      <c r="Q835" s="63"/>
      <c r="R835" s="63"/>
      <c r="S835" s="63"/>
      <c r="T835" s="63"/>
      <c r="U835" s="63"/>
      <c r="V835" s="63"/>
      <c r="W835" s="63"/>
      <c r="X835" s="63"/>
      <c r="Y835" s="63"/>
      <c r="Z835" s="62"/>
    </row>
    <row r="836" ht="14.25" customHeight="1">
      <c r="A836" s="59"/>
      <c r="B836" s="97"/>
      <c r="C836" s="97"/>
      <c r="D836" s="97"/>
      <c r="E836" s="97"/>
      <c r="F836" s="97"/>
      <c r="G836" s="97"/>
      <c r="H836" s="59"/>
      <c r="I836" s="61"/>
      <c r="J836" s="61"/>
      <c r="K836" s="61"/>
      <c r="L836" s="62"/>
      <c r="M836" s="62"/>
      <c r="N836" s="63"/>
      <c r="O836" s="63"/>
      <c r="P836" s="63"/>
      <c r="Q836" s="63"/>
      <c r="R836" s="63"/>
      <c r="S836" s="63"/>
      <c r="T836" s="63"/>
      <c r="U836" s="63"/>
      <c r="V836" s="63"/>
      <c r="W836" s="63"/>
      <c r="X836" s="63"/>
      <c r="Y836" s="63"/>
      <c r="Z836" s="62"/>
    </row>
    <row r="837" ht="14.25" customHeight="1">
      <c r="A837" s="59"/>
      <c r="B837" s="97"/>
      <c r="C837" s="97"/>
      <c r="D837" s="97"/>
      <c r="E837" s="97"/>
      <c r="F837" s="97"/>
      <c r="G837" s="97"/>
      <c r="H837" s="59"/>
      <c r="I837" s="61"/>
      <c r="J837" s="61"/>
      <c r="K837" s="61"/>
      <c r="L837" s="62"/>
      <c r="M837" s="62"/>
      <c r="N837" s="63"/>
      <c r="O837" s="63"/>
      <c r="P837" s="63"/>
      <c r="Q837" s="63"/>
      <c r="R837" s="63"/>
      <c r="S837" s="63"/>
      <c r="T837" s="63"/>
      <c r="U837" s="63"/>
      <c r="V837" s="63"/>
      <c r="W837" s="63"/>
      <c r="X837" s="63"/>
      <c r="Y837" s="63"/>
      <c r="Z837" s="62"/>
    </row>
    <row r="838" ht="14.25" customHeight="1">
      <c r="A838" s="59"/>
      <c r="B838" s="97"/>
      <c r="C838" s="97"/>
      <c r="D838" s="97"/>
      <c r="E838" s="97"/>
      <c r="F838" s="97"/>
      <c r="G838" s="97"/>
      <c r="H838" s="59"/>
      <c r="I838" s="61"/>
      <c r="J838" s="61"/>
      <c r="K838" s="61"/>
      <c r="L838" s="62"/>
      <c r="M838" s="62"/>
      <c r="N838" s="63"/>
      <c r="O838" s="63"/>
      <c r="P838" s="63"/>
      <c r="Q838" s="63"/>
      <c r="R838" s="63"/>
      <c r="S838" s="63"/>
      <c r="T838" s="63"/>
      <c r="U838" s="63"/>
      <c r="V838" s="63"/>
      <c r="W838" s="63"/>
      <c r="X838" s="63"/>
      <c r="Y838" s="63"/>
      <c r="Z838" s="62"/>
    </row>
    <row r="839" ht="14.25" customHeight="1">
      <c r="A839" s="59"/>
      <c r="B839" s="97"/>
      <c r="C839" s="97"/>
      <c r="D839" s="97"/>
      <c r="E839" s="97"/>
      <c r="F839" s="97"/>
      <c r="G839" s="97"/>
      <c r="H839" s="59"/>
      <c r="I839" s="61"/>
      <c r="J839" s="61"/>
      <c r="K839" s="61"/>
      <c r="L839" s="62"/>
      <c r="M839" s="62"/>
      <c r="N839" s="63"/>
      <c r="O839" s="63"/>
      <c r="P839" s="63"/>
      <c r="Q839" s="63"/>
      <c r="R839" s="63"/>
      <c r="S839" s="63"/>
      <c r="T839" s="63"/>
      <c r="U839" s="63"/>
      <c r="V839" s="63"/>
      <c r="W839" s="63"/>
      <c r="X839" s="63"/>
      <c r="Y839" s="63"/>
      <c r="Z839" s="62"/>
    </row>
    <row r="840" ht="14.25" customHeight="1">
      <c r="A840" s="59"/>
      <c r="B840" s="97"/>
      <c r="C840" s="97"/>
      <c r="D840" s="97"/>
      <c r="E840" s="97"/>
      <c r="F840" s="97"/>
      <c r="G840" s="97"/>
      <c r="H840" s="59"/>
      <c r="I840" s="61"/>
      <c r="J840" s="61"/>
      <c r="K840" s="61"/>
      <c r="L840" s="62"/>
      <c r="M840" s="62"/>
      <c r="N840" s="63"/>
      <c r="O840" s="63"/>
      <c r="P840" s="63"/>
      <c r="Q840" s="63"/>
      <c r="R840" s="63"/>
      <c r="S840" s="63"/>
      <c r="T840" s="63"/>
      <c r="U840" s="63"/>
      <c r="V840" s="63"/>
      <c r="W840" s="63"/>
      <c r="X840" s="63"/>
      <c r="Y840" s="63"/>
      <c r="Z840" s="62"/>
    </row>
    <row r="841" ht="14.25" customHeight="1">
      <c r="A841" s="59"/>
      <c r="B841" s="97"/>
      <c r="C841" s="97"/>
      <c r="D841" s="97"/>
      <c r="E841" s="97"/>
      <c r="F841" s="97"/>
      <c r="G841" s="97"/>
      <c r="H841" s="59"/>
      <c r="I841" s="61"/>
      <c r="J841" s="61"/>
      <c r="K841" s="61"/>
      <c r="L841" s="62"/>
      <c r="M841" s="62"/>
      <c r="N841" s="63"/>
      <c r="O841" s="63"/>
      <c r="P841" s="63"/>
      <c r="Q841" s="63"/>
      <c r="R841" s="63"/>
      <c r="S841" s="63"/>
      <c r="T841" s="63"/>
      <c r="U841" s="63"/>
      <c r="V841" s="63"/>
      <c r="W841" s="63"/>
      <c r="X841" s="63"/>
      <c r="Y841" s="63"/>
      <c r="Z841" s="62"/>
    </row>
    <row r="842" ht="14.25" customHeight="1">
      <c r="A842" s="59"/>
      <c r="B842" s="97"/>
      <c r="C842" s="97"/>
      <c r="D842" s="97"/>
      <c r="E842" s="97"/>
      <c r="F842" s="97"/>
      <c r="G842" s="97"/>
      <c r="H842" s="59"/>
      <c r="I842" s="61"/>
      <c r="J842" s="61"/>
      <c r="K842" s="61"/>
      <c r="L842" s="62"/>
      <c r="M842" s="62"/>
      <c r="N842" s="63"/>
      <c r="O842" s="63"/>
      <c r="P842" s="63"/>
      <c r="Q842" s="63"/>
      <c r="R842" s="63"/>
      <c r="S842" s="63"/>
      <c r="T842" s="63"/>
      <c r="U842" s="63"/>
      <c r="V842" s="63"/>
      <c r="W842" s="63"/>
      <c r="X842" s="63"/>
      <c r="Y842" s="63"/>
      <c r="Z842" s="62"/>
    </row>
    <row r="843" ht="14.25" customHeight="1">
      <c r="A843" s="59"/>
      <c r="B843" s="97"/>
      <c r="C843" s="97"/>
      <c r="D843" s="97"/>
      <c r="E843" s="97"/>
      <c r="F843" s="97"/>
      <c r="G843" s="97"/>
      <c r="H843" s="59"/>
      <c r="I843" s="61"/>
      <c r="J843" s="61"/>
      <c r="K843" s="61"/>
      <c r="L843" s="62"/>
      <c r="M843" s="62"/>
      <c r="N843" s="63"/>
      <c r="O843" s="63"/>
      <c r="P843" s="63"/>
      <c r="Q843" s="63"/>
      <c r="R843" s="63"/>
      <c r="S843" s="63"/>
      <c r="T843" s="63"/>
      <c r="U843" s="63"/>
      <c r="V843" s="63"/>
      <c r="W843" s="63"/>
      <c r="X843" s="63"/>
      <c r="Y843" s="63"/>
      <c r="Z843" s="62"/>
    </row>
    <row r="844" ht="14.25" customHeight="1">
      <c r="A844" s="59"/>
      <c r="B844" s="97"/>
      <c r="C844" s="97"/>
      <c r="D844" s="97"/>
      <c r="E844" s="97"/>
      <c r="F844" s="97"/>
      <c r="G844" s="97"/>
      <c r="H844" s="59"/>
      <c r="I844" s="61"/>
      <c r="J844" s="61"/>
      <c r="K844" s="61"/>
      <c r="L844" s="62"/>
      <c r="M844" s="62"/>
      <c r="N844" s="63"/>
      <c r="O844" s="63"/>
      <c r="P844" s="63"/>
      <c r="Q844" s="63"/>
      <c r="R844" s="63"/>
      <c r="S844" s="63"/>
      <c r="T844" s="63"/>
      <c r="U844" s="63"/>
      <c r="V844" s="63"/>
      <c r="W844" s="63"/>
      <c r="X844" s="63"/>
      <c r="Y844" s="63"/>
      <c r="Z844" s="62"/>
    </row>
    <row r="845" ht="14.25" customHeight="1">
      <c r="A845" s="59"/>
      <c r="B845" s="97"/>
      <c r="C845" s="97"/>
      <c r="D845" s="97"/>
      <c r="E845" s="97"/>
      <c r="F845" s="97"/>
      <c r="G845" s="97"/>
      <c r="H845" s="59"/>
      <c r="I845" s="61"/>
      <c r="J845" s="61"/>
      <c r="K845" s="61"/>
      <c r="L845" s="62"/>
      <c r="M845" s="62"/>
      <c r="N845" s="63"/>
      <c r="O845" s="63"/>
      <c r="P845" s="63"/>
      <c r="Q845" s="63"/>
      <c r="R845" s="63"/>
      <c r="S845" s="63"/>
      <c r="T845" s="63"/>
      <c r="U845" s="63"/>
      <c r="V845" s="63"/>
      <c r="W845" s="63"/>
      <c r="X845" s="63"/>
      <c r="Y845" s="63"/>
      <c r="Z845" s="62"/>
    </row>
    <row r="846" ht="14.25" customHeight="1">
      <c r="A846" s="59"/>
      <c r="B846" s="97"/>
      <c r="C846" s="97"/>
      <c r="D846" s="97"/>
      <c r="E846" s="97"/>
      <c r="F846" s="97"/>
      <c r="G846" s="97"/>
      <c r="H846" s="59"/>
      <c r="I846" s="61"/>
      <c r="J846" s="61"/>
      <c r="K846" s="61"/>
      <c r="L846" s="62"/>
      <c r="M846" s="62"/>
      <c r="N846" s="63"/>
      <c r="O846" s="63"/>
      <c r="P846" s="63"/>
      <c r="Q846" s="63"/>
      <c r="R846" s="63"/>
      <c r="S846" s="63"/>
      <c r="T846" s="63"/>
      <c r="U846" s="63"/>
      <c r="V846" s="63"/>
      <c r="W846" s="63"/>
      <c r="X846" s="63"/>
      <c r="Y846" s="63"/>
      <c r="Z846" s="62"/>
    </row>
    <row r="847" ht="14.25" customHeight="1">
      <c r="A847" s="59"/>
      <c r="B847" s="97"/>
      <c r="C847" s="97"/>
      <c r="D847" s="97"/>
      <c r="E847" s="97"/>
      <c r="F847" s="97"/>
      <c r="G847" s="97"/>
      <c r="H847" s="59"/>
      <c r="I847" s="61"/>
      <c r="J847" s="61"/>
      <c r="K847" s="61"/>
      <c r="L847" s="62"/>
      <c r="M847" s="62"/>
      <c r="N847" s="63"/>
      <c r="O847" s="63"/>
      <c r="P847" s="63"/>
      <c r="Q847" s="63"/>
      <c r="R847" s="63"/>
      <c r="S847" s="63"/>
      <c r="T847" s="63"/>
      <c r="U847" s="63"/>
      <c r="V847" s="63"/>
      <c r="W847" s="63"/>
      <c r="X847" s="63"/>
      <c r="Y847" s="63"/>
      <c r="Z847" s="62"/>
    </row>
    <row r="848" ht="14.25" customHeight="1">
      <c r="A848" s="59"/>
      <c r="B848" s="97"/>
      <c r="C848" s="97"/>
      <c r="D848" s="97"/>
      <c r="E848" s="97"/>
      <c r="F848" s="97"/>
      <c r="G848" s="97"/>
      <c r="H848" s="59"/>
      <c r="I848" s="61"/>
      <c r="J848" s="61"/>
      <c r="K848" s="61"/>
      <c r="L848" s="62"/>
      <c r="M848" s="62"/>
      <c r="N848" s="63"/>
      <c r="O848" s="63"/>
      <c r="P848" s="63"/>
      <c r="Q848" s="63"/>
      <c r="R848" s="63"/>
      <c r="S848" s="63"/>
      <c r="T848" s="63"/>
      <c r="U848" s="63"/>
      <c r="V848" s="63"/>
      <c r="W848" s="63"/>
      <c r="X848" s="63"/>
      <c r="Y848" s="63"/>
      <c r="Z848" s="62"/>
    </row>
    <row r="849" ht="14.25" customHeight="1">
      <c r="A849" s="59"/>
      <c r="B849" s="97"/>
      <c r="C849" s="97"/>
      <c r="D849" s="97"/>
      <c r="E849" s="97"/>
      <c r="F849" s="97"/>
      <c r="G849" s="97"/>
      <c r="H849" s="59"/>
      <c r="I849" s="61"/>
      <c r="J849" s="61"/>
      <c r="K849" s="61"/>
      <c r="L849" s="62"/>
      <c r="M849" s="62"/>
      <c r="N849" s="63"/>
      <c r="O849" s="63"/>
      <c r="P849" s="63"/>
      <c r="Q849" s="63"/>
      <c r="R849" s="63"/>
      <c r="S849" s="63"/>
      <c r="T849" s="63"/>
      <c r="U849" s="63"/>
      <c r="V849" s="63"/>
      <c r="W849" s="63"/>
      <c r="X849" s="63"/>
      <c r="Y849" s="63"/>
      <c r="Z849" s="62"/>
    </row>
    <row r="850" ht="14.25" customHeight="1">
      <c r="A850" s="59"/>
      <c r="B850" s="97"/>
      <c r="C850" s="97"/>
      <c r="D850" s="97"/>
      <c r="E850" s="97"/>
      <c r="F850" s="97"/>
      <c r="G850" s="97"/>
      <c r="H850" s="59"/>
      <c r="I850" s="61"/>
      <c r="J850" s="61"/>
      <c r="K850" s="61"/>
      <c r="L850" s="62"/>
      <c r="M850" s="62"/>
      <c r="N850" s="63"/>
      <c r="O850" s="63"/>
      <c r="P850" s="63"/>
      <c r="Q850" s="63"/>
      <c r="R850" s="63"/>
      <c r="S850" s="63"/>
      <c r="T850" s="63"/>
      <c r="U850" s="63"/>
      <c r="V850" s="63"/>
      <c r="W850" s="63"/>
      <c r="X850" s="63"/>
      <c r="Y850" s="63"/>
      <c r="Z850" s="62"/>
    </row>
    <row r="851" ht="14.25" customHeight="1">
      <c r="A851" s="59"/>
      <c r="B851" s="97"/>
      <c r="C851" s="97"/>
      <c r="D851" s="97"/>
      <c r="E851" s="97"/>
      <c r="F851" s="97"/>
      <c r="G851" s="97"/>
      <c r="H851" s="59"/>
      <c r="I851" s="61"/>
      <c r="J851" s="61"/>
      <c r="K851" s="61"/>
      <c r="L851" s="62"/>
      <c r="M851" s="62"/>
      <c r="N851" s="63"/>
      <c r="O851" s="63"/>
      <c r="P851" s="63"/>
      <c r="Q851" s="63"/>
      <c r="R851" s="63"/>
      <c r="S851" s="63"/>
      <c r="T851" s="63"/>
      <c r="U851" s="63"/>
      <c r="V851" s="63"/>
      <c r="W851" s="63"/>
      <c r="X851" s="63"/>
      <c r="Y851" s="63"/>
      <c r="Z851" s="62"/>
    </row>
    <row r="852" ht="14.25" customHeight="1">
      <c r="A852" s="59"/>
      <c r="B852" s="97"/>
      <c r="C852" s="97"/>
      <c r="D852" s="97"/>
      <c r="E852" s="97"/>
      <c r="F852" s="97"/>
      <c r="G852" s="97"/>
      <c r="H852" s="59"/>
      <c r="I852" s="61"/>
      <c r="J852" s="61"/>
      <c r="K852" s="61"/>
      <c r="L852" s="62"/>
      <c r="M852" s="62"/>
      <c r="N852" s="63"/>
      <c r="O852" s="63"/>
      <c r="P852" s="63"/>
      <c r="Q852" s="63"/>
      <c r="R852" s="63"/>
      <c r="S852" s="63"/>
      <c r="T852" s="63"/>
      <c r="U852" s="63"/>
      <c r="V852" s="63"/>
      <c r="W852" s="63"/>
      <c r="X852" s="63"/>
      <c r="Y852" s="63"/>
      <c r="Z852" s="62"/>
    </row>
    <row r="853" ht="14.25" customHeight="1">
      <c r="A853" s="59"/>
      <c r="B853" s="97"/>
      <c r="C853" s="97"/>
      <c r="D853" s="97"/>
      <c r="E853" s="97"/>
      <c r="F853" s="97"/>
      <c r="G853" s="97"/>
      <c r="H853" s="59"/>
      <c r="I853" s="61"/>
      <c r="J853" s="61"/>
      <c r="K853" s="61"/>
      <c r="L853" s="62"/>
      <c r="M853" s="62"/>
      <c r="N853" s="63"/>
      <c r="O853" s="63"/>
      <c r="P853" s="63"/>
      <c r="Q853" s="63"/>
      <c r="R853" s="63"/>
      <c r="S853" s="63"/>
      <c r="T853" s="63"/>
      <c r="U853" s="63"/>
      <c r="V853" s="63"/>
      <c r="W853" s="63"/>
      <c r="X853" s="63"/>
      <c r="Y853" s="63"/>
      <c r="Z853" s="62"/>
    </row>
    <row r="854" ht="14.25" customHeight="1">
      <c r="A854" s="59"/>
      <c r="B854" s="97"/>
      <c r="C854" s="97"/>
      <c r="D854" s="97"/>
      <c r="E854" s="97"/>
      <c r="F854" s="97"/>
      <c r="G854" s="97"/>
      <c r="H854" s="59"/>
      <c r="I854" s="61"/>
      <c r="J854" s="61"/>
      <c r="K854" s="61"/>
      <c r="L854" s="62"/>
      <c r="M854" s="62"/>
      <c r="N854" s="63"/>
      <c r="O854" s="63"/>
      <c r="P854" s="63"/>
      <c r="Q854" s="63"/>
      <c r="R854" s="63"/>
      <c r="S854" s="63"/>
      <c r="T854" s="63"/>
      <c r="U854" s="63"/>
      <c r="V854" s="63"/>
      <c r="W854" s="63"/>
      <c r="X854" s="63"/>
      <c r="Y854" s="63"/>
      <c r="Z854" s="62"/>
    </row>
    <row r="855" ht="14.25" customHeight="1">
      <c r="A855" s="59"/>
      <c r="B855" s="97"/>
      <c r="C855" s="97"/>
      <c r="D855" s="97"/>
      <c r="E855" s="97"/>
      <c r="F855" s="97"/>
      <c r="G855" s="97"/>
      <c r="H855" s="59"/>
      <c r="I855" s="61"/>
      <c r="J855" s="61"/>
      <c r="K855" s="61"/>
      <c r="L855" s="62"/>
      <c r="M855" s="62"/>
      <c r="N855" s="63"/>
      <c r="O855" s="63"/>
      <c r="P855" s="63"/>
      <c r="Q855" s="63"/>
      <c r="R855" s="63"/>
      <c r="S855" s="63"/>
      <c r="T855" s="63"/>
      <c r="U855" s="63"/>
      <c r="V855" s="63"/>
      <c r="W855" s="63"/>
      <c r="X855" s="63"/>
      <c r="Y855" s="63"/>
      <c r="Z855" s="62"/>
    </row>
    <row r="856" ht="14.25" customHeight="1">
      <c r="A856" s="59"/>
      <c r="B856" s="97"/>
      <c r="C856" s="97"/>
      <c r="D856" s="97"/>
      <c r="E856" s="97"/>
      <c r="F856" s="97"/>
      <c r="G856" s="97"/>
      <c r="H856" s="59"/>
      <c r="I856" s="61"/>
      <c r="J856" s="61"/>
      <c r="K856" s="61"/>
      <c r="L856" s="62"/>
      <c r="M856" s="62"/>
      <c r="N856" s="63"/>
      <c r="O856" s="63"/>
      <c r="P856" s="63"/>
      <c r="Q856" s="63"/>
      <c r="R856" s="63"/>
      <c r="S856" s="63"/>
      <c r="T856" s="63"/>
      <c r="U856" s="63"/>
      <c r="V856" s="63"/>
      <c r="W856" s="63"/>
      <c r="X856" s="63"/>
      <c r="Y856" s="63"/>
      <c r="Z856" s="62"/>
    </row>
    <row r="857" ht="14.25" customHeight="1">
      <c r="A857" s="59"/>
      <c r="B857" s="97"/>
      <c r="C857" s="97"/>
      <c r="D857" s="97"/>
      <c r="E857" s="97"/>
      <c r="F857" s="97"/>
      <c r="G857" s="97"/>
      <c r="H857" s="59"/>
      <c r="I857" s="61"/>
      <c r="J857" s="61"/>
      <c r="K857" s="61"/>
      <c r="L857" s="62"/>
      <c r="M857" s="62"/>
      <c r="N857" s="63"/>
      <c r="O857" s="63"/>
      <c r="P857" s="63"/>
      <c r="Q857" s="63"/>
      <c r="R857" s="63"/>
      <c r="S857" s="63"/>
      <c r="T857" s="63"/>
      <c r="U857" s="63"/>
      <c r="V857" s="63"/>
      <c r="W857" s="63"/>
      <c r="X857" s="63"/>
      <c r="Y857" s="63"/>
      <c r="Z857" s="62"/>
    </row>
    <row r="858" ht="14.25" customHeight="1">
      <c r="A858" s="59"/>
      <c r="B858" s="97"/>
      <c r="C858" s="97"/>
      <c r="D858" s="97"/>
      <c r="E858" s="97"/>
      <c r="F858" s="97"/>
      <c r="G858" s="97"/>
      <c r="H858" s="59"/>
      <c r="I858" s="61"/>
      <c r="J858" s="61"/>
      <c r="K858" s="61"/>
      <c r="L858" s="62"/>
      <c r="M858" s="62"/>
      <c r="N858" s="63"/>
      <c r="O858" s="63"/>
      <c r="P858" s="63"/>
      <c r="Q858" s="63"/>
      <c r="R858" s="63"/>
      <c r="S858" s="63"/>
      <c r="T858" s="63"/>
      <c r="U858" s="63"/>
      <c r="V858" s="63"/>
      <c r="W858" s="63"/>
      <c r="X858" s="63"/>
      <c r="Y858" s="63"/>
      <c r="Z858" s="62"/>
    </row>
    <row r="859" ht="14.25" customHeight="1">
      <c r="A859" s="59"/>
      <c r="B859" s="97"/>
      <c r="C859" s="97"/>
      <c r="D859" s="97"/>
      <c r="E859" s="97"/>
      <c r="F859" s="97"/>
      <c r="G859" s="97"/>
      <c r="H859" s="59"/>
      <c r="I859" s="61"/>
      <c r="J859" s="61"/>
      <c r="K859" s="61"/>
      <c r="L859" s="62"/>
      <c r="M859" s="62"/>
      <c r="N859" s="63"/>
      <c r="O859" s="63"/>
      <c r="P859" s="63"/>
      <c r="Q859" s="63"/>
      <c r="R859" s="63"/>
      <c r="S859" s="63"/>
      <c r="T859" s="63"/>
      <c r="U859" s="63"/>
      <c r="V859" s="63"/>
      <c r="W859" s="63"/>
      <c r="X859" s="63"/>
      <c r="Y859" s="63"/>
      <c r="Z859" s="62"/>
    </row>
    <row r="860" ht="14.25" customHeight="1">
      <c r="A860" s="59"/>
      <c r="B860" s="97"/>
      <c r="C860" s="97"/>
      <c r="D860" s="97"/>
      <c r="E860" s="97"/>
      <c r="F860" s="97"/>
      <c r="G860" s="97"/>
      <c r="H860" s="59"/>
      <c r="I860" s="61"/>
      <c r="J860" s="61"/>
      <c r="K860" s="61"/>
      <c r="L860" s="62"/>
      <c r="M860" s="62"/>
      <c r="N860" s="63"/>
      <c r="O860" s="63"/>
      <c r="P860" s="63"/>
      <c r="Q860" s="63"/>
      <c r="R860" s="63"/>
      <c r="S860" s="63"/>
      <c r="T860" s="63"/>
      <c r="U860" s="63"/>
      <c r="V860" s="63"/>
      <c r="W860" s="63"/>
      <c r="X860" s="63"/>
      <c r="Y860" s="63"/>
      <c r="Z860" s="62"/>
    </row>
    <row r="861" ht="14.25" customHeight="1">
      <c r="A861" s="59"/>
      <c r="B861" s="97"/>
      <c r="C861" s="97"/>
      <c r="D861" s="97"/>
      <c r="E861" s="97"/>
      <c r="F861" s="97"/>
      <c r="G861" s="97"/>
      <c r="H861" s="59"/>
      <c r="I861" s="61"/>
      <c r="J861" s="61"/>
      <c r="K861" s="61"/>
      <c r="L861" s="62"/>
      <c r="M861" s="62"/>
      <c r="N861" s="63"/>
      <c r="O861" s="63"/>
      <c r="P861" s="63"/>
      <c r="Q861" s="63"/>
      <c r="R861" s="63"/>
      <c r="S861" s="63"/>
      <c r="T861" s="63"/>
      <c r="U861" s="63"/>
      <c r="V861" s="63"/>
      <c r="W861" s="63"/>
      <c r="X861" s="63"/>
      <c r="Y861" s="63"/>
      <c r="Z861" s="62"/>
    </row>
    <row r="862" ht="14.25" customHeight="1">
      <c r="A862" s="59"/>
      <c r="B862" s="97"/>
      <c r="C862" s="97"/>
      <c r="D862" s="97"/>
      <c r="E862" s="97"/>
      <c r="F862" s="97"/>
      <c r="G862" s="97"/>
      <c r="H862" s="59"/>
      <c r="I862" s="61"/>
      <c r="J862" s="61"/>
      <c r="K862" s="61"/>
      <c r="L862" s="62"/>
      <c r="M862" s="62"/>
      <c r="N862" s="63"/>
      <c r="O862" s="63"/>
      <c r="P862" s="63"/>
      <c r="Q862" s="63"/>
      <c r="R862" s="63"/>
      <c r="S862" s="63"/>
      <c r="T862" s="63"/>
      <c r="U862" s="63"/>
      <c r="V862" s="63"/>
      <c r="W862" s="63"/>
      <c r="X862" s="63"/>
      <c r="Y862" s="63"/>
      <c r="Z862" s="62"/>
    </row>
    <row r="863" ht="14.25" customHeight="1">
      <c r="A863" s="59"/>
      <c r="B863" s="97"/>
      <c r="C863" s="97"/>
      <c r="D863" s="97"/>
      <c r="E863" s="97"/>
      <c r="F863" s="97"/>
      <c r="G863" s="97"/>
      <c r="H863" s="59"/>
      <c r="I863" s="61"/>
      <c r="J863" s="61"/>
      <c r="K863" s="61"/>
      <c r="L863" s="62"/>
      <c r="M863" s="62"/>
      <c r="N863" s="63"/>
      <c r="O863" s="63"/>
      <c r="P863" s="63"/>
      <c r="Q863" s="63"/>
      <c r="R863" s="63"/>
      <c r="S863" s="63"/>
      <c r="T863" s="63"/>
      <c r="U863" s="63"/>
      <c r="V863" s="63"/>
      <c r="W863" s="63"/>
      <c r="X863" s="63"/>
      <c r="Y863" s="63"/>
      <c r="Z863" s="62"/>
    </row>
    <row r="864" ht="14.25" customHeight="1">
      <c r="A864" s="59"/>
      <c r="B864" s="97"/>
      <c r="C864" s="97"/>
      <c r="D864" s="97"/>
      <c r="E864" s="97"/>
      <c r="F864" s="97"/>
      <c r="G864" s="97"/>
      <c r="H864" s="59"/>
      <c r="I864" s="61"/>
      <c r="J864" s="61"/>
      <c r="K864" s="61"/>
      <c r="L864" s="62"/>
      <c r="M864" s="62"/>
      <c r="N864" s="63"/>
      <c r="O864" s="63"/>
      <c r="P864" s="63"/>
      <c r="Q864" s="63"/>
      <c r="R864" s="63"/>
      <c r="S864" s="63"/>
      <c r="T864" s="63"/>
      <c r="U864" s="63"/>
      <c r="V864" s="63"/>
      <c r="W864" s="63"/>
      <c r="X864" s="63"/>
      <c r="Y864" s="63"/>
      <c r="Z864" s="62"/>
    </row>
    <row r="865" ht="14.25" customHeight="1">
      <c r="A865" s="59"/>
      <c r="B865" s="97"/>
      <c r="C865" s="97"/>
      <c r="D865" s="97"/>
      <c r="E865" s="97"/>
      <c r="F865" s="97"/>
      <c r="G865" s="97"/>
      <c r="H865" s="59"/>
      <c r="I865" s="61"/>
      <c r="J865" s="61"/>
      <c r="K865" s="61"/>
      <c r="L865" s="62"/>
      <c r="M865" s="62"/>
      <c r="N865" s="63"/>
      <c r="O865" s="63"/>
      <c r="P865" s="63"/>
      <c r="Q865" s="63"/>
      <c r="R865" s="63"/>
      <c r="S865" s="63"/>
      <c r="T865" s="63"/>
      <c r="U865" s="63"/>
      <c r="V865" s="63"/>
      <c r="W865" s="63"/>
      <c r="X865" s="63"/>
      <c r="Y865" s="63"/>
      <c r="Z865" s="62"/>
    </row>
    <row r="866" ht="14.25" customHeight="1">
      <c r="A866" s="59"/>
      <c r="B866" s="97"/>
      <c r="C866" s="97"/>
      <c r="D866" s="97"/>
      <c r="E866" s="97"/>
      <c r="F866" s="97"/>
      <c r="G866" s="97"/>
      <c r="H866" s="59"/>
      <c r="I866" s="61"/>
      <c r="J866" s="61"/>
      <c r="K866" s="61"/>
      <c r="L866" s="62"/>
      <c r="M866" s="62"/>
      <c r="N866" s="63"/>
      <c r="O866" s="63"/>
      <c r="P866" s="63"/>
      <c r="Q866" s="63"/>
      <c r="R866" s="63"/>
      <c r="S866" s="63"/>
      <c r="T866" s="63"/>
      <c r="U866" s="63"/>
      <c r="V866" s="63"/>
      <c r="W866" s="63"/>
      <c r="X866" s="63"/>
      <c r="Y866" s="63"/>
      <c r="Z866" s="62"/>
    </row>
    <row r="867" ht="14.25" customHeight="1">
      <c r="A867" s="59"/>
      <c r="B867" s="97"/>
      <c r="C867" s="97"/>
      <c r="D867" s="97"/>
      <c r="E867" s="97"/>
      <c r="F867" s="97"/>
      <c r="G867" s="97"/>
      <c r="H867" s="59"/>
      <c r="I867" s="61"/>
      <c r="J867" s="61"/>
      <c r="K867" s="61"/>
      <c r="L867" s="62"/>
      <c r="M867" s="62"/>
      <c r="N867" s="63"/>
      <c r="O867" s="63"/>
      <c r="P867" s="63"/>
      <c r="Q867" s="63"/>
      <c r="R867" s="63"/>
      <c r="S867" s="63"/>
      <c r="T867" s="63"/>
      <c r="U867" s="63"/>
      <c r="V867" s="63"/>
      <c r="W867" s="63"/>
      <c r="X867" s="63"/>
      <c r="Y867" s="63"/>
      <c r="Z867" s="62"/>
    </row>
    <row r="868" ht="14.25" customHeight="1">
      <c r="A868" s="59"/>
      <c r="B868" s="97"/>
      <c r="C868" s="97"/>
      <c r="D868" s="97"/>
      <c r="E868" s="97"/>
      <c r="F868" s="97"/>
      <c r="G868" s="97"/>
      <c r="H868" s="59"/>
      <c r="I868" s="61"/>
      <c r="J868" s="61"/>
      <c r="K868" s="61"/>
      <c r="L868" s="62"/>
      <c r="M868" s="62"/>
      <c r="N868" s="63"/>
      <c r="O868" s="63"/>
      <c r="P868" s="63"/>
      <c r="Q868" s="63"/>
      <c r="R868" s="63"/>
      <c r="S868" s="63"/>
      <c r="T868" s="63"/>
      <c r="U868" s="63"/>
      <c r="V868" s="63"/>
      <c r="W868" s="63"/>
      <c r="X868" s="63"/>
      <c r="Y868" s="63"/>
      <c r="Z868" s="62"/>
    </row>
    <row r="869" ht="14.25" customHeight="1">
      <c r="A869" s="59"/>
      <c r="B869" s="97"/>
      <c r="C869" s="97"/>
      <c r="D869" s="97"/>
      <c r="E869" s="97"/>
      <c r="F869" s="97"/>
      <c r="G869" s="97"/>
      <c r="H869" s="59"/>
      <c r="I869" s="61"/>
      <c r="J869" s="61"/>
      <c r="K869" s="61"/>
      <c r="L869" s="62"/>
      <c r="M869" s="62"/>
      <c r="N869" s="63"/>
      <c r="O869" s="63"/>
      <c r="P869" s="63"/>
      <c r="Q869" s="63"/>
      <c r="R869" s="63"/>
      <c r="S869" s="63"/>
      <c r="T869" s="63"/>
      <c r="U869" s="63"/>
      <c r="V869" s="63"/>
      <c r="W869" s="63"/>
      <c r="X869" s="63"/>
      <c r="Y869" s="63"/>
      <c r="Z869" s="62"/>
    </row>
    <row r="870" ht="14.25" customHeight="1">
      <c r="A870" s="59"/>
      <c r="B870" s="97"/>
      <c r="C870" s="97"/>
      <c r="D870" s="97"/>
      <c r="E870" s="97"/>
      <c r="F870" s="97"/>
      <c r="G870" s="97"/>
      <c r="H870" s="59"/>
      <c r="I870" s="61"/>
      <c r="J870" s="61"/>
      <c r="K870" s="61"/>
      <c r="L870" s="62"/>
      <c r="M870" s="62"/>
      <c r="N870" s="63"/>
      <c r="O870" s="63"/>
      <c r="P870" s="63"/>
      <c r="Q870" s="63"/>
      <c r="R870" s="63"/>
      <c r="S870" s="63"/>
      <c r="T870" s="63"/>
      <c r="U870" s="63"/>
      <c r="V870" s="63"/>
      <c r="W870" s="63"/>
      <c r="X870" s="63"/>
      <c r="Y870" s="63"/>
      <c r="Z870" s="62"/>
    </row>
    <row r="871" ht="14.25" customHeight="1">
      <c r="A871" s="59"/>
      <c r="B871" s="97"/>
      <c r="C871" s="97"/>
      <c r="D871" s="97"/>
      <c r="E871" s="97"/>
      <c r="F871" s="97"/>
      <c r="G871" s="97"/>
      <c r="H871" s="59"/>
      <c r="I871" s="61"/>
      <c r="J871" s="61"/>
      <c r="K871" s="61"/>
      <c r="L871" s="62"/>
      <c r="M871" s="62"/>
      <c r="N871" s="63"/>
      <c r="O871" s="63"/>
      <c r="P871" s="63"/>
      <c r="Q871" s="63"/>
      <c r="R871" s="63"/>
      <c r="S871" s="63"/>
      <c r="T871" s="63"/>
      <c r="U871" s="63"/>
      <c r="V871" s="63"/>
      <c r="W871" s="63"/>
      <c r="X871" s="63"/>
      <c r="Y871" s="63"/>
      <c r="Z871" s="62"/>
    </row>
    <row r="872" ht="14.25" customHeight="1">
      <c r="A872" s="59"/>
      <c r="B872" s="97"/>
      <c r="C872" s="97"/>
      <c r="D872" s="97"/>
      <c r="E872" s="97"/>
      <c r="F872" s="97"/>
      <c r="G872" s="97"/>
      <c r="H872" s="59"/>
      <c r="I872" s="61"/>
      <c r="J872" s="61"/>
      <c r="K872" s="61"/>
      <c r="L872" s="62"/>
      <c r="M872" s="62"/>
      <c r="N872" s="63"/>
      <c r="O872" s="63"/>
      <c r="P872" s="63"/>
      <c r="Q872" s="63"/>
      <c r="R872" s="63"/>
      <c r="S872" s="63"/>
      <c r="T872" s="63"/>
      <c r="U872" s="63"/>
      <c r="V872" s="63"/>
      <c r="W872" s="63"/>
      <c r="X872" s="63"/>
      <c r="Y872" s="63"/>
      <c r="Z872" s="62"/>
    </row>
    <row r="873" ht="14.25" customHeight="1">
      <c r="A873" s="59"/>
      <c r="B873" s="97"/>
      <c r="C873" s="97"/>
      <c r="D873" s="97"/>
      <c r="E873" s="97"/>
      <c r="F873" s="97"/>
      <c r="G873" s="97"/>
      <c r="H873" s="59"/>
      <c r="I873" s="61"/>
      <c r="J873" s="61"/>
      <c r="K873" s="61"/>
      <c r="L873" s="62"/>
      <c r="M873" s="62"/>
      <c r="N873" s="63"/>
      <c r="O873" s="63"/>
      <c r="P873" s="63"/>
      <c r="Q873" s="63"/>
      <c r="R873" s="63"/>
      <c r="S873" s="63"/>
      <c r="T873" s="63"/>
      <c r="U873" s="63"/>
      <c r="V873" s="63"/>
      <c r="W873" s="63"/>
      <c r="X873" s="63"/>
      <c r="Y873" s="63"/>
      <c r="Z873" s="62"/>
    </row>
    <row r="874" ht="14.25" customHeight="1">
      <c r="A874" s="59"/>
      <c r="B874" s="97"/>
      <c r="C874" s="97"/>
      <c r="D874" s="97"/>
      <c r="E874" s="97"/>
      <c r="F874" s="97"/>
      <c r="G874" s="97"/>
      <c r="H874" s="59"/>
      <c r="I874" s="61"/>
      <c r="J874" s="61"/>
      <c r="K874" s="61"/>
      <c r="L874" s="62"/>
      <c r="M874" s="62"/>
      <c r="N874" s="63"/>
      <c r="O874" s="63"/>
      <c r="P874" s="63"/>
      <c r="Q874" s="63"/>
      <c r="R874" s="63"/>
      <c r="S874" s="63"/>
      <c r="T874" s="63"/>
      <c r="U874" s="63"/>
      <c r="V874" s="63"/>
      <c r="W874" s="63"/>
      <c r="X874" s="63"/>
      <c r="Y874" s="63"/>
      <c r="Z874" s="62"/>
    </row>
    <row r="875" ht="14.25" customHeight="1">
      <c r="A875" s="59"/>
      <c r="B875" s="97"/>
      <c r="C875" s="97"/>
      <c r="D875" s="97"/>
      <c r="E875" s="97"/>
      <c r="F875" s="97"/>
      <c r="G875" s="97"/>
      <c r="H875" s="59"/>
      <c r="I875" s="61"/>
      <c r="J875" s="61"/>
      <c r="K875" s="61"/>
      <c r="L875" s="62"/>
      <c r="M875" s="62"/>
      <c r="N875" s="63"/>
      <c r="O875" s="63"/>
      <c r="P875" s="63"/>
      <c r="Q875" s="63"/>
      <c r="R875" s="63"/>
      <c r="S875" s="63"/>
      <c r="T875" s="63"/>
      <c r="U875" s="63"/>
      <c r="V875" s="63"/>
      <c r="W875" s="63"/>
      <c r="X875" s="63"/>
      <c r="Y875" s="63"/>
      <c r="Z875" s="62"/>
    </row>
    <row r="876" ht="14.25" customHeight="1">
      <c r="A876" s="59"/>
      <c r="B876" s="97"/>
      <c r="C876" s="97"/>
      <c r="D876" s="97"/>
      <c r="E876" s="97"/>
      <c r="F876" s="97"/>
      <c r="G876" s="97"/>
      <c r="H876" s="59"/>
      <c r="I876" s="61"/>
      <c r="J876" s="61"/>
      <c r="K876" s="61"/>
      <c r="L876" s="62"/>
      <c r="M876" s="62"/>
      <c r="N876" s="63"/>
      <c r="O876" s="63"/>
      <c r="P876" s="63"/>
      <c r="Q876" s="63"/>
      <c r="R876" s="63"/>
      <c r="S876" s="63"/>
      <c r="T876" s="63"/>
      <c r="U876" s="63"/>
      <c r="V876" s="63"/>
      <c r="W876" s="63"/>
      <c r="X876" s="63"/>
      <c r="Y876" s="63"/>
      <c r="Z876" s="62"/>
    </row>
    <row r="877" ht="14.25" customHeight="1">
      <c r="A877" s="59"/>
      <c r="B877" s="97"/>
      <c r="C877" s="97"/>
      <c r="D877" s="97"/>
      <c r="E877" s="97"/>
      <c r="F877" s="97"/>
      <c r="G877" s="97"/>
      <c r="H877" s="59"/>
      <c r="I877" s="61"/>
      <c r="J877" s="61"/>
      <c r="K877" s="61"/>
      <c r="L877" s="62"/>
      <c r="M877" s="62"/>
      <c r="N877" s="63"/>
      <c r="O877" s="63"/>
      <c r="P877" s="63"/>
      <c r="Q877" s="63"/>
      <c r="R877" s="63"/>
      <c r="S877" s="63"/>
      <c r="T877" s="63"/>
      <c r="U877" s="63"/>
      <c r="V877" s="63"/>
      <c r="W877" s="63"/>
      <c r="X877" s="63"/>
      <c r="Y877" s="63"/>
      <c r="Z877" s="62"/>
    </row>
    <row r="878" ht="14.25" customHeight="1">
      <c r="A878" s="59"/>
      <c r="B878" s="97"/>
      <c r="C878" s="97"/>
      <c r="D878" s="97"/>
      <c r="E878" s="97"/>
      <c r="F878" s="97"/>
      <c r="G878" s="97"/>
      <c r="H878" s="59"/>
      <c r="I878" s="61"/>
      <c r="J878" s="61"/>
      <c r="K878" s="61"/>
      <c r="L878" s="62"/>
      <c r="M878" s="62"/>
      <c r="N878" s="63"/>
      <c r="O878" s="63"/>
      <c r="P878" s="63"/>
      <c r="Q878" s="63"/>
      <c r="R878" s="63"/>
      <c r="S878" s="63"/>
      <c r="T878" s="63"/>
      <c r="U878" s="63"/>
      <c r="V878" s="63"/>
      <c r="W878" s="63"/>
      <c r="X878" s="63"/>
      <c r="Y878" s="63"/>
      <c r="Z878" s="62"/>
    </row>
    <row r="879" ht="14.25" customHeight="1">
      <c r="A879" s="59"/>
      <c r="B879" s="97"/>
      <c r="C879" s="97"/>
      <c r="D879" s="97"/>
      <c r="E879" s="97"/>
      <c r="F879" s="97"/>
      <c r="G879" s="97"/>
      <c r="H879" s="59"/>
      <c r="I879" s="61"/>
      <c r="J879" s="61"/>
      <c r="K879" s="61"/>
      <c r="L879" s="62"/>
      <c r="M879" s="62"/>
      <c r="N879" s="63"/>
      <c r="O879" s="63"/>
      <c r="P879" s="63"/>
      <c r="Q879" s="63"/>
      <c r="R879" s="63"/>
      <c r="S879" s="63"/>
      <c r="T879" s="63"/>
      <c r="U879" s="63"/>
      <c r="V879" s="63"/>
      <c r="W879" s="63"/>
      <c r="X879" s="63"/>
      <c r="Y879" s="63"/>
      <c r="Z879" s="62"/>
    </row>
    <row r="880" ht="14.25" customHeight="1">
      <c r="A880" s="59"/>
      <c r="B880" s="97"/>
      <c r="C880" s="97"/>
      <c r="D880" s="97"/>
      <c r="E880" s="97"/>
      <c r="F880" s="97"/>
      <c r="G880" s="97"/>
      <c r="H880" s="59"/>
      <c r="I880" s="61"/>
      <c r="J880" s="61"/>
      <c r="K880" s="61"/>
      <c r="L880" s="62"/>
      <c r="M880" s="62"/>
      <c r="N880" s="63"/>
      <c r="O880" s="63"/>
      <c r="P880" s="63"/>
      <c r="Q880" s="63"/>
      <c r="R880" s="63"/>
      <c r="S880" s="63"/>
      <c r="T880" s="63"/>
      <c r="U880" s="63"/>
      <c r="V880" s="63"/>
      <c r="W880" s="63"/>
      <c r="X880" s="63"/>
      <c r="Y880" s="63"/>
      <c r="Z880" s="62"/>
    </row>
    <row r="881" ht="14.25" customHeight="1">
      <c r="A881" s="59"/>
      <c r="B881" s="97"/>
      <c r="C881" s="97"/>
      <c r="D881" s="97"/>
      <c r="E881" s="97"/>
      <c r="F881" s="97"/>
      <c r="G881" s="97"/>
      <c r="H881" s="59"/>
      <c r="I881" s="61"/>
      <c r="J881" s="61"/>
      <c r="K881" s="61"/>
      <c r="L881" s="62"/>
      <c r="M881" s="62"/>
      <c r="N881" s="63"/>
      <c r="O881" s="63"/>
      <c r="P881" s="63"/>
      <c r="Q881" s="63"/>
      <c r="R881" s="63"/>
      <c r="S881" s="63"/>
      <c r="T881" s="63"/>
      <c r="U881" s="63"/>
      <c r="V881" s="63"/>
      <c r="W881" s="63"/>
      <c r="X881" s="63"/>
      <c r="Y881" s="63"/>
      <c r="Z881" s="62"/>
    </row>
    <row r="882" ht="14.25" customHeight="1">
      <c r="A882" s="59"/>
      <c r="B882" s="97"/>
      <c r="C882" s="97"/>
      <c r="D882" s="97"/>
      <c r="E882" s="97"/>
      <c r="F882" s="97"/>
      <c r="G882" s="97"/>
      <c r="H882" s="59"/>
      <c r="I882" s="61"/>
      <c r="J882" s="61"/>
      <c r="K882" s="61"/>
      <c r="L882" s="62"/>
      <c r="M882" s="62"/>
      <c r="N882" s="63"/>
      <c r="O882" s="63"/>
      <c r="P882" s="63"/>
      <c r="Q882" s="63"/>
      <c r="R882" s="63"/>
      <c r="S882" s="63"/>
      <c r="T882" s="63"/>
      <c r="U882" s="63"/>
      <c r="V882" s="63"/>
      <c r="W882" s="63"/>
      <c r="X882" s="63"/>
      <c r="Y882" s="63"/>
      <c r="Z882" s="62"/>
    </row>
    <row r="883" ht="14.25" customHeight="1">
      <c r="A883" s="59"/>
      <c r="B883" s="97"/>
      <c r="C883" s="97"/>
      <c r="D883" s="97"/>
      <c r="E883" s="97"/>
      <c r="F883" s="97"/>
      <c r="G883" s="97"/>
      <c r="H883" s="59"/>
      <c r="I883" s="61"/>
      <c r="J883" s="61"/>
      <c r="K883" s="61"/>
      <c r="L883" s="62"/>
      <c r="M883" s="62"/>
      <c r="N883" s="63"/>
      <c r="O883" s="63"/>
      <c r="P883" s="63"/>
      <c r="Q883" s="63"/>
      <c r="R883" s="63"/>
      <c r="S883" s="63"/>
      <c r="T883" s="63"/>
      <c r="U883" s="63"/>
      <c r="V883" s="63"/>
      <c r="W883" s="63"/>
      <c r="X883" s="63"/>
      <c r="Y883" s="63"/>
      <c r="Z883" s="62"/>
    </row>
    <row r="884" ht="14.25" customHeight="1">
      <c r="A884" s="59"/>
      <c r="B884" s="97"/>
      <c r="C884" s="97"/>
      <c r="D884" s="97"/>
      <c r="E884" s="97"/>
      <c r="F884" s="97"/>
      <c r="G884" s="97"/>
      <c r="H884" s="59"/>
      <c r="I884" s="61"/>
      <c r="J884" s="61"/>
      <c r="K884" s="61"/>
      <c r="L884" s="62"/>
      <c r="M884" s="62"/>
      <c r="N884" s="63"/>
      <c r="O884" s="63"/>
      <c r="P884" s="63"/>
      <c r="Q884" s="63"/>
      <c r="R884" s="63"/>
      <c r="S884" s="63"/>
      <c r="T884" s="63"/>
      <c r="U884" s="63"/>
      <c r="V884" s="63"/>
      <c r="W884" s="63"/>
      <c r="X884" s="63"/>
      <c r="Y884" s="63"/>
      <c r="Z884" s="62"/>
    </row>
    <row r="885" ht="14.25" customHeight="1">
      <c r="A885" s="59"/>
      <c r="B885" s="97"/>
      <c r="C885" s="97"/>
      <c r="D885" s="97"/>
      <c r="E885" s="97"/>
      <c r="F885" s="97"/>
      <c r="G885" s="97"/>
      <c r="H885" s="59"/>
      <c r="I885" s="61"/>
      <c r="J885" s="61"/>
      <c r="K885" s="61"/>
      <c r="L885" s="62"/>
      <c r="M885" s="62"/>
      <c r="N885" s="63"/>
      <c r="O885" s="63"/>
      <c r="P885" s="63"/>
      <c r="Q885" s="63"/>
      <c r="R885" s="63"/>
      <c r="S885" s="63"/>
      <c r="T885" s="63"/>
      <c r="U885" s="63"/>
      <c r="V885" s="63"/>
      <c r="W885" s="63"/>
      <c r="X885" s="63"/>
      <c r="Y885" s="63"/>
      <c r="Z885" s="62"/>
    </row>
    <row r="886" ht="14.25" customHeight="1">
      <c r="A886" s="59"/>
      <c r="B886" s="97"/>
      <c r="C886" s="97"/>
      <c r="D886" s="97"/>
      <c r="E886" s="97"/>
      <c r="F886" s="97"/>
      <c r="G886" s="97"/>
      <c r="H886" s="59"/>
      <c r="I886" s="61"/>
      <c r="J886" s="61"/>
      <c r="K886" s="61"/>
      <c r="L886" s="62"/>
      <c r="M886" s="62"/>
      <c r="N886" s="63"/>
      <c r="O886" s="63"/>
      <c r="P886" s="63"/>
      <c r="Q886" s="63"/>
      <c r="R886" s="63"/>
      <c r="S886" s="63"/>
      <c r="T886" s="63"/>
      <c r="U886" s="63"/>
      <c r="V886" s="63"/>
      <c r="W886" s="63"/>
      <c r="X886" s="63"/>
      <c r="Y886" s="63"/>
      <c r="Z886" s="62"/>
    </row>
    <row r="887" ht="14.25" customHeight="1">
      <c r="A887" s="59"/>
      <c r="B887" s="97"/>
      <c r="C887" s="97"/>
      <c r="D887" s="97"/>
      <c r="E887" s="97"/>
      <c r="F887" s="97"/>
      <c r="G887" s="97"/>
      <c r="H887" s="59"/>
      <c r="I887" s="61"/>
      <c r="J887" s="61"/>
      <c r="K887" s="61"/>
      <c r="L887" s="62"/>
      <c r="M887" s="62"/>
      <c r="N887" s="63"/>
      <c r="O887" s="63"/>
      <c r="P887" s="63"/>
      <c r="Q887" s="63"/>
      <c r="R887" s="63"/>
      <c r="S887" s="63"/>
      <c r="T887" s="63"/>
      <c r="U887" s="63"/>
      <c r="V887" s="63"/>
      <c r="W887" s="63"/>
      <c r="X887" s="63"/>
      <c r="Y887" s="63"/>
      <c r="Z887" s="62"/>
    </row>
    <row r="888" ht="14.25" customHeight="1">
      <c r="A888" s="59"/>
      <c r="B888" s="97"/>
      <c r="C888" s="97"/>
      <c r="D888" s="97"/>
      <c r="E888" s="97"/>
      <c r="F888" s="97"/>
      <c r="G888" s="97"/>
      <c r="H888" s="59"/>
      <c r="I888" s="61"/>
      <c r="J888" s="61"/>
      <c r="K888" s="61"/>
      <c r="L888" s="62"/>
      <c r="M888" s="62"/>
      <c r="N888" s="63"/>
      <c r="O888" s="63"/>
      <c r="P888" s="63"/>
      <c r="Q888" s="63"/>
      <c r="R888" s="63"/>
      <c r="S888" s="63"/>
      <c r="T888" s="63"/>
      <c r="U888" s="63"/>
      <c r="V888" s="63"/>
      <c r="W888" s="63"/>
      <c r="X888" s="63"/>
      <c r="Y888" s="63"/>
      <c r="Z888" s="62"/>
    </row>
    <row r="889" ht="14.25" customHeight="1">
      <c r="A889" s="59"/>
      <c r="B889" s="97"/>
      <c r="C889" s="97"/>
      <c r="D889" s="97"/>
      <c r="E889" s="97"/>
      <c r="F889" s="97"/>
      <c r="G889" s="97"/>
      <c r="H889" s="59"/>
      <c r="I889" s="61"/>
      <c r="J889" s="61"/>
      <c r="K889" s="61"/>
      <c r="L889" s="62"/>
      <c r="M889" s="62"/>
      <c r="N889" s="63"/>
      <c r="O889" s="63"/>
      <c r="P889" s="63"/>
      <c r="Q889" s="63"/>
      <c r="R889" s="63"/>
      <c r="S889" s="63"/>
      <c r="T889" s="63"/>
      <c r="U889" s="63"/>
      <c r="V889" s="63"/>
      <c r="W889" s="63"/>
      <c r="X889" s="63"/>
      <c r="Y889" s="63"/>
      <c r="Z889" s="62"/>
    </row>
    <row r="890" ht="14.25" customHeight="1">
      <c r="A890" s="59"/>
      <c r="B890" s="97"/>
      <c r="C890" s="97"/>
      <c r="D890" s="97"/>
      <c r="E890" s="97"/>
      <c r="F890" s="97"/>
      <c r="G890" s="97"/>
      <c r="H890" s="59"/>
      <c r="I890" s="61"/>
      <c r="J890" s="61"/>
      <c r="K890" s="61"/>
      <c r="L890" s="62"/>
      <c r="M890" s="62"/>
      <c r="N890" s="63"/>
      <c r="O890" s="63"/>
      <c r="P890" s="63"/>
      <c r="Q890" s="63"/>
      <c r="R890" s="63"/>
      <c r="S890" s="63"/>
      <c r="T890" s="63"/>
      <c r="U890" s="63"/>
      <c r="V890" s="63"/>
      <c r="W890" s="63"/>
      <c r="X890" s="63"/>
      <c r="Y890" s="63"/>
      <c r="Z890" s="62"/>
    </row>
    <row r="891" ht="14.25" customHeight="1">
      <c r="A891" s="59"/>
      <c r="B891" s="97"/>
      <c r="C891" s="97"/>
      <c r="D891" s="97"/>
      <c r="E891" s="97"/>
      <c r="F891" s="97"/>
      <c r="G891" s="97"/>
      <c r="H891" s="59"/>
      <c r="I891" s="61"/>
      <c r="J891" s="61"/>
      <c r="K891" s="61"/>
      <c r="L891" s="62"/>
      <c r="M891" s="62"/>
      <c r="N891" s="63"/>
      <c r="O891" s="63"/>
      <c r="P891" s="63"/>
      <c r="Q891" s="63"/>
      <c r="R891" s="63"/>
      <c r="S891" s="63"/>
      <c r="T891" s="63"/>
      <c r="U891" s="63"/>
      <c r="V891" s="63"/>
      <c r="W891" s="63"/>
      <c r="X891" s="63"/>
      <c r="Y891" s="63"/>
      <c r="Z891" s="62"/>
    </row>
    <row r="892" ht="14.25" customHeight="1">
      <c r="A892" s="59"/>
      <c r="B892" s="97"/>
      <c r="C892" s="97"/>
      <c r="D892" s="97"/>
      <c r="E892" s="97"/>
      <c r="F892" s="97"/>
      <c r="G892" s="97"/>
      <c r="H892" s="59"/>
      <c r="I892" s="61"/>
      <c r="J892" s="61"/>
      <c r="K892" s="61"/>
      <c r="L892" s="62"/>
      <c r="M892" s="62"/>
      <c r="N892" s="63"/>
      <c r="O892" s="63"/>
      <c r="P892" s="63"/>
      <c r="Q892" s="63"/>
      <c r="R892" s="63"/>
      <c r="S892" s="63"/>
      <c r="T892" s="63"/>
      <c r="U892" s="63"/>
      <c r="V892" s="63"/>
      <c r="W892" s="63"/>
      <c r="X892" s="63"/>
      <c r="Y892" s="63"/>
      <c r="Z892" s="62"/>
    </row>
    <row r="893" ht="14.25" customHeight="1">
      <c r="A893" s="59"/>
      <c r="B893" s="97"/>
      <c r="C893" s="97"/>
      <c r="D893" s="97"/>
      <c r="E893" s="97"/>
      <c r="F893" s="97"/>
      <c r="G893" s="97"/>
      <c r="H893" s="59"/>
      <c r="I893" s="61"/>
      <c r="J893" s="61"/>
      <c r="K893" s="61"/>
      <c r="L893" s="62"/>
      <c r="M893" s="62"/>
      <c r="N893" s="63"/>
      <c r="O893" s="63"/>
      <c r="P893" s="63"/>
      <c r="Q893" s="63"/>
      <c r="R893" s="63"/>
      <c r="S893" s="63"/>
      <c r="T893" s="63"/>
      <c r="U893" s="63"/>
      <c r="V893" s="63"/>
      <c r="W893" s="63"/>
      <c r="X893" s="63"/>
      <c r="Y893" s="63"/>
      <c r="Z893" s="62"/>
    </row>
    <row r="894" ht="14.25" customHeight="1">
      <c r="A894" s="59"/>
      <c r="B894" s="97"/>
      <c r="C894" s="97"/>
      <c r="D894" s="97"/>
      <c r="E894" s="97"/>
      <c r="F894" s="97"/>
      <c r="G894" s="97"/>
      <c r="H894" s="59"/>
      <c r="I894" s="61"/>
      <c r="J894" s="61"/>
      <c r="K894" s="61"/>
      <c r="L894" s="62"/>
      <c r="M894" s="62"/>
      <c r="N894" s="63"/>
      <c r="O894" s="63"/>
      <c r="P894" s="63"/>
      <c r="Q894" s="63"/>
      <c r="R894" s="63"/>
      <c r="S894" s="63"/>
      <c r="T894" s="63"/>
      <c r="U894" s="63"/>
      <c r="V894" s="63"/>
      <c r="W894" s="63"/>
      <c r="X894" s="63"/>
      <c r="Y894" s="63"/>
      <c r="Z894" s="62"/>
    </row>
    <row r="895" ht="14.25" customHeight="1">
      <c r="A895" s="59"/>
      <c r="B895" s="97"/>
      <c r="C895" s="97"/>
      <c r="D895" s="97"/>
      <c r="E895" s="97"/>
      <c r="F895" s="97"/>
      <c r="G895" s="97"/>
      <c r="H895" s="59"/>
      <c r="I895" s="61"/>
      <c r="J895" s="61"/>
      <c r="K895" s="61"/>
      <c r="L895" s="62"/>
      <c r="M895" s="62"/>
      <c r="N895" s="63"/>
      <c r="O895" s="63"/>
      <c r="P895" s="63"/>
      <c r="Q895" s="63"/>
      <c r="R895" s="63"/>
      <c r="S895" s="63"/>
      <c r="T895" s="63"/>
      <c r="U895" s="63"/>
      <c r="V895" s="63"/>
      <c r="W895" s="63"/>
      <c r="X895" s="63"/>
      <c r="Y895" s="63"/>
      <c r="Z895" s="62"/>
    </row>
    <row r="896" ht="14.25" customHeight="1">
      <c r="A896" s="59"/>
      <c r="B896" s="97"/>
      <c r="C896" s="97"/>
      <c r="D896" s="97"/>
      <c r="E896" s="97"/>
      <c r="F896" s="97"/>
      <c r="G896" s="97"/>
      <c r="H896" s="59"/>
      <c r="I896" s="61"/>
      <c r="J896" s="61"/>
      <c r="K896" s="61"/>
      <c r="L896" s="62"/>
      <c r="M896" s="62"/>
      <c r="N896" s="63"/>
      <c r="O896" s="63"/>
      <c r="P896" s="63"/>
      <c r="Q896" s="63"/>
      <c r="R896" s="63"/>
      <c r="S896" s="63"/>
      <c r="T896" s="63"/>
      <c r="U896" s="63"/>
      <c r="V896" s="63"/>
      <c r="W896" s="63"/>
      <c r="X896" s="63"/>
      <c r="Y896" s="63"/>
      <c r="Z896" s="62"/>
    </row>
    <row r="897" ht="14.25" customHeight="1">
      <c r="A897" s="59"/>
      <c r="B897" s="97"/>
      <c r="C897" s="97"/>
      <c r="D897" s="97"/>
      <c r="E897" s="97"/>
      <c r="F897" s="97"/>
      <c r="G897" s="97"/>
      <c r="H897" s="59"/>
      <c r="I897" s="61"/>
      <c r="J897" s="61"/>
      <c r="K897" s="61"/>
      <c r="L897" s="62"/>
      <c r="M897" s="62"/>
      <c r="N897" s="63"/>
      <c r="O897" s="63"/>
      <c r="P897" s="63"/>
      <c r="Q897" s="63"/>
      <c r="R897" s="63"/>
      <c r="S897" s="63"/>
      <c r="T897" s="63"/>
      <c r="U897" s="63"/>
      <c r="V897" s="63"/>
      <c r="W897" s="63"/>
      <c r="X897" s="63"/>
      <c r="Y897" s="63"/>
      <c r="Z897" s="62"/>
    </row>
    <row r="898" ht="14.25" customHeight="1">
      <c r="A898" s="59"/>
      <c r="B898" s="97"/>
      <c r="C898" s="97"/>
      <c r="D898" s="97"/>
      <c r="E898" s="97"/>
      <c r="F898" s="97"/>
      <c r="G898" s="97"/>
      <c r="H898" s="59"/>
      <c r="I898" s="61"/>
      <c r="J898" s="61"/>
      <c r="K898" s="61"/>
      <c r="L898" s="62"/>
      <c r="M898" s="62"/>
      <c r="N898" s="63"/>
      <c r="O898" s="63"/>
      <c r="P898" s="63"/>
      <c r="Q898" s="63"/>
      <c r="R898" s="63"/>
      <c r="S898" s="63"/>
      <c r="T898" s="63"/>
      <c r="U898" s="63"/>
      <c r="V898" s="63"/>
      <c r="W898" s="63"/>
      <c r="X898" s="63"/>
      <c r="Y898" s="63"/>
      <c r="Z898" s="62"/>
    </row>
    <row r="899" ht="14.25" customHeight="1">
      <c r="A899" s="59"/>
      <c r="B899" s="97"/>
      <c r="C899" s="97"/>
      <c r="D899" s="97"/>
      <c r="E899" s="97"/>
      <c r="F899" s="97"/>
      <c r="G899" s="97"/>
      <c r="H899" s="59"/>
      <c r="I899" s="61"/>
      <c r="J899" s="61"/>
      <c r="K899" s="61"/>
      <c r="L899" s="62"/>
      <c r="M899" s="62"/>
      <c r="N899" s="63"/>
      <c r="O899" s="63"/>
      <c r="P899" s="63"/>
      <c r="Q899" s="63"/>
      <c r="R899" s="63"/>
      <c r="S899" s="63"/>
      <c r="T899" s="63"/>
      <c r="U899" s="63"/>
      <c r="V899" s="63"/>
      <c r="W899" s="63"/>
      <c r="X899" s="63"/>
      <c r="Y899" s="63"/>
      <c r="Z899" s="62"/>
    </row>
    <row r="900" ht="14.25" customHeight="1">
      <c r="A900" s="59"/>
      <c r="B900" s="97"/>
      <c r="C900" s="97"/>
      <c r="D900" s="97"/>
      <c r="E900" s="97"/>
      <c r="F900" s="97"/>
      <c r="G900" s="97"/>
      <c r="H900" s="59"/>
      <c r="I900" s="61"/>
      <c r="J900" s="61"/>
      <c r="K900" s="61"/>
      <c r="L900" s="62"/>
      <c r="M900" s="62"/>
      <c r="N900" s="63"/>
      <c r="O900" s="63"/>
      <c r="P900" s="63"/>
      <c r="Q900" s="63"/>
      <c r="R900" s="63"/>
      <c r="S900" s="63"/>
      <c r="T900" s="63"/>
      <c r="U900" s="63"/>
      <c r="V900" s="63"/>
      <c r="W900" s="63"/>
      <c r="X900" s="63"/>
      <c r="Y900" s="63"/>
      <c r="Z900" s="62"/>
    </row>
    <row r="901" ht="14.25" customHeight="1">
      <c r="A901" s="59"/>
      <c r="B901" s="97"/>
      <c r="C901" s="97"/>
      <c r="D901" s="97"/>
      <c r="E901" s="97"/>
      <c r="F901" s="97"/>
      <c r="G901" s="97"/>
      <c r="H901" s="59"/>
      <c r="I901" s="61"/>
      <c r="J901" s="61"/>
      <c r="K901" s="61"/>
      <c r="L901" s="62"/>
      <c r="M901" s="62"/>
      <c r="N901" s="63"/>
      <c r="O901" s="63"/>
      <c r="P901" s="63"/>
      <c r="Q901" s="63"/>
      <c r="R901" s="63"/>
      <c r="S901" s="63"/>
      <c r="T901" s="63"/>
      <c r="U901" s="63"/>
      <c r="V901" s="63"/>
      <c r="W901" s="63"/>
      <c r="X901" s="63"/>
      <c r="Y901" s="63"/>
      <c r="Z901" s="62"/>
    </row>
    <row r="902" ht="14.25" customHeight="1">
      <c r="A902" s="59"/>
      <c r="B902" s="97"/>
      <c r="C902" s="97"/>
      <c r="D902" s="97"/>
      <c r="E902" s="97"/>
      <c r="F902" s="97"/>
      <c r="G902" s="97"/>
      <c r="H902" s="59"/>
      <c r="I902" s="61"/>
      <c r="J902" s="61"/>
      <c r="K902" s="61"/>
      <c r="L902" s="62"/>
      <c r="M902" s="62"/>
      <c r="N902" s="63"/>
      <c r="O902" s="63"/>
      <c r="P902" s="63"/>
      <c r="Q902" s="63"/>
      <c r="R902" s="63"/>
      <c r="S902" s="63"/>
      <c r="T902" s="63"/>
      <c r="U902" s="63"/>
      <c r="V902" s="63"/>
      <c r="W902" s="63"/>
      <c r="X902" s="63"/>
      <c r="Y902" s="63"/>
      <c r="Z902" s="62"/>
    </row>
    <row r="903" ht="14.25" customHeight="1">
      <c r="A903" s="59"/>
      <c r="B903" s="97"/>
      <c r="C903" s="97"/>
      <c r="D903" s="97"/>
      <c r="E903" s="97"/>
      <c r="F903" s="97"/>
      <c r="G903" s="97"/>
      <c r="H903" s="59"/>
      <c r="I903" s="61"/>
      <c r="J903" s="61"/>
      <c r="K903" s="61"/>
      <c r="L903" s="62"/>
      <c r="M903" s="62"/>
      <c r="N903" s="63"/>
      <c r="O903" s="63"/>
      <c r="P903" s="63"/>
      <c r="Q903" s="63"/>
      <c r="R903" s="63"/>
      <c r="S903" s="63"/>
      <c r="T903" s="63"/>
      <c r="U903" s="63"/>
      <c r="V903" s="63"/>
      <c r="W903" s="63"/>
      <c r="X903" s="63"/>
      <c r="Y903" s="63"/>
      <c r="Z903" s="62"/>
    </row>
    <row r="904" ht="14.25" customHeight="1">
      <c r="A904" s="59"/>
      <c r="B904" s="97"/>
      <c r="C904" s="97"/>
      <c r="D904" s="97"/>
      <c r="E904" s="97"/>
      <c r="F904" s="97"/>
      <c r="G904" s="97"/>
      <c r="H904" s="59"/>
      <c r="I904" s="61"/>
      <c r="J904" s="61"/>
      <c r="K904" s="61"/>
      <c r="L904" s="62"/>
      <c r="M904" s="62"/>
      <c r="N904" s="63"/>
      <c r="O904" s="63"/>
      <c r="P904" s="63"/>
      <c r="Q904" s="63"/>
      <c r="R904" s="63"/>
      <c r="S904" s="63"/>
      <c r="T904" s="63"/>
      <c r="U904" s="63"/>
      <c r="V904" s="63"/>
      <c r="W904" s="63"/>
      <c r="X904" s="63"/>
      <c r="Y904" s="63"/>
      <c r="Z904" s="62"/>
    </row>
    <row r="905" ht="14.25" customHeight="1">
      <c r="A905" s="59"/>
      <c r="B905" s="97"/>
      <c r="C905" s="97"/>
      <c r="D905" s="97"/>
      <c r="E905" s="97"/>
      <c r="F905" s="97"/>
      <c r="G905" s="97"/>
      <c r="H905" s="59"/>
      <c r="I905" s="61"/>
      <c r="J905" s="61"/>
      <c r="K905" s="61"/>
      <c r="L905" s="62"/>
      <c r="M905" s="62"/>
      <c r="N905" s="63"/>
      <c r="O905" s="63"/>
      <c r="P905" s="63"/>
      <c r="Q905" s="63"/>
      <c r="R905" s="63"/>
      <c r="S905" s="63"/>
      <c r="T905" s="63"/>
      <c r="U905" s="63"/>
      <c r="V905" s="63"/>
      <c r="W905" s="63"/>
      <c r="X905" s="63"/>
      <c r="Y905" s="63"/>
      <c r="Z905" s="62"/>
    </row>
    <row r="906" ht="14.25" customHeight="1">
      <c r="A906" s="59"/>
      <c r="B906" s="97"/>
      <c r="C906" s="97"/>
      <c r="D906" s="97"/>
      <c r="E906" s="97"/>
      <c r="F906" s="97"/>
      <c r="G906" s="97"/>
      <c r="H906" s="59"/>
      <c r="I906" s="61"/>
      <c r="J906" s="61"/>
      <c r="K906" s="61"/>
      <c r="L906" s="62"/>
      <c r="M906" s="62"/>
      <c r="N906" s="63"/>
      <c r="O906" s="63"/>
      <c r="P906" s="63"/>
      <c r="Q906" s="63"/>
      <c r="R906" s="63"/>
      <c r="S906" s="63"/>
      <c r="T906" s="63"/>
      <c r="U906" s="63"/>
      <c r="V906" s="63"/>
      <c r="W906" s="63"/>
      <c r="X906" s="63"/>
      <c r="Y906" s="63"/>
      <c r="Z906" s="62"/>
    </row>
    <row r="907" ht="14.25" customHeight="1">
      <c r="A907" s="59"/>
      <c r="B907" s="97"/>
      <c r="C907" s="97"/>
      <c r="D907" s="97"/>
      <c r="E907" s="97"/>
      <c r="F907" s="97"/>
      <c r="G907" s="97"/>
      <c r="H907" s="59"/>
      <c r="I907" s="61"/>
      <c r="J907" s="61"/>
      <c r="K907" s="61"/>
      <c r="L907" s="62"/>
      <c r="M907" s="62"/>
      <c r="N907" s="63"/>
      <c r="O907" s="63"/>
      <c r="P907" s="63"/>
      <c r="Q907" s="63"/>
      <c r="R907" s="63"/>
      <c r="S907" s="63"/>
      <c r="T907" s="63"/>
      <c r="U907" s="63"/>
      <c r="V907" s="63"/>
      <c r="W907" s="63"/>
      <c r="X907" s="63"/>
      <c r="Y907" s="63"/>
      <c r="Z907" s="62"/>
    </row>
    <row r="908" ht="14.25" customHeight="1">
      <c r="A908" s="59"/>
      <c r="B908" s="97"/>
      <c r="C908" s="97"/>
      <c r="D908" s="97"/>
      <c r="E908" s="97"/>
      <c r="F908" s="97"/>
      <c r="G908" s="97"/>
      <c r="H908" s="59"/>
      <c r="I908" s="61"/>
      <c r="J908" s="61"/>
      <c r="K908" s="61"/>
      <c r="L908" s="62"/>
      <c r="M908" s="62"/>
      <c r="N908" s="63"/>
      <c r="O908" s="63"/>
      <c r="P908" s="63"/>
      <c r="Q908" s="63"/>
      <c r="R908" s="63"/>
      <c r="S908" s="63"/>
      <c r="T908" s="63"/>
      <c r="U908" s="63"/>
      <c r="V908" s="63"/>
      <c r="W908" s="63"/>
      <c r="X908" s="63"/>
      <c r="Y908" s="63"/>
      <c r="Z908" s="62"/>
    </row>
    <row r="909" ht="14.25" customHeight="1">
      <c r="A909" s="59"/>
      <c r="B909" s="97"/>
      <c r="C909" s="97"/>
      <c r="D909" s="97"/>
      <c r="E909" s="97"/>
      <c r="F909" s="97"/>
      <c r="G909" s="97"/>
      <c r="H909" s="59"/>
      <c r="I909" s="61"/>
      <c r="J909" s="61"/>
      <c r="K909" s="61"/>
      <c r="L909" s="62"/>
      <c r="M909" s="62"/>
      <c r="N909" s="63"/>
      <c r="O909" s="63"/>
      <c r="P909" s="63"/>
      <c r="Q909" s="63"/>
      <c r="R909" s="63"/>
      <c r="S909" s="63"/>
      <c r="T909" s="63"/>
      <c r="U909" s="63"/>
      <c r="V909" s="63"/>
      <c r="W909" s="63"/>
      <c r="X909" s="63"/>
      <c r="Y909" s="63"/>
      <c r="Z909" s="62"/>
    </row>
    <row r="910" ht="14.25" customHeight="1">
      <c r="A910" s="59"/>
      <c r="B910" s="97"/>
      <c r="C910" s="97"/>
      <c r="D910" s="97"/>
      <c r="E910" s="97"/>
      <c r="F910" s="97"/>
      <c r="G910" s="97"/>
      <c r="H910" s="59"/>
      <c r="I910" s="61"/>
      <c r="J910" s="61"/>
      <c r="K910" s="61"/>
      <c r="L910" s="62"/>
      <c r="M910" s="62"/>
      <c r="N910" s="63"/>
      <c r="O910" s="63"/>
      <c r="P910" s="63"/>
      <c r="Q910" s="63"/>
      <c r="R910" s="63"/>
      <c r="S910" s="63"/>
      <c r="T910" s="63"/>
      <c r="U910" s="63"/>
      <c r="V910" s="63"/>
      <c r="W910" s="63"/>
      <c r="X910" s="63"/>
      <c r="Y910" s="63"/>
      <c r="Z910" s="62"/>
    </row>
    <row r="911" ht="14.25" customHeight="1">
      <c r="A911" s="59"/>
      <c r="B911" s="97"/>
      <c r="C911" s="97"/>
      <c r="D911" s="97"/>
      <c r="E911" s="97"/>
      <c r="F911" s="97"/>
      <c r="G911" s="97"/>
      <c r="H911" s="59"/>
      <c r="I911" s="61"/>
      <c r="J911" s="61"/>
      <c r="K911" s="61"/>
      <c r="L911" s="62"/>
      <c r="M911" s="62"/>
      <c r="N911" s="63"/>
      <c r="O911" s="63"/>
      <c r="P911" s="63"/>
      <c r="Q911" s="63"/>
      <c r="R911" s="63"/>
      <c r="S911" s="63"/>
      <c r="T911" s="63"/>
      <c r="U911" s="63"/>
      <c r="V911" s="63"/>
      <c r="W911" s="63"/>
      <c r="X911" s="63"/>
      <c r="Y911" s="63"/>
      <c r="Z911" s="62"/>
    </row>
    <row r="912" ht="14.25" customHeight="1">
      <c r="A912" s="59"/>
      <c r="B912" s="97"/>
      <c r="C912" s="97"/>
      <c r="D912" s="97"/>
      <c r="E912" s="97"/>
      <c r="F912" s="97"/>
      <c r="G912" s="97"/>
      <c r="H912" s="59"/>
      <c r="I912" s="61"/>
      <c r="J912" s="61"/>
      <c r="K912" s="61"/>
      <c r="L912" s="62"/>
      <c r="M912" s="62"/>
      <c r="N912" s="63"/>
      <c r="O912" s="63"/>
      <c r="P912" s="63"/>
      <c r="Q912" s="63"/>
      <c r="R912" s="63"/>
      <c r="S912" s="63"/>
      <c r="T912" s="63"/>
      <c r="U912" s="63"/>
      <c r="V912" s="63"/>
      <c r="W912" s="63"/>
      <c r="X912" s="63"/>
      <c r="Y912" s="63"/>
      <c r="Z912" s="62"/>
    </row>
    <row r="913" ht="14.25" customHeight="1">
      <c r="A913" s="59"/>
      <c r="B913" s="97"/>
      <c r="C913" s="97"/>
      <c r="D913" s="97"/>
      <c r="E913" s="97"/>
      <c r="F913" s="97"/>
      <c r="G913" s="97"/>
      <c r="H913" s="59"/>
      <c r="I913" s="61"/>
      <c r="J913" s="61"/>
      <c r="K913" s="61"/>
      <c r="L913" s="62"/>
      <c r="M913" s="62"/>
      <c r="N913" s="63"/>
      <c r="O913" s="63"/>
      <c r="P913" s="63"/>
      <c r="Q913" s="63"/>
      <c r="R913" s="63"/>
      <c r="S913" s="63"/>
      <c r="T913" s="63"/>
      <c r="U913" s="63"/>
      <c r="V913" s="63"/>
      <c r="W913" s="63"/>
      <c r="X913" s="63"/>
      <c r="Y913" s="63"/>
      <c r="Z913" s="62"/>
    </row>
    <row r="914" ht="14.25" customHeight="1">
      <c r="A914" s="59"/>
      <c r="B914" s="97"/>
      <c r="C914" s="97"/>
      <c r="D914" s="97"/>
      <c r="E914" s="97"/>
      <c r="F914" s="97"/>
      <c r="G914" s="97"/>
      <c r="H914" s="59"/>
      <c r="I914" s="61"/>
      <c r="J914" s="61"/>
      <c r="K914" s="61"/>
      <c r="L914" s="62"/>
      <c r="M914" s="62"/>
      <c r="N914" s="63"/>
      <c r="O914" s="63"/>
      <c r="P914" s="63"/>
      <c r="Q914" s="63"/>
      <c r="R914" s="63"/>
      <c r="S914" s="63"/>
      <c r="T914" s="63"/>
      <c r="U914" s="63"/>
      <c r="V914" s="63"/>
      <c r="W914" s="63"/>
      <c r="X914" s="63"/>
      <c r="Y914" s="63"/>
      <c r="Z914" s="62"/>
    </row>
    <row r="915" ht="14.25" customHeight="1">
      <c r="A915" s="59"/>
      <c r="B915" s="97"/>
      <c r="C915" s="97"/>
      <c r="D915" s="97"/>
      <c r="E915" s="97"/>
      <c r="F915" s="97"/>
      <c r="G915" s="97"/>
      <c r="H915" s="59"/>
      <c r="I915" s="61"/>
      <c r="J915" s="61"/>
      <c r="K915" s="61"/>
      <c r="L915" s="62"/>
      <c r="M915" s="62"/>
      <c r="N915" s="63"/>
      <c r="O915" s="63"/>
      <c r="P915" s="63"/>
      <c r="Q915" s="63"/>
      <c r="R915" s="63"/>
      <c r="S915" s="63"/>
      <c r="T915" s="63"/>
      <c r="U915" s="63"/>
      <c r="V915" s="63"/>
      <c r="W915" s="63"/>
      <c r="X915" s="63"/>
      <c r="Y915" s="63"/>
      <c r="Z915" s="62"/>
    </row>
    <row r="916" ht="14.25" customHeight="1">
      <c r="A916" s="59"/>
      <c r="B916" s="97"/>
      <c r="C916" s="97"/>
      <c r="D916" s="97"/>
      <c r="E916" s="97"/>
      <c r="F916" s="97"/>
      <c r="G916" s="97"/>
      <c r="H916" s="59"/>
      <c r="I916" s="61"/>
      <c r="J916" s="61"/>
      <c r="K916" s="61"/>
      <c r="L916" s="62"/>
      <c r="M916" s="62"/>
      <c r="N916" s="63"/>
      <c r="O916" s="63"/>
      <c r="P916" s="63"/>
      <c r="Q916" s="63"/>
      <c r="R916" s="63"/>
      <c r="S916" s="63"/>
      <c r="T916" s="63"/>
      <c r="U916" s="63"/>
      <c r="V916" s="63"/>
      <c r="W916" s="63"/>
      <c r="X916" s="63"/>
      <c r="Y916" s="63"/>
      <c r="Z916" s="62"/>
    </row>
    <row r="917" ht="14.25" customHeight="1">
      <c r="A917" s="59"/>
      <c r="B917" s="97"/>
      <c r="C917" s="97"/>
      <c r="D917" s="97"/>
      <c r="E917" s="97"/>
      <c r="F917" s="97"/>
      <c r="G917" s="97"/>
      <c r="H917" s="59"/>
      <c r="I917" s="61"/>
      <c r="J917" s="61"/>
      <c r="K917" s="61"/>
      <c r="L917" s="62"/>
      <c r="M917" s="62"/>
      <c r="N917" s="63"/>
      <c r="O917" s="63"/>
      <c r="P917" s="63"/>
      <c r="Q917" s="63"/>
      <c r="R917" s="63"/>
      <c r="S917" s="63"/>
      <c r="T917" s="63"/>
      <c r="U917" s="63"/>
      <c r="V917" s="63"/>
      <c r="W917" s="63"/>
      <c r="X917" s="63"/>
      <c r="Y917" s="63"/>
      <c r="Z917" s="62"/>
    </row>
    <row r="918" ht="14.25" customHeight="1">
      <c r="A918" s="59"/>
      <c r="B918" s="97"/>
      <c r="C918" s="97"/>
      <c r="D918" s="97"/>
      <c r="E918" s="97"/>
      <c r="F918" s="97"/>
      <c r="G918" s="97"/>
      <c r="H918" s="59"/>
      <c r="I918" s="61"/>
      <c r="J918" s="61"/>
      <c r="K918" s="61"/>
      <c r="L918" s="62"/>
      <c r="M918" s="62"/>
      <c r="N918" s="63"/>
      <c r="O918" s="63"/>
      <c r="P918" s="63"/>
      <c r="Q918" s="63"/>
      <c r="R918" s="63"/>
      <c r="S918" s="63"/>
      <c r="T918" s="63"/>
      <c r="U918" s="63"/>
      <c r="V918" s="63"/>
      <c r="W918" s="63"/>
      <c r="X918" s="63"/>
      <c r="Y918" s="63"/>
      <c r="Z918" s="62"/>
    </row>
    <row r="919" ht="14.25" customHeight="1">
      <c r="A919" s="59"/>
      <c r="B919" s="97"/>
      <c r="C919" s="97"/>
      <c r="D919" s="97"/>
      <c r="E919" s="97"/>
      <c r="F919" s="97"/>
      <c r="G919" s="97"/>
      <c r="H919" s="59"/>
      <c r="I919" s="61"/>
      <c r="J919" s="61"/>
      <c r="K919" s="61"/>
      <c r="L919" s="62"/>
      <c r="M919" s="62"/>
      <c r="N919" s="63"/>
      <c r="O919" s="63"/>
      <c r="P919" s="63"/>
      <c r="Q919" s="63"/>
      <c r="R919" s="63"/>
      <c r="S919" s="63"/>
      <c r="T919" s="63"/>
      <c r="U919" s="63"/>
      <c r="V919" s="63"/>
      <c r="W919" s="63"/>
      <c r="X919" s="63"/>
      <c r="Y919" s="63"/>
      <c r="Z919" s="62"/>
    </row>
    <row r="920" ht="14.25" customHeight="1">
      <c r="A920" s="59"/>
      <c r="B920" s="97"/>
      <c r="C920" s="97"/>
      <c r="D920" s="97"/>
      <c r="E920" s="97"/>
      <c r="F920" s="97"/>
      <c r="G920" s="97"/>
      <c r="H920" s="59"/>
      <c r="I920" s="61"/>
      <c r="J920" s="61"/>
      <c r="K920" s="61"/>
      <c r="L920" s="62"/>
      <c r="M920" s="62"/>
      <c r="N920" s="63"/>
      <c r="O920" s="63"/>
      <c r="P920" s="63"/>
      <c r="Q920" s="63"/>
      <c r="R920" s="63"/>
      <c r="S920" s="63"/>
      <c r="T920" s="63"/>
      <c r="U920" s="63"/>
      <c r="V920" s="63"/>
      <c r="W920" s="63"/>
      <c r="X920" s="63"/>
      <c r="Y920" s="63"/>
      <c r="Z920" s="62"/>
    </row>
    <row r="921" ht="14.25" customHeight="1">
      <c r="A921" s="59"/>
      <c r="B921" s="97"/>
      <c r="C921" s="97"/>
      <c r="D921" s="97"/>
      <c r="E921" s="97"/>
      <c r="F921" s="97"/>
      <c r="G921" s="97"/>
      <c r="H921" s="59"/>
      <c r="I921" s="61"/>
      <c r="J921" s="61"/>
      <c r="K921" s="61"/>
      <c r="L921" s="62"/>
      <c r="M921" s="62"/>
      <c r="N921" s="63"/>
      <c r="O921" s="63"/>
      <c r="P921" s="63"/>
      <c r="Q921" s="63"/>
      <c r="R921" s="63"/>
      <c r="S921" s="63"/>
      <c r="T921" s="63"/>
      <c r="U921" s="63"/>
      <c r="V921" s="63"/>
      <c r="W921" s="63"/>
      <c r="X921" s="63"/>
      <c r="Y921" s="63"/>
      <c r="Z921" s="62"/>
    </row>
    <row r="922" ht="14.25" customHeight="1">
      <c r="A922" s="59"/>
      <c r="B922" s="97"/>
      <c r="C922" s="97"/>
      <c r="D922" s="97"/>
      <c r="E922" s="97"/>
      <c r="F922" s="97"/>
      <c r="G922" s="97"/>
      <c r="H922" s="59"/>
      <c r="I922" s="61"/>
      <c r="J922" s="61"/>
      <c r="K922" s="61"/>
      <c r="L922" s="62"/>
      <c r="M922" s="62"/>
      <c r="N922" s="63"/>
      <c r="O922" s="63"/>
      <c r="P922" s="63"/>
      <c r="Q922" s="63"/>
      <c r="R922" s="63"/>
      <c r="S922" s="63"/>
      <c r="T922" s="63"/>
      <c r="U922" s="63"/>
      <c r="V922" s="63"/>
      <c r="W922" s="63"/>
      <c r="X922" s="63"/>
      <c r="Y922" s="63"/>
      <c r="Z922" s="62"/>
    </row>
    <row r="923" ht="14.25" customHeight="1">
      <c r="A923" s="59"/>
      <c r="B923" s="97"/>
      <c r="C923" s="97"/>
      <c r="D923" s="97"/>
      <c r="E923" s="97"/>
      <c r="F923" s="97"/>
      <c r="G923" s="97"/>
      <c r="H923" s="59"/>
      <c r="I923" s="61"/>
      <c r="J923" s="61"/>
      <c r="K923" s="61"/>
      <c r="L923" s="62"/>
      <c r="M923" s="62"/>
      <c r="N923" s="63"/>
      <c r="O923" s="63"/>
      <c r="P923" s="63"/>
      <c r="Q923" s="63"/>
      <c r="R923" s="63"/>
      <c r="S923" s="63"/>
      <c r="T923" s="63"/>
      <c r="U923" s="63"/>
      <c r="V923" s="63"/>
      <c r="W923" s="63"/>
      <c r="X923" s="63"/>
      <c r="Y923" s="63"/>
      <c r="Z923" s="62"/>
    </row>
    <row r="924" ht="14.25" customHeight="1">
      <c r="A924" s="59"/>
      <c r="B924" s="97"/>
      <c r="C924" s="97"/>
      <c r="D924" s="97"/>
      <c r="E924" s="97"/>
      <c r="F924" s="97"/>
      <c r="G924" s="97"/>
      <c r="H924" s="59"/>
      <c r="I924" s="61"/>
      <c r="J924" s="61"/>
      <c r="K924" s="61"/>
      <c r="L924" s="62"/>
      <c r="M924" s="62"/>
      <c r="N924" s="63"/>
      <c r="O924" s="63"/>
      <c r="P924" s="63"/>
      <c r="Q924" s="63"/>
      <c r="R924" s="63"/>
      <c r="S924" s="63"/>
      <c r="T924" s="63"/>
      <c r="U924" s="63"/>
      <c r="V924" s="63"/>
      <c r="W924" s="63"/>
      <c r="X924" s="63"/>
      <c r="Y924" s="63"/>
      <c r="Z924" s="62"/>
    </row>
    <row r="925" ht="14.25" customHeight="1">
      <c r="A925" s="59"/>
      <c r="B925" s="97"/>
      <c r="C925" s="97"/>
      <c r="D925" s="97"/>
      <c r="E925" s="97"/>
      <c r="F925" s="97"/>
      <c r="G925" s="97"/>
      <c r="H925" s="59"/>
      <c r="I925" s="61"/>
      <c r="J925" s="61"/>
      <c r="K925" s="61"/>
      <c r="L925" s="62"/>
      <c r="M925" s="62"/>
      <c r="N925" s="63"/>
      <c r="O925" s="63"/>
      <c r="P925" s="63"/>
      <c r="Q925" s="63"/>
      <c r="R925" s="63"/>
      <c r="S925" s="63"/>
      <c r="T925" s="63"/>
      <c r="U925" s="63"/>
      <c r="V925" s="63"/>
      <c r="W925" s="63"/>
      <c r="X925" s="63"/>
      <c r="Y925" s="63"/>
      <c r="Z925" s="62"/>
    </row>
    <row r="926" ht="14.25" customHeight="1">
      <c r="A926" s="59"/>
      <c r="B926" s="97"/>
      <c r="C926" s="97"/>
      <c r="D926" s="97"/>
      <c r="E926" s="97"/>
      <c r="F926" s="97"/>
      <c r="G926" s="97"/>
      <c r="H926" s="59"/>
      <c r="I926" s="61"/>
      <c r="J926" s="61"/>
      <c r="K926" s="61"/>
      <c r="L926" s="62"/>
      <c r="M926" s="62"/>
      <c r="N926" s="63"/>
      <c r="O926" s="63"/>
      <c r="P926" s="63"/>
      <c r="Q926" s="63"/>
      <c r="R926" s="63"/>
      <c r="S926" s="63"/>
      <c r="T926" s="63"/>
      <c r="U926" s="63"/>
      <c r="V926" s="63"/>
      <c r="W926" s="63"/>
      <c r="X926" s="63"/>
      <c r="Y926" s="63"/>
      <c r="Z926" s="62"/>
    </row>
    <row r="927" ht="14.25" customHeight="1">
      <c r="A927" s="59"/>
      <c r="B927" s="97"/>
      <c r="C927" s="97"/>
      <c r="D927" s="97"/>
      <c r="E927" s="97"/>
      <c r="F927" s="97"/>
      <c r="G927" s="97"/>
      <c r="H927" s="59"/>
      <c r="I927" s="61"/>
      <c r="J927" s="61"/>
      <c r="K927" s="61"/>
      <c r="L927" s="62"/>
      <c r="M927" s="62"/>
      <c r="N927" s="63"/>
      <c r="O927" s="63"/>
      <c r="P927" s="63"/>
      <c r="Q927" s="63"/>
      <c r="R927" s="63"/>
      <c r="S927" s="63"/>
      <c r="T927" s="63"/>
      <c r="U927" s="63"/>
      <c r="V927" s="63"/>
      <c r="W927" s="63"/>
      <c r="X927" s="63"/>
      <c r="Y927" s="63"/>
      <c r="Z927" s="62"/>
    </row>
    <row r="928" ht="14.25" customHeight="1">
      <c r="A928" s="59"/>
      <c r="B928" s="97"/>
      <c r="C928" s="97"/>
      <c r="D928" s="97"/>
      <c r="E928" s="97"/>
      <c r="F928" s="97"/>
      <c r="G928" s="97"/>
      <c r="H928" s="59"/>
      <c r="I928" s="61"/>
      <c r="J928" s="61"/>
      <c r="K928" s="61"/>
      <c r="L928" s="62"/>
      <c r="M928" s="62"/>
      <c r="N928" s="63"/>
      <c r="O928" s="63"/>
      <c r="P928" s="63"/>
      <c r="Q928" s="63"/>
      <c r="R928" s="63"/>
      <c r="S928" s="63"/>
      <c r="T928" s="63"/>
      <c r="U928" s="63"/>
      <c r="V928" s="63"/>
      <c r="W928" s="63"/>
      <c r="X928" s="63"/>
      <c r="Y928" s="63"/>
      <c r="Z928" s="62"/>
    </row>
    <row r="929" ht="14.25" customHeight="1">
      <c r="A929" s="59"/>
      <c r="B929" s="97"/>
      <c r="C929" s="97"/>
      <c r="D929" s="97"/>
      <c r="E929" s="97"/>
      <c r="F929" s="97"/>
      <c r="G929" s="97"/>
      <c r="H929" s="59"/>
      <c r="I929" s="61"/>
      <c r="J929" s="61"/>
      <c r="K929" s="61"/>
      <c r="L929" s="62"/>
      <c r="M929" s="62"/>
      <c r="N929" s="63"/>
      <c r="O929" s="63"/>
      <c r="P929" s="63"/>
      <c r="Q929" s="63"/>
      <c r="R929" s="63"/>
      <c r="S929" s="63"/>
      <c r="T929" s="63"/>
      <c r="U929" s="63"/>
      <c r="V929" s="63"/>
      <c r="W929" s="63"/>
      <c r="X929" s="63"/>
      <c r="Y929" s="63"/>
      <c r="Z929" s="62"/>
    </row>
    <row r="930" ht="14.25" customHeight="1">
      <c r="A930" s="59"/>
      <c r="B930" s="97"/>
      <c r="C930" s="97"/>
      <c r="D930" s="97"/>
      <c r="E930" s="97"/>
      <c r="F930" s="97"/>
      <c r="G930" s="97"/>
      <c r="H930" s="59"/>
      <c r="I930" s="61"/>
      <c r="J930" s="61"/>
      <c r="K930" s="61"/>
      <c r="L930" s="62"/>
      <c r="M930" s="62"/>
      <c r="N930" s="63"/>
      <c r="O930" s="63"/>
      <c r="P930" s="63"/>
      <c r="Q930" s="63"/>
      <c r="R930" s="63"/>
      <c r="S930" s="63"/>
      <c r="T930" s="63"/>
      <c r="U930" s="63"/>
      <c r="V930" s="63"/>
      <c r="W930" s="63"/>
      <c r="X930" s="63"/>
      <c r="Y930" s="63"/>
      <c r="Z930" s="62"/>
    </row>
    <row r="931" ht="14.25" customHeight="1">
      <c r="A931" s="59"/>
      <c r="B931" s="97"/>
      <c r="C931" s="97"/>
      <c r="D931" s="97"/>
      <c r="E931" s="97"/>
      <c r="F931" s="97"/>
      <c r="G931" s="97"/>
      <c r="H931" s="59"/>
      <c r="I931" s="61"/>
      <c r="J931" s="61"/>
      <c r="K931" s="61"/>
      <c r="L931" s="62"/>
      <c r="M931" s="62"/>
      <c r="N931" s="63"/>
      <c r="O931" s="63"/>
      <c r="P931" s="63"/>
      <c r="Q931" s="63"/>
      <c r="R931" s="63"/>
      <c r="S931" s="63"/>
      <c r="T931" s="63"/>
      <c r="U931" s="63"/>
      <c r="V931" s="63"/>
      <c r="W931" s="63"/>
      <c r="X931" s="63"/>
      <c r="Y931" s="63"/>
      <c r="Z931" s="62"/>
    </row>
    <row r="932" ht="14.25" customHeight="1">
      <c r="A932" s="59"/>
      <c r="B932" s="97"/>
      <c r="C932" s="97"/>
      <c r="D932" s="97"/>
      <c r="E932" s="97"/>
      <c r="F932" s="97"/>
      <c r="G932" s="97"/>
      <c r="H932" s="59"/>
      <c r="I932" s="61"/>
      <c r="J932" s="61"/>
      <c r="K932" s="61"/>
      <c r="L932" s="62"/>
      <c r="M932" s="62"/>
      <c r="N932" s="63"/>
      <c r="O932" s="63"/>
      <c r="P932" s="63"/>
      <c r="Q932" s="63"/>
      <c r="R932" s="63"/>
      <c r="S932" s="63"/>
      <c r="T932" s="63"/>
      <c r="U932" s="63"/>
      <c r="V932" s="63"/>
      <c r="W932" s="63"/>
      <c r="X932" s="63"/>
      <c r="Y932" s="63"/>
      <c r="Z932" s="62"/>
    </row>
    <row r="933" ht="14.25" customHeight="1">
      <c r="A933" s="59"/>
      <c r="B933" s="97"/>
      <c r="C933" s="97"/>
      <c r="D933" s="97"/>
      <c r="E933" s="97"/>
      <c r="F933" s="97"/>
      <c r="G933" s="97"/>
      <c r="H933" s="59"/>
      <c r="I933" s="61"/>
      <c r="J933" s="61"/>
      <c r="K933" s="61"/>
      <c r="L933" s="62"/>
      <c r="M933" s="62"/>
      <c r="N933" s="63"/>
      <c r="O933" s="63"/>
      <c r="P933" s="63"/>
      <c r="Q933" s="63"/>
      <c r="R933" s="63"/>
      <c r="S933" s="63"/>
      <c r="T933" s="63"/>
      <c r="U933" s="63"/>
      <c r="V933" s="63"/>
      <c r="W933" s="63"/>
      <c r="X933" s="63"/>
      <c r="Y933" s="63"/>
      <c r="Z933" s="62"/>
    </row>
    <row r="934" ht="14.25" customHeight="1">
      <c r="A934" s="59"/>
      <c r="B934" s="97"/>
      <c r="C934" s="97"/>
      <c r="D934" s="97"/>
      <c r="E934" s="97"/>
      <c r="F934" s="97"/>
      <c r="G934" s="97"/>
      <c r="H934" s="59"/>
      <c r="I934" s="61"/>
      <c r="J934" s="61"/>
      <c r="K934" s="61"/>
      <c r="L934" s="62"/>
      <c r="M934" s="62"/>
      <c r="N934" s="63"/>
      <c r="O934" s="63"/>
      <c r="P934" s="63"/>
      <c r="Q934" s="63"/>
      <c r="R934" s="63"/>
      <c r="S934" s="63"/>
      <c r="T934" s="63"/>
      <c r="U934" s="63"/>
      <c r="V934" s="63"/>
      <c r="W934" s="63"/>
      <c r="X934" s="63"/>
      <c r="Y934" s="63"/>
      <c r="Z934" s="62"/>
    </row>
    <row r="935" ht="14.25" customHeight="1">
      <c r="A935" s="59"/>
      <c r="B935" s="97"/>
      <c r="C935" s="97"/>
      <c r="D935" s="97"/>
      <c r="E935" s="97"/>
      <c r="F935" s="97"/>
      <c r="G935" s="97"/>
      <c r="H935" s="59"/>
      <c r="I935" s="61"/>
      <c r="J935" s="61"/>
      <c r="K935" s="61"/>
      <c r="L935" s="62"/>
      <c r="M935" s="62"/>
      <c r="N935" s="63"/>
      <c r="O935" s="63"/>
      <c r="P935" s="63"/>
      <c r="Q935" s="63"/>
      <c r="R935" s="63"/>
      <c r="S935" s="63"/>
      <c r="T935" s="63"/>
      <c r="U935" s="63"/>
      <c r="V935" s="63"/>
      <c r="W935" s="63"/>
      <c r="X935" s="63"/>
      <c r="Y935" s="63"/>
      <c r="Z935" s="62"/>
    </row>
    <row r="936" ht="14.25" customHeight="1">
      <c r="A936" s="59"/>
      <c r="B936" s="97"/>
      <c r="C936" s="97"/>
      <c r="D936" s="97"/>
      <c r="E936" s="97"/>
      <c r="F936" s="97"/>
      <c r="G936" s="97"/>
      <c r="H936" s="59"/>
      <c r="I936" s="61"/>
      <c r="J936" s="61"/>
      <c r="K936" s="61"/>
      <c r="L936" s="62"/>
      <c r="M936" s="62"/>
      <c r="N936" s="63"/>
      <c r="O936" s="63"/>
      <c r="P936" s="63"/>
      <c r="Q936" s="63"/>
      <c r="R936" s="63"/>
      <c r="S936" s="63"/>
      <c r="T936" s="63"/>
      <c r="U936" s="63"/>
      <c r="V936" s="63"/>
      <c r="W936" s="63"/>
      <c r="X936" s="63"/>
      <c r="Y936" s="63"/>
      <c r="Z936" s="62"/>
    </row>
    <row r="937" ht="14.25" customHeight="1">
      <c r="A937" s="59"/>
      <c r="B937" s="97"/>
      <c r="C937" s="97"/>
      <c r="D937" s="97"/>
      <c r="E937" s="97"/>
      <c r="F937" s="97"/>
      <c r="G937" s="97"/>
      <c r="H937" s="59"/>
      <c r="I937" s="61"/>
      <c r="J937" s="61"/>
      <c r="K937" s="61"/>
      <c r="L937" s="62"/>
      <c r="M937" s="62"/>
      <c r="N937" s="63"/>
      <c r="O937" s="63"/>
      <c r="P937" s="63"/>
      <c r="Q937" s="63"/>
      <c r="R937" s="63"/>
      <c r="S937" s="63"/>
      <c r="T937" s="63"/>
      <c r="U937" s="63"/>
      <c r="V937" s="63"/>
      <c r="W937" s="63"/>
      <c r="X937" s="63"/>
      <c r="Y937" s="63"/>
      <c r="Z937" s="62"/>
    </row>
    <row r="938" ht="14.25" customHeight="1">
      <c r="A938" s="59"/>
      <c r="B938" s="97"/>
      <c r="C938" s="97"/>
      <c r="D938" s="97"/>
      <c r="E938" s="97"/>
      <c r="F938" s="97"/>
      <c r="G938" s="97"/>
      <c r="H938" s="59"/>
      <c r="I938" s="61"/>
      <c r="J938" s="61"/>
      <c r="K938" s="61"/>
      <c r="L938" s="62"/>
      <c r="M938" s="62"/>
      <c r="N938" s="63"/>
      <c r="O938" s="63"/>
      <c r="P938" s="63"/>
      <c r="Q938" s="63"/>
      <c r="R938" s="63"/>
      <c r="S938" s="63"/>
      <c r="T938" s="63"/>
      <c r="U938" s="63"/>
      <c r="V938" s="63"/>
      <c r="W938" s="63"/>
      <c r="X938" s="63"/>
      <c r="Y938" s="63"/>
      <c r="Z938" s="62"/>
    </row>
    <row r="939" ht="14.25" customHeight="1">
      <c r="A939" s="59"/>
      <c r="B939" s="97"/>
      <c r="C939" s="97"/>
      <c r="D939" s="97"/>
      <c r="E939" s="97"/>
      <c r="F939" s="97"/>
      <c r="G939" s="97"/>
      <c r="H939" s="59"/>
      <c r="I939" s="61"/>
      <c r="J939" s="61"/>
      <c r="K939" s="61"/>
      <c r="L939" s="62"/>
      <c r="M939" s="62"/>
      <c r="N939" s="63"/>
      <c r="O939" s="63"/>
      <c r="P939" s="63"/>
      <c r="Q939" s="63"/>
      <c r="R939" s="63"/>
      <c r="S939" s="63"/>
      <c r="T939" s="63"/>
      <c r="U939" s="63"/>
      <c r="V939" s="63"/>
      <c r="W939" s="63"/>
      <c r="X939" s="63"/>
      <c r="Y939" s="63"/>
      <c r="Z939" s="62"/>
    </row>
    <row r="940" ht="14.25" customHeight="1">
      <c r="A940" s="59"/>
      <c r="B940" s="97"/>
      <c r="C940" s="97"/>
      <c r="D940" s="97"/>
      <c r="E940" s="97"/>
      <c r="F940" s="97"/>
      <c r="G940" s="97"/>
      <c r="H940" s="59"/>
      <c r="I940" s="61"/>
      <c r="J940" s="61"/>
      <c r="K940" s="61"/>
      <c r="L940" s="62"/>
      <c r="M940" s="62"/>
      <c r="N940" s="63"/>
      <c r="O940" s="63"/>
      <c r="P940" s="63"/>
      <c r="Q940" s="63"/>
      <c r="R940" s="63"/>
      <c r="S940" s="63"/>
      <c r="T940" s="63"/>
      <c r="U940" s="63"/>
      <c r="V940" s="63"/>
      <c r="W940" s="63"/>
      <c r="X940" s="63"/>
      <c r="Y940" s="63"/>
      <c r="Z940" s="62"/>
    </row>
    <row r="941" ht="14.25" customHeight="1">
      <c r="A941" s="59"/>
      <c r="B941" s="97"/>
      <c r="C941" s="97"/>
      <c r="D941" s="97"/>
      <c r="E941" s="97"/>
      <c r="F941" s="97"/>
      <c r="G941" s="97"/>
      <c r="H941" s="59"/>
      <c r="I941" s="61"/>
      <c r="J941" s="61"/>
      <c r="K941" s="61"/>
      <c r="L941" s="62"/>
      <c r="M941" s="62"/>
      <c r="N941" s="63"/>
      <c r="O941" s="63"/>
      <c r="P941" s="63"/>
      <c r="Q941" s="63"/>
      <c r="R941" s="63"/>
      <c r="S941" s="63"/>
      <c r="T941" s="63"/>
      <c r="U941" s="63"/>
      <c r="V941" s="63"/>
      <c r="W941" s="63"/>
      <c r="X941" s="63"/>
      <c r="Y941" s="63"/>
      <c r="Z941" s="62"/>
    </row>
    <row r="942" ht="14.25" customHeight="1">
      <c r="A942" s="59"/>
      <c r="B942" s="97"/>
      <c r="C942" s="97"/>
      <c r="D942" s="97"/>
      <c r="E942" s="97"/>
      <c r="F942" s="97"/>
      <c r="G942" s="97"/>
      <c r="H942" s="59"/>
      <c r="I942" s="61"/>
      <c r="J942" s="61"/>
      <c r="K942" s="61"/>
      <c r="L942" s="62"/>
      <c r="M942" s="62"/>
      <c r="N942" s="63"/>
      <c r="O942" s="63"/>
      <c r="P942" s="63"/>
      <c r="Q942" s="63"/>
      <c r="R942" s="63"/>
      <c r="S942" s="63"/>
      <c r="T942" s="63"/>
      <c r="U942" s="63"/>
      <c r="V942" s="63"/>
      <c r="W942" s="63"/>
      <c r="X942" s="63"/>
      <c r="Y942" s="63"/>
      <c r="Z942" s="62"/>
    </row>
    <row r="943" ht="14.25" customHeight="1">
      <c r="A943" s="59"/>
      <c r="B943" s="97"/>
      <c r="C943" s="97"/>
      <c r="D943" s="97"/>
      <c r="E943" s="97"/>
      <c r="F943" s="97"/>
      <c r="G943" s="97"/>
      <c r="H943" s="59"/>
      <c r="I943" s="61"/>
      <c r="J943" s="61"/>
      <c r="K943" s="61"/>
      <c r="L943" s="62"/>
      <c r="M943" s="62"/>
      <c r="N943" s="63"/>
      <c r="O943" s="63"/>
      <c r="P943" s="63"/>
      <c r="Q943" s="63"/>
      <c r="R943" s="63"/>
      <c r="S943" s="63"/>
      <c r="T943" s="63"/>
      <c r="U943" s="63"/>
      <c r="V943" s="63"/>
      <c r="W943" s="63"/>
      <c r="X943" s="63"/>
      <c r="Y943" s="63"/>
      <c r="Z943" s="62"/>
    </row>
    <row r="944" ht="14.25" customHeight="1">
      <c r="A944" s="59"/>
      <c r="B944" s="97"/>
      <c r="C944" s="97"/>
      <c r="D944" s="97"/>
      <c r="E944" s="97"/>
      <c r="F944" s="97"/>
      <c r="G944" s="97"/>
      <c r="H944" s="59"/>
      <c r="I944" s="61"/>
      <c r="J944" s="61"/>
      <c r="K944" s="61"/>
      <c r="L944" s="62"/>
      <c r="M944" s="62"/>
      <c r="N944" s="63"/>
      <c r="O944" s="63"/>
      <c r="P944" s="63"/>
      <c r="Q944" s="63"/>
      <c r="R944" s="63"/>
      <c r="S944" s="63"/>
      <c r="T944" s="63"/>
      <c r="U944" s="63"/>
      <c r="V944" s="63"/>
      <c r="W944" s="63"/>
      <c r="X944" s="63"/>
      <c r="Y944" s="63"/>
      <c r="Z944" s="62"/>
    </row>
    <row r="945" ht="14.25" customHeight="1">
      <c r="A945" s="59"/>
      <c r="B945" s="97"/>
      <c r="C945" s="97"/>
      <c r="D945" s="97"/>
      <c r="E945" s="97"/>
      <c r="F945" s="97"/>
      <c r="G945" s="97"/>
      <c r="H945" s="59"/>
      <c r="I945" s="61"/>
      <c r="J945" s="61"/>
      <c r="K945" s="61"/>
      <c r="L945" s="62"/>
      <c r="M945" s="62"/>
      <c r="N945" s="63"/>
      <c r="O945" s="63"/>
      <c r="P945" s="63"/>
      <c r="Q945" s="63"/>
      <c r="R945" s="63"/>
      <c r="S945" s="63"/>
      <c r="T945" s="63"/>
      <c r="U945" s="63"/>
      <c r="V945" s="63"/>
      <c r="W945" s="63"/>
      <c r="X945" s="63"/>
      <c r="Y945" s="63"/>
      <c r="Z945" s="62"/>
    </row>
    <row r="946" ht="14.25" customHeight="1">
      <c r="A946" s="59"/>
      <c r="B946" s="97"/>
      <c r="C946" s="97"/>
      <c r="D946" s="97"/>
      <c r="E946" s="97"/>
      <c r="F946" s="97"/>
      <c r="G946" s="97"/>
      <c r="H946" s="59"/>
      <c r="I946" s="61"/>
      <c r="J946" s="61"/>
      <c r="K946" s="61"/>
      <c r="L946" s="62"/>
      <c r="M946" s="62"/>
      <c r="N946" s="63"/>
      <c r="O946" s="63"/>
      <c r="P946" s="63"/>
      <c r="Q946" s="63"/>
      <c r="R946" s="63"/>
      <c r="S946" s="63"/>
      <c r="T946" s="63"/>
      <c r="U946" s="63"/>
      <c r="V946" s="63"/>
      <c r="W946" s="63"/>
      <c r="X946" s="63"/>
      <c r="Y946" s="63"/>
      <c r="Z946" s="62"/>
    </row>
    <row r="947" ht="14.25" customHeight="1">
      <c r="A947" s="59"/>
      <c r="B947" s="97"/>
      <c r="C947" s="97"/>
      <c r="D947" s="97"/>
      <c r="E947" s="97"/>
      <c r="F947" s="97"/>
      <c r="G947" s="97"/>
      <c r="H947" s="59"/>
      <c r="I947" s="61"/>
      <c r="J947" s="61"/>
      <c r="K947" s="61"/>
      <c r="L947" s="62"/>
      <c r="M947" s="62"/>
      <c r="N947" s="63"/>
      <c r="O947" s="63"/>
      <c r="P947" s="63"/>
      <c r="Q947" s="63"/>
      <c r="R947" s="63"/>
      <c r="S947" s="63"/>
      <c r="T947" s="63"/>
      <c r="U947" s="63"/>
      <c r="V947" s="63"/>
      <c r="W947" s="63"/>
      <c r="X947" s="63"/>
      <c r="Y947" s="63"/>
      <c r="Z947" s="62"/>
    </row>
    <row r="948" ht="14.25" customHeight="1">
      <c r="A948" s="59"/>
      <c r="B948" s="97"/>
      <c r="C948" s="97"/>
      <c r="D948" s="97"/>
      <c r="E948" s="97"/>
      <c r="F948" s="97"/>
      <c r="G948" s="97"/>
      <c r="H948" s="59"/>
      <c r="I948" s="61"/>
      <c r="J948" s="61"/>
      <c r="K948" s="61"/>
      <c r="L948" s="62"/>
      <c r="M948" s="62"/>
      <c r="N948" s="63"/>
      <c r="O948" s="63"/>
      <c r="P948" s="63"/>
      <c r="Q948" s="63"/>
      <c r="R948" s="63"/>
      <c r="S948" s="63"/>
      <c r="T948" s="63"/>
      <c r="U948" s="63"/>
      <c r="V948" s="63"/>
      <c r="W948" s="63"/>
      <c r="X948" s="63"/>
      <c r="Y948" s="63"/>
      <c r="Z948" s="62"/>
    </row>
    <row r="949" ht="14.25" customHeight="1">
      <c r="A949" s="59"/>
      <c r="B949" s="97"/>
      <c r="C949" s="97"/>
      <c r="D949" s="97"/>
      <c r="E949" s="97"/>
      <c r="F949" s="97"/>
      <c r="G949" s="97"/>
      <c r="H949" s="59"/>
      <c r="I949" s="61"/>
      <c r="J949" s="61"/>
      <c r="K949" s="61"/>
      <c r="L949" s="62"/>
      <c r="M949" s="62"/>
      <c r="N949" s="63"/>
      <c r="O949" s="63"/>
      <c r="P949" s="63"/>
      <c r="Q949" s="63"/>
      <c r="R949" s="63"/>
      <c r="S949" s="63"/>
      <c r="T949" s="63"/>
      <c r="U949" s="63"/>
      <c r="V949" s="63"/>
      <c r="W949" s="63"/>
      <c r="X949" s="63"/>
      <c r="Y949" s="63"/>
      <c r="Z949" s="62"/>
    </row>
    <row r="950" ht="14.25" customHeight="1">
      <c r="A950" s="59"/>
      <c r="B950" s="97"/>
      <c r="C950" s="97"/>
      <c r="D950" s="97"/>
      <c r="E950" s="97"/>
      <c r="F950" s="97"/>
      <c r="G950" s="97"/>
      <c r="H950" s="59"/>
      <c r="I950" s="61"/>
      <c r="J950" s="61"/>
      <c r="K950" s="61"/>
      <c r="L950" s="62"/>
      <c r="M950" s="62"/>
      <c r="N950" s="63"/>
      <c r="O950" s="63"/>
      <c r="P950" s="63"/>
      <c r="Q950" s="63"/>
      <c r="R950" s="63"/>
      <c r="S950" s="63"/>
      <c r="T950" s="63"/>
      <c r="U950" s="63"/>
      <c r="V950" s="63"/>
      <c r="W950" s="63"/>
      <c r="X950" s="63"/>
      <c r="Y950" s="63"/>
      <c r="Z950" s="62"/>
    </row>
    <row r="951" ht="14.25" customHeight="1">
      <c r="A951" s="59"/>
      <c r="B951" s="97"/>
      <c r="C951" s="97"/>
      <c r="D951" s="97"/>
      <c r="E951" s="97"/>
      <c r="F951" s="97"/>
      <c r="G951" s="97"/>
      <c r="H951" s="59"/>
      <c r="I951" s="61"/>
      <c r="J951" s="61"/>
      <c r="K951" s="61"/>
      <c r="L951" s="62"/>
      <c r="M951" s="62"/>
      <c r="N951" s="63"/>
      <c r="O951" s="63"/>
      <c r="P951" s="63"/>
      <c r="Q951" s="63"/>
      <c r="R951" s="63"/>
      <c r="S951" s="63"/>
      <c r="T951" s="63"/>
      <c r="U951" s="63"/>
      <c r="V951" s="63"/>
      <c r="W951" s="63"/>
      <c r="X951" s="63"/>
      <c r="Y951" s="63"/>
      <c r="Z951" s="62"/>
    </row>
    <row r="952" ht="14.25" customHeight="1">
      <c r="A952" s="59"/>
      <c r="B952" s="97"/>
      <c r="C952" s="97"/>
      <c r="D952" s="97"/>
      <c r="E952" s="97"/>
      <c r="F952" s="97"/>
      <c r="G952" s="97"/>
      <c r="H952" s="59"/>
      <c r="I952" s="61"/>
      <c r="J952" s="61"/>
      <c r="K952" s="61"/>
      <c r="L952" s="62"/>
      <c r="M952" s="62"/>
      <c r="N952" s="63"/>
      <c r="O952" s="63"/>
      <c r="P952" s="63"/>
      <c r="Q952" s="63"/>
      <c r="R952" s="63"/>
      <c r="S952" s="63"/>
      <c r="T952" s="63"/>
      <c r="U952" s="63"/>
      <c r="V952" s="63"/>
      <c r="W952" s="63"/>
      <c r="X952" s="63"/>
      <c r="Y952" s="63"/>
      <c r="Z952" s="62"/>
    </row>
    <row r="953" ht="14.25" customHeight="1">
      <c r="A953" s="59"/>
      <c r="B953" s="97"/>
      <c r="C953" s="97"/>
      <c r="D953" s="97"/>
      <c r="E953" s="97"/>
      <c r="F953" s="97"/>
      <c r="G953" s="97"/>
      <c r="H953" s="59"/>
      <c r="I953" s="61"/>
      <c r="J953" s="61"/>
      <c r="K953" s="61"/>
      <c r="L953" s="62"/>
      <c r="M953" s="62"/>
      <c r="N953" s="63"/>
      <c r="O953" s="63"/>
      <c r="P953" s="63"/>
      <c r="Q953" s="63"/>
      <c r="R953" s="63"/>
      <c r="S953" s="63"/>
      <c r="T953" s="63"/>
      <c r="U953" s="63"/>
      <c r="V953" s="63"/>
      <c r="W953" s="63"/>
      <c r="X953" s="63"/>
      <c r="Y953" s="63"/>
      <c r="Z953" s="62"/>
    </row>
    <row r="954" ht="14.25" customHeight="1">
      <c r="A954" s="59"/>
      <c r="B954" s="97"/>
      <c r="C954" s="97"/>
      <c r="D954" s="97"/>
      <c r="E954" s="97"/>
      <c r="F954" s="97"/>
      <c r="G954" s="97"/>
      <c r="H954" s="59"/>
      <c r="I954" s="61"/>
      <c r="J954" s="61"/>
      <c r="K954" s="61"/>
      <c r="L954" s="62"/>
      <c r="M954" s="62"/>
      <c r="N954" s="63"/>
      <c r="O954" s="63"/>
      <c r="P954" s="63"/>
      <c r="Q954" s="63"/>
      <c r="R954" s="63"/>
      <c r="S954" s="63"/>
      <c r="T954" s="63"/>
      <c r="U954" s="63"/>
      <c r="V954" s="63"/>
      <c r="W954" s="63"/>
      <c r="X954" s="63"/>
      <c r="Y954" s="63"/>
      <c r="Z954" s="62"/>
    </row>
    <row r="955" ht="14.25" customHeight="1">
      <c r="A955" s="59"/>
      <c r="B955" s="97"/>
      <c r="C955" s="97"/>
      <c r="D955" s="97"/>
      <c r="E955" s="97"/>
      <c r="F955" s="97"/>
      <c r="G955" s="97"/>
      <c r="H955" s="59"/>
      <c r="I955" s="61"/>
      <c r="J955" s="61"/>
      <c r="K955" s="61"/>
      <c r="L955" s="62"/>
      <c r="M955" s="62"/>
      <c r="N955" s="63"/>
      <c r="O955" s="63"/>
      <c r="P955" s="63"/>
      <c r="Q955" s="63"/>
      <c r="R955" s="63"/>
      <c r="S955" s="63"/>
      <c r="T955" s="63"/>
      <c r="U955" s="63"/>
      <c r="V955" s="63"/>
      <c r="W955" s="63"/>
      <c r="X955" s="63"/>
      <c r="Y955" s="63"/>
      <c r="Z955" s="62"/>
    </row>
    <row r="956" ht="14.25" customHeight="1">
      <c r="A956" s="59"/>
      <c r="B956" s="97"/>
      <c r="C956" s="97"/>
      <c r="D956" s="97"/>
      <c r="E956" s="97"/>
      <c r="F956" s="97"/>
      <c r="G956" s="97"/>
      <c r="H956" s="59"/>
      <c r="I956" s="61"/>
      <c r="J956" s="61"/>
      <c r="K956" s="61"/>
      <c r="L956" s="62"/>
      <c r="M956" s="62"/>
      <c r="N956" s="63"/>
      <c r="O956" s="63"/>
      <c r="P956" s="63"/>
      <c r="Q956" s="63"/>
      <c r="R956" s="63"/>
      <c r="S956" s="63"/>
      <c r="T956" s="63"/>
      <c r="U956" s="63"/>
      <c r="V956" s="63"/>
      <c r="W956" s="63"/>
      <c r="X956" s="63"/>
      <c r="Y956" s="63"/>
      <c r="Z956" s="62"/>
    </row>
    <row r="957" ht="14.25" customHeight="1">
      <c r="A957" s="59"/>
      <c r="B957" s="97"/>
      <c r="C957" s="97"/>
      <c r="D957" s="97"/>
      <c r="E957" s="97"/>
      <c r="F957" s="97"/>
      <c r="G957" s="97"/>
      <c r="H957" s="59"/>
      <c r="I957" s="61"/>
      <c r="J957" s="61"/>
      <c r="K957" s="61"/>
      <c r="L957" s="62"/>
      <c r="M957" s="62"/>
      <c r="N957" s="63"/>
      <c r="O957" s="63"/>
      <c r="P957" s="63"/>
      <c r="Q957" s="63"/>
      <c r="R957" s="63"/>
      <c r="S957" s="63"/>
      <c r="T957" s="63"/>
      <c r="U957" s="63"/>
      <c r="V957" s="63"/>
      <c r="W957" s="63"/>
      <c r="X957" s="63"/>
      <c r="Y957" s="63"/>
      <c r="Z957" s="62"/>
    </row>
    <row r="958" ht="14.25" customHeight="1">
      <c r="A958" s="59"/>
      <c r="B958" s="97"/>
      <c r="C958" s="97"/>
      <c r="D958" s="97"/>
      <c r="E958" s="97"/>
      <c r="F958" s="97"/>
      <c r="G958" s="97"/>
      <c r="H958" s="59"/>
      <c r="I958" s="61"/>
      <c r="J958" s="61"/>
      <c r="K958" s="61"/>
      <c r="L958" s="62"/>
      <c r="M958" s="62"/>
      <c r="N958" s="63"/>
      <c r="O958" s="63"/>
      <c r="P958" s="63"/>
      <c r="Q958" s="63"/>
      <c r="R958" s="63"/>
      <c r="S958" s="63"/>
      <c r="T958" s="63"/>
      <c r="U958" s="63"/>
      <c r="V958" s="63"/>
      <c r="W958" s="63"/>
      <c r="X958" s="63"/>
      <c r="Y958" s="63"/>
      <c r="Z958" s="62"/>
    </row>
    <row r="959" ht="14.25" customHeight="1">
      <c r="A959" s="59"/>
      <c r="B959" s="97"/>
      <c r="C959" s="97"/>
      <c r="D959" s="97"/>
      <c r="E959" s="97"/>
      <c r="F959" s="97"/>
      <c r="G959" s="97"/>
      <c r="H959" s="59"/>
      <c r="I959" s="61"/>
      <c r="J959" s="61"/>
      <c r="K959" s="61"/>
      <c r="L959" s="62"/>
      <c r="M959" s="62"/>
      <c r="N959" s="63"/>
      <c r="O959" s="63"/>
      <c r="P959" s="63"/>
      <c r="Q959" s="63"/>
      <c r="R959" s="63"/>
      <c r="S959" s="63"/>
      <c r="T959" s="63"/>
      <c r="U959" s="63"/>
      <c r="V959" s="63"/>
      <c r="W959" s="63"/>
      <c r="X959" s="63"/>
      <c r="Y959" s="63"/>
      <c r="Z959" s="62"/>
    </row>
    <row r="960" ht="14.25" customHeight="1">
      <c r="A960" s="59"/>
      <c r="B960" s="97"/>
      <c r="C960" s="97"/>
      <c r="D960" s="97"/>
      <c r="E960" s="97"/>
      <c r="F960" s="97"/>
      <c r="G960" s="97"/>
      <c r="H960" s="59"/>
      <c r="I960" s="61"/>
      <c r="J960" s="61"/>
      <c r="K960" s="61"/>
      <c r="L960" s="62"/>
      <c r="M960" s="62"/>
      <c r="N960" s="63"/>
      <c r="O960" s="63"/>
      <c r="P960" s="63"/>
      <c r="Q960" s="63"/>
      <c r="R960" s="63"/>
      <c r="S960" s="63"/>
      <c r="T960" s="63"/>
      <c r="U960" s="63"/>
      <c r="V960" s="63"/>
      <c r="W960" s="63"/>
      <c r="X960" s="63"/>
      <c r="Y960" s="63"/>
      <c r="Z960" s="62"/>
    </row>
    <row r="961" ht="14.25" customHeight="1">
      <c r="A961" s="59"/>
      <c r="B961" s="97"/>
      <c r="C961" s="97"/>
      <c r="D961" s="97"/>
      <c r="E961" s="97"/>
      <c r="F961" s="97"/>
      <c r="G961" s="97"/>
      <c r="H961" s="59"/>
      <c r="I961" s="61"/>
      <c r="J961" s="61"/>
      <c r="K961" s="61"/>
      <c r="L961" s="62"/>
      <c r="M961" s="62"/>
      <c r="N961" s="63"/>
      <c r="O961" s="63"/>
      <c r="P961" s="63"/>
      <c r="Q961" s="63"/>
      <c r="R961" s="63"/>
      <c r="S961" s="63"/>
      <c r="T961" s="63"/>
      <c r="U961" s="63"/>
      <c r="V961" s="63"/>
      <c r="W961" s="63"/>
      <c r="X961" s="63"/>
      <c r="Y961" s="63"/>
      <c r="Z961" s="62"/>
    </row>
    <row r="962" ht="14.25" customHeight="1">
      <c r="A962" s="59"/>
      <c r="B962" s="97"/>
      <c r="C962" s="97"/>
      <c r="D962" s="97"/>
      <c r="E962" s="97"/>
      <c r="F962" s="97"/>
      <c r="G962" s="97"/>
      <c r="H962" s="59"/>
      <c r="I962" s="61"/>
      <c r="J962" s="61"/>
      <c r="K962" s="61"/>
      <c r="L962" s="62"/>
      <c r="M962" s="62"/>
      <c r="N962" s="63"/>
      <c r="O962" s="63"/>
      <c r="P962" s="63"/>
      <c r="Q962" s="63"/>
      <c r="R962" s="63"/>
      <c r="S962" s="63"/>
      <c r="T962" s="63"/>
      <c r="U962" s="63"/>
      <c r="V962" s="63"/>
      <c r="W962" s="63"/>
      <c r="X962" s="63"/>
      <c r="Y962" s="63"/>
      <c r="Z962" s="62"/>
    </row>
    <row r="963" ht="14.25" customHeight="1">
      <c r="A963" s="59"/>
      <c r="B963" s="97"/>
      <c r="C963" s="97"/>
      <c r="D963" s="97"/>
      <c r="E963" s="97"/>
      <c r="F963" s="97"/>
      <c r="G963" s="97"/>
      <c r="H963" s="59"/>
      <c r="I963" s="61"/>
      <c r="J963" s="61"/>
      <c r="K963" s="61"/>
      <c r="L963" s="62"/>
      <c r="M963" s="62"/>
      <c r="N963" s="63"/>
      <c r="O963" s="63"/>
      <c r="P963" s="63"/>
      <c r="Q963" s="63"/>
      <c r="R963" s="63"/>
      <c r="S963" s="63"/>
      <c r="T963" s="63"/>
      <c r="U963" s="63"/>
      <c r="V963" s="63"/>
      <c r="W963" s="63"/>
      <c r="X963" s="63"/>
      <c r="Y963" s="63"/>
      <c r="Z963" s="62"/>
    </row>
    <row r="964" ht="14.25" customHeight="1">
      <c r="A964" s="59"/>
      <c r="B964" s="97"/>
      <c r="C964" s="97"/>
      <c r="D964" s="97"/>
      <c r="E964" s="97"/>
      <c r="F964" s="97"/>
      <c r="G964" s="97"/>
      <c r="H964" s="59"/>
      <c r="I964" s="61"/>
      <c r="J964" s="61"/>
      <c r="K964" s="61"/>
      <c r="L964" s="62"/>
      <c r="M964" s="62"/>
      <c r="N964" s="63"/>
      <c r="O964" s="63"/>
      <c r="P964" s="63"/>
      <c r="Q964" s="63"/>
      <c r="R964" s="63"/>
      <c r="S964" s="63"/>
      <c r="T964" s="63"/>
      <c r="U964" s="63"/>
      <c r="V964" s="63"/>
      <c r="W964" s="63"/>
      <c r="X964" s="63"/>
      <c r="Y964" s="63"/>
      <c r="Z964" s="62"/>
    </row>
    <row r="965" ht="14.25" customHeight="1">
      <c r="A965" s="59"/>
      <c r="B965" s="97"/>
      <c r="C965" s="97"/>
      <c r="D965" s="97"/>
      <c r="E965" s="97"/>
      <c r="F965" s="97"/>
      <c r="G965" s="97"/>
      <c r="H965" s="59"/>
      <c r="I965" s="61"/>
      <c r="J965" s="61"/>
      <c r="K965" s="61"/>
      <c r="L965" s="62"/>
      <c r="M965" s="62"/>
      <c r="N965" s="63"/>
      <c r="O965" s="63"/>
      <c r="P965" s="63"/>
      <c r="Q965" s="63"/>
      <c r="R965" s="63"/>
      <c r="S965" s="63"/>
      <c r="T965" s="63"/>
      <c r="U965" s="63"/>
      <c r="V965" s="63"/>
      <c r="W965" s="63"/>
      <c r="X965" s="63"/>
      <c r="Y965" s="63"/>
      <c r="Z965" s="62"/>
    </row>
    <row r="966" ht="14.25" customHeight="1">
      <c r="A966" s="59"/>
      <c r="B966" s="97"/>
      <c r="C966" s="97"/>
      <c r="D966" s="97"/>
      <c r="E966" s="97"/>
      <c r="F966" s="97"/>
      <c r="G966" s="97"/>
      <c r="H966" s="59"/>
      <c r="I966" s="61"/>
      <c r="J966" s="61"/>
      <c r="K966" s="61"/>
      <c r="L966" s="62"/>
      <c r="M966" s="62"/>
      <c r="N966" s="63"/>
      <c r="O966" s="63"/>
      <c r="P966" s="63"/>
      <c r="Q966" s="63"/>
      <c r="R966" s="63"/>
      <c r="S966" s="63"/>
      <c r="T966" s="63"/>
      <c r="U966" s="63"/>
      <c r="V966" s="63"/>
      <c r="W966" s="63"/>
      <c r="X966" s="63"/>
      <c r="Y966" s="63"/>
      <c r="Z966" s="62"/>
    </row>
    <row r="967" ht="14.25" customHeight="1">
      <c r="A967" s="59"/>
      <c r="B967" s="97"/>
      <c r="C967" s="97"/>
      <c r="D967" s="97"/>
      <c r="E967" s="97"/>
      <c r="F967" s="97"/>
      <c r="G967" s="97"/>
      <c r="H967" s="59"/>
      <c r="I967" s="61"/>
      <c r="J967" s="61"/>
      <c r="K967" s="61"/>
      <c r="L967" s="62"/>
      <c r="M967" s="62"/>
      <c r="N967" s="63"/>
      <c r="O967" s="63"/>
      <c r="P967" s="63"/>
      <c r="Q967" s="63"/>
      <c r="R967" s="63"/>
      <c r="S967" s="63"/>
      <c r="T967" s="63"/>
      <c r="U967" s="63"/>
      <c r="V967" s="63"/>
      <c r="W967" s="63"/>
      <c r="X967" s="63"/>
      <c r="Y967" s="63"/>
      <c r="Z967" s="62"/>
    </row>
    <row r="968" ht="14.25" customHeight="1">
      <c r="A968" s="59"/>
      <c r="B968" s="97"/>
      <c r="C968" s="97"/>
      <c r="D968" s="97"/>
      <c r="E968" s="97"/>
      <c r="F968" s="97"/>
      <c r="G968" s="97"/>
      <c r="H968" s="59"/>
      <c r="I968" s="61"/>
      <c r="J968" s="61"/>
      <c r="K968" s="61"/>
      <c r="L968" s="62"/>
      <c r="M968" s="62"/>
      <c r="N968" s="63"/>
      <c r="O968" s="63"/>
      <c r="P968" s="63"/>
      <c r="Q968" s="63"/>
      <c r="R968" s="63"/>
      <c r="S968" s="63"/>
      <c r="T968" s="63"/>
      <c r="U968" s="63"/>
      <c r="V968" s="63"/>
      <c r="W968" s="63"/>
      <c r="X968" s="63"/>
      <c r="Y968" s="63"/>
      <c r="Z968" s="62"/>
    </row>
    <row r="969" ht="14.25" customHeight="1">
      <c r="A969" s="59"/>
      <c r="B969" s="97"/>
      <c r="C969" s="97"/>
      <c r="D969" s="97"/>
      <c r="E969" s="97"/>
      <c r="F969" s="97"/>
      <c r="G969" s="97"/>
      <c r="H969" s="59"/>
      <c r="I969" s="61"/>
      <c r="J969" s="61"/>
      <c r="K969" s="61"/>
      <c r="L969" s="62"/>
      <c r="M969" s="62"/>
      <c r="N969" s="63"/>
      <c r="O969" s="63"/>
      <c r="P969" s="63"/>
      <c r="Q969" s="63"/>
      <c r="R969" s="63"/>
      <c r="S969" s="63"/>
      <c r="T969" s="63"/>
      <c r="U969" s="63"/>
      <c r="V969" s="63"/>
      <c r="W969" s="63"/>
      <c r="X969" s="63"/>
      <c r="Y969" s="63"/>
      <c r="Z969" s="62"/>
    </row>
    <row r="970" ht="14.25" customHeight="1">
      <c r="A970" s="59"/>
      <c r="B970" s="97"/>
      <c r="C970" s="97"/>
      <c r="D970" s="97"/>
      <c r="E970" s="97"/>
      <c r="F970" s="97"/>
      <c r="G970" s="97"/>
      <c r="H970" s="59"/>
      <c r="I970" s="61"/>
      <c r="J970" s="61"/>
      <c r="K970" s="61"/>
      <c r="L970" s="62"/>
      <c r="M970" s="62"/>
      <c r="N970" s="63"/>
      <c r="O970" s="63"/>
      <c r="P970" s="63"/>
      <c r="Q970" s="63"/>
      <c r="R970" s="63"/>
      <c r="S970" s="63"/>
      <c r="T970" s="63"/>
      <c r="U970" s="63"/>
      <c r="V970" s="63"/>
      <c r="W970" s="63"/>
      <c r="X970" s="63"/>
      <c r="Y970" s="63"/>
      <c r="Z970" s="62"/>
    </row>
    <row r="971" ht="14.25" customHeight="1">
      <c r="A971" s="59"/>
      <c r="B971" s="97"/>
      <c r="C971" s="97"/>
      <c r="D971" s="97"/>
      <c r="E971" s="97"/>
      <c r="F971" s="97"/>
      <c r="G971" s="97"/>
      <c r="H971" s="59"/>
      <c r="I971" s="61"/>
      <c r="J971" s="61"/>
      <c r="K971" s="61"/>
      <c r="L971" s="62"/>
      <c r="M971" s="62"/>
      <c r="N971" s="63"/>
      <c r="O971" s="63"/>
      <c r="P971" s="63"/>
      <c r="Q971" s="63"/>
      <c r="R971" s="63"/>
      <c r="S971" s="63"/>
      <c r="T971" s="63"/>
      <c r="U971" s="63"/>
      <c r="V971" s="63"/>
      <c r="W971" s="63"/>
      <c r="X971" s="63"/>
      <c r="Y971" s="63"/>
      <c r="Z971" s="62"/>
    </row>
    <row r="972" ht="14.25" customHeight="1">
      <c r="A972" s="59"/>
      <c r="B972" s="97"/>
      <c r="C972" s="97"/>
      <c r="D972" s="97"/>
      <c r="E972" s="97"/>
      <c r="F972" s="97"/>
      <c r="G972" s="97"/>
      <c r="H972" s="59"/>
      <c r="I972" s="61"/>
      <c r="J972" s="61"/>
      <c r="K972" s="61"/>
      <c r="L972" s="62"/>
      <c r="M972" s="62"/>
      <c r="N972" s="63"/>
      <c r="O972" s="63"/>
      <c r="P972" s="63"/>
      <c r="Q972" s="63"/>
      <c r="R972" s="63"/>
      <c r="S972" s="63"/>
      <c r="T972" s="63"/>
      <c r="U972" s="63"/>
      <c r="V972" s="63"/>
      <c r="W972" s="63"/>
      <c r="X972" s="63"/>
      <c r="Y972" s="63"/>
      <c r="Z972" s="62"/>
    </row>
    <row r="973" ht="14.25" customHeight="1">
      <c r="A973" s="59"/>
      <c r="B973" s="97"/>
      <c r="C973" s="97"/>
      <c r="D973" s="97"/>
      <c r="E973" s="97"/>
      <c r="F973" s="97"/>
      <c r="G973" s="97"/>
      <c r="H973" s="59"/>
      <c r="I973" s="61"/>
      <c r="J973" s="61"/>
      <c r="K973" s="61"/>
      <c r="L973" s="62"/>
      <c r="M973" s="62"/>
      <c r="N973" s="63"/>
      <c r="O973" s="63"/>
      <c r="P973" s="63"/>
      <c r="Q973" s="63"/>
      <c r="R973" s="63"/>
      <c r="S973" s="63"/>
      <c r="T973" s="63"/>
      <c r="U973" s="63"/>
      <c r="V973" s="63"/>
      <c r="W973" s="63"/>
      <c r="X973" s="63"/>
      <c r="Y973" s="63"/>
      <c r="Z973" s="62"/>
    </row>
    <row r="974" ht="14.25" customHeight="1">
      <c r="A974" s="59"/>
      <c r="B974" s="97"/>
      <c r="C974" s="97"/>
      <c r="D974" s="97"/>
      <c r="E974" s="97"/>
      <c r="F974" s="97"/>
      <c r="G974" s="97"/>
      <c r="H974" s="59"/>
      <c r="I974" s="61"/>
      <c r="J974" s="61"/>
      <c r="K974" s="61"/>
      <c r="L974" s="62"/>
      <c r="M974" s="62"/>
      <c r="N974" s="63"/>
      <c r="O974" s="63"/>
      <c r="P974" s="63"/>
      <c r="Q974" s="63"/>
      <c r="R974" s="63"/>
      <c r="S974" s="63"/>
      <c r="T974" s="63"/>
      <c r="U974" s="63"/>
      <c r="V974" s="63"/>
      <c r="W974" s="63"/>
      <c r="X974" s="63"/>
      <c r="Y974" s="63"/>
      <c r="Z974" s="62"/>
    </row>
    <row r="975" ht="14.25" customHeight="1">
      <c r="A975" s="59"/>
      <c r="B975" s="97"/>
      <c r="C975" s="97"/>
      <c r="D975" s="97"/>
      <c r="E975" s="97"/>
      <c r="F975" s="97"/>
      <c r="G975" s="97"/>
      <c r="H975" s="59"/>
      <c r="I975" s="61"/>
      <c r="J975" s="61"/>
      <c r="K975" s="61"/>
      <c r="L975" s="62"/>
      <c r="M975" s="62"/>
      <c r="N975" s="63"/>
      <c r="O975" s="63"/>
      <c r="P975" s="63"/>
      <c r="Q975" s="63"/>
      <c r="R975" s="63"/>
      <c r="S975" s="63"/>
      <c r="T975" s="63"/>
      <c r="U975" s="63"/>
      <c r="V975" s="63"/>
      <c r="W975" s="63"/>
      <c r="X975" s="63"/>
      <c r="Y975" s="63"/>
      <c r="Z975" s="62"/>
    </row>
    <row r="976" ht="14.25" customHeight="1">
      <c r="A976" s="59"/>
      <c r="B976" s="97"/>
      <c r="C976" s="97"/>
      <c r="D976" s="97"/>
      <c r="E976" s="97"/>
      <c r="F976" s="97"/>
      <c r="G976" s="97"/>
      <c r="H976" s="59"/>
      <c r="I976" s="61"/>
      <c r="J976" s="61"/>
      <c r="K976" s="61"/>
      <c r="L976" s="62"/>
      <c r="M976" s="62"/>
      <c r="N976" s="63"/>
      <c r="O976" s="63"/>
      <c r="P976" s="63"/>
      <c r="Q976" s="63"/>
      <c r="R976" s="63"/>
      <c r="S976" s="63"/>
      <c r="T976" s="63"/>
      <c r="U976" s="63"/>
      <c r="V976" s="63"/>
      <c r="W976" s="63"/>
      <c r="X976" s="63"/>
      <c r="Y976" s="63"/>
      <c r="Z976" s="62"/>
    </row>
    <row r="977" ht="14.25" customHeight="1">
      <c r="A977" s="59"/>
      <c r="B977" s="97"/>
      <c r="C977" s="97"/>
      <c r="D977" s="97"/>
      <c r="E977" s="97"/>
      <c r="F977" s="97"/>
      <c r="G977" s="97"/>
      <c r="H977" s="59"/>
      <c r="I977" s="61"/>
      <c r="J977" s="61"/>
      <c r="K977" s="61"/>
      <c r="L977" s="62"/>
      <c r="M977" s="62"/>
      <c r="N977" s="63"/>
      <c r="O977" s="63"/>
      <c r="P977" s="63"/>
      <c r="Q977" s="63"/>
      <c r="R977" s="63"/>
      <c r="S977" s="63"/>
      <c r="T977" s="63"/>
      <c r="U977" s="63"/>
      <c r="V977" s="63"/>
      <c r="W977" s="63"/>
      <c r="X977" s="63"/>
      <c r="Y977" s="63"/>
      <c r="Z977" s="62"/>
    </row>
    <row r="978" ht="14.25" customHeight="1">
      <c r="A978" s="59"/>
      <c r="B978" s="97"/>
      <c r="C978" s="97"/>
      <c r="D978" s="97"/>
      <c r="E978" s="97"/>
      <c r="F978" s="97"/>
      <c r="G978" s="97"/>
      <c r="H978" s="59"/>
      <c r="I978" s="61"/>
      <c r="J978" s="61"/>
      <c r="K978" s="61"/>
      <c r="L978" s="62"/>
      <c r="M978" s="62"/>
      <c r="N978" s="63"/>
      <c r="O978" s="63"/>
      <c r="P978" s="63"/>
      <c r="Q978" s="63"/>
      <c r="R978" s="63"/>
      <c r="S978" s="63"/>
      <c r="T978" s="63"/>
      <c r="U978" s="63"/>
      <c r="V978" s="63"/>
      <c r="W978" s="63"/>
      <c r="X978" s="63"/>
      <c r="Y978" s="63"/>
      <c r="Z978" s="62"/>
    </row>
    <row r="979" ht="14.25" customHeight="1">
      <c r="A979" s="59"/>
      <c r="B979" s="97"/>
      <c r="C979" s="97"/>
      <c r="D979" s="97"/>
      <c r="E979" s="97"/>
      <c r="F979" s="97"/>
      <c r="G979" s="97"/>
      <c r="H979" s="59"/>
      <c r="I979" s="61"/>
      <c r="J979" s="61"/>
      <c r="K979" s="61"/>
      <c r="L979" s="62"/>
      <c r="M979" s="62"/>
      <c r="N979" s="63"/>
      <c r="O979" s="63"/>
      <c r="P979" s="63"/>
      <c r="Q979" s="63"/>
      <c r="R979" s="63"/>
      <c r="S979" s="63"/>
      <c r="T979" s="63"/>
      <c r="U979" s="63"/>
      <c r="V979" s="63"/>
      <c r="W979" s="63"/>
      <c r="X979" s="63"/>
      <c r="Y979" s="63"/>
      <c r="Z979" s="62"/>
    </row>
    <row r="980" ht="14.25" customHeight="1">
      <c r="A980" s="59"/>
      <c r="B980" s="97"/>
      <c r="C980" s="97"/>
      <c r="D980" s="97"/>
      <c r="E980" s="97"/>
      <c r="F980" s="97"/>
      <c r="G980" s="97"/>
      <c r="H980" s="59"/>
      <c r="I980" s="61"/>
      <c r="J980" s="61"/>
      <c r="K980" s="61"/>
      <c r="L980" s="62"/>
      <c r="M980" s="62"/>
      <c r="N980" s="63"/>
      <c r="O980" s="63"/>
      <c r="P980" s="63"/>
      <c r="Q980" s="63"/>
      <c r="R980" s="63"/>
      <c r="S980" s="63"/>
      <c r="T980" s="63"/>
      <c r="U980" s="63"/>
      <c r="V980" s="63"/>
      <c r="W980" s="63"/>
      <c r="X980" s="63"/>
      <c r="Y980" s="63"/>
      <c r="Z980" s="62"/>
    </row>
    <row r="981" ht="14.25" customHeight="1">
      <c r="A981" s="59"/>
      <c r="B981" s="97"/>
      <c r="C981" s="97"/>
      <c r="D981" s="97"/>
      <c r="E981" s="97"/>
      <c r="F981" s="97"/>
      <c r="G981" s="97"/>
      <c r="H981" s="59"/>
      <c r="I981" s="61"/>
      <c r="J981" s="61"/>
      <c r="K981" s="61"/>
      <c r="L981" s="62"/>
      <c r="M981" s="62"/>
      <c r="N981" s="63"/>
      <c r="O981" s="63"/>
      <c r="P981" s="63"/>
      <c r="Q981" s="63"/>
      <c r="R981" s="63"/>
      <c r="S981" s="63"/>
      <c r="T981" s="63"/>
      <c r="U981" s="63"/>
      <c r="V981" s="63"/>
      <c r="W981" s="63"/>
      <c r="X981" s="63"/>
      <c r="Y981" s="63"/>
      <c r="Z981" s="62"/>
    </row>
    <row r="982" ht="14.25" customHeight="1">
      <c r="A982" s="59"/>
      <c r="B982" s="97"/>
      <c r="C982" s="97"/>
      <c r="D982" s="97"/>
      <c r="E982" s="97"/>
      <c r="F982" s="97"/>
      <c r="G982" s="97"/>
      <c r="H982" s="59"/>
      <c r="I982" s="61"/>
      <c r="J982" s="61"/>
      <c r="K982" s="61"/>
      <c r="L982" s="62"/>
      <c r="M982" s="62"/>
      <c r="N982" s="63"/>
      <c r="O982" s="63"/>
      <c r="P982" s="63"/>
      <c r="Q982" s="63"/>
      <c r="R982" s="63"/>
      <c r="S982" s="63"/>
      <c r="T982" s="63"/>
      <c r="U982" s="63"/>
      <c r="V982" s="63"/>
      <c r="W982" s="63"/>
      <c r="X982" s="63"/>
      <c r="Y982" s="63"/>
      <c r="Z982" s="62"/>
    </row>
    <row r="983" ht="14.25" customHeight="1">
      <c r="A983" s="59"/>
      <c r="B983" s="97"/>
      <c r="C983" s="97"/>
      <c r="D983" s="97"/>
      <c r="E983" s="97"/>
      <c r="F983" s="97"/>
      <c r="G983" s="97"/>
      <c r="H983" s="59"/>
      <c r="I983" s="61"/>
      <c r="J983" s="61"/>
      <c r="K983" s="61"/>
      <c r="L983" s="62"/>
      <c r="M983" s="62"/>
      <c r="N983" s="63"/>
      <c r="O983" s="63"/>
      <c r="P983" s="63"/>
      <c r="Q983" s="63"/>
      <c r="R983" s="63"/>
      <c r="S983" s="63"/>
      <c r="T983" s="63"/>
      <c r="U983" s="63"/>
      <c r="V983" s="63"/>
      <c r="W983" s="63"/>
      <c r="X983" s="63"/>
      <c r="Y983" s="63"/>
      <c r="Z983" s="62"/>
    </row>
    <row r="984" ht="14.25" customHeight="1">
      <c r="A984" s="59"/>
      <c r="B984" s="97"/>
      <c r="C984" s="97"/>
      <c r="D984" s="97"/>
      <c r="E984" s="97"/>
      <c r="F984" s="97"/>
      <c r="G984" s="97"/>
      <c r="H984" s="59"/>
      <c r="I984" s="61"/>
      <c r="J984" s="61"/>
      <c r="K984" s="61"/>
      <c r="L984" s="62"/>
      <c r="M984" s="62"/>
      <c r="N984" s="63"/>
      <c r="O984" s="63"/>
      <c r="P984" s="63"/>
      <c r="Q984" s="63"/>
      <c r="R984" s="63"/>
      <c r="S984" s="63"/>
      <c r="T984" s="63"/>
      <c r="U984" s="63"/>
      <c r="V984" s="63"/>
      <c r="W984" s="63"/>
      <c r="X984" s="63"/>
      <c r="Y984" s="63"/>
      <c r="Z984" s="62"/>
    </row>
    <row r="985" ht="14.25" customHeight="1">
      <c r="A985" s="59"/>
      <c r="B985" s="97"/>
      <c r="C985" s="97"/>
      <c r="D985" s="97"/>
      <c r="E985" s="97"/>
      <c r="F985" s="97"/>
      <c r="G985" s="97"/>
      <c r="H985" s="59"/>
      <c r="I985" s="61"/>
      <c r="J985" s="61"/>
      <c r="K985" s="61"/>
      <c r="L985" s="62"/>
      <c r="M985" s="62"/>
      <c r="N985" s="63"/>
      <c r="O985" s="63"/>
      <c r="P985" s="63"/>
      <c r="Q985" s="63"/>
      <c r="R985" s="63"/>
      <c r="S985" s="63"/>
      <c r="T985" s="63"/>
      <c r="U985" s="63"/>
      <c r="V985" s="63"/>
      <c r="W985" s="63"/>
      <c r="X985" s="63"/>
      <c r="Y985" s="63"/>
      <c r="Z985" s="62"/>
    </row>
    <row r="986" ht="14.25" customHeight="1">
      <c r="A986" s="59"/>
      <c r="B986" s="97"/>
      <c r="C986" s="97"/>
      <c r="D986" s="97"/>
      <c r="E986" s="97"/>
      <c r="F986" s="97"/>
      <c r="G986" s="97"/>
      <c r="H986" s="59"/>
      <c r="I986" s="61"/>
      <c r="J986" s="61"/>
      <c r="K986" s="61"/>
      <c r="L986" s="62"/>
      <c r="M986" s="62"/>
      <c r="N986" s="63"/>
      <c r="O986" s="63"/>
      <c r="P986" s="63"/>
      <c r="Q986" s="63"/>
      <c r="R986" s="63"/>
      <c r="S986" s="63"/>
      <c r="T986" s="63"/>
      <c r="U986" s="63"/>
      <c r="V986" s="63"/>
      <c r="W986" s="63"/>
      <c r="X986" s="63"/>
      <c r="Y986" s="63"/>
      <c r="Z986" s="62"/>
    </row>
    <row r="987" ht="14.25" customHeight="1">
      <c r="A987" s="59"/>
      <c r="B987" s="97"/>
      <c r="C987" s="97"/>
      <c r="D987" s="97"/>
      <c r="E987" s="97"/>
      <c r="F987" s="97"/>
      <c r="G987" s="97"/>
      <c r="H987" s="59"/>
      <c r="I987" s="61"/>
      <c r="J987" s="61"/>
      <c r="K987" s="61"/>
      <c r="L987" s="62"/>
      <c r="M987" s="62"/>
      <c r="N987" s="63"/>
      <c r="O987" s="63"/>
      <c r="P987" s="63"/>
      <c r="Q987" s="63"/>
      <c r="R987" s="63"/>
      <c r="S987" s="63"/>
      <c r="T987" s="63"/>
      <c r="U987" s="63"/>
      <c r="V987" s="63"/>
      <c r="W987" s="63"/>
      <c r="X987" s="63"/>
      <c r="Y987" s="63"/>
      <c r="Z987" s="62"/>
    </row>
    <row r="988" ht="14.25" customHeight="1">
      <c r="A988" s="59"/>
      <c r="B988" s="97"/>
      <c r="C988" s="97"/>
      <c r="D988" s="97"/>
      <c r="E988" s="97"/>
      <c r="F988" s="97"/>
      <c r="G988" s="97"/>
      <c r="H988" s="59"/>
      <c r="I988" s="61"/>
      <c r="J988" s="61"/>
      <c r="K988" s="61"/>
      <c r="L988" s="62"/>
      <c r="M988" s="62"/>
      <c r="N988" s="63"/>
      <c r="O988" s="63"/>
      <c r="P988" s="63"/>
      <c r="Q988" s="63"/>
      <c r="R988" s="63"/>
      <c r="S988" s="63"/>
      <c r="T988" s="63"/>
      <c r="U988" s="63"/>
      <c r="V988" s="63"/>
      <c r="W988" s="63"/>
      <c r="X988" s="63"/>
      <c r="Y988" s="63"/>
      <c r="Z988" s="62"/>
    </row>
    <row r="989" ht="14.25" customHeight="1">
      <c r="A989" s="59"/>
      <c r="B989" s="97"/>
      <c r="C989" s="97"/>
      <c r="D989" s="97"/>
      <c r="E989" s="97"/>
      <c r="F989" s="97"/>
      <c r="G989" s="97"/>
      <c r="H989" s="59"/>
      <c r="I989" s="61"/>
      <c r="J989" s="61"/>
      <c r="K989" s="61"/>
      <c r="L989" s="62"/>
      <c r="M989" s="62"/>
      <c r="N989" s="63"/>
      <c r="O989" s="63"/>
      <c r="P989" s="63"/>
      <c r="Q989" s="63"/>
      <c r="R989" s="63"/>
      <c r="S989" s="63"/>
      <c r="T989" s="63"/>
      <c r="U989" s="63"/>
      <c r="V989" s="63"/>
      <c r="W989" s="63"/>
      <c r="X989" s="63"/>
      <c r="Y989" s="63"/>
      <c r="Z989" s="62"/>
    </row>
    <row r="990" ht="14.25" customHeight="1">
      <c r="A990" s="59"/>
      <c r="B990" s="97"/>
      <c r="C990" s="97"/>
      <c r="D990" s="97"/>
      <c r="E990" s="97"/>
      <c r="F990" s="97"/>
      <c r="G990" s="97"/>
      <c r="H990" s="59"/>
      <c r="I990" s="61"/>
      <c r="J990" s="61"/>
      <c r="K990" s="61"/>
      <c r="L990" s="62"/>
      <c r="M990" s="62"/>
      <c r="N990" s="63"/>
      <c r="O990" s="63"/>
      <c r="P990" s="63"/>
      <c r="Q990" s="63"/>
      <c r="R990" s="63"/>
      <c r="S990" s="63"/>
      <c r="T990" s="63"/>
      <c r="U990" s="63"/>
      <c r="V990" s="63"/>
      <c r="W990" s="63"/>
      <c r="X990" s="63"/>
      <c r="Y990" s="63"/>
      <c r="Z990" s="62"/>
    </row>
    <row r="991" ht="14.25" customHeight="1">
      <c r="A991" s="59"/>
      <c r="B991" s="97"/>
      <c r="C991" s="97"/>
      <c r="D991" s="97"/>
      <c r="E991" s="97"/>
      <c r="F991" s="97"/>
      <c r="G991" s="97"/>
      <c r="H991" s="59"/>
      <c r="I991" s="61"/>
      <c r="J991" s="61"/>
      <c r="K991" s="61"/>
      <c r="L991" s="62"/>
      <c r="M991" s="62"/>
      <c r="N991" s="63"/>
      <c r="O991" s="63"/>
      <c r="P991" s="63"/>
      <c r="Q991" s="63"/>
      <c r="R991" s="63"/>
      <c r="S991" s="63"/>
      <c r="T991" s="63"/>
      <c r="U991" s="63"/>
      <c r="V991" s="63"/>
      <c r="W991" s="63"/>
      <c r="X991" s="63"/>
      <c r="Y991" s="63"/>
      <c r="Z991" s="62"/>
    </row>
    <row r="992" ht="14.25" customHeight="1">
      <c r="A992" s="59"/>
      <c r="B992" s="97"/>
      <c r="C992" s="97"/>
      <c r="D992" s="97"/>
      <c r="E992" s="97"/>
      <c r="F992" s="97"/>
      <c r="G992" s="97"/>
      <c r="H992" s="59"/>
      <c r="I992" s="61"/>
      <c r="J992" s="61"/>
      <c r="K992" s="61"/>
      <c r="L992" s="62"/>
      <c r="M992" s="62"/>
      <c r="N992" s="63"/>
      <c r="O992" s="63"/>
      <c r="P992" s="63"/>
      <c r="Q992" s="63"/>
      <c r="R992" s="63"/>
      <c r="S992" s="63"/>
      <c r="T992" s="63"/>
      <c r="U992" s="63"/>
      <c r="V992" s="63"/>
      <c r="W992" s="63"/>
      <c r="X992" s="63"/>
      <c r="Y992" s="63"/>
      <c r="Z992" s="62"/>
    </row>
    <row r="993" ht="14.25" customHeight="1">
      <c r="A993" s="59"/>
      <c r="B993" s="97"/>
      <c r="C993" s="97"/>
      <c r="D993" s="97"/>
      <c r="E993" s="97"/>
      <c r="F993" s="97"/>
      <c r="G993" s="97"/>
      <c r="H993" s="59"/>
      <c r="I993" s="61"/>
      <c r="J993" s="61"/>
      <c r="K993" s="61"/>
      <c r="L993" s="62"/>
      <c r="M993" s="62"/>
      <c r="N993" s="63"/>
      <c r="O993" s="63"/>
      <c r="P993" s="63"/>
      <c r="Q993" s="63"/>
      <c r="R993" s="63"/>
      <c r="S993" s="63"/>
      <c r="T993" s="63"/>
      <c r="U993" s="63"/>
      <c r="V993" s="63"/>
      <c r="W993" s="63"/>
      <c r="X993" s="63"/>
      <c r="Y993" s="63"/>
      <c r="Z993" s="62"/>
    </row>
    <row r="994" ht="14.25" customHeight="1">
      <c r="A994" s="59"/>
      <c r="B994" s="97"/>
      <c r="C994" s="97"/>
      <c r="D994" s="97"/>
      <c r="E994" s="97"/>
      <c r="F994" s="97"/>
      <c r="G994" s="97"/>
      <c r="H994" s="59"/>
      <c r="I994" s="61"/>
      <c r="J994" s="61"/>
      <c r="K994" s="61"/>
      <c r="L994" s="62"/>
      <c r="M994" s="62"/>
      <c r="N994" s="63"/>
      <c r="O994" s="63"/>
      <c r="P994" s="63"/>
      <c r="Q994" s="63"/>
      <c r="R994" s="63"/>
      <c r="S994" s="63"/>
      <c r="T994" s="63"/>
      <c r="U994" s="63"/>
      <c r="V994" s="63"/>
      <c r="W994" s="63"/>
      <c r="X994" s="63"/>
      <c r="Y994" s="63"/>
      <c r="Z994" s="62"/>
    </row>
    <row r="995" ht="14.25" customHeight="1">
      <c r="A995" s="59"/>
      <c r="B995" s="97"/>
      <c r="C995" s="97"/>
      <c r="D995" s="97"/>
      <c r="E995" s="97"/>
      <c r="F995" s="97"/>
      <c r="G995" s="97"/>
      <c r="H995" s="59"/>
      <c r="I995" s="61"/>
      <c r="J995" s="61"/>
      <c r="K995" s="61"/>
      <c r="L995" s="62"/>
      <c r="M995" s="62"/>
      <c r="N995" s="63"/>
      <c r="O995" s="63"/>
      <c r="P995" s="63"/>
      <c r="Q995" s="63"/>
      <c r="R995" s="63"/>
      <c r="S995" s="63"/>
      <c r="T995" s="63"/>
      <c r="U995" s="63"/>
      <c r="V995" s="63"/>
      <c r="W995" s="63"/>
      <c r="X995" s="63"/>
      <c r="Y995" s="63"/>
      <c r="Z995" s="62"/>
    </row>
    <row r="996" ht="14.25" customHeight="1">
      <c r="A996" s="59"/>
      <c r="B996" s="97"/>
      <c r="C996" s="97"/>
      <c r="D996" s="97"/>
      <c r="E996" s="97"/>
      <c r="F996" s="97"/>
      <c r="G996" s="97"/>
      <c r="H996" s="59"/>
      <c r="I996" s="61"/>
      <c r="J996" s="61"/>
      <c r="K996" s="61"/>
      <c r="L996" s="62"/>
      <c r="M996" s="62"/>
      <c r="N996" s="63"/>
      <c r="O996" s="63"/>
      <c r="P996" s="63"/>
      <c r="Q996" s="63"/>
      <c r="R996" s="63"/>
      <c r="S996" s="63"/>
      <c r="T996" s="63"/>
      <c r="U996" s="63"/>
      <c r="V996" s="63"/>
      <c r="W996" s="63"/>
      <c r="X996" s="63"/>
      <c r="Y996" s="63"/>
      <c r="Z996" s="62"/>
    </row>
    <row r="997" ht="14.25" customHeight="1">
      <c r="A997" s="59"/>
      <c r="B997" s="97"/>
      <c r="C997" s="97"/>
      <c r="D997" s="97"/>
      <c r="E997" s="97"/>
      <c r="F997" s="97"/>
      <c r="G997" s="97"/>
      <c r="H997" s="59"/>
      <c r="I997" s="61"/>
      <c r="J997" s="61"/>
      <c r="K997" s="61"/>
      <c r="L997" s="62"/>
      <c r="M997" s="62"/>
      <c r="N997" s="63"/>
      <c r="O997" s="63"/>
      <c r="P997" s="63"/>
      <c r="Q997" s="63"/>
      <c r="R997" s="63"/>
      <c r="S997" s="63"/>
      <c r="T997" s="63"/>
      <c r="U997" s="63"/>
      <c r="V997" s="63"/>
      <c r="W997" s="63"/>
      <c r="X997" s="63"/>
      <c r="Y997" s="63"/>
      <c r="Z997" s="62"/>
    </row>
    <row r="998" ht="14.25" customHeight="1">
      <c r="A998" s="59"/>
      <c r="B998" s="97"/>
      <c r="C998" s="97"/>
      <c r="D998" s="97"/>
      <c r="E998" s="97"/>
      <c r="F998" s="97"/>
      <c r="G998" s="97"/>
      <c r="H998" s="59"/>
      <c r="I998" s="61"/>
      <c r="J998" s="61"/>
      <c r="K998" s="61"/>
      <c r="L998" s="62"/>
      <c r="M998" s="62"/>
      <c r="N998" s="63"/>
      <c r="O998" s="63"/>
      <c r="P998" s="63"/>
      <c r="Q998" s="63"/>
      <c r="R998" s="63"/>
      <c r="S998" s="63"/>
      <c r="T998" s="63"/>
      <c r="U998" s="63"/>
      <c r="V998" s="63"/>
      <c r="W998" s="63"/>
      <c r="X998" s="63"/>
      <c r="Y998" s="63"/>
      <c r="Z998" s="62"/>
    </row>
    <row r="999" ht="14.25" customHeight="1">
      <c r="A999" s="59"/>
      <c r="B999" s="97"/>
      <c r="C999" s="97"/>
      <c r="D999" s="97"/>
      <c r="E999" s="97"/>
      <c r="F999" s="97"/>
      <c r="G999" s="97"/>
      <c r="H999" s="59"/>
      <c r="I999" s="61"/>
      <c r="J999" s="61"/>
      <c r="K999" s="61"/>
      <c r="L999" s="62"/>
      <c r="M999" s="62"/>
      <c r="N999" s="63"/>
      <c r="O999" s="63"/>
      <c r="P999" s="63"/>
      <c r="Q999" s="63"/>
      <c r="R999" s="63"/>
      <c r="S999" s="63"/>
      <c r="T999" s="63"/>
      <c r="U999" s="63"/>
      <c r="V999" s="63"/>
      <c r="W999" s="63"/>
      <c r="X999" s="63"/>
      <c r="Y999" s="63"/>
      <c r="Z999" s="62"/>
    </row>
    <row r="1000" ht="14.25" customHeight="1">
      <c r="A1000" s="59"/>
      <c r="B1000" s="97"/>
      <c r="C1000" s="97"/>
      <c r="D1000" s="97"/>
      <c r="E1000" s="97"/>
      <c r="F1000" s="97"/>
      <c r="G1000" s="97"/>
      <c r="H1000" s="59"/>
      <c r="I1000" s="61"/>
      <c r="J1000" s="61"/>
      <c r="K1000" s="61"/>
      <c r="L1000" s="62"/>
      <c r="M1000" s="62"/>
      <c r="N1000" s="63"/>
      <c r="O1000" s="63"/>
      <c r="P1000" s="63"/>
      <c r="Q1000" s="63"/>
      <c r="R1000" s="63"/>
      <c r="S1000" s="63"/>
      <c r="T1000" s="63"/>
      <c r="U1000" s="63"/>
      <c r="V1000" s="63"/>
      <c r="W1000" s="63"/>
      <c r="X1000" s="63"/>
      <c r="Y1000" s="63"/>
      <c r="Z1000" s="62"/>
    </row>
  </sheetData>
  <mergeCells count="2">
    <mergeCell ref="B8:E8"/>
    <mergeCell ref="B10:D10"/>
  </mergeCells>
  <conditionalFormatting sqref="G11:G12">
    <cfRule type="containsText" dxfId="0" priority="1" operator="containsText" text="No, not really">
      <formula>NOT(ISERROR(SEARCH(("No, not really"),(G11))))</formula>
    </cfRule>
  </conditionalFormatting>
  <conditionalFormatting sqref="G13">
    <cfRule type="containsText" dxfId="0" priority="2" operator="containsText" text="No">
      <formula>NOT(ISERROR(SEARCH(("No"),(G13))))</formula>
    </cfRule>
  </conditionalFormatting>
  <conditionalFormatting sqref="G15:G16">
    <cfRule type="containsText" dxfId="0" priority="3" operator="containsText" text="No, not really">
      <formula>NOT(ISERROR(SEARCH(("No, not really"),(G15))))</formula>
    </cfRule>
  </conditionalFormatting>
  <conditionalFormatting sqref="G17">
    <cfRule type="containsText" dxfId="0" priority="4" operator="containsText" text="No">
      <formula>NOT(ISERROR(SEARCH(("No"),(G17))))</formula>
    </cfRule>
  </conditionalFormatting>
  <conditionalFormatting sqref="G19">
    <cfRule type="containsText" dxfId="0" priority="5" operator="containsText" text="No">
      <formula>NOT(ISERROR(SEARCH(("No"),(G19))))</formula>
    </cfRule>
  </conditionalFormatting>
  <conditionalFormatting sqref="G22">
    <cfRule type="containsText" dxfId="0" priority="6" operator="containsText" text="No">
      <formula>NOT(ISERROR(SEARCH(("No"),(G22))))</formula>
    </cfRule>
  </conditionalFormatting>
  <conditionalFormatting sqref="G20">
    <cfRule type="containsText" dxfId="0" priority="7" operator="containsText" text="Yes">
      <formula>NOT(ISERROR(SEARCH(("Yes"),(G20))))</formula>
    </cfRule>
  </conditionalFormatting>
  <conditionalFormatting sqref="G21">
    <cfRule type="containsText" dxfId="0" priority="8" operator="containsText" text="No Change">
      <formula>NOT(ISERROR(SEARCH(("No Change"),(G21))))</formula>
    </cfRule>
  </conditionalFormatting>
  <conditionalFormatting sqref="G24">
    <cfRule type="containsText" dxfId="0" priority="9" operator="containsText" text="No">
      <formula>NOT(ISERROR(SEARCH(("No"),(G24))))</formula>
    </cfRule>
  </conditionalFormatting>
  <conditionalFormatting sqref="G25">
    <cfRule type="containsText" dxfId="0" priority="10" operator="containsText" text="Yes">
      <formula>NOT(ISERROR(SEARCH(("Yes"),(G25))))</formula>
    </cfRule>
  </conditionalFormatting>
  <conditionalFormatting sqref="G26">
    <cfRule type="containsText" dxfId="0" priority="11" operator="containsText" text="Yes, but less than 4 days">
      <formula>NOT(ISERROR(SEARCH(("Yes, but less than 4 days"),(G26))))</formula>
    </cfRule>
  </conditionalFormatting>
  <conditionalFormatting sqref="G27">
    <cfRule type="containsText" dxfId="0" priority="12" operator="containsText" text="Less than half">
      <formula>NOT(ISERROR(SEARCH(("Less than half"),(G27))))</formula>
    </cfRule>
  </conditionalFormatting>
  <conditionalFormatting sqref="G28">
    <cfRule type="containsText" dxfId="0" priority="13" operator="containsText" text="Not Applicable">
      <formula>NOT(ISERROR(SEARCH(("Not Applicable"),(G28))))</formula>
    </cfRule>
  </conditionalFormatting>
  <conditionalFormatting sqref="G30:G31">
    <cfRule type="containsText" dxfId="0" priority="14" operator="containsText" text="No">
      <formula>NOT(ISERROR(SEARCH(("No"),(G30))))</formula>
    </cfRule>
  </conditionalFormatting>
  <conditionalFormatting sqref="G32">
    <cfRule type="containsText" dxfId="0" priority="15" operator="containsText" text="Yes, but less than 4 days">
      <formula>NOT(ISERROR(SEARCH(("Yes, but less than 4 days"),(G32))))</formula>
    </cfRule>
  </conditionalFormatting>
  <conditionalFormatting sqref="G33">
    <cfRule type="containsText" dxfId="0" priority="16" operator="containsText" text="Less than half">
      <formula>NOT(ISERROR(SEARCH(("Less than half"),(G33))))</formula>
    </cfRule>
  </conditionalFormatting>
  <conditionalFormatting sqref="G34">
    <cfRule type="containsText" dxfId="0" priority="17" operator="containsText" text="Not Applicable">
      <formula>NOT(ISERROR(SEARCH(("Not Applicable"),(G34))))</formula>
    </cfRule>
  </conditionalFormatting>
  <conditionalFormatting sqref="G38">
    <cfRule type="containsText" dxfId="0" priority="18" operator="containsText" text="No">
      <formula>NOT(ISERROR(SEARCH(("No"),(G38))))</formula>
    </cfRule>
  </conditionalFormatting>
  <conditionalFormatting sqref="G36:G37">
    <cfRule type="containsText" dxfId="0" priority="19" operator="containsText" text="No, not really">
      <formula>NOT(ISERROR(SEARCH(("No, not really"),(G36))))</formula>
    </cfRule>
  </conditionalFormatting>
  <conditionalFormatting sqref="G48:G52">
    <cfRule type="containsText" dxfId="0" priority="20" operator="containsText" text="Not Applicable">
      <formula>NOT(ISERROR(SEARCH(("Not Applicable"),(G48))))</formula>
    </cfRule>
  </conditionalFormatting>
  <conditionalFormatting sqref="G42">
    <cfRule type="containsText" dxfId="0" priority="21" operator="containsText" text="No">
      <formula>NOT(ISERROR(SEARCH(("No"),(G42))))</formula>
    </cfRule>
  </conditionalFormatting>
  <conditionalFormatting sqref="G44:G46">
    <cfRule type="containsText" dxfId="0" priority="22" operator="containsText" text="No">
      <formula>NOT(ISERROR(SEARCH(("No"),(G44))))</formula>
    </cfRule>
  </conditionalFormatting>
  <conditionalFormatting sqref="G53:G55">
    <cfRule type="containsText" dxfId="0" priority="23" operator="containsText" text="No">
      <formula>NOT(ISERROR(SEARCH(("No"),(G53))))</formula>
    </cfRule>
  </conditionalFormatting>
  <conditionalFormatting sqref="G40">
    <cfRule type="containsText" dxfId="0" priority="24" operator="containsText" text="Only one">
      <formula>NOT(ISERROR(SEARCH(("Only one"),(G40))))</formula>
    </cfRule>
  </conditionalFormatting>
  <conditionalFormatting sqref="G41">
    <cfRule type="containsText" dxfId="0" priority="25" operator="containsText" text="Decrease">
      <formula>NOT(ISERROR(SEARCH(("Decrease"),(G41))))</formula>
    </cfRule>
  </conditionalFormatting>
  <dataValidations>
    <dataValidation type="list" allowBlank="1" showErrorMessage="1" sqref="G26 G32">
      <formula1>$J$53:$J$55</formula1>
    </dataValidation>
    <dataValidation type="list" allowBlank="1" showErrorMessage="1" sqref="G28 G34 G48:G52">
      <formula1>$J$21:$J$23</formula1>
    </dataValidation>
    <dataValidation type="list" allowBlank="1" showErrorMessage="1" sqref="G21">
      <formula1>$J$26:$J$28</formula1>
    </dataValidation>
    <dataValidation type="list" allowBlank="1" showErrorMessage="1" sqref="G41">
      <formula1>$J$42:$J$44</formula1>
    </dataValidation>
    <dataValidation type="list" allowBlank="1" showErrorMessage="1" sqref="G44 G53:G55">
      <formula1>$J$47:$J$49</formula1>
    </dataValidation>
    <dataValidation type="list" allowBlank="1" showErrorMessage="1" sqref="G27 G33">
      <formula1>$J$58:$J$60</formula1>
    </dataValidation>
    <dataValidation type="list" allowBlank="1" showErrorMessage="1" sqref="G20 G25 G31 G45:G46">
      <formula1>$J$31:$J$33</formula1>
    </dataValidation>
    <dataValidation type="list" allowBlank="1" showErrorMessage="1" sqref="G40">
      <formula1>$J$36:$J$38</formula1>
    </dataValidation>
    <dataValidation type="list" allowBlank="1" showErrorMessage="1" sqref="G11:G12 G15:G16 G36:G37">
      <formula1>$J$11:$J$13</formula1>
    </dataValidation>
    <dataValidation type="list" allowBlank="1" showErrorMessage="1" sqref="G13 G17 G19 G22 G24 G30 G38 G42">
      <formula1>$J$16:$J$18</formula1>
    </dataValidation>
  </dataValidations>
  <printOptions/>
  <pageMargins bottom="0.75" footer="0.0" header="0.0" left="0.7" right="0.7" top="0.75"/>
  <pageSetup paperSize="9" orientation="portrait"/>
  <headerFooter>
    <oddFooter>&amp;R#000000C2 - Safaricom Internal</oddFooter>
  </headerFooter>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6.57"/>
    <col customWidth="1" min="2" max="2" width="2.0"/>
    <col customWidth="1" min="3" max="3" width="29.14"/>
    <col customWidth="1" min="4" max="4" width="33.14"/>
    <col customWidth="1" min="5" max="5" width="104.0"/>
    <col customWidth="1" min="6" max="6" width="75.0"/>
    <col customWidth="1" min="7" max="7" width="14.0"/>
    <col customWidth="1" min="8" max="8" width="24.57"/>
    <col customWidth="1" hidden="1" min="9" max="9" width="11.43"/>
    <col customWidth="1" hidden="1" min="10" max="10" width="29.14"/>
    <col customWidth="1" hidden="1" min="11" max="11" width="17.14"/>
    <col customWidth="1" min="12" max="26" width="8.71"/>
  </cols>
  <sheetData>
    <row r="1" ht="14.25" customHeight="1">
      <c r="A1" s="56"/>
      <c r="B1" s="1"/>
      <c r="C1" s="1"/>
      <c r="D1" s="1"/>
      <c r="E1" s="1"/>
      <c r="F1" s="1"/>
      <c r="G1" s="1"/>
      <c r="H1" s="98"/>
      <c r="I1" s="56"/>
      <c r="J1" s="56"/>
      <c r="K1" s="56"/>
      <c r="L1" s="56"/>
      <c r="M1" s="56"/>
      <c r="N1" s="56"/>
      <c r="O1" s="56"/>
      <c r="P1" s="56"/>
      <c r="Q1" s="56"/>
      <c r="R1" s="56"/>
      <c r="S1" s="56"/>
      <c r="T1" s="56"/>
      <c r="U1" s="56"/>
      <c r="V1" s="56"/>
      <c r="W1" s="56"/>
      <c r="X1" s="56"/>
      <c r="Y1" s="56"/>
      <c r="Z1" s="56"/>
    </row>
    <row r="2" ht="14.25" customHeight="1">
      <c r="A2" s="56"/>
      <c r="B2" s="1"/>
      <c r="C2" s="1"/>
      <c r="D2" s="1"/>
      <c r="E2" s="1"/>
      <c r="F2" s="1"/>
      <c r="G2" s="1"/>
      <c r="H2" s="98"/>
      <c r="I2" s="56"/>
      <c r="J2" s="56"/>
      <c r="K2" s="56"/>
      <c r="L2" s="56"/>
      <c r="M2" s="56"/>
      <c r="N2" s="56"/>
      <c r="O2" s="56"/>
      <c r="P2" s="56"/>
      <c r="Q2" s="56"/>
      <c r="R2" s="56"/>
      <c r="S2" s="56"/>
      <c r="T2" s="56"/>
      <c r="U2" s="56"/>
      <c r="V2" s="56"/>
      <c r="W2" s="56"/>
      <c r="X2" s="56"/>
      <c r="Y2" s="56"/>
      <c r="Z2" s="56"/>
    </row>
    <row r="3" ht="14.25" customHeight="1">
      <c r="A3" s="56"/>
      <c r="B3" s="1"/>
      <c r="C3" s="1"/>
      <c r="D3" s="1"/>
      <c r="E3" s="1"/>
      <c r="F3" s="1"/>
      <c r="G3" s="1"/>
      <c r="H3" s="98"/>
      <c r="I3" s="56"/>
      <c r="J3" s="56"/>
      <c r="K3" s="56"/>
      <c r="L3" s="56"/>
      <c r="M3" s="56"/>
      <c r="N3" s="56"/>
      <c r="O3" s="56"/>
      <c r="P3" s="56"/>
      <c r="Q3" s="56"/>
      <c r="R3" s="56"/>
      <c r="S3" s="56"/>
      <c r="T3" s="56"/>
      <c r="U3" s="56"/>
      <c r="V3" s="56"/>
      <c r="W3" s="56"/>
      <c r="X3" s="56"/>
      <c r="Y3" s="56"/>
      <c r="Z3" s="56"/>
    </row>
    <row r="4" ht="14.25" customHeight="1">
      <c r="A4" s="56"/>
      <c r="B4" s="1"/>
      <c r="C4" s="1"/>
      <c r="D4" s="1"/>
      <c r="E4" s="1"/>
      <c r="F4" s="1"/>
      <c r="G4" s="1"/>
      <c r="H4" s="98"/>
      <c r="I4" s="56"/>
      <c r="J4" s="56"/>
      <c r="K4" s="56"/>
      <c r="L4" s="56"/>
      <c r="M4" s="56"/>
      <c r="N4" s="56"/>
      <c r="O4" s="56"/>
      <c r="P4" s="56"/>
      <c r="Q4" s="56"/>
      <c r="R4" s="56"/>
      <c r="S4" s="56"/>
      <c r="T4" s="56"/>
      <c r="U4" s="56"/>
      <c r="V4" s="56"/>
      <c r="W4" s="56"/>
      <c r="X4" s="56"/>
      <c r="Y4" s="56"/>
      <c r="Z4" s="56"/>
    </row>
    <row r="5" ht="14.25" customHeight="1">
      <c r="A5" s="56"/>
      <c r="B5" s="1"/>
      <c r="C5" s="1"/>
      <c r="D5" s="1"/>
      <c r="E5" s="1"/>
      <c r="F5" s="1"/>
      <c r="G5" s="1"/>
      <c r="H5" s="98"/>
      <c r="I5" s="56"/>
      <c r="J5" s="56"/>
      <c r="K5" s="56"/>
      <c r="L5" s="56"/>
      <c r="M5" s="56"/>
      <c r="N5" s="56"/>
      <c r="O5" s="56"/>
      <c r="P5" s="56"/>
      <c r="Q5" s="56"/>
      <c r="R5" s="56"/>
      <c r="S5" s="56"/>
      <c r="T5" s="56"/>
      <c r="U5" s="56"/>
      <c r="V5" s="56"/>
      <c r="W5" s="56"/>
      <c r="X5" s="56"/>
      <c r="Y5" s="56"/>
      <c r="Z5" s="56"/>
    </row>
    <row r="6" ht="14.25" customHeight="1">
      <c r="A6" s="59"/>
      <c r="B6" s="60"/>
      <c r="C6" s="60"/>
      <c r="D6" s="60"/>
      <c r="E6" s="60"/>
      <c r="F6" s="60"/>
      <c r="G6" s="60"/>
      <c r="H6" s="99"/>
      <c r="I6" s="59"/>
      <c r="J6" s="59"/>
      <c r="K6" s="59"/>
      <c r="L6" s="59"/>
      <c r="M6" s="59"/>
      <c r="N6" s="59"/>
      <c r="O6" s="100"/>
      <c r="P6" s="100"/>
      <c r="Q6" s="100"/>
      <c r="R6" s="100"/>
      <c r="S6" s="100"/>
      <c r="T6" s="100"/>
      <c r="U6" s="100"/>
      <c r="V6" s="100"/>
      <c r="W6" s="100"/>
      <c r="X6" s="100"/>
      <c r="Y6" s="100"/>
      <c r="Z6" s="100"/>
    </row>
    <row r="7" ht="33.75" customHeight="1">
      <c r="A7" s="59"/>
      <c r="B7" s="60"/>
      <c r="C7" s="60"/>
      <c r="D7" s="60"/>
      <c r="E7" s="60"/>
      <c r="F7" s="64" t="s">
        <v>27</v>
      </c>
      <c r="G7" s="60"/>
      <c r="H7" s="99"/>
      <c r="I7" s="59"/>
      <c r="J7" s="59"/>
      <c r="K7" s="59"/>
      <c r="L7" s="59"/>
      <c r="M7" s="59"/>
      <c r="N7" s="59"/>
      <c r="O7" s="100"/>
      <c r="P7" s="100"/>
      <c r="Q7" s="100"/>
      <c r="R7" s="100"/>
      <c r="S7" s="100"/>
      <c r="T7" s="100"/>
      <c r="U7" s="100"/>
      <c r="V7" s="100"/>
      <c r="W7" s="100"/>
      <c r="X7" s="100"/>
      <c r="Y7" s="100"/>
      <c r="Z7" s="100"/>
    </row>
    <row r="8" ht="36.0" customHeight="1">
      <c r="A8" s="59"/>
      <c r="B8" s="65" t="s">
        <v>171</v>
      </c>
      <c r="C8" s="3"/>
      <c r="D8" s="3"/>
      <c r="E8" s="4"/>
      <c r="F8" s="66"/>
      <c r="G8" s="66"/>
      <c r="H8" s="99"/>
      <c r="I8" s="59"/>
      <c r="J8" s="101" t="s">
        <v>172</v>
      </c>
      <c r="K8" s="59"/>
      <c r="L8" s="59"/>
      <c r="M8" s="59"/>
      <c r="N8" s="59"/>
      <c r="O8" s="100"/>
      <c r="P8" s="100"/>
      <c r="Q8" s="100"/>
      <c r="R8" s="100"/>
      <c r="S8" s="100"/>
      <c r="T8" s="100"/>
      <c r="U8" s="100"/>
      <c r="V8" s="100"/>
      <c r="W8" s="100"/>
      <c r="X8" s="100"/>
      <c r="Y8" s="100"/>
      <c r="Z8" s="100"/>
    </row>
    <row r="9" ht="15.75" customHeight="1">
      <c r="A9" s="59"/>
      <c r="B9" s="60"/>
      <c r="C9" s="60"/>
      <c r="D9" s="60"/>
      <c r="E9" s="60"/>
      <c r="F9" s="60"/>
      <c r="G9" s="60"/>
      <c r="H9" s="99"/>
      <c r="I9" s="59"/>
      <c r="J9" s="59" t="str">
        <f>""</f>
        <v/>
      </c>
      <c r="K9" s="59"/>
      <c r="L9" s="59"/>
      <c r="M9" s="59"/>
      <c r="N9" s="59"/>
      <c r="O9" s="100"/>
      <c r="P9" s="100"/>
      <c r="Q9" s="100"/>
      <c r="R9" s="100"/>
      <c r="S9" s="100"/>
      <c r="T9" s="100"/>
      <c r="U9" s="100"/>
      <c r="V9" s="100"/>
      <c r="W9" s="100"/>
      <c r="X9" s="100"/>
      <c r="Y9" s="100"/>
      <c r="Z9" s="100"/>
    </row>
    <row r="10" ht="23.25" customHeight="1">
      <c r="A10" s="59"/>
      <c r="B10" s="68" t="s">
        <v>173</v>
      </c>
      <c r="C10" s="69"/>
      <c r="D10" s="70"/>
      <c r="E10" s="102" t="s">
        <v>32</v>
      </c>
      <c r="F10" s="71" t="s">
        <v>33</v>
      </c>
      <c r="G10" s="72" t="s">
        <v>34</v>
      </c>
      <c r="H10" s="73" t="s">
        <v>35</v>
      </c>
      <c r="I10" s="92" t="s">
        <v>36</v>
      </c>
      <c r="J10" s="103" t="s">
        <v>37</v>
      </c>
      <c r="K10" s="94" t="s">
        <v>57</v>
      </c>
      <c r="L10" s="59"/>
      <c r="M10" s="59"/>
      <c r="N10" s="59"/>
      <c r="O10" s="100"/>
      <c r="P10" s="100"/>
      <c r="Q10" s="100"/>
      <c r="R10" s="100"/>
      <c r="S10" s="100"/>
      <c r="T10" s="100"/>
      <c r="U10" s="100"/>
      <c r="V10" s="100"/>
      <c r="W10" s="100"/>
      <c r="X10" s="100"/>
      <c r="Y10" s="100"/>
      <c r="Z10" s="100"/>
    </row>
    <row r="11" ht="14.25" customHeight="1">
      <c r="A11" s="77">
        <v>1.0</v>
      </c>
      <c r="B11" s="104">
        <v>1.0</v>
      </c>
      <c r="C11" s="105" t="s">
        <v>174</v>
      </c>
      <c r="D11" s="106" t="s">
        <v>175</v>
      </c>
      <c r="E11" s="107" t="s">
        <v>176</v>
      </c>
      <c r="F11" s="108" t="s">
        <v>177</v>
      </c>
      <c r="G11" s="109" t="s">
        <v>178</v>
      </c>
      <c r="H11" s="110" t="str">
        <f t="shared" ref="H11:H16" si="1">IF(OR(G11=$J$11,G11=$J$12,G11=$J$13),$J$9,$J$8)</f>
        <v/>
      </c>
      <c r="I11" s="92">
        <f t="shared" ref="I11:I16" si="2">IF(G11=$J$11,$K$11,IF(G11=$J$12,$K$12,$K$13))</f>
        <v>1</v>
      </c>
      <c r="J11" s="59" t="s">
        <v>179</v>
      </c>
      <c r="K11" s="59">
        <v>3.0</v>
      </c>
      <c r="L11" s="59"/>
      <c r="M11" s="59"/>
      <c r="N11" s="59"/>
      <c r="O11" s="100"/>
      <c r="P11" s="100"/>
      <c r="Q11" s="100"/>
      <c r="R11" s="100"/>
      <c r="S11" s="100"/>
      <c r="T11" s="100"/>
      <c r="U11" s="100"/>
      <c r="V11" s="100"/>
      <c r="W11" s="100"/>
      <c r="X11" s="100"/>
      <c r="Y11" s="100"/>
      <c r="Z11" s="100"/>
    </row>
    <row r="12" ht="14.25" customHeight="1">
      <c r="A12" s="77">
        <f t="shared" ref="A12:A13" si="3">A4+1</f>
        <v>1</v>
      </c>
      <c r="B12" s="111"/>
      <c r="C12" s="112"/>
      <c r="D12" s="106" t="s">
        <v>180</v>
      </c>
      <c r="E12" s="81" t="s">
        <v>181</v>
      </c>
      <c r="F12" s="108" t="s">
        <v>182</v>
      </c>
      <c r="G12" s="109" t="s">
        <v>178</v>
      </c>
      <c r="H12" s="110" t="str">
        <f t="shared" si="1"/>
        <v/>
      </c>
      <c r="I12" s="92">
        <f t="shared" si="2"/>
        <v>1</v>
      </c>
      <c r="J12" s="59" t="s">
        <v>183</v>
      </c>
      <c r="K12" s="59">
        <v>2.0</v>
      </c>
      <c r="L12" s="59"/>
      <c r="M12" s="59"/>
      <c r="N12" s="59"/>
      <c r="O12" s="100"/>
      <c r="P12" s="100"/>
      <c r="Q12" s="100"/>
      <c r="R12" s="100"/>
      <c r="S12" s="100"/>
      <c r="T12" s="100"/>
      <c r="U12" s="100"/>
      <c r="V12" s="100"/>
      <c r="W12" s="100"/>
      <c r="X12" s="100"/>
      <c r="Y12" s="100"/>
      <c r="Z12" s="100"/>
    </row>
    <row r="13" ht="14.25" customHeight="1">
      <c r="A13" s="77">
        <f t="shared" si="3"/>
        <v>1</v>
      </c>
      <c r="B13" s="111"/>
      <c r="C13" s="112"/>
      <c r="D13" s="106" t="s">
        <v>184</v>
      </c>
      <c r="E13" s="81" t="s">
        <v>185</v>
      </c>
      <c r="F13" s="108" t="s">
        <v>186</v>
      </c>
      <c r="G13" s="109" t="s">
        <v>178</v>
      </c>
      <c r="H13" s="110" t="str">
        <f t="shared" si="1"/>
        <v/>
      </c>
      <c r="I13" s="92">
        <f t="shared" si="2"/>
        <v>1</v>
      </c>
      <c r="J13" s="59" t="s">
        <v>178</v>
      </c>
      <c r="K13" s="59">
        <v>1.0</v>
      </c>
      <c r="L13" s="59"/>
      <c r="M13" s="59"/>
      <c r="N13" s="59"/>
      <c r="O13" s="100"/>
      <c r="P13" s="100"/>
      <c r="Q13" s="100"/>
      <c r="R13" s="100"/>
      <c r="S13" s="100"/>
      <c r="T13" s="100"/>
      <c r="U13" s="100"/>
      <c r="V13" s="100"/>
      <c r="W13" s="100"/>
      <c r="X13" s="100"/>
      <c r="Y13" s="100"/>
      <c r="Z13" s="100"/>
    </row>
    <row r="14" ht="14.25" customHeight="1">
      <c r="A14" s="77">
        <f t="shared" ref="A14:A16" si="4">A3+1</f>
        <v>1</v>
      </c>
      <c r="B14" s="111"/>
      <c r="C14" s="112"/>
      <c r="D14" s="106" t="s">
        <v>187</v>
      </c>
      <c r="E14" s="81" t="s">
        <v>188</v>
      </c>
      <c r="F14" s="108" t="s">
        <v>189</v>
      </c>
      <c r="G14" s="109" t="s">
        <v>178</v>
      </c>
      <c r="H14" s="110" t="str">
        <f t="shared" si="1"/>
        <v/>
      </c>
      <c r="I14" s="92">
        <f t="shared" si="2"/>
        <v>1</v>
      </c>
      <c r="J14" s="59"/>
      <c r="K14" s="59"/>
      <c r="L14" s="59"/>
      <c r="M14" s="59"/>
      <c r="N14" s="59"/>
      <c r="O14" s="100"/>
      <c r="P14" s="100"/>
      <c r="Q14" s="100"/>
      <c r="R14" s="100"/>
      <c r="S14" s="100"/>
      <c r="T14" s="100"/>
      <c r="U14" s="100"/>
      <c r="V14" s="100"/>
      <c r="W14" s="100"/>
      <c r="X14" s="100"/>
      <c r="Y14" s="100"/>
      <c r="Z14" s="100"/>
    </row>
    <row r="15" ht="14.25" customHeight="1">
      <c r="A15" s="77">
        <f t="shared" si="4"/>
        <v>1</v>
      </c>
      <c r="B15" s="111"/>
      <c r="C15" s="112"/>
      <c r="D15" s="106" t="s">
        <v>190</v>
      </c>
      <c r="E15" s="81" t="s">
        <v>191</v>
      </c>
      <c r="F15" s="108" t="s">
        <v>192</v>
      </c>
      <c r="G15" s="109" t="s">
        <v>178</v>
      </c>
      <c r="H15" s="110" t="str">
        <f t="shared" si="1"/>
        <v/>
      </c>
      <c r="I15" s="92">
        <f t="shared" si="2"/>
        <v>1</v>
      </c>
      <c r="J15" s="59"/>
      <c r="K15" s="59"/>
      <c r="L15" s="59"/>
      <c r="M15" s="59"/>
      <c r="N15" s="59"/>
      <c r="O15" s="100"/>
      <c r="P15" s="100"/>
      <c r="Q15" s="100"/>
      <c r="R15" s="100"/>
      <c r="S15" s="100"/>
      <c r="T15" s="100"/>
      <c r="U15" s="100"/>
      <c r="V15" s="100"/>
      <c r="W15" s="100"/>
      <c r="X15" s="100"/>
      <c r="Y15" s="100"/>
      <c r="Z15" s="100"/>
    </row>
    <row r="16" ht="14.25" customHeight="1">
      <c r="A16" s="77">
        <f t="shared" si="4"/>
        <v>1</v>
      </c>
      <c r="B16" s="111"/>
      <c r="C16" s="112"/>
      <c r="D16" s="106" t="s">
        <v>193</v>
      </c>
      <c r="E16" s="81" t="s">
        <v>194</v>
      </c>
      <c r="F16" s="108" t="s">
        <v>195</v>
      </c>
      <c r="G16" s="109" t="s">
        <v>178</v>
      </c>
      <c r="H16" s="110" t="str">
        <f t="shared" si="1"/>
        <v/>
      </c>
      <c r="I16" s="92">
        <f t="shared" si="2"/>
        <v>1</v>
      </c>
      <c r="J16" s="59" t="s">
        <v>56</v>
      </c>
      <c r="K16" s="59" t="s">
        <v>57</v>
      </c>
      <c r="L16" s="59"/>
      <c r="M16" s="59"/>
      <c r="N16" s="59"/>
      <c r="O16" s="100"/>
      <c r="P16" s="100"/>
      <c r="Q16" s="100"/>
      <c r="R16" s="100"/>
      <c r="S16" s="100"/>
      <c r="T16" s="100"/>
      <c r="U16" s="100"/>
      <c r="V16" s="100"/>
      <c r="W16" s="100"/>
      <c r="X16" s="100"/>
      <c r="Y16" s="100"/>
      <c r="Z16" s="100"/>
    </row>
    <row r="17" ht="14.25" customHeight="1">
      <c r="A17" s="77">
        <f t="shared" ref="A17:A21" si="5">A7+1</f>
        <v>1</v>
      </c>
      <c r="B17" s="111"/>
      <c r="C17" s="112"/>
      <c r="D17" s="106" t="s">
        <v>196</v>
      </c>
      <c r="E17" s="81" t="s">
        <v>197</v>
      </c>
      <c r="F17" s="108" t="s">
        <v>198</v>
      </c>
      <c r="G17" s="109" t="s">
        <v>199</v>
      </c>
      <c r="H17" s="110" t="str">
        <f>IF(OR(G17=$J$17,G17=$J$18,G17=$J$19),$J$9,$J$8)</f>
        <v/>
      </c>
      <c r="I17" s="92">
        <f>IF(G17=$J$17,$K$17,IF(G17=$J$18,$K$18,$K$19))</f>
        <v>1</v>
      </c>
      <c r="J17" s="59" t="s">
        <v>199</v>
      </c>
      <c r="K17" s="59">
        <v>1.0</v>
      </c>
      <c r="L17" s="59"/>
      <c r="M17" s="59"/>
      <c r="N17" s="59"/>
      <c r="O17" s="100"/>
      <c r="P17" s="100"/>
      <c r="Q17" s="100"/>
      <c r="R17" s="100"/>
      <c r="S17" s="100"/>
      <c r="T17" s="100"/>
      <c r="U17" s="100"/>
      <c r="V17" s="100"/>
      <c r="W17" s="100"/>
      <c r="X17" s="100"/>
      <c r="Y17" s="100"/>
      <c r="Z17" s="100"/>
    </row>
    <row r="18" ht="14.25" customHeight="1">
      <c r="A18" s="77">
        <f t="shared" si="5"/>
        <v>1</v>
      </c>
      <c r="B18" s="111"/>
      <c r="C18" s="112"/>
      <c r="D18" s="106" t="s">
        <v>200</v>
      </c>
      <c r="E18" s="81" t="s">
        <v>201</v>
      </c>
      <c r="F18" s="108" t="s">
        <v>202</v>
      </c>
      <c r="G18" s="109" t="s">
        <v>178</v>
      </c>
      <c r="H18" s="110" t="str">
        <f>IF(OR(G18=$J$11,G18=$J$12,G18=$J$13),$J$9,$J$8)</f>
        <v/>
      </c>
      <c r="I18" s="92">
        <f>IF(G18=$J$11,$K$11,IF(G18=$J$12,$K$12,$K$13))</f>
        <v>1</v>
      </c>
      <c r="J18" s="59" t="s">
        <v>203</v>
      </c>
      <c r="K18" s="59">
        <v>2.0</v>
      </c>
      <c r="L18" s="59"/>
      <c r="M18" s="59"/>
      <c r="N18" s="59"/>
      <c r="O18" s="100"/>
      <c r="P18" s="100"/>
      <c r="Q18" s="100"/>
      <c r="R18" s="100"/>
      <c r="S18" s="100"/>
      <c r="T18" s="100"/>
      <c r="U18" s="100"/>
      <c r="V18" s="100"/>
      <c r="W18" s="100"/>
      <c r="X18" s="100"/>
      <c r="Y18" s="100"/>
      <c r="Z18" s="100"/>
    </row>
    <row r="19" ht="14.25" customHeight="1">
      <c r="A19" s="77">
        <f t="shared" si="5"/>
        <v>1</v>
      </c>
      <c r="B19" s="111"/>
      <c r="C19" s="112"/>
      <c r="D19" s="106" t="s">
        <v>204</v>
      </c>
      <c r="E19" s="81" t="s">
        <v>205</v>
      </c>
      <c r="F19" s="108" t="s">
        <v>206</v>
      </c>
      <c r="G19" s="109" t="s">
        <v>207</v>
      </c>
      <c r="H19" s="110" t="str">
        <f>IF(OR(G19=$J$22,G19=$J$23,G19=$J$24),$J$9,$J$8)</f>
        <v/>
      </c>
      <c r="I19" s="92">
        <f>IF(G19=$J$22,$K$22,IF(G19=$J$23,$K$23,$K$24))</f>
        <v>1</v>
      </c>
      <c r="J19" s="59" t="s">
        <v>208</v>
      </c>
      <c r="K19" s="59">
        <v>3.0</v>
      </c>
      <c r="L19" s="59"/>
      <c r="M19" s="59"/>
      <c r="N19" s="59"/>
      <c r="O19" s="100"/>
      <c r="P19" s="100"/>
      <c r="Q19" s="100"/>
      <c r="R19" s="100"/>
      <c r="S19" s="100"/>
      <c r="T19" s="100"/>
      <c r="U19" s="100"/>
      <c r="V19" s="100"/>
      <c r="W19" s="100"/>
      <c r="X19" s="100"/>
      <c r="Y19" s="100"/>
      <c r="Z19" s="100"/>
    </row>
    <row r="20" ht="14.25" customHeight="1">
      <c r="A20" s="77">
        <f t="shared" si="5"/>
        <v>1</v>
      </c>
      <c r="B20" s="111"/>
      <c r="C20" s="112"/>
      <c r="D20" s="106" t="s">
        <v>209</v>
      </c>
      <c r="E20" s="81" t="s">
        <v>210</v>
      </c>
      <c r="F20" s="108" t="s">
        <v>211</v>
      </c>
      <c r="G20" s="109" t="s">
        <v>178</v>
      </c>
      <c r="H20" s="110" t="str">
        <f>IF(OR(G20=$J$11,G20=$J$12,G20=$J$13),$J$9,$J$8)</f>
        <v/>
      </c>
      <c r="I20" s="92">
        <f>IF(G20=$J$11,$K$11,IF(G20=$J$12,$K$12,$K$13))</f>
        <v>1</v>
      </c>
      <c r="J20" s="59"/>
      <c r="K20" s="59"/>
      <c r="L20" s="59"/>
      <c r="M20" s="59"/>
      <c r="N20" s="59"/>
      <c r="O20" s="100"/>
      <c r="P20" s="100"/>
      <c r="Q20" s="100"/>
      <c r="R20" s="100"/>
      <c r="S20" s="100"/>
      <c r="T20" s="100"/>
      <c r="U20" s="100"/>
      <c r="V20" s="100"/>
      <c r="W20" s="100"/>
      <c r="X20" s="100"/>
      <c r="Y20" s="100"/>
      <c r="Z20" s="100"/>
    </row>
    <row r="21" ht="14.25" customHeight="1">
      <c r="A21" s="77">
        <f t="shared" si="5"/>
        <v>2</v>
      </c>
      <c r="B21" s="111"/>
      <c r="C21" s="112"/>
      <c r="D21" s="106" t="s">
        <v>212</v>
      </c>
      <c r="E21" s="81" t="s">
        <v>213</v>
      </c>
      <c r="F21" s="108" t="s">
        <v>214</v>
      </c>
      <c r="G21" s="109" t="s">
        <v>215</v>
      </c>
      <c r="H21" s="110" t="str">
        <f>IF(OR(G21=$J$27,G21=$J$28,G21=$J$29),$J$9,$J$8)</f>
        <v/>
      </c>
      <c r="I21" s="92">
        <f>IF(G21=$J$27,$K$27,IF(G21=$J$28,$K$28,$K$29))</f>
        <v>1</v>
      </c>
      <c r="J21" s="59" t="s">
        <v>70</v>
      </c>
      <c r="K21" s="59" t="s">
        <v>216</v>
      </c>
      <c r="L21" s="59"/>
      <c r="M21" s="59"/>
      <c r="N21" s="59"/>
      <c r="O21" s="100"/>
      <c r="P21" s="100"/>
      <c r="Q21" s="100"/>
      <c r="R21" s="100"/>
      <c r="S21" s="100"/>
      <c r="T21" s="100"/>
      <c r="U21" s="100"/>
      <c r="V21" s="100"/>
      <c r="W21" s="100"/>
      <c r="X21" s="100"/>
      <c r="Y21" s="100"/>
      <c r="Z21" s="100"/>
    </row>
    <row r="22" ht="14.25" customHeight="1">
      <c r="A22" s="77">
        <f>A21+1</f>
        <v>3</v>
      </c>
      <c r="B22" s="113"/>
      <c r="C22" s="114"/>
      <c r="D22" s="106" t="s">
        <v>217</v>
      </c>
      <c r="E22" s="81" t="s">
        <v>218</v>
      </c>
      <c r="F22" s="115" t="s">
        <v>219</v>
      </c>
      <c r="G22" s="109" t="s">
        <v>178</v>
      </c>
      <c r="H22" s="110" t="str">
        <f>IF(OR(G22=$J$11,G22=$J$12,G22=$J$13),$J$9,$J$8)</f>
        <v/>
      </c>
      <c r="I22" s="92">
        <f>IF(G22=$J$11,$K$11,IF(G22=$J$12,$K$12,$K$13))</f>
        <v>1</v>
      </c>
      <c r="J22" s="59" t="s">
        <v>220</v>
      </c>
      <c r="K22" s="59">
        <v>3.0</v>
      </c>
      <c r="L22" s="59"/>
      <c r="M22" s="59"/>
      <c r="N22" s="59"/>
      <c r="O22" s="100"/>
      <c r="P22" s="100"/>
      <c r="Q22" s="100"/>
      <c r="R22" s="100"/>
      <c r="S22" s="100"/>
      <c r="T22" s="100"/>
      <c r="U22" s="100"/>
      <c r="V22" s="100"/>
      <c r="W22" s="100"/>
      <c r="X22" s="100"/>
      <c r="Y22" s="100"/>
      <c r="Z22" s="100"/>
    </row>
    <row r="23" ht="14.25" customHeight="1">
      <c r="A23" s="59"/>
      <c r="B23" s="89"/>
      <c r="C23" s="89"/>
      <c r="D23" s="89"/>
      <c r="E23" s="89"/>
      <c r="F23" s="89"/>
      <c r="G23" s="116" t="s">
        <v>221</v>
      </c>
      <c r="H23" s="117"/>
      <c r="I23" s="59" t="str">
        <f>""</f>
        <v/>
      </c>
      <c r="J23" s="59" t="s">
        <v>222</v>
      </c>
      <c r="K23" s="59">
        <v>2.0</v>
      </c>
      <c r="L23" s="59"/>
      <c r="M23" s="59"/>
      <c r="N23" s="59"/>
      <c r="O23" s="100"/>
      <c r="P23" s="100"/>
      <c r="Q23" s="100"/>
      <c r="R23" s="100"/>
      <c r="S23" s="100"/>
      <c r="T23" s="100"/>
      <c r="U23" s="100"/>
      <c r="V23" s="100"/>
      <c r="W23" s="100"/>
      <c r="X23" s="100"/>
      <c r="Y23" s="100"/>
      <c r="Z23" s="100"/>
    </row>
    <row r="24" ht="14.25" customHeight="1">
      <c r="A24" s="77">
        <f>A22+1</f>
        <v>4</v>
      </c>
      <c r="B24" s="104">
        <v>2.0</v>
      </c>
      <c r="C24" s="105" t="s">
        <v>223</v>
      </c>
      <c r="D24" s="106" t="s">
        <v>224</v>
      </c>
      <c r="E24" s="81" t="s">
        <v>225</v>
      </c>
      <c r="F24" s="108" t="s">
        <v>226</v>
      </c>
      <c r="G24" s="109" t="s">
        <v>178</v>
      </c>
      <c r="H24" s="110" t="str">
        <f t="shared" ref="H24:H25" si="6">IF(OR(G24=$J$11,G24=$J$12,G24=$J$13),$J$9,$J$8)</f>
        <v/>
      </c>
      <c r="I24" s="92">
        <f t="shared" ref="I24:I25" si="7">IF(G24=$J$11,$K$11,IF(G24=$J$12,$K$12,$K$13))</f>
        <v>1</v>
      </c>
      <c r="J24" s="59" t="s">
        <v>207</v>
      </c>
      <c r="K24" s="94">
        <v>1.0</v>
      </c>
      <c r="L24" s="59"/>
      <c r="M24" s="59"/>
      <c r="N24" s="59"/>
      <c r="O24" s="100"/>
      <c r="P24" s="100"/>
      <c r="Q24" s="100"/>
      <c r="R24" s="100"/>
      <c r="S24" s="100"/>
      <c r="T24" s="100"/>
      <c r="U24" s="100"/>
      <c r="V24" s="100"/>
      <c r="W24" s="100"/>
      <c r="X24" s="100"/>
      <c r="Y24" s="100"/>
      <c r="Z24" s="100"/>
    </row>
    <row r="25" ht="15.0" customHeight="1">
      <c r="A25" s="77">
        <f t="shared" ref="A25:A28" si="8">A21+1</f>
        <v>3</v>
      </c>
      <c r="B25" s="111"/>
      <c r="C25" s="111"/>
      <c r="D25" s="106" t="s">
        <v>227</v>
      </c>
      <c r="E25" s="81" t="s">
        <v>228</v>
      </c>
      <c r="F25" s="108" t="s">
        <v>229</v>
      </c>
      <c r="G25" s="109" t="s">
        <v>178</v>
      </c>
      <c r="H25" s="110" t="str">
        <f t="shared" si="6"/>
        <v/>
      </c>
      <c r="I25" s="92">
        <f t="shared" si="7"/>
        <v>1</v>
      </c>
      <c r="J25" s="59"/>
      <c r="K25" s="59"/>
      <c r="L25" s="59"/>
      <c r="M25" s="59"/>
      <c r="N25" s="59"/>
      <c r="O25" s="100"/>
      <c r="P25" s="100"/>
      <c r="Q25" s="100"/>
      <c r="R25" s="100"/>
      <c r="S25" s="100"/>
      <c r="T25" s="100"/>
      <c r="U25" s="100"/>
      <c r="V25" s="100"/>
      <c r="W25" s="100"/>
      <c r="X25" s="100"/>
      <c r="Y25" s="100"/>
      <c r="Z25" s="100"/>
    </row>
    <row r="26" ht="14.25" customHeight="1">
      <c r="A26" s="77">
        <f t="shared" si="8"/>
        <v>4</v>
      </c>
      <c r="B26" s="111"/>
      <c r="C26" s="111"/>
      <c r="D26" s="106" t="s">
        <v>230</v>
      </c>
      <c r="E26" s="81" t="s">
        <v>231</v>
      </c>
      <c r="F26" s="108" t="s">
        <v>232</v>
      </c>
      <c r="G26" s="109" t="s">
        <v>233</v>
      </c>
      <c r="H26" s="110" t="str">
        <f t="shared" ref="H26:H27" si="9">IF(OR(G26=$J$33,G26=$J$34,G26=$J$35),$J$9,$J$8)</f>
        <v/>
      </c>
      <c r="I26" s="92">
        <f t="shared" ref="I26:I27" si="10">IF(G26=$J$33,$K$33,IF(G26=$J$34,$K$34,$K$35))</f>
        <v>1</v>
      </c>
      <c r="J26" s="59" t="s">
        <v>83</v>
      </c>
      <c r="K26" s="59" t="s">
        <v>234</v>
      </c>
      <c r="L26" s="59"/>
      <c r="M26" s="59"/>
      <c r="N26" s="59"/>
      <c r="O26" s="100"/>
      <c r="P26" s="100"/>
      <c r="Q26" s="100"/>
      <c r="R26" s="100"/>
      <c r="S26" s="100"/>
      <c r="T26" s="100"/>
      <c r="U26" s="100"/>
      <c r="V26" s="100"/>
      <c r="W26" s="100"/>
      <c r="X26" s="100"/>
      <c r="Y26" s="100"/>
      <c r="Z26" s="100"/>
    </row>
    <row r="27" ht="14.25" customHeight="1">
      <c r="A27" s="77">
        <f t="shared" si="8"/>
        <v>1</v>
      </c>
      <c r="B27" s="111"/>
      <c r="C27" s="111"/>
      <c r="D27" s="106" t="s">
        <v>235</v>
      </c>
      <c r="E27" s="81" t="s">
        <v>236</v>
      </c>
      <c r="F27" s="108" t="s">
        <v>237</v>
      </c>
      <c r="G27" s="109" t="s">
        <v>233</v>
      </c>
      <c r="H27" s="110" t="str">
        <f t="shared" si="9"/>
        <v/>
      </c>
      <c r="I27" s="92">
        <f t="shared" si="10"/>
        <v>1</v>
      </c>
      <c r="J27" s="59" t="s">
        <v>238</v>
      </c>
      <c r="K27" s="59">
        <v>3.0</v>
      </c>
      <c r="L27" s="59"/>
      <c r="M27" s="59"/>
      <c r="N27" s="59"/>
      <c r="O27" s="100"/>
      <c r="P27" s="100"/>
      <c r="Q27" s="100"/>
      <c r="R27" s="100"/>
      <c r="S27" s="100"/>
      <c r="T27" s="100"/>
      <c r="U27" s="100"/>
      <c r="V27" s="100"/>
      <c r="W27" s="100"/>
      <c r="X27" s="100"/>
      <c r="Y27" s="100"/>
      <c r="Z27" s="100"/>
    </row>
    <row r="28" ht="14.25" customHeight="1">
      <c r="A28" s="77">
        <f t="shared" si="8"/>
        <v>5</v>
      </c>
      <c r="B28" s="111"/>
      <c r="C28" s="111"/>
      <c r="D28" s="106" t="s">
        <v>239</v>
      </c>
      <c r="E28" s="81" t="s">
        <v>240</v>
      </c>
      <c r="F28" s="108" t="s">
        <v>241</v>
      </c>
      <c r="G28" s="109" t="s">
        <v>60</v>
      </c>
      <c r="H28" s="110" t="str">
        <f t="shared" ref="H28:H29" si="11">IF(OR(G28=$J$38,G28=$J$39,G28=$J$40),$J$9,$J$8)</f>
        <v/>
      </c>
      <c r="I28" s="92">
        <f t="shared" ref="I28:I29" si="12">IF(G28=$J$38,$K$38,IF(G28=$J$39,$K$39,$K$40))</f>
        <v>1</v>
      </c>
      <c r="J28" s="59" t="s">
        <v>242</v>
      </c>
      <c r="K28" s="59">
        <v>2.0</v>
      </c>
      <c r="L28" s="59"/>
      <c r="M28" s="59"/>
      <c r="N28" s="59"/>
      <c r="O28" s="100"/>
      <c r="P28" s="100"/>
      <c r="Q28" s="100"/>
      <c r="R28" s="100"/>
      <c r="S28" s="100"/>
      <c r="T28" s="100"/>
      <c r="U28" s="100"/>
      <c r="V28" s="100"/>
      <c r="W28" s="100"/>
      <c r="X28" s="100"/>
      <c r="Y28" s="100"/>
      <c r="Z28" s="100"/>
    </row>
    <row r="29" ht="14.25" customHeight="1">
      <c r="A29" s="77">
        <f>A28+1</f>
        <v>6</v>
      </c>
      <c r="B29" s="113"/>
      <c r="C29" s="113"/>
      <c r="D29" s="106" t="s">
        <v>243</v>
      </c>
      <c r="E29" s="81" t="s">
        <v>244</v>
      </c>
      <c r="F29" s="108" t="s">
        <v>245</v>
      </c>
      <c r="G29" s="109" t="s">
        <v>60</v>
      </c>
      <c r="H29" s="110" t="str">
        <f t="shared" si="11"/>
        <v/>
      </c>
      <c r="I29" s="92">
        <f t="shared" si="12"/>
        <v>1</v>
      </c>
      <c r="J29" s="59" t="s">
        <v>215</v>
      </c>
      <c r="K29" s="94">
        <v>1.0</v>
      </c>
      <c r="L29" s="59"/>
      <c r="M29" s="59"/>
      <c r="N29" s="59"/>
      <c r="O29" s="100"/>
      <c r="P29" s="100"/>
      <c r="Q29" s="100"/>
      <c r="R29" s="100"/>
      <c r="S29" s="100"/>
      <c r="T29" s="100"/>
      <c r="U29" s="100"/>
      <c r="V29" s="100"/>
      <c r="W29" s="100"/>
      <c r="X29" s="100"/>
      <c r="Y29" s="100"/>
      <c r="Z29" s="100"/>
    </row>
    <row r="30" ht="14.25" customHeight="1">
      <c r="A30" s="59"/>
      <c r="B30" s="89"/>
      <c r="C30" s="89"/>
      <c r="D30" s="89"/>
      <c r="E30" s="89"/>
      <c r="F30" s="89"/>
      <c r="G30" s="116" t="s">
        <v>221</v>
      </c>
      <c r="H30" s="117"/>
      <c r="I30" s="59" t="str">
        <f>""</f>
        <v/>
      </c>
      <c r="J30" s="59"/>
      <c r="K30" s="59"/>
      <c r="L30" s="59"/>
      <c r="M30" s="59"/>
      <c r="N30" s="59"/>
      <c r="O30" s="100"/>
      <c r="P30" s="100"/>
      <c r="Q30" s="100"/>
      <c r="R30" s="100"/>
      <c r="S30" s="100"/>
      <c r="T30" s="100"/>
      <c r="U30" s="100"/>
      <c r="V30" s="100"/>
      <c r="W30" s="100"/>
      <c r="X30" s="100"/>
      <c r="Y30" s="100"/>
      <c r="Z30" s="100"/>
    </row>
    <row r="31" ht="14.25" customHeight="1">
      <c r="A31" s="77">
        <f>A29+1</f>
        <v>7</v>
      </c>
      <c r="B31" s="104">
        <v>3.0</v>
      </c>
      <c r="C31" s="104" t="s">
        <v>246</v>
      </c>
      <c r="D31" s="106" t="s">
        <v>247</v>
      </c>
      <c r="E31" s="81" t="s">
        <v>248</v>
      </c>
      <c r="F31" s="108" t="s">
        <v>249</v>
      </c>
      <c r="G31" s="109" t="s">
        <v>178</v>
      </c>
      <c r="H31" s="110" t="str">
        <f t="shared" ref="H31:H32" si="13">IF(OR(G31=$J$11,G31=$J$12,G31=$J$13),$J$9,$J$8)</f>
        <v/>
      </c>
      <c r="I31" s="92">
        <f t="shared" ref="I31:I32" si="14">IF(G31=$J$11,$K$11,IF(G31=$J$12,$K$12,$K$13))</f>
        <v>1</v>
      </c>
      <c r="J31" s="59"/>
      <c r="K31" s="59"/>
      <c r="L31" s="59"/>
      <c r="M31" s="59"/>
      <c r="N31" s="59"/>
      <c r="O31" s="100"/>
      <c r="P31" s="100"/>
      <c r="Q31" s="100"/>
      <c r="R31" s="100"/>
      <c r="S31" s="100"/>
      <c r="T31" s="100"/>
      <c r="U31" s="100"/>
      <c r="V31" s="100"/>
      <c r="W31" s="100"/>
      <c r="X31" s="100"/>
      <c r="Y31" s="100"/>
      <c r="Z31" s="100"/>
    </row>
    <row r="32" ht="14.25" customHeight="1">
      <c r="A32" s="77">
        <f>A22+1</f>
        <v>4</v>
      </c>
      <c r="B32" s="111"/>
      <c r="C32" s="111"/>
      <c r="D32" s="106" t="s">
        <v>250</v>
      </c>
      <c r="E32" s="81" t="s">
        <v>251</v>
      </c>
      <c r="F32" s="108" t="s">
        <v>252</v>
      </c>
      <c r="G32" s="109" t="s">
        <v>178</v>
      </c>
      <c r="H32" s="110" t="str">
        <f t="shared" si="13"/>
        <v/>
      </c>
      <c r="I32" s="92">
        <f t="shared" si="14"/>
        <v>1</v>
      </c>
      <c r="J32" s="59" t="s">
        <v>97</v>
      </c>
      <c r="K32" s="59" t="s">
        <v>234</v>
      </c>
      <c r="L32" s="59"/>
      <c r="M32" s="59"/>
      <c r="N32" s="59"/>
      <c r="O32" s="100"/>
      <c r="P32" s="100"/>
      <c r="Q32" s="100"/>
      <c r="R32" s="100"/>
      <c r="S32" s="100"/>
      <c r="T32" s="100"/>
      <c r="U32" s="100"/>
      <c r="V32" s="100"/>
      <c r="W32" s="100"/>
      <c r="X32" s="100"/>
      <c r="Y32" s="100"/>
      <c r="Z32" s="100"/>
    </row>
    <row r="33" ht="14.25" customHeight="1">
      <c r="A33" s="77">
        <f t="shared" ref="A33:A34" si="15">A32+1</f>
        <v>5</v>
      </c>
      <c r="B33" s="111"/>
      <c r="C33" s="111"/>
      <c r="D33" s="106" t="s">
        <v>253</v>
      </c>
      <c r="E33" s="81" t="s">
        <v>254</v>
      </c>
      <c r="F33" s="108" t="s">
        <v>255</v>
      </c>
      <c r="G33" s="109" t="s">
        <v>233</v>
      </c>
      <c r="H33" s="110" t="str">
        <f t="shared" ref="H33:H38" si="16">IF(OR(G33=$J$33,G33=$J$34,G33=$J$35),$J$9,$J$8)</f>
        <v/>
      </c>
      <c r="I33" s="92">
        <f t="shared" ref="I33:I38" si="17">IF(G33=$J$33,$K$33,IF(G33=$J$34,$K$34,$K$35))</f>
        <v>1</v>
      </c>
      <c r="J33" s="59" t="s">
        <v>256</v>
      </c>
      <c r="K33" s="59">
        <v>3.0</v>
      </c>
      <c r="L33" s="59"/>
      <c r="M33" s="59"/>
      <c r="N33" s="59"/>
      <c r="O33" s="100"/>
      <c r="P33" s="100"/>
      <c r="Q33" s="100"/>
      <c r="R33" s="100"/>
      <c r="S33" s="100"/>
      <c r="T33" s="100"/>
      <c r="U33" s="100"/>
      <c r="V33" s="100"/>
      <c r="W33" s="100"/>
      <c r="X33" s="100"/>
      <c r="Y33" s="100"/>
      <c r="Z33" s="100"/>
    </row>
    <row r="34" ht="14.25" customHeight="1">
      <c r="A34" s="77">
        <f t="shared" si="15"/>
        <v>6</v>
      </c>
      <c r="B34" s="111"/>
      <c r="C34" s="111"/>
      <c r="D34" s="106" t="s">
        <v>257</v>
      </c>
      <c r="E34" s="81" t="s">
        <v>258</v>
      </c>
      <c r="F34" s="108" t="s">
        <v>259</v>
      </c>
      <c r="G34" s="109" t="s">
        <v>233</v>
      </c>
      <c r="H34" s="110" t="str">
        <f t="shared" si="16"/>
        <v/>
      </c>
      <c r="I34" s="92">
        <f t="shared" si="17"/>
        <v>1</v>
      </c>
      <c r="J34" s="59" t="s">
        <v>260</v>
      </c>
      <c r="K34" s="59">
        <v>2.0</v>
      </c>
      <c r="L34" s="59"/>
      <c r="M34" s="59"/>
      <c r="N34" s="59"/>
      <c r="O34" s="100"/>
      <c r="P34" s="100"/>
      <c r="Q34" s="100"/>
      <c r="R34" s="100"/>
      <c r="S34" s="100"/>
      <c r="T34" s="100"/>
      <c r="U34" s="100"/>
      <c r="V34" s="100"/>
      <c r="W34" s="100"/>
      <c r="X34" s="100"/>
      <c r="Y34" s="100"/>
      <c r="Z34" s="100"/>
    </row>
    <row r="35" ht="14.25" customHeight="1">
      <c r="A35" s="77">
        <f>A25+1</f>
        <v>4</v>
      </c>
      <c r="B35" s="111"/>
      <c r="C35" s="111"/>
      <c r="D35" s="106" t="s">
        <v>261</v>
      </c>
      <c r="E35" s="81" t="s">
        <v>262</v>
      </c>
      <c r="F35" s="108" t="s">
        <v>263</v>
      </c>
      <c r="G35" s="109" t="s">
        <v>233</v>
      </c>
      <c r="H35" s="110" t="str">
        <f t="shared" si="16"/>
        <v/>
      </c>
      <c r="I35" s="92">
        <f t="shared" si="17"/>
        <v>1</v>
      </c>
      <c r="J35" s="59" t="s">
        <v>233</v>
      </c>
      <c r="K35" s="94">
        <v>1.0</v>
      </c>
      <c r="L35" s="59"/>
      <c r="M35" s="59"/>
      <c r="N35" s="59"/>
      <c r="O35" s="100"/>
      <c r="P35" s="100"/>
      <c r="Q35" s="100"/>
      <c r="R35" s="100"/>
      <c r="S35" s="100"/>
      <c r="T35" s="100"/>
      <c r="U35" s="100"/>
      <c r="V35" s="100"/>
      <c r="W35" s="100"/>
      <c r="X35" s="100"/>
      <c r="Y35" s="100"/>
      <c r="Z35" s="100"/>
    </row>
    <row r="36" ht="14.25" customHeight="1">
      <c r="A36" s="77">
        <f>A28+1</f>
        <v>6</v>
      </c>
      <c r="B36" s="111"/>
      <c r="C36" s="111"/>
      <c r="D36" s="106" t="s">
        <v>264</v>
      </c>
      <c r="E36" s="81" t="s">
        <v>265</v>
      </c>
      <c r="F36" s="108" t="s">
        <v>266</v>
      </c>
      <c r="G36" s="109" t="s">
        <v>233</v>
      </c>
      <c r="H36" s="110" t="str">
        <f t="shared" si="16"/>
        <v/>
      </c>
      <c r="I36" s="92">
        <f t="shared" si="17"/>
        <v>1</v>
      </c>
      <c r="J36" s="103"/>
      <c r="K36" s="94"/>
      <c r="L36" s="59"/>
      <c r="M36" s="59"/>
      <c r="N36" s="59"/>
      <c r="O36" s="100"/>
      <c r="P36" s="100"/>
      <c r="Q36" s="100"/>
      <c r="R36" s="100"/>
      <c r="S36" s="100"/>
      <c r="T36" s="100"/>
      <c r="U36" s="100"/>
      <c r="V36" s="100"/>
      <c r="W36" s="100"/>
      <c r="X36" s="100"/>
      <c r="Y36" s="100"/>
      <c r="Z36" s="100"/>
    </row>
    <row r="37" ht="14.25" customHeight="1">
      <c r="A37" s="77">
        <f t="shared" ref="A37:A42" si="18">A36+1</f>
        <v>7</v>
      </c>
      <c r="B37" s="111"/>
      <c r="C37" s="111"/>
      <c r="D37" s="106" t="s">
        <v>267</v>
      </c>
      <c r="E37" s="81" t="s">
        <v>268</v>
      </c>
      <c r="F37" s="108" t="s">
        <v>269</v>
      </c>
      <c r="G37" s="109" t="s">
        <v>233</v>
      </c>
      <c r="H37" s="110" t="str">
        <f t="shared" si="16"/>
        <v/>
      </c>
      <c r="I37" s="92">
        <f t="shared" si="17"/>
        <v>1</v>
      </c>
      <c r="J37" s="59" t="s">
        <v>106</v>
      </c>
      <c r="K37" s="59" t="s">
        <v>98</v>
      </c>
      <c r="L37" s="59"/>
      <c r="M37" s="59"/>
      <c r="N37" s="59"/>
      <c r="O37" s="100"/>
      <c r="P37" s="100"/>
      <c r="Q37" s="100"/>
      <c r="R37" s="100"/>
      <c r="S37" s="100"/>
      <c r="T37" s="100"/>
      <c r="U37" s="100"/>
      <c r="V37" s="100"/>
      <c r="W37" s="100"/>
      <c r="X37" s="100"/>
      <c r="Y37" s="100"/>
      <c r="Z37" s="100"/>
    </row>
    <row r="38" ht="14.25" customHeight="1">
      <c r="A38" s="77">
        <f t="shared" si="18"/>
        <v>8</v>
      </c>
      <c r="B38" s="111"/>
      <c r="C38" s="111"/>
      <c r="D38" s="106" t="s">
        <v>270</v>
      </c>
      <c r="E38" s="81" t="s">
        <v>271</v>
      </c>
      <c r="F38" s="108" t="s">
        <v>272</v>
      </c>
      <c r="G38" s="109" t="s">
        <v>233</v>
      </c>
      <c r="H38" s="110" t="str">
        <f t="shared" si="16"/>
        <v/>
      </c>
      <c r="I38" s="92">
        <f t="shared" si="17"/>
        <v>1</v>
      </c>
      <c r="J38" s="59" t="s">
        <v>60</v>
      </c>
      <c r="K38" s="59">
        <v>1.0</v>
      </c>
      <c r="L38" s="59"/>
      <c r="M38" s="59"/>
      <c r="N38" s="59"/>
      <c r="O38" s="100"/>
      <c r="P38" s="100"/>
      <c r="Q38" s="100"/>
      <c r="R38" s="100"/>
      <c r="S38" s="100"/>
      <c r="T38" s="100"/>
      <c r="U38" s="100"/>
      <c r="V38" s="100"/>
      <c r="W38" s="100"/>
      <c r="X38" s="100"/>
      <c r="Y38" s="100"/>
      <c r="Z38" s="100"/>
    </row>
    <row r="39" ht="14.25" customHeight="1">
      <c r="A39" s="77">
        <f t="shared" si="18"/>
        <v>9</v>
      </c>
      <c r="B39" s="111"/>
      <c r="C39" s="111"/>
      <c r="D39" s="106" t="s">
        <v>273</v>
      </c>
      <c r="E39" s="81" t="s">
        <v>274</v>
      </c>
      <c r="F39" s="108" t="s">
        <v>275</v>
      </c>
      <c r="G39" s="109" t="s">
        <v>178</v>
      </c>
      <c r="H39" s="110" t="str">
        <f t="shared" ref="H39:H41" si="19">IF(OR(G39=$J$11,G39=$J$12,G39=$J$13),$J$9,$J$8)</f>
        <v/>
      </c>
      <c r="I39" s="92">
        <f t="shared" ref="I39:I41" si="20">IF(G39=$J$11,$K$11,IF(G39=$J$12,$K$12,$K$13))</f>
        <v>1</v>
      </c>
      <c r="J39" s="59" t="s">
        <v>142</v>
      </c>
      <c r="K39" s="94">
        <v>2.0</v>
      </c>
      <c r="L39" s="59"/>
      <c r="M39" s="59"/>
      <c r="N39" s="59"/>
      <c r="O39" s="100"/>
      <c r="P39" s="100"/>
      <c r="Q39" s="100"/>
      <c r="R39" s="100"/>
      <c r="S39" s="100"/>
      <c r="T39" s="100"/>
      <c r="U39" s="100"/>
      <c r="V39" s="100"/>
      <c r="W39" s="100"/>
      <c r="X39" s="100"/>
      <c r="Y39" s="100"/>
      <c r="Z39" s="100"/>
    </row>
    <row r="40" ht="14.25" customHeight="1">
      <c r="A40" s="77">
        <f t="shared" si="18"/>
        <v>10</v>
      </c>
      <c r="B40" s="111"/>
      <c r="C40" s="111"/>
      <c r="D40" s="106" t="s">
        <v>276</v>
      </c>
      <c r="E40" s="81" t="s">
        <v>277</v>
      </c>
      <c r="F40" s="108" t="s">
        <v>278</v>
      </c>
      <c r="G40" s="109" t="s">
        <v>178</v>
      </c>
      <c r="H40" s="110" t="str">
        <f t="shared" si="19"/>
        <v/>
      </c>
      <c r="I40" s="92">
        <f t="shared" si="20"/>
        <v>1</v>
      </c>
      <c r="J40" s="59" t="s">
        <v>52</v>
      </c>
      <c r="K40" s="59">
        <v>3.0</v>
      </c>
      <c r="L40" s="59"/>
      <c r="M40" s="59"/>
      <c r="N40" s="59"/>
      <c r="O40" s="100"/>
      <c r="P40" s="100"/>
      <c r="Q40" s="100"/>
      <c r="R40" s="100"/>
      <c r="S40" s="100"/>
      <c r="T40" s="100"/>
      <c r="U40" s="100"/>
      <c r="V40" s="100"/>
      <c r="W40" s="100"/>
      <c r="X40" s="100"/>
      <c r="Y40" s="100"/>
      <c r="Z40" s="100"/>
    </row>
    <row r="41" ht="14.25" customHeight="1">
      <c r="A41" s="77">
        <f t="shared" si="18"/>
        <v>11</v>
      </c>
      <c r="B41" s="111"/>
      <c r="C41" s="111"/>
      <c r="D41" s="106" t="s">
        <v>279</v>
      </c>
      <c r="E41" s="81" t="s">
        <v>280</v>
      </c>
      <c r="F41" s="108" t="s">
        <v>281</v>
      </c>
      <c r="G41" s="109" t="s">
        <v>178</v>
      </c>
      <c r="H41" s="110" t="str">
        <f t="shared" si="19"/>
        <v/>
      </c>
      <c r="I41" s="92">
        <f t="shared" si="20"/>
        <v>1</v>
      </c>
      <c r="J41" s="59"/>
      <c r="K41" s="59"/>
      <c r="L41" s="59"/>
      <c r="M41" s="59"/>
      <c r="N41" s="59"/>
      <c r="O41" s="100"/>
      <c r="P41" s="100"/>
      <c r="Q41" s="100"/>
      <c r="R41" s="100"/>
      <c r="S41" s="100"/>
      <c r="T41" s="100"/>
      <c r="U41" s="100"/>
      <c r="V41" s="100"/>
      <c r="W41" s="100"/>
      <c r="X41" s="100"/>
      <c r="Y41" s="100"/>
      <c r="Z41" s="100"/>
    </row>
    <row r="42" ht="14.25" customHeight="1">
      <c r="A42" s="77">
        <f t="shared" si="18"/>
        <v>12</v>
      </c>
      <c r="B42" s="113"/>
      <c r="C42" s="113"/>
      <c r="D42" s="106" t="s">
        <v>282</v>
      </c>
      <c r="E42" s="81" t="s">
        <v>283</v>
      </c>
      <c r="F42" s="108" t="s">
        <v>284</v>
      </c>
      <c r="G42" s="109" t="s">
        <v>60</v>
      </c>
      <c r="H42" s="110" t="str">
        <f>IF(OR(G42=$J$38,G42=$J$39,G42=$J$40),$J$9,$J$8)</f>
        <v/>
      </c>
      <c r="I42" s="92">
        <f>IF(G42=$J$38,$K$38,IF(G42=$J$39,$K$39,$K$40))</f>
        <v>1</v>
      </c>
      <c r="J42" s="59" t="s">
        <v>124</v>
      </c>
      <c r="K42" s="59" t="s">
        <v>285</v>
      </c>
      <c r="L42" s="59"/>
      <c r="M42" s="59"/>
      <c r="N42" s="59"/>
      <c r="O42" s="100"/>
      <c r="P42" s="100"/>
      <c r="Q42" s="100"/>
      <c r="R42" s="100"/>
      <c r="S42" s="100"/>
      <c r="T42" s="100"/>
      <c r="U42" s="100"/>
      <c r="V42" s="100"/>
      <c r="W42" s="100"/>
      <c r="X42" s="100"/>
      <c r="Y42" s="100"/>
      <c r="Z42" s="100"/>
    </row>
    <row r="43" ht="14.25" customHeight="1">
      <c r="A43" s="77"/>
      <c r="B43" s="89"/>
      <c r="C43" s="89"/>
      <c r="D43" s="89"/>
      <c r="E43" s="89"/>
      <c r="F43" s="89"/>
      <c r="G43" s="116" t="s">
        <v>221</v>
      </c>
      <c r="H43" s="117"/>
      <c r="I43" s="59" t="str">
        <f>""</f>
        <v/>
      </c>
      <c r="J43" s="59" t="s">
        <v>286</v>
      </c>
      <c r="K43" s="59">
        <v>3.0</v>
      </c>
      <c r="L43" s="59"/>
      <c r="M43" s="59"/>
      <c r="N43" s="59"/>
      <c r="O43" s="100"/>
      <c r="P43" s="100"/>
      <c r="Q43" s="100"/>
      <c r="R43" s="100"/>
      <c r="S43" s="100"/>
      <c r="T43" s="100"/>
      <c r="U43" s="100"/>
      <c r="V43" s="100"/>
      <c r="W43" s="100"/>
      <c r="X43" s="100"/>
      <c r="Y43" s="100"/>
      <c r="Z43" s="100"/>
    </row>
    <row r="44" ht="14.25" customHeight="1">
      <c r="A44" s="77">
        <f t="shared" ref="A44:A46" si="21">A43+1</f>
        <v>1</v>
      </c>
      <c r="B44" s="104">
        <v>4.0</v>
      </c>
      <c r="C44" s="104" t="s">
        <v>287</v>
      </c>
      <c r="D44" s="106" t="s">
        <v>288</v>
      </c>
      <c r="E44" s="81" t="s">
        <v>289</v>
      </c>
      <c r="F44" s="108" t="s">
        <v>290</v>
      </c>
      <c r="G44" s="109" t="s">
        <v>233</v>
      </c>
      <c r="H44" s="110" t="str">
        <f>IF(OR(G44=$J$33,G44=$J$34,G44=$J$35),$J$9,$J$8)</f>
        <v/>
      </c>
      <c r="I44" s="92">
        <f>IF(G44=$J$33,$K$33,IF(G44=$J$34,$K$34,$K$35))</f>
        <v>1</v>
      </c>
      <c r="J44" s="103" t="s">
        <v>291</v>
      </c>
      <c r="K44" s="94">
        <v>2.0</v>
      </c>
      <c r="L44" s="59"/>
      <c r="M44" s="59"/>
      <c r="N44" s="59"/>
      <c r="O44" s="100"/>
      <c r="P44" s="100"/>
      <c r="Q44" s="100"/>
      <c r="R44" s="100"/>
      <c r="S44" s="100"/>
      <c r="T44" s="100"/>
      <c r="U44" s="100"/>
      <c r="V44" s="100"/>
      <c r="W44" s="100"/>
      <c r="X44" s="100"/>
      <c r="Y44" s="100"/>
      <c r="Z44" s="100"/>
    </row>
    <row r="45" ht="14.25" customHeight="1">
      <c r="A45" s="77">
        <f t="shared" si="21"/>
        <v>2</v>
      </c>
      <c r="B45" s="111"/>
      <c r="C45" s="111"/>
      <c r="D45" s="106" t="s">
        <v>292</v>
      </c>
      <c r="E45" s="81" t="s">
        <v>293</v>
      </c>
      <c r="F45" s="108" t="s">
        <v>290</v>
      </c>
      <c r="G45" s="109" t="s">
        <v>178</v>
      </c>
      <c r="H45" s="110" t="str">
        <f>IF(OR(G45=$J$11,G45=$J$12,G45=$J$13),$J$9,$J$8)</f>
        <v/>
      </c>
      <c r="I45" s="92">
        <f>IF(G45=$J$11,$K$11,IF(G45=$J$12,$K$12,$K$13))</f>
        <v>1</v>
      </c>
      <c r="J45" s="59" t="s">
        <v>294</v>
      </c>
      <c r="K45" s="59">
        <v>1.0</v>
      </c>
      <c r="L45" s="59"/>
      <c r="M45" s="59"/>
      <c r="N45" s="59"/>
      <c r="O45" s="100"/>
      <c r="P45" s="100"/>
      <c r="Q45" s="100"/>
      <c r="R45" s="100"/>
      <c r="S45" s="100"/>
      <c r="T45" s="100"/>
      <c r="U45" s="100"/>
      <c r="V45" s="100"/>
      <c r="W45" s="100"/>
      <c r="X45" s="100"/>
      <c r="Y45" s="100"/>
      <c r="Z45" s="100"/>
    </row>
    <row r="46" ht="14.25" customHeight="1">
      <c r="A46" s="77">
        <f t="shared" si="21"/>
        <v>3</v>
      </c>
      <c r="B46" s="113"/>
      <c r="C46" s="113"/>
      <c r="D46" s="106" t="s">
        <v>295</v>
      </c>
      <c r="E46" s="81" t="s">
        <v>296</v>
      </c>
      <c r="F46" s="108" t="s">
        <v>290</v>
      </c>
      <c r="G46" s="109" t="s">
        <v>60</v>
      </c>
      <c r="H46" s="110" t="str">
        <f>IF(OR(G46=$J$38,G46=$J$39,G46=$J$40),$J$9,$J$8)</f>
        <v/>
      </c>
      <c r="I46" s="92">
        <f>IF(G46=$J$38,$K$38,IF(G46=$J$39,$K$39,$K$40))</f>
        <v>1</v>
      </c>
      <c r="J46" s="59"/>
      <c r="K46" s="59"/>
      <c r="L46" s="59"/>
      <c r="M46" s="59"/>
      <c r="N46" s="59"/>
      <c r="O46" s="100"/>
      <c r="P46" s="100"/>
      <c r="Q46" s="100"/>
      <c r="R46" s="100"/>
      <c r="S46" s="100"/>
      <c r="T46" s="100"/>
      <c r="U46" s="100"/>
      <c r="V46" s="100"/>
      <c r="W46" s="100"/>
      <c r="X46" s="100"/>
      <c r="Y46" s="100"/>
      <c r="Z46" s="100"/>
    </row>
    <row r="47" ht="14.25" customHeight="1">
      <c r="A47" s="59"/>
      <c r="B47" s="89"/>
      <c r="C47" s="89"/>
      <c r="D47" s="89"/>
      <c r="E47" s="89"/>
      <c r="F47" s="89"/>
      <c r="G47" s="116" t="s">
        <v>221</v>
      </c>
      <c r="H47" s="117"/>
      <c r="I47" s="59" t="str">
        <f>""</f>
        <v/>
      </c>
      <c r="J47" s="59" t="s">
        <v>137</v>
      </c>
      <c r="K47" s="59" t="s">
        <v>297</v>
      </c>
      <c r="L47" s="59"/>
      <c r="M47" s="59"/>
      <c r="N47" s="59"/>
      <c r="O47" s="100"/>
      <c r="P47" s="100"/>
      <c r="Q47" s="100"/>
      <c r="R47" s="100"/>
      <c r="S47" s="100"/>
      <c r="T47" s="100"/>
      <c r="U47" s="100"/>
      <c r="V47" s="100"/>
      <c r="W47" s="100"/>
      <c r="X47" s="100"/>
      <c r="Y47" s="100"/>
      <c r="Z47" s="100"/>
    </row>
    <row r="48" ht="14.25" customHeight="1">
      <c r="A48" s="77">
        <f t="shared" ref="A48:A57" si="22">A47+1</f>
        <v>1</v>
      </c>
      <c r="B48" s="104">
        <v>5.0</v>
      </c>
      <c r="C48" s="104" t="s">
        <v>298</v>
      </c>
      <c r="D48" s="106" t="s">
        <v>299</v>
      </c>
      <c r="E48" s="81" t="s">
        <v>300</v>
      </c>
      <c r="F48" s="108" t="s">
        <v>301</v>
      </c>
      <c r="G48" s="109" t="s">
        <v>294</v>
      </c>
      <c r="H48" s="110" t="str">
        <f>IF(OR(G48=$J$43,G48=$J$44,G48=$J$45),$J$9,$J$8)</f>
        <v/>
      </c>
      <c r="I48" s="92">
        <f>IF(G48=$J$43,$K$43,IF(G48=$J$44,$K$44,$K$45))</f>
        <v>1</v>
      </c>
      <c r="J48" s="59" t="s">
        <v>60</v>
      </c>
      <c r="K48" s="59">
        <v>3.0</v>
      </c>
      <c r="L48" s="59"/>
      <c r="M48" s="59"/>
      <c r="N48" s="59"/>
      <c r="O48" s="100"/>
      <c r="P48" s="100"/>
      <c r="Q48" s="100"/>
      <c r="R48" s="100"/>
      <c r="S48" s="100"/>
      <c r="T48" s="100"/>
      <c r="U48" s="100"/>
      <c r="V48" s="100"/>
      <c r="W48" s="100"/>
      <c r="X48" s="100"/>
      <c r="Y48" s="100"/>
      <c r="Z48" s="100"/>
    </row>
    <row r="49" ht="14.25" customHeight="1">
      <c r="A49" s="77">
        <f t="shared" si="22"/>
        <v>2</v>
      </c>
      <c r="B49" s="111"/>
      <c r="C49" s="111"/>
      <c r="D49" s="106" t="s">
        <v>302</v>
      </c>
      <c r="E49" s="81" t="s">
        <v>303</v>
      </c>
      <c r="F49" s="108" t="s">
        <v>304</v>
      </c>
      <c r="G49" s="109" t="s">
        <v>60</v>
      </c>
      <c r="H49" s="110" t="str">
        <f t="shared" ref="H49:H53" si="23">IF(OR(G49=$J$38,G49=$J$39,G49=$J$40),$J$9,$J$8)</f>
        <v/>
      </c>
      <c r="I49" s="92">
        <f t="shared" ref="I49:I53" si="24">IF(G49=$J$38,$K$38,IF(G49=$J$39,$K$39,$K$40))</f>
        <v>1</v>
      </c>
      <c r="J49" s="103" t="s">
        <v>52</v>
      </c>
      <c r="K49" s="94">
        <v>2.0</v>
      </c>
      <c r="L49" s="59"/>
      <c r="M49" s="59"/>
      <c r="N49" s="59"/>
      <c r="O49" s="100"/>
      <c r="P49" s="100"/>
      <c r="Q49" s="100"/>
      <c r="R49" s="100"/>
      <c r="S49" s="100"/>
      <c r="T49" s="100"/>
      <c r="U49" s="100"/>
      <c r="V49" s="100"/>
      <c r="W49" s="100"/>
      <c r="X49" s="100"/>
      <c r="Y49" s="100"/>
      <c r="Z49" s="100"/>
    </row>
    <row r="50" ht="14.25" customHeight="1">
      <c r="A50" s="77">
        <f t="shared" si="22"/>
        <v>3</v>
      </c>
      <c r="B50" s="111"/>
      <c r="C50" s="111"/>
      <c r="D50" s="106" t="s">
        <v>305</v>
      </c>
      <c r="E50" s="81" t="s">
        <v>306</v>
      </c>
      <c r="F50" s="108" t="s">
        <v>307</v>
      </c>
      <c r="G50" s="109" t="s">
        <v>60</v>
      </c>
      <c r="H50" s="110" t="str">
        <f t="shared" si="23"/>
        <v/>
      </c>
      <c r="I50" s="92">
        <f t="shared" si="24"/>
        <v>1</v>
      </c>
      <c r="J50" s="59" t="s">
        <v>178</v>
      </c>
      <c r="K50" s="59">
        <v>1.0</v>
      </c>
      <c r="L50" s="59"/>
      <c r="M50" s="59"/>
      <c r="N50" s="59"/>
      <c r="O50" s="100"/>
      <c r="P50" s="100"/>
      <c r="Q50" s="100"/>
      <c r="R50" s="100"/>
      <c r="S50" s="100"/>
      <c r="T50" s="100"/>
      <c r="U50" s="100"/>
      <c r="V50" s="100"/>
      <c r="W50" s="100"/>
      <c r="X50" s="100"/>
      <c r="Y50" s="100"/>
      <c r="Z50" s="100"/>
    </row>
    <row r="51" ht="14.25" customHeight="1">
      <c r="A51" s="77">
        <f t="shared" si="22"/>
        <v>4</v>
      </c>
      <c r="B51" s="111"/>
      <c r="C51" s="111"/>
      <c r="D51" s="106" t="s">
        <v>308</v>
      </c>
      <c r="E51" s="81" t="s">
        <v>309</v>
      </c>
      <c r="F51" s="108" t="s">
        <v>310</v>
      </c>
      <c r="G51" s="109" t="s">
        <v>60</v>
      </c>
      <c r="H51" s="110" t="str">
        <f t="shared" si="23"/>
        <v/>
      </c>
      <c r="I51" s="92">
        <f t="shared" si="24"/>
        <v>1</v>
      </c>
      <c r="J51" s="59"/>
      <c r="K51" s="59"/>
      <c r="L51" s="59"/>
      <c r="M51" s="59"/>
      <c r="N51" s="59"/>
      <c r="O51" s="100"/>
      <c r="P51" s="100"/>
      <c r="Q51" s="100"/>
      <c r="R51" s="100"/>
      <c r="S51" s="100"/>
      <c r="T51" s="100"/>
      <c r="U51" s="100"/>
      <c r="V51" s="100"/>
      <c r="W51" s="100"/>
      <c r="X51" s="100"/>
      <c r="Y51" s="100"/>
      <c r="Z51" s="100"/>
    </row>
    <row r="52" ht="14.25" customHeight="1">
      <c r="A52" s="77">
        <f t="shared" si="22"/>
        <v>5</v>
      </c>
      <c r="B52" s="111"/>
      <c r="C52" s="111"/>
      <c r="D52" s="106" t="s">
        <v>311</v>
      </c>
      <c r="E52" s="81" t="s">
        <v>312</v>
      </c>
      <c r="F52" s="108" t="s">
        <v>313</v>
      </c>
      <c r="G52" s="109" t="s">
        <v>60</v>
      </c>
      <c r="H52" s="110" t="str">
        <f t="shared" si="23"/>
        <v/>
      </c>
      <c r="I52" s="92">
        <f t="shared" si="24"/>
        <v>1</v>
      </c>
      <c r="J52" s="103" t="s">
        <v>155</v>
      </c>
      <c r="K52" s="94" t="s">
        <v>314</v>
      </c>
      <c r="L52" s="59"/>
      <c r="M52" s="59"/>
      <c r="N52" s="59"/>
      <c r="O52" s="100"/>
      <c r="P52" s="100"/>
      <c r="Q52" s="100"/>
      <c r="R52" s="100"/>
      <c r="S52" s="100"/>
      <c r="T52" s="100"/>
      <c r="U52" s="100"/>
      <c r="V52" s="100"/>
      <c r="W52" s="100"/>
      <c r="X52" s="100"/>
      <c r="Y52" s="100"/>
      <c r="Z52" s="100"/>
    </row>
    <row r="53" ht="14.25" customHeight="1">
      <c r="A53" s="77">
        <f t="shared" si="22"/>
        <v>6</v>
      </c>
      <c r="B53" s="111"/>
      <c r="C53" s="111"/>
      <c r="D53" s="106" t="s">
        <v>315</v>
      </c>
      <c r="E53" s="81" t="s">
        <v>316</v>
      </c>
      <c r="F53" s="108" t="s">
        <v>317</v>
      </c>
      <c r="G53" s="109" t="s">
        <v>60</v>
      </c>
      <c r="H53" s="110" t="str">
        <f t="shared" si="23"/>
        <v/>
      </c>
      <c r="I53" s="92">
        <f t="shared" si="24"/>
        <v>1</v>
      </c>
      <c r="J53" s="59" t="s">
        <v>318</v>
      </c>
      <c r="K53" s="59">
        <v>3.0</v>
      </c>
      <c r="L53" s="59"/>
      <c r="M53" s="59"/>
      <c r="N53" s="59"/>
      <c r="O53" s="100"/>
      <c r="P53" s="100"/>
      <c r="Q53" s="100"/>
      <c r="R53" s="100"/>
      <c r="S53" s="100"/>
      <c r="T53" s="100"/>
      <c r="U53" s="100"/>
      <c r="V53" s="100"/>
      <c r="W53" s="100"/>
      <c r="X53" s="100"/>
      <c r="Y53" s="100"/>
      <c r="Z53" s="100"/>
    </row>
    <row r="54" ht="14.25" customHeight="1">
      <c r="A54" s="77">
        <f t="shared" si="22"/>
        <v>7</v>
      </c>
      <c r="B54" s="111"/>
      <c r="C54" s="111"/>
      <c r="D54" s="106" t="s">
        <v>319</v>
      </c>
      <c r="E54" s="81" t="s">
        <v>320</v>
      </c>
      <c r="F54" s="108" t="s">
        <v>321</v>
      </c>
      <c r="G54" s="109" t="s">
        <v>322</v>
      </c>
      <c r="H54" s="110" t="str">
        <f>IF(OR(G54=$J$63,G54=$J$64,G54=$J$65),$J$9,$J$8)</f>
        <v/>
      </c>
      <c r="I54" s="92">
        <f>IF(G54=$J$63,$K$63,IF(G54=$J$64,$K$64,$K$65))</f>
        <v>1</v>
      </c>
      <c r="J54" s="59" t="s">
        <v>260</v>
      </c>
      <c r="K54" s="59">
        <v>2.0</v>
      </c>
      <c r="L54" s="59"/>
      <c r="M54" s="59"/>
      <c r="N54" s="59"/>
      <c r="O54" s="100"/>
      <c r="P54" s="100"/>
      <c r="Q54" s="100"/>
      <c r="R54" s="100"/>
      <c r="S54" s="100"/>
      <c r="T54" s="100"/>
      <c r="U54" s="100"/>
      <c r="V54" s="100"/>
      <c r="W54" s="100"/>
      <c r="X54" s="100"/>
      <c r="Y54" s="100"/>
      <c r="Z54" s="100"/>
    </row>
    <row r="55" ht="14.25" customHeight="1">
      <c r="A55" s="77">
        <f t="shared" si="22"/>
        <v>8</v>
      </c>
      <c r="B55" s="111"/>
      <c r="C55" s="111"/>
      <c r="D55" s="106" t="s">
        <v>323</v>
      </c>
      <c r="E55" s="81" t="s">
        <v>324</v>
      </c>
      <c r="F55" s="108" t="s">
        <v>325</v>
      </c>
      <c r="G55" s="109" t="s">
        <v>52</v>
      </c>
      <c r="H55" s="110" t="str">
        <f t="shared" ref="H55:H57" si="25">IF(OR(G55=$J$68,G55=$J$69,G55=$J$70),$J$9,$J$8)</f>
        <v/>
      </c>
      <c r="I55" s="92">
        <f t="shared" ref="I55:I57" si="26">IF(G55=$J$73,$K$73,IF(G55=$J$74,$K$74,$K$75))</f>
        <v>1</v>
      </c>
      <c r="J55" s="59" t="s">
        <v>178</v>
      </c>
      <c r="K55" s="59">
        <v>1.0</v>
      </c>
      <c r="L55" s="59"/>
      <c r="M55" s="59"/>
      <c r="N55" s="59"/>
      <c r="O55" s="100"/>
      <c r="P55" s="100"/>
      <c r="Q55" s="100"/>
      <c r="R55" s="100"/>
      <c r="S55" s="100"/>
      <c r="T55" s="100"/>
      <c r="U55" s="100"/>
      <c r="V55" s="100"/>
      <c r="W55" s="100"/>
      <c r="X55" s="100"/>
      <c r="Y55" s="100"/>
      <c r="Z55" s="100"/>
    </row>
    <row r="56" ht="14.25" customHeight="1">
      <c r="A56" s="77">
        <f t="shared" si="22"/>
        <v>9</v>
      </c>
      <c r="B56" s="111"/>
      <c r="C56" s="111"/>
      <c r="D56" s="106" t="s">
        <v>326</v>
      </c>
      <c r="E56" s="81" t="s">
        <v>327</v>
      </c>
      <c r="F56" s="108" t="s">
        <v>328</v>
      </c>
      <c r="G56" s="109" t="s">
        <v>52</v>
      </c>
      <c r="H56" s="110" t="str">
        <f t="shared" si="25"/>
        <v/>
      </c>
      <c r="I56" s="92">
        <f t="shared" si="26"/>
        <v>1</v>
      </c>
      <c r="J56" s="103"/>
      <c r="K56" s="94"/>
      <c r="L56" s="59"/>
      <c r="M56" s="59"/>
      <c r="N56" s="59"/>
      <c r="O56" s="100"/>
      <c r="P56" s="100"/>
      <c r="Q56" s="100"/>
      <c r="R56" s="100"/>
      <c r="S56" s="100"/>
      <c r="T56" s="100"/>
      <c r="U56" s="100"/>
      <c r="V56" s="100"/>
      <c r="W56" s="100"/>
      <c r="X56" s="100"/>
      <c r="Y56" s="100"/>
      <c r="Z56" s="100"/>
    </row>
    <row r="57" ht="14.25" customHeight="1">
      <c r="A57" s="77">
        <f t="shared" si="22"/>
        <v>10</v>
      </c>
      <c r="B57" s="113"/>
      <c r="C57" s="113"/>
      <c r="D57" s="106" t="s">
        <v>329</v>
      </c>
      <c r="E57" s="81" t="s">
        <v>330</v>
      </c>
      <c r="F57" s="108" t="s">
        <v>328</v>
      </c>
      <c r="G57" s="109" t="s">
        <v>52</v>
      </c>
      <c r="H57" s="110" t="str">
        <f t="shared" si="25"/>
        <v/>
      </c>
      <c r="I57" s="92">
        <f t="shared" si="26"/>
        <v>1</v>
      </c>
      <c r="J57" s="103" t="s">
        <v>167</v>
      </c>
      <c r="K57" s="94" t="s">
        <v>331</v>
      </c>
      <c r="L57" s="59"/>
      <c r="M57" s="59"/>
      <c r="N57" s="59"/>
      <c r="O57" s="100"/>
      <c r="P57" s="100"/>
      <c r="Q57" s="100"/>
      <c r="R57" s="100"/>
      <c r="S57" s="100"/>
      <c r="T57" s="100"/>
      <c r="U57" s="100"/>
      <c r="V57" s="100"/>
      <c r="W57" s="100"/>
      <c r="X57" s="100"/>
      <c r="Y57" s="100"/>
      <c r="Z57" s="100"/>
    </row>
    <row r="58" ht="14.25" customHeight="1">
      <c r="A58" s="59"/>
      <c r="B58" s="89"/>
      <c r="C58" s="89"/>
      <c r="D58" s="89"/>
      <c r="E58" s="89"/>
      <c r="F58" s="89"/>
      <c r="G58" s="116" t="s">
        <v>221</v>
      </c>
      <c r="H58" s="117"/>
      <c r="I58" s="59" t="str">
        <f>""</f>
        <v/>
      </c>
      <c r="J58" s="59" t="s">
        <v>332</v>
      </c>
      <c r="K58" s="59">
        <v>3.0</v>
      </c>
      <c r="L58" s="59"/>
      <c r="M58" s="59"/>
      <c r="N58" s="59"/>
      <c r="O58" s="100"/>
      <c r="P58" s="100"/>
      <c r="Q58" s="100"/>
      <c r="R58" s="100"/>
      <c r="S58" s="100"/>
      <c r="T58" s="100"/>
      <c r="U58" s="100"/>
      <c r="V58" s="100"/>
      <c r="W58" s="100"/>
      <c r="X58" s="100"/>
      <c r="Y58" s="100"/>
      <c r="Z58" s="100"/>
    </row>
    <row r="59" ht="14.25" customHeight="1">
      <c r="A59" s="77">
        <f t="shared" ref="A59:A67" si="27">A58+1</f>
        <v>1</v>
      </c>
      <c r="B59" s="104">
        <v>6.0</v>
      </c>
      <c r="C59" s="104" t="s">
        <v>333</v>
      </c>
      <c r="D59" s="106" t="s">
        <v>334</v>
      </c>
      <c r="E59" s="81" t="s">
        <v>335</v>
      </c>
      <c r="F59" s="108" t="s">
        <v>336</v>
      </c>
      <c r="G59" s="109" t="s">
        <v>52</v>
      </c>
      <c r="H59" s="110" t="str">
        <f>IF(OR(G59=$J$38,G59=$J$39,G59=$J$40),$J$9,$J$8)</f>
        <v/>
      </c>
      <c r="I59" s="92">
        <f t="shared" ref="I59:I67" si="28">IF(G59=$J$73,$K$73,IF(G59=$J$74,$K$74,$K$75))</f>
        <v>1</v>
      </c>
      <c r="J59" s="59" t="s">
        <v>63</v>
      </c>
      <c r="K59" s="59">
        <v>2.0</v>
      </c>
      <c r="L59" s="59"/>
      <c r="M59" s="59"/>
      <c r="N59" s="59"/>
      <c r="O59" s="100"/>
      <c r="P59" s="100"/>
      <c r="Q59" s="100"/>
      <c r="R59" s="100"/>
      <c r="S59" s="100"/>
      <c r="T59" s="100"/>
      <c r="U59" s="100"/>
      <c r="V59" s="100"/>
      <c r="W59" s="100"/>
      <c r="X59" s="100"/>
      <c r="Y59" s="100"/>
      <c r="Z59" s="100"/>
    </row>
    <row r="60" ht="14.25" customHeight="1">
      <c r="A60" s="77">
        <f t="shared" si="27"/>
        <v>2</v>
      </c>
      <c r="B60" s="111"/>
      <c r="C60" s="111"/>
      <c r="D60" s="106" t="s">
        <v>337</v>
      </c>
      <c r="E60" s="81" t="s">
        <v>338</v>
      </c>
      <c r="F60" s="108" t="s">
        <v>339</v>
      </c>
      <c r="G60" s="109" t="s">
        <v>52</v>
      </c>
      <c r="H60" s="110" t="str">
        <f>IF(OR(G60=$J$68,G60=$J$69,G60=$J$70),$J$9,$J$8)</f>
        <v/>
      </c>
      <c r="I60" s="92">
        <f t="shared" si="28"/>
        <v>1</v>
      </c>
      <c r="J60" s="59" t="s">
        <v>340</v>
      </c>
      <c r="K60" s="59">
        <v>1.0</v>
      </c>
      <c r="L60" s="59"/>
      <c r="M60" s="59"/>
      <c r="N60" s="59"/>
      <c r="O60" s="100"/>
      <c r="P60" s="100"/>
      <c r="Q60" s="100"/>
      <c r="R60" s="100"/>
      <c r="S60" s="100"/>
      <c r="T60" s="100"/>
      <c r="U60" s="100"/>
      <c r="V60" s="100"/>
      <c r="W60" s="100"/>
      <c r="X60" s="100"/>
      <c r="Y60" s="100"/>
      <c r="Z60" s="100"/>
    </row>
    <row r="61" ht="14.25" customHeight="1">
      <c r="A61" s="77">
        <f t="shared" si="27"/>
        <v>3</v>
      </c>
      <c r="B61" s="111"/>
      <c r="C61" s="111"/>
      <c r="D61" s="106" t="s">
        <v>341</v>
      </c>
      <c r="E61" s="81" t="s">
        <v>342</v>
      </c>
      <c r="F61" s="108" t="s">
        <v>343</v>
      </c>
      <c r="G61" s="109" t="s">
        <v>52</v>
      </c>
      <c r="H61" s="110" t="str">
        <f t="shared" ref="H61:H67" si="29">IF(OR(G61=$J$38,G61=$J$39,G61=$J$40),$J$9,$J$8)</f>
        <v/>
      </c>
      <c r="I61" s="92">
        <f t="shared" si="28"/>
        <v>1</v>
      </c>
      <c r="J61" s="59"/>
      <c r="K61" s="59"/>
      <c r="L61" s="59"/>
      <c r="M61" s="59"/>
      <c r="N61" s="59"/>
      <c r="O61" s="100"/>
      <c r="P61" s="100"/>
      <c r="Q61" s="100"/>
      <c r="R61" s="100"/>
      <c r="S61" s="100"/>
      <c r="T61" s="100"/>
      <c r="U61" s="100"/>
      <c r="V61" s="100"/>
      <c r="W61" s="100"/>
      <c r="X61" s="100"/>
      <c r="Y61" s="100"/>
      <c r="Z61" s="100"/>
    </row>
    <row r="62" ht="14.25" customHeight="1">
      <c r="A62" s="77">
        <f t="shared" si="27"/>
        <v>4</v>
      </c>
      <c r="B62" s="111"/>
      <c r="C62" s="111"/>
      <c r="D62" s="106" t="s">
        <v>344</v>
      </c>
      <c r="E62" s="81" t="s">
        <v>345</v>
      </c>
      <c r="F62" s="108" t="s">
        <v>346</v>
      </c>
      <c r="G62" s="109" t="s">
        <v>52</v>
      </c>
      <c r="H62" s="110" t="str">
        <f t="shared" si="29"/>
        <v/>
      </c>
      <c r="I62" s="92">
        <f t="shared" si="28"/>
        <v>1</v>
      </c>
      <c r="J62" s="103" t="s">
        <v>347</v>
      </c>
      <c r="K62" s="94" t="s">
        <v>297</v>
      </c>
      <c r="L62" s="59"/>
      <c r="M62" s="59"/>
      <c r="N62" s="59"/>
      <c r="O62" s="100"/>
      <c r="P62" s="100"/>
      <c r="Q62" s="100"/>
      <c r="R62" s="100"/>
      <c r="S62" s="100"/>
      <c r="T62" s="100"/>
      <c r="U62" s="100"/>
      <c r="V62" s="100"/>
      <c r="W62" s="100"/>
      <c r="X62" s="100"/>
      <c r="Y62" s="100"/>
      <c r="Z62" s="100"/>
    </row>
    <row r="63" ht="14.25" customHeight="1">
      <c r="A63" s="77">
        <f t="shared" si="27"/>
        <v>5</v>
      </c>
      <c r="B63" s="111"/>
      <c r="C63" s="111"/>
      <c r="D63" s="106" t="s">
        <v>348</v>
      </c>
      <c r="E63" s="81" t="s">
        <v>349</v>
      </c>
      <c r="F63" s="108" t="s">
        <v>350</v>
      </c>
      <c r="G63" s="109" t="s">
        <v>52</v>
      </c>
      <c r="H63" s="110" t="str">
        <f t="shared" si="29"/>
        <v/>
      </c>
      <c r="I63" s="92">
        <f t="shared" si="28"/>
        <v>1</v>
      </c>
      <c r="J63" s="59" t="s">
        <v>60</v>
      </c>
      <c r="K63" s="59">
        <v>3.0</v>
      </c>
      <c r="L63" s="59"/>
      <c r="M63" s="59"/>
      <c r="N63" s="59"/>
      <c r="O63" s="100"/>
      <c r="P63" s="100"/>
      <c r="Q63" s="100"/>
      <c r="R63" s="100"/>
      <c r="S63" s="100"/>
      <c r="T63" s="100"/>
      <c r="U63" s="100"/>
      <c r="V63" s="100"/>
      <c r="W63" s="100"/>
      <c r="X63" s="100"/>
      <c r="Y63" s="100"/>
      <c r="Z63" s="100"/>
    </row>
    <row r="64" ht="14.25" customHeight="1">
      <c r="A64" s="77">
        <f t="shared" si="27"/>
        <v>6</v>
      </c>
      <c r="B64" s="111"/>
      <c r="C64" s="111"/>
      <c r="D64" s="106" t="s">
        <v>351</v>
      </c>
      <c r="E64" s="81" t="s">
        <v>352</v>
      </c>
      <c r="F64" s="108" t="s">
        <v>353</v>
      </c>
      <c r="G64" s="109" t="s">
        <v>52</v>
      </c>
      <c r="H64" s="110" t="str">
        <f t="shared" si="29"/>
        <v/>
      </c>
      <c r="I64" s="92">
        <f t="shared" si="28"/>
        <v>1</v>
      </c>
      <c r="J64" s="59" t="s">
        <v>52</v>
      </c>
      <c r="K64" s="59">
        <v>2.0</v>
      </c>
      <c r="L64" s="59"/>
      <c r="M64" s="59"/>
      <c r="N64" s="59"/>
      <c r="O64" s="100"/>
      <c r="P64" s="100"/>
      <c r="Q64" s="100"/>
      <c r="R64" s="100"/>
      <c r="S64" s="100"/>
      <c r="T64" s="100"/>
      <c r="U64" s="100"/>
      <c r="V64" s="100"/>
      <c r="W64" s="100"/>
      <c r="X64" s="100"/>
      <c r="Y64" s="100"/>
      <c r="Z64" s="100"/>
    </row>
    <row r="65" ht="14.25" customHeight="1">
      <c r="A65" s="77">
        <f t="shared" si="27"/>
        <v>7</v>
      </c>
      <c r="B65" s="111"/>
      <c r="C65" s="111"/>
      <c r="D65" s="106" t="s">
        <v>354</v>
      </c>
      <c r="E65" s="81" t="s">
        <v>355</v>
      </c>
      <c r="F65" s="108" t="s">
        <v>356</v>
      </c>
      <c r="G65" s="109" t="s">
        <v>52</v>
      </c>
      <c r="H65" s="110" t="str">
        <f t="shared" si="29"/>
        <v/>
      </c>
      <c r="I65" s="92">
        <f t="shared" si="28"/>
        <v>1</v>
      </c>
      <c r="J65" s="59" t="s">
        <v>322</v>
      </c>
      <c r="K65" s="59">
        <v>1.0</v>
      </c>
      <c r="L65" s="59"/>
      <c r="M65" s="59"/>
      <c r="N65" s="59"/>
      <c r="O65" s="100"/>
      <c r="P65" s="100"/>
      <c r="Q65" s="100"/>
      <c r="R65" s="100"/>
      <c r="S65" s="100"/>
      <c r="T65" s="100"/>
      <c r="U65" s="100"/>
      <c r="V65" s="100"/>
      <c r="W65" s="100"/>
      <c r="X65" s="100"/>
      <c r="Y65" s="100"/>
      <c r="Z65" s="100"/>
    </row>
    <row r="66" ht="14.25" customHeight="1">
      <c r="A66" s="77">
        <f t="shared" si="27"/>
        <v>8</v>
      </c>
      <c r="B66" s="111"/>
      <c r="C66" s="111"/>
      <c r="D66" s="106" t="s">
        <v>357</v>
      </c>
      <c r="E66" s="81" t="s">
        <v>358</v>
      </c>
      <c r="F66" s="108" t="s">
        <v>359</v>
      </c>
      <c r="G66" s="109" t="s">
        <v>52</v>
      </c>
      <c r="H66" s="110" t="str">
        <f t="shared" si="29"/>
        <v/>
      </c>
      <c r="I66" s="92">
        <f t="shared" si="28"/>
        <v>1</v>
      </c>
      <c r="J66" s="59"/>
      <c r="K66" s="59"/>
      <c r="L66" s="59"/>
      <c r="M66" s="59"/>
      <c r="N66" s="59"/>
      <c r="O66" s="100"/>
      <c r="P66" s="100"/>
      <c r="Q66" s="100"/>
      <c r="R66" s="100"/>
      <c r="S66" s="100"/>
      <c r="T66" s="100"/>
      <c r="U66" s="100"/>
      <c r="V66" s="100"/>
      <c r="W66" s="100"/>
      <c r="X66" s="100"/>
      <c r="Y66" s="100"/>
      <c r="Z66" s="100"/>
    </row>
    <row r="67" ht="14.25" customHeight="1">
      <c r="A67" s="77">
        <f t="shared" si="27"/>
        <v>9</v>
      </c>
      <c r="B67" s="111"/>
      <c r="C67" s="111"/>
      <c r="D67" s="106" t="s">
        <v>360</v>
      </c>
      <c r="E67" s="81" t="s">
        <v>361</v>
      </c>
      <c r="F67" s="108" t="s">
        <v>362</v>
      </c>
      <c r="G67" s="109" t="s">
        <v>52</v>
      </c>
      <c r="H67" s="110" t="str">
        <f t="shared" si="29"/>
        <v/>
      </c>
      <c r="I67" s="92">
        <f t="shared" si="28"/>
        <v>1</v>
      </c>
      <c r="J67" s="103" t="s">
        <v>363</v>
      </c>
      <c r="K67" s="94" t="s">
        <v>98</v>
      </c>
      <c r="L67" s="59"/>
      <c r="M67" s="59"/>
      <c r="N67" s="59"/>
      <c r="O67" s="100"/>
      <c r="P67" s="100"/>
      <c r="Q67" s="100"/>
      <c r="R67" s="100"/>
      <c r="S67" s="100"/>
      <c r="T67" s="100"/>
      <c r="U67" s="100"/>
      <c r="V67" s="100"/>
      <c r="W67" s="100"/>
      <c r="X67" s="100"/>
      <c r="Y67" s="100"/>
      <c r="Z67" s="100"/>
    </row>
    <row r="68" ht="15.75" customHeight="1">
      <c r="A68" s="92"/>
      <c r="B68" s="60"/>
      <c r="C68" s="60"/>
      <c r="D68" s="60"/>
      <c r="E68" s="60"/>
      <c r="F68" s="93"/>
      <c r="G68" s="60" t="s">
        <v>221</v>
      </c>
      <c r="H68" s="99"/>
      <c r="I68" s="59"/>
      <c r="J68" s="59" t="s">
        <v>60</v>
      </c>
      <c r="K68" s="59">
        <v>1.0</v>
      </c>
      <c r="L68" s="59"/>
      <c r="M68" s="59"/>
      <c r="N68" s="59"/>
      <c r="O68" s="100"/>
      <c r="P68" s="100"/>
      <c r="Q68" s="100"/>
      <c r="R68" s="100"/>
      <c r="S68" s="100"/>
      <c r="T68" s="100"/>
      <c r="U68" s="100"/>
      <c r="V68" s="100"/>
      <c r="W68" s="100"/>
      <c r="X68" s="100"/>
      <c r="Y68" s="100"/>
      <c r="Z68" s="100"/>
    </row>
    <row r="69" ht="15.75" customHeight="1">
      <c r="A69" s="92"/>
      <c r="B69" s="60"/>
      <c r="C69" s="93"/>
      <c r="D69" s="93"/>
      <c r="E69" s="60"/>
      <c r="F69" s="93"/>
      <c r="G69" s="60" t="s">
        <v>221</v>
      </c>
      <c r="H69" s="99"/>
      <c r="I69" s="59"/>
      <c r="J69" s="59" t="s">
        <v>142</v>
      </c>
      <c r="K69" s="59">
        <v>2.0</v>
      </c>
      <c r="L69" s="59"/>
      <c r="M69" s="59"/>
      <c r="N69" s="59"/>
      <c r="O69" s="100"/>
      <c r="P69" s="100"/>
      <c r="Q69" s="100"/>
      <c r="R69" s="100"/>
      <c r="S69" s="100"/>
      <c r="T69" s="100"/>
      <c r="U69" s="100"/>
      <c r="V69" s="100"/>
      <c r="W69" s="100"/>
      <c r="X69" s="100"/>
      <c r="Y69" s="100"/>
      <c r="Z69" s="100"/>
    </row>
    <row r="70" ht="15.75" customHeight="1">
      <c r="A70" s="92"/>
      <c r="B70" s="60"/>
      <c r="C70" s="60"/>
      <c r="D70" s="60"/>
      <c r="E70" s="60"/>
      <c r="F70" s="60"/>
      <c r="G70" s="60"/>
      <c r="H70" s="99"/>
      <c r="I70" s="59"/>
      <c r="J70" s="59" t="s">
        <v>52</v>
      </c>
      <c r="K70" s="59">
        <v>3.0</v>
      </c>
      <c r="L70" s="59"/>
      <c r="M70" s="59"/>
      <c r="N70" s="59"/>
      <c r="O70" s="100"/>
      <c r="P70" s="100"/>
      <c r="Q70" s="100"/>
      <c r="R70" s="100"/>
      <c r="S70" s="100"/>
      <c r="T70" s="100"/>
      <c r="U70" s="100"/>
      <c r="V70" s="100"/>
      <c r="W70" s="100"/>
      <c r="X70" s="100"/>
      <c r="Y70" s="100"/>
      <c r="Z70" s="100"/>
    </row>
    <row r="71" ht="15.75" hidden="1" customHeight="1">
      <c r="A71" s="92"/>
      <c r="B71" s="118"/>
      <c r="C71" s="59"/>
      <c r="D71" s="59"/>
      <c r="E71" s="59"/>
      <c r="F71" s="59"/>
      <c r="G71" s="59"/>
      <c r="H71" s="59"/>
      <c r="I71" s="59"/>
      <c r="J71" s="59"/>
      <c r="K71" s="59"/>
      <c r="L71" s="59"/>
      <c r="M71" s="59"/>
      <c r="N71" s="59"/>
      <c r="O71" s="100"/>
      <c r="P71" s="100"/>
      <c r="Q71" s="100"/>
      <c r="R71" s="100"/>
      <c r="S71" s="100"/>
      <c r="T71" s="100"/>
      <c r="U71" s="100"/>
      <c r="V71" s="100"/>
      <c r="W71" s="100"/>
      <c r="X71" s="100"/>
      <c r="Y71" s="100"/>
      <c r="Z71" s="100"/>
    </row>
    <row r="72" ht="14.25" hidden="1" customHeight="1">
      <c r="A72" s="92"/>
      <c r="B72" s="118"/>
      <c r="C72" s="59"/>
      <c r="D72" s="59"/>
      <c r="E72" s="59"/>
      <c r="F72" s="59"/>
      <c r="G72" s="59"/>
      <c r="H72" s="59"/>
      <c r="I72" s="59"/>
      <c r="J72" s="103" t="s">
        <v>363</v>
      </c>
      <c r="K72" s="94" t="s">
        <v>98</v>
      </c>
      <c r="L72" s="59"/>
      <c r="M72" s="59"/>
      <c r="N72" s="59"/>
      <c r="O72" s="100"/>
      <c r="P72" s="100"/>
      <c r="Q72" s="100"/>
      <c r="R72" s="100"/>
      <c r="S72" s="100"/>
      <c r="T72" s="100"/>
      <c r="U72" s="100"/>
      <c r="V72" s="100"/>
      <c r="W72" s="100"/>
      <c r="X72" s="100"/>
      <c r="Y72" s="100"/>
      <c r="Z72" s="100"/>
    </row>
    <row r="73" ht="14.25" hidden="1" customHeight="1">
      <c r="A73" s="92"/>
      <c r="B73" s="59"/>
      <c r="C73" s="59"/>
      <c r="D73" s="59"/>
      <c r="E73" s="59"/>
      <c r="F73" s="59"/>
      <c r="G73" s="59"/>
      <c r="H73" s="59"/>
      <c r="I73" s="59"/>
      <c r="J73" s="59" t="s">
        <v>60</v>
      </c>
      <c r="K73" s="59">
        <v>3.0</v>
      </c>
      <c r="L73" s="59"/>
      <c r="M73" s="59"/>
      <c r="N73" s="59"/>
      <c r="O73" s="100"/>
      <c r="P73" s="100"/>
      <c r="Q73" s="100"/>
      <c r="R73" s="100"/>
      <c r="S73" s="100"/>
      <c r="T73" s="100"/>
      <c r="U73" s="100"/>
      <c r="V73" s="100"/>
      <c r="W73" s="100"/>
      <c r="X73" s="100"/>
      <c r="Y73" s="100"/>
      <c r="Z73" s="100"/>
    </row>
    <row r="74" ht="14.25" hidden="1" customHeight="1">
      <c r="A74" s="92"/>
      <c r="B74" s="59"/>
      <c r="C74" s="59"/>
      <c r="D74" s="59"/>
      <c r="E74" s="59"/>
      <c r="F74" s="59"/>
      <c r="G74" s="59"/>
      <c r="H74" s="59"/>
      <c r="I74" s="59"/>
      <c r="J74" s="59" t="s">
        <v>142</v>
      </c>
      <c r="K74" s="59">
        <v>2.0</v>
      </c>
      <c r="L74" s="59"/>
      <c r="M74" s="59"/>
      <c r="N74" s="59"/>
      <c r="O74" s="100"/>
      <c r="P74" s="100"/>
      <c r="Q74" s="100"/>
      <c r="R74" s="100"/>
      <c r="S74" s="100"/>
      <c r="T74" s="100"/>
      <c r="U74" s="100"/>
      <c r="V74" s="100"/>
      <c r="W74" s="100"/>
      <c r="X74" s="100"/>
      <c r="Y74" s="100"/>
      <c r="Z74" s="100"/>
    </row>
    <row r="75" ht="14.25" hidden="1" customHeight="1">
      <c r="A75" s="59"/>
      <c r="B75" s="59"/>
      <c r="C75" s="59"/>
      <c r="D75" s="59"/>
      <c r="E75" s="59" t="s">
        <v>364</v>
      </c>
      <c r="F75" s="59"/>
      <c r="G75" s="59"/>
      <c r="H75" s="59"/>
      <c r="I75" s="59"/>
      <c r="J75" s="59" t="s">
        <v>52</v>
      </c>
      <c r="K75" s="59">
        <v>1.0</v>
      </c>
      <c r="L75" s="59"/>
      <c r="M75" s="59"/>
      <c r="N75" s="59"/>
      <c r="O75" s="100"/>
      <c r="P75" s="100"/>
      <c r="Q75" s="100"/>
      <c r="R75" s="100"/>
      <c r="S75" s="100"/>
      <c r="T75" s="100"/>
      <c r="U75" s="100"/>
      <c r="V75" s="100"/>
      <c r="W75" s="100"/>
      <c r="X75" s="100"/>
      <c r="Y75" s="100"/>
      <c r="Z75" s="100"/>
    </row>
    <row r="76" ht="14.25" customHeight="1">
      <c r="A76" s="59"/>
      <c r="B76" s="59"/>
      <c r="C76" s="59"/>
      <c r="D76" s="59"/>
      <c r="E76" s="59"/>
      <c r="F76" s="59"/>
      <c r="G76" s="59"/>
      <c r="H76" s="59"/>
      <c r="I76" s="59"/>
      <c r="J76" s="59"/>
      <c r="K76" s="59"/>
      <c r="L76" s="59"/>
      <c r="M76" s="59"/>
      <c r="N76" s="59"/>
      <c r="O76" s="100"/>
      <c r="P76" s="100"/>
      <c r="Q76" s="100"/>
      <c r="R76" s="100"/>
      <c r="S76" s="100"/>
      <c r="T76" s="100"/>
      <c r="U76" s="100"/>
      <c r="V76" s="100"/>
      <c r="W76" s="100"/>
      <c r="X76" s="100"/>
      <c r="Y76" s="100"/>
      <c r="Z76" s="100"/>
    </row>
    <row r="77" ht="14.25" customHeight="1">
      <c r="A77" s="59"/>
      <c r="B77" s="59"/>
      <c r="C77" s="59"/>
      <c r="D77" s="59"/>
      <c r="E77" s="59"/>
      <c r="F77" s="59"/>
      <c r="G77" s="59"/>
      <c r="H77" s="59"/>
      <c r="I77" s="59"/>
      <c r="J77" s="59"/>
      <c r="K77" s="59"/>
      <c r="L77" s="59"/>
      <c r="M77" s="59"/>
      <c r="N77" s="59"/>
      <c r="O77" s="100"/>
      <c r="P77" s="100"/>
      <c r="Q77" s="100"/>
      <c r="R77" s="100"/>
      <c r="S77" s="100"/>
      <c r="T77" s="100"/>
      <c r="U77" s="100"/>
      <c r="V77" s="100"/>
      <c r="W77" s="100"/>
      <c r="X77" s="100"/>
      <c r="Y77" s="100"/>
      <c r="Z77" s="100"/>
    </row>
    <row r="78" ht="14.25" customHeight="1">
      <c r="A78" s="59"/>
      <c r="B78" s="59"/>
      <c r="C78" s="59"/>
      <c r="D78" s="59"/>
      <c r="E78" s="59"/>
      <c r="F78" s="59"/>
      <c r="G78" s="59"/>
      <c r="H78" s="59"/>
      <c r="I78" s="59"/>
      <c r="J78" s="59"/>
      <c r="K78" s="59"/>
      <c r="L78" s="59"/>
      <c r="M78" s="59"/>
      <c r="N78" s="59"/>
      <c r="O78" s="100"/>
      <c r="P78" s="100"/>
      <c r="Q78" s="100"/>
      <c r="R78" s="100"/>
      <c r="S78" s="100"/>
      <c r="T78" s="100"/>
      <c r="U78" s="100"/>
      <c r="V78" s="100"/>
      <c r="W78" s="100"/>
      <c r="X78" s="100"/>
      <c r="Y78" s="100"/>
      <c r="Z78" s="100"/>
    </row>
    <row r="79" ht="14.25" customHeight="1">
      <c r="A79" s="59"/>
      <c r="B79" s="59"/>
      <c r="C79" s="59"/>
      <c r="D79" s="59"/>
      <c r="E79" s="59"/>
      <c r="F79" s="59"/>
      <c r="G79" s="59"/>
      <c r="H79" s="59"/>
      <c r="I79" s="59"/>
      <c r="J79" s="59"/>
      <c r="K79" s="59"/>
      <c r="L79" s="59"/>
      <c r="M79" s="59"/>
      <c r="N79" s="59"/>
      <c r="O79" s="100"/>
      <c r="P79" s="100"/>
      <c r="Q79" s="100"/>
      <c r="R79" s="100"/>
      <c r="S79" s="100"/>
      <c r="T79" s="100"/>
      <c r="U79" s="100"/>
      <c r="V79" s="100"/>
      <c r="W79" s="100"/>
      <c r="X79" s="100"/>
      <c r="Y79" s="100"/>
      <c r="Z79" s="100"/>
    </row>
    <row r="80" ht="14.25" customHeight="1">
      <c r="A80" s="59"/>
      <c r="B80" s="59"/>
      <c r="C80" s="59"/>
      <c r="D80" s="59"/>
      <c r="E80" s="59"/>
      <c r="F80" s="59"/>
      <c r="G80" s="59"/>
      <c r="H80" s="59"/>
      <c r="I80" s="59"/>
      <c r="J80" s="59"/>
      <c r="K80" s="59"/>
      <c r="L80" s="59"/>
      <c r="M80" s="59"/>
      <c r="N80" s="59"/>
      <c r="O80" s="100"/>
      <c r="P80" s="100"/>
      <c r="Q80" s="100"/>
      <c r="R80" s="100"/>
      <c r="S80" s="100"/>
      <c r="T80" s="100"/>
      <c r="U80" s="100"/>
      <c r="V80" s="100"/>
      <c r="W80" s="100"/>
      <c r="X80" s="100"/>
      <c r="Y80" s="100"/>
      <c r="Z80" s="100"/>
    </row>
    <row r="81" ht="14.25" customHeight="1">
      <c r="A81" s="59"/>
      <c r="B81" s="59"/>
      <c r="C81" s="59"/>
      <c r="D81" s="59"/>
      <c r="E81" s="59"/>
      <c r="F81" s="59"/>
      <c r="G81" s="59"/>
      <c r="H81" s="59"/>
      <c r="I81" s="59"/>
      <c r="J81" s="59"/>
      <c r="K81" s="59"/>
      <c r="L81" s="59"/>
      <c r="M81" s="59"/>
      <c r="N81" s="59"/>
      <c r="O81" s="100"/>
      <c r="P81" s="100"/>
      <c r="Q81" s="100"/>
      <c r="R81" s="100"/>
      <c r="S81" s="100"/>
      <c r="T81" s="100"/>
      <c r="U81" s="100"/>
      <c r="V81" s="100"/>
      <c r="W81" s="100"/>
      <c r="X81" s="100"/>
      <c r="Y81" s="100"/>
      <c r="Z81" s="100"/>
    </row>
    <row r="82" ht="14.25" customHeight="1">
      <c r="A82" s="59"/>
      <c r="B82" s="59"/>
      <c r="C82" s="59"/>
      <c r="D82" s="59"/>
      <c r="E82" s="59"/>
      <c r="F82" s="59"/>
      <c r="G82" s="59"/>
      <c r="H82" s="59"/>
      <c r="I82" s="59"/>
      <c r="J82" s="59"/>
      <c r="K82" s="59"/>
      <c r="L82" s="59"/>
      <c r="M82" s="59"/>
      <c r="N82" s="59"/>
      <c r="O82" s="100"/>
      <c r="P82" s="100"/>
      <c r="Q82" s="100"/>
      <c r="R82" s="100"/>
      <c r="S82" s="100"/>
      <c r="T82" s="100"/>
      <c r="U82" s="100"/>
      <c r="V82" s="100"/>
      <c r="W82" s="100"/>
      <c r="X82" s="100"/>
      <c r="Y82" s="100"/>
      <c r="Z82" s="100"/>
    </row>
    <row r="83" ht="14.25" customHeight="1">
      <c r="A83" s="59"/>
      <c r="B83" s="59"/>
      <c r="C83" s="59"/>
      <c r="D83" s="59"/>
      <c r="E83" s="59"/>
      <c r="F83" s="59"/>
      <c r="G83" s="59"/>
      <c r="H83" s="59"/>
      <c r="I83" s="59"/>
      <c r="J83" s="59"/>
      <c r="K83" s="59"/>
      <c r="L83" s="59"/>
      <c r="M83" s="59"/>
      <c r="N83" s="59"/>
      <c r="O83" s="100"/>
      <c r="P83" s="100"/>
      <c r="Q83" s="100"/>
      <c r="R83" s="100"/>
      <c r="S83" s="100"/>
      <c r="T83" s="100"/>
      <c r="U83" s="100"/>
      <c r="V83" s="100"/>
      <c r="W83" s="100"/>
      <c r="X83" s="100"/>
      <c r="Y83" s="100"/>
      <c r="Z83" s="100"/>
    </row>
    <row r="84" ht="14.25" customHeight="1">
      <c r="A84" s="59"/>
      <c r="B84" s="59"/>
      <c r="C84" s="59"/>
      <c r="D84" s="59"/>
      <c r="E84" s="59"/>
      <c r="F84" s="59"/>
      <c r="G84" s="59"/>
      <c r="H84" s="59"/>
      <c r="I84" s="59"/>
      <c r="J84" s="59"/>
      <c r="K84" s="59"/>
      <c r="L84" s="59"/>
      <c r="M84" s="59"/>
      <c r="N84" s="59"/>
      <c r="O84" s="100"/>
      <c r="P84" s="100"/>
      <c r="Q84" s="100"/>
      <c r="R84" s="100"/>
      <c r="S84" s="100"/>
      <c r="T84" s="100"/>
      <c r="U84" s="100"/>
      <c r="V84" s="100"/>
      <c r="W84" s="100"/>
      <c r="X84" s="100"/>
      <c r="Y84" s="100"/>
      <c r="Z84" s="100"/>
    </row>
    <row r="85" ht="14.25" customHeight="1">
      <c r="A85" s="59"/>
      <c r="B85" s="59"/>
      <c r="C85" s="59"/>
      <c r="D85" s="59"/>
      <c r="E85" s="59"/>
      <c r="F85" s="59"/>
      <c r="G85" s="59"/>
      <c r="H85" s="59"/>
      <c r="I85" s="59"/>
      <c r="J85" s="59"/>
      <c r="K85" s="59"/>
      <c r="L85" s="59"/>
      <c r="M85" s="59"/>
      <c r="N85" s="59"/>
      <c r="O85" s="100"/>
      <c r="P85" s="100"/>
      <c r="Q85" s="100"/>
      <c r="R85" s="100"/>
      <c r="S85" s="100"/>
      <c r="T85" s="100"/>
      <c r="U85" s="100"/>
      <c r="V85" s="100"/>
      <c r="W85" s="100"/>
      <c r="X85" s="100"/>
      <c r="Y85" s="100"/>
      <c r="Z85" s="100"/>
    </row>
    <row r="86" ht="14.25" customHeight="1">
      <c r="A86" s="59"/>
      <c r="B86" s="59"/>
      <c r="C86" s="59"/>
      <c r="D86" s="59"/>
      <c r="E86" s="59"/>
      <c r="F86" s="59"/>
      <c r="G86" s="59"/>
      <c r="H86" s="59"/>
      <c r="I86" s="59"/>
      <c r="J86" s="59"/>
      <c r="K86" s="59"/>
      <c r="L86" s="59"/>
      <c r="M86" s="59"/>
      <c r="N86" s="59"/>
      <c r="O86" s="100"/>
      <c r="P86" s="100"/>
      <c r="Q86" s="100"/>
      <c r="R86" s="100"/>
      <c r="S86" s="100"/>
      <c r="T86" s="100"/>
      <c r="U86" s="100"/>
      <c r="V86" s="100"/>
      <c r="W86" s="100"/>
      <c r="X86" s="100"/>
      <c r="Y86" s="100"/>
      <c r="Z86" s="100"/>
    </row>
    <row r="87" ht="14.25" customHeight="1">
      <c r="A87" s="59"/>
      <c r="B87" s="59"/>
      <c r="C87" s="59"/>
      <c r="D87" s="59"/>
      <c r="E87" s="59"/>
      <c r="F87" s="59"/>
      <c r="G87" s="59"/>
      <c r="H87" s="59"/>
      <c r="I87" s="59"/>
      <c r="J87" s="59"/>
      <c r="K87" s="59"/>
      <c r="L87" s="59"/>
      <c r="M87" s="59"/>
      <c r="N87" s="59"/>
      <c r="O87" s="100"/>
      <c r="P87" s="100"/>
      <c r="Q87" s="100"/>
      <c r="R87" s="100"/>
      <c r="S87" s="100"/>
      <c r="T87" s="100"/>
      <c r="U87" s="100"/>
      <c r="V87" s="100"/>
      <c r="W87" s="100"/>
      <c r="X87" s="100"/>
      <c r="Y87" s="100"/>
      <c r="Z87" s="100"/>
    </row>
    <row r="88" ht="14.25" customHeight="1">
      <c r="A88" s="59"/>
      <c r="B88" s="59"/>
      <c r="C88" s="59"/>
      <c r="D88" s="59"/>
      <c r="E88" s="59"/>
      <c r="F88" s="59"/>
      <c r="G88" s="59"/>
      <c r="H88" s="59"/>
      <c r="I88" s="59"/>
      <c r="J88" s="59"/>
      <c r="K88" s="59"/>
      <c r="L88" s="59"/>
      <c r="M88" s="59"/>
      <c r="N88" s="59"/>
      <c r="O88" s="100"/>
      <c r="P88" s="100"/>
      <c r="Q88" s="100"/>
      <c r="R88" s="100"/>
      <c r="S88" s="100"/>
      <c r="T88" s="100"/>
      <c r="U88" s="100"/>
      <c r="V88" s="100"/>
      <c r="W88" s="100"/>
      <c r="X88" s="100"/>
      <c r="Y88" s="100"/>
      <c r="Z88" s="100"/>
    </row>
    <row r="89" ht="14.25" customHeight="1">
      <c r="A89" s="59"/>
      <c r="B89" s="59"/>
      <c r="C89" s="59"/>
      <c r="D89" s="59"/>
      <c r="E89" s="59"/>
      <c r="F89" s="59"/>
      <c r="G89" s="59"/>
      <c r="H89" s="59"/>
      <c r="I89" s="59"/>
      <c r="J89" s="59"/>
      <c r="K89" s="59"/>
      <c r="L89" s="59"/>
      <c r="M89" s="59"/>
      <c r="N89" s="59"/>
      <c r="O89" s="100"/>
      <c r="P89" s="100"/>
      <c r="Q89" s="100"/>
      <c r="R89" s="100"/>
      <c r="S89" s="100"/>
      <c r="T89" s="100"/>
      <c r="U89" s="100"/>
      <c r="V89" s="100"/>
      <c r="W89" s="100"/>
      <c r="X89" s="100"/>
      <c r="Y89" s="100"/>
      <c r="Z89" s="100"/>
    </row>
    <row r="90" ht="14.25" customHeight="1">
      <c r="A90" s="59"/>
      <c r="B90" s="59"/>
      <c r="C90" s="59"/>
      <c r="D90" s="59"/>
      <c r="E90" s="59"/>
      <c r="F90" s="59"/>
      <c r="G90" s="59"/>
      <c r="H90" s="59"/>
      <c r="I90" s="59"/>
      <c r="J90" s="59"/>
      <c r="K90" s="59"/>
      <c r="L90" s="59"/>
      <c r="M90" s="59"/>
      <c r="N90" s="59"/>
      <c r="O90" s="100"/>
      <c r="P90" s="100"/>
      <c r="Q90" s="100"/>
      <c r="R90" s="100"/>
      <c r="S90" s="100"/>
      <c r="T90" s="100"/>
      <c r="U90" s="100"/>
      <c r="V90" s="100"/>
      <c r="W90" s="100"/>
      <c r="X90" s="100"/>
      <c r="Y90" s="100"/>
      <c r="Z90" s="100"/>
    </row>
    <row r="91" ht="14.25" customHeight="1">
      <c r="A91" s="59"/>
      <c r="B91" s="59"/>
      <c r="C91" s="59"/>
      <c r="D91" s="59"/>
      <c r="E91" s="59"/>
      <c r="F91" s="59"/>
      <c r="G91" s="59"/>
      <c r="H91" s="59"/>
      <c r="I91" s="59"/>
      <c r="J91" s="59"/>
      <c r="K91" s="59"/>
      <c r="L91" s="59"/>
      <c r="M91" s="59"/>
      <c r="N91" s="59"/>
      <c r="O91" s="100"/>
      <c r="P91" s="100"/>
      <c r="Q91" s="100"/>
      <c r="R91" s="100"/>
      <c r="S91" s="100"/>
      <c r="T91" s="100"/>
      <c r="U91" s="100"/>
      <c r="V91" s="100"/>
      <c r="W91" s="100"/>
      <c r="X91" s="100"/>
      <c r="Y91" s="100"/>
      <c r="Z91" s="100"/>
    </row>
    <row r="92" ht="14.25" customHeight="1">
      <c r="A92" s="59"/>
      <c r="B92" s="59"/>
      <c r="C92" s="59"/>
      <c r="D92" s="59"/>
      <c r="E92" s="59"/>
      <c r="F92" s="59"/>
      <c r="G92" s="59"/>
      <c r="H92" s="59"/>
      <c r="I92" s="59"/>
      <c r="J92" s="59"/>
      <c r="K92" s="59"/>
      <c r="L92" s="59"/>
      <c r="M92" s="59"/>
      <c r="N92" s="59"/>
      <c r="O92" s="100"/>
      <c r="P92" s="100"/>
      <c r="Q92" s="100"/>
      <c r="R92" s="100"/>
      <c r="S92" s="100"/>
      <c r="T92" s="100"/>
      <c r="U92" s="100"/>
      <c r="V92" s="100"/>
      <c r="W92" s="100"/>
      <c r="X92" s="100"/>
      <c r="Y92" s="100"/>
      <c r="Z92" s="100"/>
    </row>
    <row r="93" ht="14.25" customHeight="1">
      <c r="A93" s="59"/>
      <c r="B93" s="59"/>
      <c r="C93" s="59"/>
      <c r="D93" s="59"/>
      <c r="E93" s="59"/>
      <c r="F93" s="59"/>
      <c r="G93" s="59"/>
      <c r="H93" s="59"/>
      <c r="I93" s="59"/>
      <c r="J93" s="59"/>
      <c r="K93" s="59"/>
      <c r="L93" s="59"/>
      <c r="M93" s="59"/>
      <c r="N93" s="59"/>
      <c r="O93" s="100"/>
      <c r="P93" s="100"/>
      <c r="Q93" s="100"/>
      <c r="R93" s="100"/>
      <c r="S93" s="100"/>
      <c r="T93" s="100"/>
      <c r="U93" s="100"/>
      <c r="V93" s="100"/>
      <c r="W93" s="100"/>
      <c r="X93" s="100"/>
      <c r="Y93" s="100"/>
      <c r="Z93" s="100"/>
    </row>
    <row r="94" ht="14.25" customHeight="1">
      <c r="A94" s="59"/>
      <c r="B94" s="59"/>
      <c r="C94" s="59"/>
      <c r="D94" s="59"/>
      <c r="E94" s="59"/>
      <c r="F94" s="59"/>
      <c r="G94" s="59"/>
      <c r="H94" s="59"/>
      <c r="I94" s="59"/>
      <c r="J94" s="59"/>
      <c r="K94" s="59"/>
      <c r="L94" s="59"/>
      <c r="M94" s="59"/>
      <c r="N94" s="59"/>
      <c r="O94" s="100"/>
      <c r="P94" s="100"/>
      <c r="Q94" s="100"/>
      <c r="R94" s="100"/>
      <c r="S94" s="100"/>
      <c r="T94" s="100"/>
      <c r="U94" s="100"/>
      <c r="V94" s="100"/>
      <c r="W94" s="100"/>
      <c r="X94" s="100"/>
      <c r="Y94" s="100"/>
      <c r="Z94" s="100"/>
    </row>
    <row r="95" ht="14.25" customHeight="1">
      <c r="A95" s="59"/>
      <c r="B95" s="59"/>
      <c r="C95" s="59"/>
      <c r="D95" s="59"/>
      <c r="E95" s="59"/>
      <c r="F95" s="59"/>
      <c r="G95" s="59"/>
      <c r="H95" s="59"/>
      <c r="I95" s="59"/>
      <c r="J95" s="59"/>
      <c r="K95" s="59"/>
      <c r="L95" s="59"/>
      <c r="M95" s="59"/>
      <c r="N95" s="59"/>
      <c r="O95" s="100"/>
      <c r="P95" s="100"/>
      <c r="Q95" s="100"/>
      <c r="R95" s="100"/>
      <c r="S95" s="100"/>
      <c r="T95" s="100"/>
      <c r="U95" s="100"/>
      <c r="V95" s="100"/>
      <c r="W95" s="100"/>
      <c r="X95" s="100"/>
      <c r="Y95" s="100"/>
      <c r="Z95" s="100"/>
    </row>
    <row r="96" ht="14.25" customHeight="1">
      <c r="A96" s="59"/>
      <c r="B96" s="59"/>
      <c r="C96" s="59"/>
      <c r="D96" s="59"/>
      <c r="E96" s="59"/>
      <c r="F96" s="59"/>
      <c r="G96" s="59"/>
      <c r="H96" s="59"/>
      <c r="I96" s="59"/>
      <c r="J96" s="59"/>
      <c r="K96" s="59"/>
      <c r="L96" s="59"/>
      <c r="M96" s="59"/>
      <c r="N96" s="59"/>
      <c r="O96" s="100"/>
      <c r="P96" s="100"/>
      <c r="Q96" s="100"/>
      <c r="R96" s="100"/>
      <c r="S96" s="100"/>
      <c r="T96" s="100"/>
      <c r="U96" s="100"/>
      <c r="V96" s="100"/>
      <c r="W96" s="100"/>
      <c r="X96" s="100"/>
      <c r="Y96" s="100"/>
      <c r="Z96" s="100"/>
    </row>
    <row r="97" ht="14.25" customHeight="1">
      <c r="A97" s="59"/>
      <c r="B97" s="59"/>
      <c r="C97" s="59"/>
      <c r="D97" s="59"/>
      <c r="E97" s="59"/>
      <c r="F97" s="59"/>
      <c r="G97" s="59"/>
      <c r="H97" s="59"/>
      <c r="I97" s="59"/>
      <c r="J97" s="59"/>
      <c r="K97" s="59"/>
      <c r="L97" s="59"/>
      <c r="M97" s="59"/>
      <c r="N97" s="59"/>
      <c r="O97" s="100"/>
      <c r="P97" s="100"/>
      <c r="Q97" s="100"/>
      <c r="R97" s="100"/>
      <c r="S97" s="100"/>
      <c r="T97" s="100"/>
      <c r="U97" s="100"/>
      <c r="V97" s="100"/>
      <c r="W97" s="100"/>
      <c r="X97" s="100"/>
      <c r="Y97" s="100"/>
      <c r="Z97" s="100"/>
    </row>
    <row r="98" ht="14.25" customHeight="1">
      <c r="A98" s="59"/>
      <c r="B98" s="59"/>
      <c r="C98" s="59"/>
      <c r="D98" s="59"/>
      <c r="E98" s="59"/>
      <c r="F98" s="59"/>
      <c r="G98" s="59"/>
      <c r="H98" s="59"/>
      <c r="I98" s="59"/>
      <c r="J98" s="59"/>
      <c r="K98" s="59"/>
      <c r="L98" s="59"/>
      <c r="M98" s="59"/>
      <c r="N98" s="59"/>
      <c r="O98" s="100"/>
      <c r="P98" s="100"/>
      <c r="Q98" s="100"/>
      <c r="R98" s="100"/>
      <c r="S98" s="100"/>
      <c r="T98" s="100"/>
      <c r="U98" s="100"/>
      <c r="V98" s="100"/>
      <c r="W98" s="100"/>
      <c r="X98" s="100"/>
      <c r="Y98" s="100"/>
      <c r="Z98" s="100"/>
    </row>
    <row r="99" ht="14.25" customHeight="1">
      <c r="A99" s="59"/>
      <c r="B99" s="59"/>
      <c r="C99" s="59"/>
      <c r="D99" s="59"/>
      <c r="E99" s="59"/>
      <c r="F99" s="59"/>
      <c r="G99" s="59"/>
      <c r="H99" s="59"/>
      <c r="I99" s="59"/>
      <c r="J99" s="59"/>
      <c r="K99" s="59"/>
      <c r="L99" s="59"/>
      <c r="M99" s="59"/>
      <c r="N99" s="59"/>
      <c r="O99" s="100"/>
      <c r="P99" s="100"/>
      <c r="Q99" s="100"/>
      <c r="R99" s="100"/>
      <c r="S99" s="100"/>
      <c r="T99" s="100"/>
      <c r="U99" s="100"/>
      <c r="V99" s="100"/>
      <c r="W99" s="100"/>
      <c r="X99" s="100"/>
      <c r="Y99" s="100"/>
      <c r="Z99" s="100"/>
    </row>
    <row r="100" ht="14.25" customHeight="1">
      <c r="A100" s="59"/>
      <c r="B100" s="59"/>
      <c r="C100" s="59"/>
      <c r="D100" s="59"/>
      <c r="E100" s="59"/>
      <c r="F100" s="59"/>
      <c r="G100" s="59"/>
      <c r="H100" s="59"/>
      <c r="I100" s="59"/>
      <c r="J100" s="59"/>
      <c r="K100" s="59"/>
      <c r="L100" s="59"/>
      <c r="M100" s="59"/>
      <c r="N100" s="59"/>
      <c r="O100" s="100"/>
      <c r="P100" s="100"/>
      <c r="Q100" s="100"/>
      <c r="R100" s="100"/>
      <c r="S100" s="100"/>
      <c r="T100" s="100"/>
      <c r="U100" s="100"/>
      <c r="V100" s="100"/>
      <c r="W100" s="100"/>
      <c r="X100" s="100"/>
      <c r="Y100" s="100"/>
      <c r="Z100" s="100"/>
    </row>
    <row r="101" ht="14.25" customHeight="1">
      <c r="A101" s="59"/>
      <c r="B101" s="59"/>
      <c r="C101" s="59"/>
      <c r="D101" s="59"/>
      <c r="E101" s="59"/>
      <c r="F101" s="59"/>
      <c r="G101" s="59"/>
      <c r="H101" s="59"/>
      <c r="I101" s="59"/>
      <c r="J101" s="59"/>
      <c r="K101" s="59"/>
      <c r="L101" s="59"/>
      <c r="M101" s="59"/>
      <c r="N101" s="59"/>
      <c r="O101" s="100"/>
      <c r="P101" s="100"/>
      <c r="Q101" s="100"/>
      <c r="R101" s="100"/>
      <c r="S101" s="100"/>
      <c r="T101" s="100"/>
      <c r="U101" s="100"/>
      <c r="V101" s="100"/>
      <c r="W101" s="100"/>
      <c r="X101" s="100"/>
      <c r="Y101" s="100"/>
      <c r="Z101" s="100"/>
    </row>
    <row r="102" ht="14.25" customHeight="1">
      <c r="A102" s="59"/>
      <c r="B102" s="59"/>
      <c r="C102" s="59"/>
      <c r="D102" s="59"/>
      <c r="E102" s="59"/>
      <c r="F102" s="59"/>
      <c r="G102" s="59"/>
      <c r="H102" s="59"/>
      <c r="I102" s="59"/>
      <c r="J102" s="59"/>
      <c r="K102" s="59"/>
      <c r="L102" s="59"/>
      <c r="M102" s="59"/>
      <c r="N102" s="59"/>
      <c r="O102" s="100"/>
      <c r="P102" s="100"/>
      <c r="Q102" s="100"/>
      <c r="R102" s="100"/>
      <c r="S102" s="100"/>
      <c r="T102" s="100"/>
      <c r="U102" s="100"/>
      <c r="V102" s="100"/>
      <c r="W102" s="100"/>
      <c r="X102" s="100"/>
      <c r="Y102" s="100"/>
      <c r="Z102" s="100"/>
    </row>
    <row r="103" ht="14.25" customHeight="1">
      <c r="A103" s="59"/>
      <c r="B103" s="59"/>
      <c r="C103" s="59"/>
      <c r="D103" s="59"/>
      <c r="E103" s="59"/>
      <c r="F103" s="59"/>
      <c r="G103" s="59"/>
      <c r="H103" s="59"/>
      <c r="I103" s="59"/>
      <c r="J103" s="59"/>
      <c r="K103" s="59"/>
      <c r="L103" s="59"/>
      <c r="M103" s="59"/>
      <c r="N103" s="59"/>
      <c r="O103" s="100"/>
      <c r="P103" s="100"/>
      <c r="Q103" s="100"/>
      <c r="R103" s="100"/>
      <c r="S103" s="100"/>
      <c r="T103" s="100"/>
      <c r="U103" s="100"/>
      <c r="V103" s="100"/>
      <c r="W103" s="100"/>
      <c r="X103" s="100"/>
      <c r="Y103" s="100"/>
      <c r="Z103" s="100"/>
    </row>
    <row r="104" ht="14.25" customHeight="1">
      <c r="A104" s="59"/>
      <c r="B104" s="59"/>
      <c r="C104" s="59"/>
      <c r="D104" s="59"/>
      <c r="E104" s="59"/>
      <c r="F104" s="59"/>
      <c r="G104" s="59"/>
      <c r="H104" s="59"/>
      <c r="I104" s="59"/>
      <c r="J104" s="59"/>
      <c r="K104" s="59"/>
      <c r="L104" s="59"/>
      <c r="M104" s="59"/>
      <c r="N104" s="59"/>
      <c r="O104" s="100"/>
      <c r="P104" s="100"/>
      <c r="Q104" s="100"/>
      <c r="R104" s="100"/>
      <c r="S104" s="100"/>
      <c r="T104" s="100"/>
      <c r="U104" s="100"/>
      <c r="V104" s="100"/>
      <c r="W104" s="100"/>
      <c r="X104" s="100"/>
      <c r="Y104" s="100"/>
      <c r="Z104" s="100"/>
    </row>
    <row r="105" ht="14.25" customHeight="1">
      <c r="A105" s="59"/>
      <c r="B105" s="59"/>
      <c r="C105" s="59"/>
      <c r="D105" s="59"/>
      <c r="E105" s="59"/>
      <c r="F105" s="59"/>
      <c r="G105" s="59"/>
      <c r="H105" s="59"/>
      <c r="I105" s="59"/>
      <c r="J105" s="59"/>
      <c r="K105" s="59"/>
      <c r="L105" s="59"/>
      <c r="M105" s="59"/>
      <c r="N105" s="59"/>
      <c r="O105" s="100"/>
      <c r="P105" s="100"/>
      <c r="Q105" s="100"/>
      <c r="R105" s="100"/>
      <c r="S105" s="100"/>
      <c r="T105" s="100"/>
      <c r="U105" s="100"/>
      <c r="V105" s="100"/>
      <c r="W105" s="100"/>
      <c r="X105" s="100"/>
      <c r="Y105" s="100"/>
      <c r="Z105" s="100"/>
    </row>
    <row r="106" ht="14.25" customHeight="1">
      <c r="A106" s="59"/>
      <c r="B106" s="59"/>
      <c r="C106" s="59"/>
      <c r="D106" s="59"/>
      <c r="E106" s="59"/>
      <c r="F106" s="59"/>
      <c r="G106" s="59"/>
      <c r="H106" s="59"/>
      <c r="I106" s="59"/>
      <c r="J106" s="59"/>
      <c r="K106" s="59"/>
      <c r="L106" s="59"/>
      <c r="M106" s="59"/>
      <c r="N106" s="59"/>
      <c r="O106" s="100"/>
      <c r="P106" s="100"/>
      <c r="Q106" s="100"/>
      <c r="R106" s="100"/>
      <c r="S106" s="100"/>
      <c r="T106" s="100"/>
      <c r="U106" s="100"/>
      <c r="V106" s="100"/>
      <c r="W106" s="100"/>
      <c r="X106" s="100"/>
      <c r="Y106" s="100"/>
      <c r="Z106" s="100"/>
    </row>
    <row r="107" ht="14.25" customHeight="1">
      <c r="A107" s="59"/>
      <c r="B107" s="59"/>
      <c r="C107" s="59"/>
      <c r="D107" s="59"/>
      <c r="E107" s="59"/>
      <c r="F107" s="59"/>
      <c r="G107" s="59"/>
      <c r="H107" s="59"/>
      <c r="I107" s="59"/>
      <c r="J107" s="59"/>
      <c r="K107" s="59"/>
      <c r="L107" s="59"/>
      <c r="M107" s="59"/>
      <c r="N107" s="59"/>
      <c r="O107" s="100"/>
      <c r="P107" s="100"/>
      <c r="Q107" s="100"/>
      <c r="R107" s="100"/>
      <c r="S107" s="100"/>
      <c r="T107" s="100"/>
      <c r="U107" s="100"/>
      <c r="V107" s="100"/>
      <c r="W107" s="100"/>
      <c r="X107" s="100"/>
      <c r="Y107" s="100"/>
      <c r="Z107" s="100"/>
    </row>
    <row r="108" ht="14.25" customHeight="1">
      <c r="A108" s="59"/>
      <c r="B108" s="59"/>
      <c r="C108" s="59"/>
      <c r="D108" s="59"/>
      <c r="E108" s="59"/>
      <c r="F108" s="59"/>
      <c r="G108" s="59"/>
      <c r="H108" s="59"/>
      <c r="I108" s="59"/>
      <c r="J108" s="59"/>
      <c r="K108" s="59"/>
      <c r="L108" s="59"/>
      <c r="M108" s="59"/>
      <c r="N108" s="59"/>
      <c r="O108" s="100"/>
      <c r="P108" s="100"/>
      <c r="Q108" s="100"/>
      <c r="R108" s="100"/>
      <c r="S108" s="100"/>
      <c r="T108" s="100"/>
      <c r="U108" s="100"/>
      <c r="V108" s="100"/>
      <c r="W108" s="100"/>
      <c r="X108" s="100"/>
      <c r="Y108" s="100"/>
      <c r="Z108" s="100"/>
    </row>
    <row r="109" ht="14.25" customHeight="1">
      <c r="A109" s="59"/>
      <c r="B109" s="59"/>
      <c r="C109" s="59"/>
      <c r="D109" s="59"/>
      <c r="E109" s="59"/>
      <c r="F109" s="59"/>
      <c r="G109" s="59"/>
      <c r="H109" s="59"/>
      <c r="I109" s="59"/>
      <c r="J109" s="59"/>
      <c r="K109" s="59"/>
      <c r="L109" s="59"/>
      <c r="M109" s="59"/>
      <c r="N109" s="59"/>
      <c r="O109" s="100"/>
      <c r="P109" s="100"/>
      <c r="Q109" s="100"/>
      <c r="R109" s="100"/>
      <c r="S109" s="100"/>
      <c r="T109" s="100"/>
      <c r="U109" s="100"/>
      <c r="V109" s="100"/>
      <c r="W109" s="100"/>
      <c r="X109" s="100"/>
      <c r="Y109" s="100"/>
      <c r="Z109" s="100"/>
    </row>
    <row r="110" ht="14.25" customHeight="1">
      <c r="A110" s="59"/>
      <c r="B110" s="59"/>
      <c r="C110" s="59"/>
      <c r="D110" s="59"/>
      <c r="E110" s="59"/>
      <c r="F110" s="59"/>
      <c r="G110" s="59"/>
      <c r="H110" s="59"/>
      <c r="I110" s="59"/>
      <c r="J110" s="59"/>
      <c r="K110" s="59"/>
      <c r="L110" s="59"/>
      <c r="M110" s="59"/>
      <c r="N110" s="59"/>
      <c r="O110" s="100"/>
      <c r="P110" s="100"/>
      <c r="Q110" s="100"/>
      <c r="R110" s="100"/>
      <c r="S110" s="100"/>
      <c r="T110" s="100"/>
      <c r="U110" s="100"/>
      <c r="V110" s="100"/>
      <c r="W110" s="100"/>
      <c r="X110" s="100"/>
      <c r="Y110" s="100"/>
      <c r="Z110" s="100"/>
    </row>
    <row r="111" ht="14.25" customHeight="1">
      <c r="A111" s="59"/>
      <c r="B111" s="59"/>
      <c r="C111" s="59"/>
      <c r="D111" s="59"/>
      <c r="E111" s="59"/>
      <c r="F111" s="59"/>
      <c r="G111" s="59"/>
      <c r="H111" s="59"/>
      <c r="I111" s="59"/>
      <c r="J111" s="59"/>
      <c r="K111" s="59"/>
      <c r="L111" s="59"/>
      <c r="M111" s="59"/>
      <c r="N111" s="59"/>
      <c r="O111" s="100"/>
      <c r="P111" s="100"/>
      <c r="Q111" s="100"/>
      <c r="R111" s="100"/>
      <c r="S111" s="100"/>
      <c r="T111" s="100"/>
      <c r="U111" s="100"/>
      <c r="V111" s="100"/>
      <c r="W111" s="100"/>
      <c r="X111" s="100"/>
      <c r="Y111" s="100"/>
      <c r="Z111" s="100"/>
    </row>
    <row r="112" ht="14.25" customHeight="1">
      <c r="A112" s="59"/>
      <c r="B112" s="59"/>
      <c r="C112" s="59"/>
      <c r="D112" s="59"/>
      <c r="E112" s="59"/>
      <c r="F112" s="59"/>
      <c r="G112" s="59"/>
      <c r="H112" s="59"/>
      <c r="I112" s="59"/>
      <c r="J112" s="59"/>
      <c r="K112" s="59"/>
      <c r="L112" s="59"/>
      <c r="M112" s="59"/>
      <c r="N112" s="59"/>
      <c r="O112" s="100"/>
      <c r="P112" s="100"/>
      <c r="Q112" s="100"/>
      <c r="R112" s="100"/>
      <c r="S112" s="100"/>
      <c r="T112" s="100"/>
      <c r="U112" s="100"/>
      <c r="V112" s="100"/>
      <c r="W112" s="100"/>
      <c r="X112" s="100"/>
      <c r="Y112" s="100"/>
      <c r="Z112" s="100"/>
    </row>
    <row r="113" ht="14.25" customHeight="1">
      <c r="A113" s="59"/>
      <c r="B113" s="59"/>
      <c r="C113" s="59"/>
      <c r="D113" s="59"/>
      <c r="E113" s="59"/>
      <c r="F113" s="59"/>
      <c r="G113" s="59"/>
      <c r="H113" s="59"/>
      <c r="I113" s="59"/>
      <c r="J113" s="59"/>
      <c r="K113" s="59"/>
      <c r="L113" s="59"/>
      <c r="M113" s="59"/>
      <c r="N113" s="59"/>
      <c r="O113" s="100"/>
      <c r="P113" s="100"/>
      <c r="Q113" s="100"/>
      <c r="R113" s="100"/>
      <c r="S113" s="100"/>
      <c r="T113" s="100"/>
      <c r="U113" s="100"/>
      <c r="V113" s="100"/>
      <c r="W113" s="100"/>
      <c r="X113" s="100"/>
      <c r="Y113" s="100"/>
      <c r="Z113" s="100"/>
    </row>
    <row r="114" ht="14.25" customHeight="1">
      <c r="A114" s="59"/>
      <c r="B114" s="59"/>
      <c r="C114" s="59"/>
      <c r="D114" s="59"/>
      <c r="E114" s="59"/>
      <c r="F114" s="59"/>
      <c r="G114" s="59"/>
      <c r="H114" s="59"/>
      <c r="I114" s="59"/>
      <c r="J114" s="59"/>
      <c r="K114" s="59"/>
      <c r="L114" s="59"/>
      <c r="M114" s="59"/>
      <c r="N114" s="59"/>
      <c r="O114" s="100"/>
      <c r="P114" s="100"/>
      <c r="Q114" s="100"/>
      <c r="R114" s="100"/>
      <c r="S114" s="100"/>
      <c r="T114" s="100"/>
      <c r="U114" s="100"/>
      <c r="V114" s="100"/>
      <c r="W114" s="100"/>
      <c r="X114" s="100"/>
      <c r="Y114" s="100"/>
      <c r="Z114" s="100"/>
    </row>
    <row r="115" ht="14.25" customHeight="1">
      <c r="A115" s="59"/>
      <c r="B115" s="59"/>
      <c r="C115" s="59"/>
      <c r="D115" s="59"/>
      <c r="E115" s="59"/>
      <c r="F115" s="59"/>
      <c r="G115" s="59"/>
      <c r="H115" s="59"/>
      <c r="I115" s="59"/>
      <c r="J115" s="59"/>
      <c r="K115" s="59"/>
      <c r="L115" s="59"/>
      <c r="M115" s="59"/>
      <c r="N115" s="59"/>
      <c r="O115" s="100"/>
      <c r="P115" s="100"/>
      <c r="Q115" s="100"/>
      <c r="R115" s="100"/>
      <c r="S115" s="100"/>
      <c r="T115" s="100"/>
      <c r="U115" s="100"/>
      <c r="V115" s="100"/>
      <c r="W115" s="100"/>
      <c r="X115" s="100"/>
      <c r="Y115" s="100"/>
      <c r="Z115" s="100"/>
    </row>
    <row r="116" ht="14.25" customHeight="1">
      <c r="A116" s="59"/>
      <c r="B116" s="59"/>
      <c r="C116" s="59"/>
      <c r="D116" s="59"/>
      <c r="E116" s="59"/>
      <c r="F116" s="59"/>
      <c r="G116" s="59"/>
      <c r="H116" s="59"/>
      <c r="I116" s="59"/>
      <c r="J116" s="59"/>
      <c r="K116" s="59"/>
      <c r="L116" s="59"/>
      <c r="M116" s="59"/>
      <c r="N116" s="59"/>
      <c r="O116" s="100"/>
      <c r="P116" s="100"/>
      <c r="Q116" s="100"/>
      <c r="R116" s="100"/>
      <c r="S116" s="100"/>
      <c r="T116" s="100"/>
      <c r="U116" s="100"/>
      <c r="V116" s="100"/>
      <c r="W116" s="100"/>
      <c r="X116" s="100"/>
      <c r="Y116" s="100"/>
      <c r="Z116" s="100"/>
    </row>
    <row r="117" ht="14.25" customHeight="1">
      <c r="A117" s="59"/>
      <c r="B117" s="59"/>
      <c r="C117" s="59"/>
      <c r="D117" s="59"/>
      <c r="E117" s="59"/>
      <c r="F117" s="59"/>
      <c r="G117" s="59"/>
      <c r="H117" s="59"/>
      <c r="I117" s="59"/>
      <c r="J117" s="59"/>
      <c r="K117" s="59"/>
      <c r="L117" s="59"/>
      <c r="M117" s="59"/>
      <c r="N117" s="59"/>
      <c r="O117" s="100"/>
      <c r="P117" s="100"/>
      <c r="Q117" s="100"/>
      <c r="R117" s="100"/>
      <c r="S117" s="100"/>
      <c r="T117" s="100"/>
      <c r="U117" s="100"/>
      <c r="V117" s="100"/>
      <c r="W117" s="100"/>
      <c r="X117" s="100"/>
      <c r="Y117" s="100"/>
      <c r="Z117" s="100"/>
    </row>
    <row r="118" ht="14.25" customHeight="1">
      <c r="A118" s="59"/>
      <c r="B118" s="59"/>
      <c r="C118" s="59"/>
      <c r="D118" s="59"/>
      <c r="E118" s="59"/>
      <c r="F118" s="59"/>
      <c r="G118" s="59"/>
      <c r="H118" s="59"/>
      <c r="I118" s="59"/>
      <c r="J118" s="59"/>
      <c r="K118" s="59"/>
      <c r="L118" s="59"/>
      <c r="M118" s="59"/>
      <c r="N118" s="59"/>
      <c r="O118" s="100"/>
      <c r="P118" s="100"/>
      <c r="Q118" s="100"/>
      <c r="R118" s="100"/>
      <c r="S118" s="100"/>
      <c r="T118" s="100"/>
      <c r="U118" s="100"/>
      <c r="V118" s="100"/>
      <c r="W118" s="100"/>
      <c r="X118" s="100"/>
      <c r="Y118" s="100"/>
      <c r="Z118" s="100"/>
    </row>
    <row r="119" ht="14.25" customHeight="1">
      <c r="A119" s="59"/>
      <c r="B119" s="59"/>
      <c r="C119" s="59"/>
      <c r="D119" s="59"/>
      <c r="E119" s="59"/>
      <c r="F119" s="59"/>
      <c r="G119" s="59"/>
      <c r="H119" s="59"/>
      <c r="I119" s="59"/>
      <c r="J119" s="59"/>
      <c r="K119" s="59"/>
      <c r="L119" s="59"/>
      <c r="M119" s="59"/>
      <c r="N119" s="59"/>
      <c r="O119" s="100"/>
      <c r="P119" s="100"/>
      <c r="Q119" s="100"/>
      <c r="R119" s="100"/>
      <c r="S119" s="100"/>
      <c r="T119" s="100"/>
      <c r="U119" s="100"/>
      <c r="V119" s="100"/>
      <c r="W119" s="100"/>
      <c r="X119" s="100"/>
      <c r="Y119" s="100"/>
      <c r="Z119" s="100"/>
    </row>
    <row r="120" ht="14.25" customHeight="1">
      <c r="A120" s="59"/>
      <c r="B120" s="59"/>
      <c r="C120" s="59"/>
      <c r="D120" s="59"/>
      <c r="E120" s="59"/>
      <c r="F120" s="59"/>
      <c r="G120" s="59"/>
      <c r="H120" s="59"/>
      <c r="I120" s="59"/>
      <c r="J120" s="59"/>
      <c r="K120" s="59"/>
      <c r="L120" s="59"/>
      <c r="M120" s="59"/>
      <c r="N120" s="59"/>
      <c r="O120" s="100"/>
      <c r="P120" s="100"/>
      <c r="Q120" s="100"/>
      <c r="R120" s="100"/>
      <c r="S120" s="100"/>
      <c r="T120" s="100"/>
      <c r="U120" s="100"/>
      <c r="V120" s="100"/>
      <c r="W120" s="100"/>
      <c r="X120" s="100"/>
      <c r="Y120" s="100"/>
      <c r="Z120" s="100"/>
    </row>
    <row r="121" ht="14.25" customHeight="1">
      <c r="A121" s="59"/>
      <c r="B121" s="59"/>
      <c r="C121" s="59"/>
      <c r="D121" s="59"/>
      <c r="E121" s="59"/>
      <c r="F121" s="59"/>
      <c r="G121" s="59"/>
      <c r="H121" s="59"/>
      <c r="I121" s="59"/>
      <c r="J121" s="59"/>
      <c r="K121" s="59"/>
      <c r="L121" s="59"/>
      <c r="M121" s="59"/>
      <c r="N121" s="59"/>
      <c r="O121" s="100"/>
      <c r="P121" s="100"/>
      <c r="Q121" s="100"/>
      <c r="R121" s="100"/>
      <c r="S121" s="100"/>
      <c r="T121" s="100"/>
      <c r="U121" s="100"/>
      <c r="V121" s="100"/>
      <c r="W121" s="100"/>
      <c r="X121" s="100"/>
      <c r="Y121" s="100"/>
      <c r="Z121" s="100"/>
    </row>
    <row r="122" ht="14.25" customHeight="1">
      <c r="A122" s="59"/>
      <c r="B122" s="59"/>
      <c r="C122" s="59"/>
      <c r="D122" s="59"/>
      <c r="E122" s="59"/>
      <c r="F122" s="59"/>
      <c r="G122" s="59"/>
      <c r="H122" s="59"/>
      <c r="I122" s="59"/>
      <c r="J122" s="59"/>
      <c r="K122" s="59"/>
      <c r="L122" s="59"/>
      <c r="M122" s="59"/>
      <c r="N122" s="59"/>
      <c r="O122" s="100"/>
      <c r="P122" s="100"/>
      <c r="Q122" s="100"/>
      <c r="R122" s="100"/>
      <c r="S122" s="100"/>
      <c r="T122" s="100"/>
      <c r="U122" s="100"/>
      <c r="V122" s="100"/>
      <c r="W122" s="100"/>
      <c r="X122" s="100"/>
      <c r="Y122" s="100"/>
      <c r="Z122" s="100"/>
    </row>
    <row r="123" ht="14.25" customHeight="1">
      <c r="A123" s="59"/>
      <c r="B123" s="59"/>
      <c r="C123" s="59"/>
      <c r="D123" s="59"/>
      <c r="E123" s="59"/>
      <c r="F123" s="59"/>
      <c r="G123" s="59"/>
      <c r="H123" s="59"/>
      <c r="I123" s="59"/>
      <c r="J123" s="59"/>
      <c r="K123" s="59"/>
      <c r="L123" s="59"/>
      <c r="M123" s="59"/>
      <c r="N123" s="59"/>
      <c r="O123" s="100"/>
      <c r="P123" s="100"/>
      <c r="Q123" s="100"/>
      <c r="R123" s="100"/>
      <c r="S123" s="100"/>
      <c r="T123" s="100"/>
      <c r="U123" s="100"/>
      <c r="V123" s="100"/>
      <c r="W123" s="100"/>
      <c r="X123" s="100"/>
      <c r="Y123" s="100"/>
      <c r="Z123" s="100"/>
    </row>
    <row r="124" ht="14.25" customHeight="1">
      <c r="A124" s="59"/>
      <c r="B124" s="59"/>
      <c r="C124" s="59"/>
      <c r="D124" s="59"/>
      <c r="E124" s="59"/>
      <c r="F124" s="59"/>
      <c r="G124" s="59"/>
      <c r="H124" s="59"/>
      <c r="I124" s="59"/>
      <c r="J124" s="59"/>
      <c r="K124" s="59"/>
      <c r="L124" s="59"/>
      <c r="M124" s="59"/>
      <c r="N124" s="59"/>
      <c r="O124" s="100"/>
      <c r="P124" s="100"/>
      <c r="Q124" s="100"/>
      <c r="R124" s="100"/>
      <c r="S124" s="100"/>
      <c r="T124" s="100"/>
      <c r="U124" s="100"/>
      <c r="V124" s="100"/>
      <c r="W124" s="100"/>
      <c r="X124" s="100"/>
      <c r="Y124" s="100"/>
      <c r="Z124" s="100"/>
    </row>
    <row r="125" ht="14.25" customHeight="1">
      <c r="A125" s="59"/>
      <c r="B125" s="59"/>
      <c r="C125" s="59"/>
      <c r="D125" s="59"/>
      <c r="E125" s="59"/>
      <c r="F125" s="59"/>
      <c r="G125" s="59"/>
      <c r="H125" s="59"/>
      <c r="I125" s="59"/>
      <c r="J125" s="59"/>
      <c r="K125" s="59"/>
      <c r="L125" s="59"/>
      <c r="M125" s="59"/>
      <c r="N125" s="59"/>
      <c r="O125" s="100"/>
      <c r="P125" s="100"/>
      <c r="Q125" s="100"/>
      <c r="R125" s="100"/>
      <c r="S125" s="100"/>
      <c r="T125" s="100"/>
      <c r="U125" s="100"/>
      <c r="V125" s="100"/>
      <c r="W125" s="100"/>
      <c r="X125" s="100"/>
      <c r="Y125" s="100"/>
      <c r="Z125" s="100"/>
    </row>
    <row r="126" ht="14.25" customHeight="1">
      <c r="A126" s="59"/>
      <c r="B126" s="59"/>
      <c r="C126" s="59"/>
      <c r="D126" s="59"/>
      <c r="E126" s="59"/>
      <c r="F126" s="59"/>
      <c r="G126" s="59"/>
      <c r="H126" s="59"/>
      <c r="I126" s="59"/>
      <c r="J126" s="59"/>
      <c r="K126" s="59"/>
      <c r="L126" s="59"/>
      <c r="M126" s="59"/>
      <c r="N126" s="59"/>
      <c r="O126" s="100"/>
      <c r="P126" s="100"/>
      <c r="Q126" s="100"/>
      <c r="R126" s="100"/>
      <c r="S126" s="100"/>
      <c r="T126" s="100"/>
      <c r="U126" s="100"/>
      <c r="V126" s="100"/>
      <c r="W126" s="100"/>
      <c r="X126" s="100"/>
      <c r="Y126" s="100"/>
      <c r="Z126" s="100"/>
    </row>
    <row r="127" ht="14.25" customHeight="1">
      <c r="A127" s="59"/>
      <c r="B127" s="59"/>
      <c r="C127" s="59"/>
      <c r="D127" s="59"/>
      <c r="E127" s="59"/>
      <c r="F127" s="59"/>
      <c r="G127" s="59"/>
      <c r="H127" s="59"/>
      <c r="I127" s="59"/>
      <c r="J127" s="59"/>
      <c r="K127" s="59"/>
      <c r="L127" s="59"/>
      <c r="M127" s="59"/>
      <c r="N127" s="59"/>
      <c r="O127" s="100"/>
      <c r="P127" s="100"/>
      <c r="Q127" s="100"/>
      <c r="R127" s="100"/>
      <c r="S127" s="100"/>
      <c r="T127" s="100"/>
      <c r="U127" s="100"/>
      <c r="V127" s="100"/>
      <c r="W127" s="100"/>
      <c r="X127" s="100"/>
      <c r="Y127" s="100"/>
      <c r="Z127" s="100"/>
    </row>
    <row r="128" ht="14.25" customHeight="1">
      <c r="A128" s="59"/>
      <c r="B128" s="59"/>
      <c r="C128" s="59"/>
      <c r="D128" s="59"/>
      <c r="E128" s="59"/>
      <c r="F128" s="59"/>
      <c r="G128" s="59"/>
      <c r="H128" s="59"/>
      <c r="I128" s="59"/>
      <c r="J128" s="59"/>
      <c r="K128" s="59"/>
      <c r="L128" s="59"/>
      <c r="M128" s="59"/>
      <c r="N128" s="59"/>
      <c r="O128" s="100"/>
      <c r="P128" s="100"/>
      <c r="Q128" s="100"/>
      <c r="R128" s="100"/>
      <c r="S128" s="100"/>
      <c r="T128" s="100"/>
      <c r="U128" s="100"/>
      <c r="V128" s="100"/>
      <c r="W128" s="100"/>
      <c r="X128" s="100"/>
      <c r="Y128" s="100"/>
      <c r="Z128" s="100"/>
    </row>
    <row r="129" ht="14.25" customHeight="1">
      <c r="A129" s="59"/>
      <c r="B129" s="59"/>
      <c r="C129" s="59"/>
      <c r="D129" s="59"/>
      <c r="E129" s="59"/>
      <c r="F129" s="59"/>
      <c r="G129" s="59"/>
      <c r="H129" s="59"/>
      <c r="I129" s="59"/>
      <c r="J129" s="59"/>
      <c r="K129" s="59"/>
      <c r="L129" s="59"/>
      <c r="M129" s="59"/>
      <c r="N129" s="59"/>
      <c r="O129" s="100"/>
      <c r="P129" s="100"/>
      <c r="Q129" s="100"/>
      <c r="R129" s="100"/>
      <c r="S129" s="100"/>
      <c r="T129" s="100"/>
      <c r="U129" s="100"/>
      <c r="V129" s="100"/>
      <c r="W129" s="100"/>
      <c r="X129" s="100"/>
      <c r="Y129" s="100"/>
      <c r="Z129" s="100"/>
    </row>
    <row r="130" ht="14.25" customHeight="1">
      <c r="A130" s="59"/>
      <c r="B130" s="59"/>
      <c r="C130" s="59"/>
      <c r="D130" s="59"/>
      <c r="E130" s="59"/>
      <c r="F130" s="59"/>
      <c r="G130" s="59"/>
      <c r="H130" s="59"/>
      <c r="I130" s="59"/>
      <c r="J130" s="59"/>
      <c r="K130" s="59"/>
      <c r="L130" s="59"/>
      <c r="M130" s="59"/>
      <c r="N130" s="59"/>
      <c r="O130" s="100"/>
      <c r="P130" s="100"/>
      <c r="Q130" s="100"/>
      <c r="R130" s="100"/>
      <c r="S130" s="100"/>
      <c r="T130" s="100"/>
      <c r="U130" s="100"/>
      <c r="V130" s="100"/>
      <c r="W130" s="100"/>
      <c r="X130" s="100"/>
      <c r="Y130" s="100"/>
      <c r="Z130" s="100"/>
    </row>
    <row r="131" ht="14.25" customHeight="1">
      <c r="A131" s="59"/>
      <c r="B131" s="59"/>
      <c r="C131" s="59"/>
      <c r="D131" s="59"/>
      <c r="E131" s="59"/>
      <c r="F131" s="59"/>
      <c r="G131" s="59"/>
      <c r="H131" s="59"/>
      <c r="I131" s="59"/>
      <c r="J131" s="59"/>
      <c r="K131" s="59"/>
      <c r="L131" s="59"/>
      <c r="M131" s="59"/>
      <c r="N131" s="59"/>
      <c r="O131" s="100"/>
      <c r="P131" s="100"/>
      <c r="Q131" s="100"/>
      <c r="R131" s="100"/>
      <c r="S131" s="100"/>
      <c r="T131" s="100"/>
      <c r="U131" s="100"/>
      <c r="V131" s="100"/>
      <c r="W131" s="100"/>
      <c r="X131" s="100"/>
      <c r="Y131" s="100"/>
      <c r="Z131" s="100"/>
    </row>
    <row r="132" ht="14.25" customHeight="1">
      <c r="A132" s="59"/>
      <c r="B132" s="59"/>
      <c r="C132" s="59"/>
      <c r="D132" s="59"/>
      <c r="E132" s="59"/>
      <c r="F132" s="59"/>
      <c r="G132" s="59"/>
      <c r="H132" s="59"/>
      <c r="I132" s="59"/>
      <c r="J132" s="59"/>
      <c r="K132" s="59"/>
      <c r="L132" s="59"/>
      <c r="M132" s="59"/>
      <c r="N132" s="59"/>
      <c r="O132" s="100"/>
      <c r="P132" s="100"/>
      <c r="Q132" s="100"/>
      <c r="R132" s="100"/>
      <c r="S132" s="100"/>
      <c r="T132" s="100"/>
      <c r="U132" s="100"/>
      <c r="V132" s="100"/>
      <c r="W132" s="100"/>
      <c r="X132" s="100"/>
      <c r="Y132" s="100"/>
      <c r="Z132" s="100"/>
    </row>
    <row r="133" ht="14.25" customHeight="1">
      <c r="A133" s="59"/>
      <c r="B133" s="59"/>
      <c r="C133" s="59"/>
      <c r="D133" s="59"/>
      <c r="E133" s="59"/>
      <c r="F133" s="59"/>
      <c r="G133" s="59"/>
      <c r="H133" s="59"/>
      <c r="I133" s="59"/>
      <c r="J133" s="59"/>
      <c r="K133" s="59"/>
      <c r="L133" s="59"/>
      <c r="M133" s="59"/>
      <c r="N133" s="59"/>
      <c r="O133" s="100"/>
      <c r="P133" s="100"/>
      <c r="Q133" s="100"/>
      <c r="R133" s="100"/>
      <c r="S133" s="100"/>
      <c r="T133" s="100"/>
      <c r="U133" s="100"/>
      <c r="V133" s="100"/>
      <c r="W133" s="100"/>
      <c r="X133" s="100"/>
      <c r="Y133" s="100"/>
      <c r="Z133" s="100"/>
    </row>
    <row r="134" ht="14.25" customHeight="1">
      <c r="A134" s="59"/>
      <c r="B134" s="59"/>
      <c r="C134" s="59"/>
      <c r="D134" s="59"/>
      <c r="E134" s="59"/>
      <c r="F134" s="59"/>
      <c r="G134" s="59"/>
      <c r="H134" s="59"/>
      <c r="I134" s="59"/>
      <c r="J134" s="59"/>
      <c r="K134" s="59"/>
      <c r="L134" s="59"/>
      <c r="M134" s="59"/>
      <c r="N134" s="59"/>
      <c r="O134" s="100"/>
      <c r="P134" s="100"/>
      <c r="Q134" s="100"/>
      <c r="R134" s="100"/>
      <c r="S134" s="100"/>
      <c r="T134" s="100"/>
      <c r="U134" s="100"/>
      <c r="V134" s="100"/>
      <c r="W134" s="100"/>
      <c r="X134" s="100"/>
      <c r="Y134" s="100"/>
      <c r="Z134" s="100"/>
    </row>
    <row r="135" ht="14.25" customHeight="1">
      <c r="A135" s="59"/>
      <c r="B135" s="59"/>
      <c r="C135" s="59"/>
      <c r="D135" s="59"/>
      <c r="E135" s="59"/>
      <c r="F135" s="59"/>
      <c r="G135" s="59"/>
      <c r="H135" s="59"/>
      <c r="I135" s="59"/>
      <c r="J135" s="59"/>
      <c r="K135" s="59"/>
      <c r="L135" s="59"/>
      <c r="M135" s="59"/>
      <c r="N135" s="59"/>
      <c r="O135" s="100"/>
      <c r="P135" s="100"/>
      <c r="Q135" s="100"/>
      <c r="R135" s="100"/>
      <c r="S135" s="100"/>
      <c r="T135" s="100"/>
      <c r="U135" s="100"/>
      <c r="V135" s="100"/>
      <c r="W135" s="100"/>
      <c r="X135" s="100"/>
      <c r="Y135" s="100"/>
      <c r="Z135" s="100"/>
    </row>
    <row r="136" ht="14.25" customHeight="1">
      <c r="A136" s="59"/>
      <c r="B136" s="59"/>
      <c r="C136" s="59"/>
      <c r="D136" s="59"/>
      <c r="E136" s="59"/>
      <c r="F136" s="59"/>
      <c r="G136" s="59"/>
      <c r="H136" s="59"/>
      <c r="I136" s="59"/>
      <c r="J136" s="59"/>
      <c r="K136" s="59"/>
      <c r="L136" s="59"/>
      <c r="M136" s="59"/>
      <c r="N136" s="59"/>
      <c r="O136" s="100"/>
      <c r="P136" s="100"/>
      <c r="Q136" s="100"/>
      <c r="R136" s="100"/>
      <c r="S136" s="100"/>
      <c r="T136" s="100"/>
      <c r="U136" s="100"/>
      <c r="V136" s="100"/>
      <c r="W136" s="100"/>
      <c r="X136" s="100"/>
      <c r="Y136" s="100"/>
      <c r="Z136" s="100"/>
    </row>
    <row r="137" ht="14.25" customHeight="1">
      <c r="A137" s="59"/>
      <c r="B137" s="59"/>
      <c r="C137" s="59"/>
      <c r="D137" s="59"/>
      <c r="E137" s="59"/>
      <c r="F137" s="59"/>
      <c r="G137" s="59"/>
      <c r="H137" s="59"/>
      <c r="I137" s="59"/>
      <c r="J137" s="59"/>
      <c r="K137" s="59"/>
      <c r="L137" s="59"/>
      <c r="M137" s="59"/>
      <c r="N137" s="59"/>
      <c r="O137" s="100"/>
      <c r="P137" s="100"/>
      <c r="Q137" s="100"/>
      <c r="R137" s="100"/>
      <c r="S137" s="100"/>
      <c r="T137" s="100"/>
      <c r="U137" s="100"/>
      <c r="V137" s="100"/>
      <c r="W137" s="100"/>
      <c r="X137" s="100"/>
      <c r="Y137" s="100"/>
      <c r="Z137" s="100"/>
    </row>
    <row r="138" ht="14.25" customHeight="1">
      <c r="A138" s="59"/>
      <c r="B138" s="59"/>
      <c r="C138" s="59"/>
      <c r="D138" s="59"/>
      <c r="E138" s="59"/>
      <c r="F138" s="59"/>
      <c r="G138" s="59"/>
      <c r="H138" s="59"/>
      <c r="I138" s="59"/>
      <c r="J138" s="59"/>
      <c r="K138" s="59"/>
      <c r="L138" s="59"/>
      <c r="M138" s="59"/>
      <c r="N138" s="59"/>
      <c r="O138" s="100"/>
      <c r="P138" s="100"/>
      <c r="Q138" s="100"/>
      <c r="R138" s="100"/>
      <c r="S138" s="100"/>
      <c r="T138" s="100"/>
      <c r="U138" s="100"/>
      <c r="V138" s="100"/>
      <c r="W138" s="100"/>
      <c r="X138" s="100"/>
      <c r="Y138" s="100"/>
      <c r="Z138" s="100"/>
    </row>
    <row r="139" ht="14.25" customHeight="1">
      <c r="A139" s="59"/>
      <c r="B139" s="59"/>
      <c r="C139" s="59"/>
      <c r="D139" s="59"/>
      <c r="E139" s="59"/>
      <c r="F139" s="59"/>
      <c r="G139" s="59"/>
      <c r="H139" s="59"/>
      <c r="I139" s="59"/>
      <c r="J139" s="59"/>
      <c r="K139" s="59"/>
      <c r="L139" s="59"/>
      <c r="M139" s="59"/>
      <c r="N139" s="59"/>
      <c r="O139" s="100"/>
      <c r="P139" s="100"/>
      <c r="Q139" s="100"/>
      <c r="R139" s="100"/>
      <c r="S139" s="100"/>
      <c r="T139" s="100"/>
      <c r="U139" s="100"/>
      <c r="V139" s="100"/>
      <c r="W139" s="100"/>
      <c r="X139" s="100"/>
      <c r="Y139" s="100"/>
      <c r="Z139" s="100"/>
    </row>
    <row r="140" ht="14.25" customHeight="1">
      <c r="A140" s="59"/>
      <c r="B140" s="59"/>
      <c r="C140" s="59"/>
      <c r="D140" s="59"/>
      <c r="E140" s="59"/>
      <c r="F140" s="59"/>
      <c r="G140" s="59"/>
      <c r="H140" s="59"/>
      <c r="I140" s="59"/>
      <c r="J140" s="59"/>
      <c r="K140" s="59"/>
      <c r="L140" s="59"/>
      <c r="M140" s="59"/>
      <c r="N140" s="59"/>
      <c r="O140" s="100"/>
      <c r="P140" s="100"/>
      <c r="Q140" s="100"/>
      <c r="R140" s="100"/>
      <c r="S140" s="100"/>
      <c r="T140" s="100"/>
      <c r="U140" s="100"/>
      <c r="V140" s="100"/>
      <c r="W140" s="100"/>
      <c r="X140" s="100"/>
      <c r="Y140" s="100"/>
      <c r="Z140" s="100"/>
    </row>
    <row r="141" ht="14.25" customHeight="1">
      <c r="A141" s="59"/>
      <c r="B141" s="59"/>
      <c r="C141" s="59"/>
      <c r="D141" s="59"/>
      <c r="E141" s="59"/>
      <c r="F141" s="59"/>
      <c r="G141" s="59"/>
      <c r="H141" s="59"/>
      <c r="I141" s="59"/>
      <c r="J141" s="59"/>
      <c r="K141" s="59"/>
      <c r="L141" s="59"/>
      <c r="M141" s="59"/>
      <c r="N141" s="59"/>
      <c r="O141" s="100"/>
      <c r="P141" s="100"/>
      <c r="Q141" s="100"/>
      <c r="R141" s="100"/>
      <c r="S141" s="100"/>
      <c r="T141" s="100"/>
      <c r="U141" s="100"/>
      <c r="V141" s="100"/>
      <c r="W141" s="100"/>
      <c r="X141" s="100"/>
      <c r="Y141" s="100"/>
      <c r="Z141" s="100"/>
    </row>
    <row r="142" ht="14.25" customHeight="1">
      <c r="A142" s="59"/>
      <c r="B142" s="59"/>
      <c r="C142" s="59"/>
      <c r="D142" s="59"/>
      <c r="E142" s="59"/>
      <c r="F142" s="59"/>
      <c r="G142" s="59"/>
      <c r="H142" s="59"/>
      <c r="I142" s="59"/>
      <c r="J142" s="59"/>
      <c r="K142" s="59"/>
      <c r="L142" s="59"/>
      <c r="M142" s="59"/>
      <c r="N142" s="59"/>
      <c r="O142" s="100"/>
      <c r="P142" s="100"/>
      <c r="Q142" s="100"/>
      <c r="R142" s="100"/>
      <c r="S142" s="100"/>
      <c r="T142" s="100"/>
      <c r="U142" s="100"/>
      <c r="V142" s="100"/>
      <c r="W142" s="100"/>
      <c r="X142" s="100"/>
      <c r="Y142" s="100"/>
      <c r="Z142" s="100"/>
    </row>
    <row r="143" ht="14.25" customHeight="1">
      <c r="A143" s="59"/>
      <c r="B143" s="59"/>
      <c r="C143" s="59"/>
      <c r="D143" s="59"/>
      <c r="E143" s="59"/>
      <c r="F143" s="59"/>
      <c r="G143" s="59"/>
      <c r="H143" s="59"/>
      <c r="I143" s="59"/>
      <c r="J143" s="59"/>
      <c r="K143" s="59"/>
      <c r="L143" s="59"/>
      <c r="M143" s="59"/>
      <c r="N143" s="59"/>
      <c r="O143" s="100"/>
      <c r="P143" s="100"/>
      <c r="Q143" s="100"/>
      <c r="R143" s="100"/>
      <c r="S143" s="100"/>
      <c r="T143" s="100"/>
      <c r="U143" s="100"/>
      <c r="V143" s="100"/>
      <c r="W143" s="100"/>
      <c r="X143" s="100"/>
      <c r="Y143" s="100"/>
      <c r="Z143" s="100"/>
    </row>
    <row r="144" ht="14.25" customHeight="1">
      <c r="A144" s="59"/>
      <c r="B144" s="59"/>
      <c r="C144" s="59"/>
      <c r="D144" s="59"/>
      <c r="E144" s="59"/>
      <c r="F144" s="59"/>
      <c r="G144" s="59"/>
      <c r="H144" s="59"/>
      <c r="I144" s="59"/>
      <c r="J144" s="59"/>
      <c r="K144" s="59"/>
      <c r="L144" s="59"/>
      <c r="M144" s="59"/>
      <c r="N144" s="59"/>
      <c r="O144" s="100"/>
      <c r="P144" s="100"/>
      <c r="Q144" s="100"/>
      <c r="R144" s="100"/>
      <c r="S144" s="100"/>
      <c r="T144" s="100"/>
      <c r="U144" s="100"/>
      <c r="V144" s="100"/>
      <c r="W144" s="100"/>
      <c r="X144" s="100"/>
      <c r="Y144" s="100"/>
      <c r="Z144" s="100"/>
    </row>
    <row r="145" ht="14.25" customHeight="1">
      <c r="A145" s="59"/>
      <c r="B145" s="59"/>
      <c r="C145" s="59"/>
      <c r="D145" s="59"/>
      <c r="E145" s="59"/>
      <c r="F145" s="59"/>
      <c r="G145" s="59"/>
      <c r="H145" s="59"/>
      <c r="I145" s="59"/>
      <c r="J145" s="59"/>
      <c r="K145" s="59"/>
      <c r="L145" s="59"/>
      <c r="M145" s="59"/>
      <c r="N145" s="59"/>
      <c r="O145" s="100"/>
      <c r="P145" s="100"/>
      <c r="Q145" s="100"/>
      <c r="R145" s="100"/>
      <c r="S145" s="100"/>
      <c r="T145" s="100"/>
      <c r="U145" s="100"/>
      <c r="V145" s="100"/>
      <c r="W145" s="100"/>
      <c r="X145" s="100"/>
      <c r="Y145" s="100"/>
      <c r="Z145" s="100"/>
    </row>
    <row r="146" ht="14.25" customHeight="1">
      <c r="A146" s="59"/>
      <c r="B146" s="59"/>
      <c r="C146" s="59"/>
      <c r="D146" s="59"/>
      <c r="E146" s="59"/>
      <c r="F146" s="59"/>
      <c r="G146" s="59"/>
      <c r="H146" s="59"/>
      <c r="I146" s="59"/>
      <c r="J146" s="59"/>
      <c r="K146" s="59"/>
      <c r="L146" s="59"/>
      <c r="M146" s="59"/>
      <c r="N146" s="59"/>
      <c r="O146" s="100"/>
      <c r="P146" s="100"/>
      <c r="Q146" s="100"/>
      <c r="R146" s="100"/>
      <c r="S146" s="100"/>
      <c r="T146" s="100"/>
      <c r="U146" s="100"/>
      <c r="V146" s="100"/>
      <c r="W146" s="100"/>
      <c r="X146" s="100"/>
      <c r="Y146" s="100"/>
      <c r="Z146" s="100"/>
    </row>
    <row r="147" ht="14.25" customHeight="1">
      <c r="A147" s="59"/>
      <c r="B147" s="59"/>
      <c r="C147" s="59"/>
      <c r="D147" s="59"/>
      <c r="E147" s="59"/>
      <c r="F147" s="59"/>
      <c r="G147" s="59"/>
      <c r="H147" s="59"/>
      <c r="I147" s="59"/>
      <c r="J147" s="59"/>
      <c r="K147" s="59"/>
      <c r="L147" s="59"/>
      <c r="M147" s="59"/>
      <c r="N147" s="59"/>
      <c r="O147" s="100"/>
      <c r="P147" s="100"/>
      <c r="Q147" s="100"/>
      <c r="R147" s="100"/>
      <c r="S147" s="100"/>
      <c r="T147" s="100"/>
      <c r="U147" s="100"/>
      <c r="V147" s="100"/>
      <c r="W147" s="100"/>
      <c r="X147" s="100"/>
      <c r="Y147" s="100"/>
      <c r="Z147" s="100"/>
    </row>
    <row r="148" ht="14.25" customHeight="1">
      <c r="A148" s="59"/>
      <c r="B148" s="59"/>
      <c r="C148" s="59"/>
      <c r="D148" s="59"/>
      <c r="E148" s="59"/>
      <c r="F148" s="59"/>
      <c r="G148" s="59"/>
      <c r="H148" s="59"/>
      <c r="I148" s="59"/>
      <c r="J148" s="59"/>
      <c r="K148" s="59"/>
      <c r="L148" s="59"/>
      <c r="M148" s="59"/>
      <c r="N148" s="59"/>
      <c r="O148" s="100"/>
      <c r="P148" s="100"/>
      <c r="Q148" s="100"/>
      <c r="R148" s="100"/>
      <c r="S148" s="100"/>
      <c r="T148" s="100"/>
      <c r="U148" s="100"/>
      <c r="V148" s="100"/>
      <c r="W148" s="100"/>
      <c r="X148" s="100"/>
      <c r="Y148" s="100"/>
      <c r="Z148" s="100"/>
    </row>
    <row r="149" ht="14.25" customHeight="1">
      <c r="A149" s="59"/>
      <c r="B149" s="59"/>
      <c r="C149" s="59"/>
      <c r="D149" s="59"/>
      <c r="E149" s="59"/>
      <c r="F149" s="59"/>
      <c r="G149" s="59"/>
      <c r="H149" s="59"/>
      <c r="I149" s="59"/>
      <c r="J149" s="59"/>
      <c r="K149" s="59"/>
      <c r="L149" s="59"/>
      <c r="M149" s="59"/>
      <c r="N149" s="59"/>
      <c r="O149" s="100"/>
      <c r="P149" s="100"/>
      <c r="Q149" s="100"/>
      <c r="R149" s="100"/>
      <c r="S149" s="100"/>
      <c r="T149" s="100"/>
      <c r="U149" s="100"/>
      <c r="V149" s="100"/>
      <c r="W149" s="100"/>
      <c r="X149" s="100"/>
      <c r="Y149" s="100"/>
      <c r="Z149" s="100"/>
    </row>
    <row r="150" ht="14.25" customHeight="1">
      <c r="A150" s="59"/>
      <c r="B150" s="59"/>
      <c r="C150" s="59"/>
      <c r="D150" s="59"/>
      <c r="E150" s="59"/>
      <c r="F150" s="59"/>
      <c r="G150" s="59"/>
      <c r="H150" s="59"/>
      <c r="I150" s="59"/>
      <c r="J150" s="59"/>
      <c r="K150" s="59"/>
      <c r="L150" s="59"/>
      <c r="M150" s="59"/>
      <c r="N150" s="59"/>
      <c r="O150" s="100"/>
      <c r="P150" s="100"/>
      <c r="Q150" s="100"/>
      <c r="R150" s="100"/>
      <c r="S150" s="100"/>
      <c r="T150" s="100"/>
      <c r="U150" s="100"/>
      <c r="V150" s="100"/>
      <c r="W150" s="100"/>
      <c r="X150" s="100"/>
      <c r="Y150" s="100"/>
      <c r="Z150" s="100"/>
    </row>
    <row r="151" ht="14.25" customHeight="1">
      <c r="A151" s="59"/>
      <c r="B151" s="59"/>
      <c r="C151" s="59"/>
      <c r="D151" s="59"/>
      <c r="E151" s="59"/>
      <c r="F151" s="59"/>
      <c r="G151" s="59"/>
      <c r="H151" s="59"/>
      <c r="I151" s="59"/>
      <c r="J151" s="59"/>
      <c r="K151" s="59"/>
      <c r="L151" s="59"/>
      <c r="M151" s="59"/>
      <c r="N151" s="59"/>
      <c r="O151" s="100"/>
      <c r="P151" s="100"/>
      <c r="Q151" s="100"/>
      <c r="R151" s="100"/>
      <c r="S151" s="100"/>
      <c r="T151" s="100"/>
      <c r="U151" s="100"/>
      <c r="V151" s="100"/>
      <c r="W151" s="100"/>
      <c r="X151" s="100"/>
      <c r="Y151" s="100"/>
      <c r="Z151" s="100"/>
    </row>
    <row r="152" ht="14.25" customHeight="1">
      <c r="A152" s="59"/>
      <c r="B152" s="59"/>
      <c r="C152" s="59"/>
      <c r="D152" s="59"/>
      <c r="E152" s="59"/>
      <c r="F152" s="59"/>
      <c r="G152" s="59"/>
      <c r="H152" s="59"/>
      <c r="I152" s="59"/>
      <c r="J152" s="59"/>
      <c r="K152" s="59"/>
      <c r="L152" s="59"/>
      <c r="M152" s="59"/>
      <c r="N152" s="59"/>
      <c r="O152" s="100"/>
      <c r="P152" s="100"/>
      <c r="Q152" s="100"/>
      <c r="R152" s="100"/>
      <c r="S152" s="100"/>
      <c r="T152" s="100"/>
      <c r="U152" s="100"/>
      <c r="V152" s="100"/>
      <c r="W152" s="100"/>
      <c r="X152" s="100"/>
      <c r="Y152" s="100"/>
      <c r="Z152" s="100"/>
    </row>
    <row r="153" ht="14.25" customHeight="1">
      <c r="A153" s="59"/>
      <c r="B153" s="59"/>
      <c r="C153" s="59"/>
      <c r="D153" s="59"/>
      <c r="E153" s="59"/>
      <c r="F153" s="59"/>
      <c r="G153" s="59"/>
      <c r="H153" s="59"/>
      <c r="I153" s="59"/>
      <c r="J153" s="59"/>
      <c r="K153" s="59"/>
      <c r="L153" s="59"/>
      <c r="M153" s="59"/>
      <c r="N153" s="59"/>
      <c r="O153" s="100"/>
      <c r="P153" s="100"/>
      <c r="Q153" s="100"/>
      <c r="R153" s="100"/>
      <c r="S153" s="100"/>
      <c r="T153" s="100"/>
      <c r="U153" s="100"/>
      <c r="V153" s="100"/>
      <c r="W153" s="100"/>
      <c r="X153" s="100"/>
      <c r="Y153" s="100"/>
      <c r="Z153" s="100"/>
    </row>
    <row r="154" ht="14.25" customHeight="1">
      <c r="A154" s="59"/>
      <c r="B154" s="59"/>
      <c r="C154" s="59"/>
      <c r="D154" s="59"/>
      <c r="E154" s="59"/>
      <c r="F154" s="59"/>
      <c r="G154" s="59"/>
      <c r="H154" s="59"/>
      <c r="I154" s="59"/>
      <c r="J154" s="59"/>
      <c r="K154" s="59"/>
      <c r="L154" s="59"/>
      <c r="M154" s="59"/>
      <c r="N154" s="59"/>
      <c r="O154" s="100"/>
      <c r="P154" s="100"/>
      <c r="Q154" s="100"/>
      <c r="R154" s="100"/>
      <c r="S154" s="100"/>
      <c r="T154" s="100"/>
      <c r="U154" s="100"/>
      <c r="V154" s="100"/>
      <c r="W154" s="100"/>
      <c r="X154" s="100"/>
      <c r="Y154" s="100"/>
      <c r="Z154" s="100"/>
    </row>
    <row r="155" ht="14.25" customHeight="1">
      <c r="A155" s="59"/>
      <c r="B155" s="59"/>
      <c r="C155" s="59"/>
      <c r="D155" s="59"/>
      <c r="E155" s="59"/>
      <c r="F155" s="59"/>
      <c r="G155" s="59"/>
      <c r="H155" s="59"/>
      <c r="I155" s="59"/>
      <c r="J155" s="59"/>
      <c r="K155" s="59"/>
      <c r="L155" s="59"/>
      <c r="M155" s="59"/>
      <c r="N155" s="59"/>
      <c r="O155" s="100"/>
      <c r="P155" s="100"/>
      <c r="Q155" s="100"/>
      <c r="R155" s="100"/>
      <c r="S155" s="100"/>
      <c r="T155" s="100"/>
      <c r="U155" s="100"/>
      <c r="V155" s="100"/>
      <c r="W155" s="100"/>
      <c r="X155" s="100"/>
      <c r="Y155" s="100"/>
      <c r="Z155" s="100"/>
    </row>
    <row r="156" ht="14.25" customHeight="1">
      <c r="A156" s="59"/>
      <c r="B156" s="59"/>
      <c r="C156" s="59"/>
      <c r="D156" s="59"/>
      <c r="E156" s="59"/>
      <c r="F156" s="59"/>
      <c r="G156" s="59"/>
      <c r="H156" s="59"/>
      <c r="I156" s="59"/>
      <c r="J156" s="59"/>
      <c r="K156" s="59"/>
      <c r="L156" s="59"/>
      <c r="M156" s="59"/>
      <c r="N156" s="59"/>
      <c r="O156" s="100"/>
      <c r="P156" s="100"/>
      <c r="Q156" s="100"/>
      <c r="R156" s="100"/>
      <c r="S156" s="100"/>
      <c r="T156" s="100"/>
      <c r="U156" s="100"/>
      <c r="V156" s="100"/>
      <c r="W156" s="100"/>
      <c r="X156" s="100"/>
      <c r="Y156" s="100"/>
      <c r="Z156" s="100"/>
    </row>
    <row r="157" ht="14.25" customHeight="1">
      <c r="A157" s="59"/>
      <c r="B157" s="59"/>
      <c r="C157" s="59"/>
      <c r="D157" s="59"/>
      <c r="E157" s="59"/>
      <c r="F157" s="59"/>
      <c r="G157" s="59"/>
      <c r="H157" s="59"/>
      <c r="I157" s="59"/>
      <c r="J157" s="59"/>
      <c r="K157" s="59"/>
      <c r="L157" s="59"/>
      <c r="M157" s="59"/>
      <c r="N157" s="59"/>
      <c r="O157" s="100"/>
      <c r="P157" s="100"/>
      <c r="Q157" s="100"/>
      <c r="R157" s="100"/>
      <c r="S157" s="100"/>
      <c r="T157" s="100"/>
      <c r="U157" s="100"/>
      <c r="V157" s="100"/>
      <c r="W157" s="100"/>
      <c r="X157" s="100"/>
      <c r="Y157" s="100"/>
      <c r="Z157" s="100"/>
    </row>
    <row r="158" ht="14.25" customHeight="1">
      <c r="A158" s="59"/>
      <c r="B158" s="59"/>
      <c r="C158" s="59"/>
      <c r="D158" s="59"/>
      <c r="E158" s="59"/>
      <c r="F158" s="59"/>
      <c r="G158" s="59"/>
      <c r="H158" s="59"/>
      <c r="I158" s="59"/>
      <c r="J158" s="59"/>
      <c r="K158" s="59"/>
      <c r="L158" s="59"/>
      <c r="M158" s="59"/>
      <c r="N158" s="59"/>
      <c r="O158" s="100"/>
      <c r="P158" s="100"/>
      <c r="Q158" s="100"/>
      <c r="R158" s="100"/>
      <c r="S158" s="100"/>
      <c r="T158" s="100"/>
      <c r="U158" s="100"/>
      <c r="V158" s="100"/>
      <c r="W158" s="100"/>
      <c r="X158" s="100"/>
      <c r="Y158" s="100"/>
      <c r="Z158" s="100"/>
    </row>
    <row r="159" ht="14.25" customHeight="1">
      <c r="A159" s="59"/>
      <c r="B159" s="59"/>
      <c r="C159" s="59"/>
      <c r="D159" s="59"/>
      <c r="E159" s="59"/>
      <c r="F159" s="59"/>
      <c r="G159" s="59"/>
      <c r="H159" s="59"/>
      <c r="I159" s="59"/>
      <c r="J159" s="59"/>
      <c r="K159" s="59"/>
      <c r="L159" s="59"/>
      <c r="M159" s="59"/>
      <c r="N159" s="59"/>
      <c r="O159" s="100"/>
      <c r="P159" s="100"/>
      <c r="Q159" s="100"/>
      <c r="R159" s="100"/>
      <c r="S159" s="100"/>
      <c r="T159" s="100"/>
      <c r="U159" s="100"/>
      <c r="V159" s="100"/>
      <c r="W159" s="100"/>
      <c r="X159" s="100"/>
      <c r="Y159" s="100"/>
      <c r="Z159" s="100"/>
    </row>
    <row r="160" ht="14.25" customHeight="1">
      <c r="A160" s="59"/>
      <c r="B160" s="59"/>
      <c r="C160" s="59"/>
      <c r="D160" s="59"/>
      <c r="E160" s="59"/>
      <c r="F160" s="59"/>
      <c r="G160" s="59"/>
      <c r="H160" s="59"/>
      <c r="I160" s="59"/>
      <c r="J160" s="59"/>
      <c r="K160" s="59"/>
      <c r="L160" s="59"/>
      <c r="M160" s="59"/>
      <c r="N160" s="59"/>
      <c r="O160" s="100"/>
      <c r="P160" s="100"/>
      <c r="Q160" s="100"/>
      <c r="R160" s="100"/>
      <c r="S160" s="100"/>
      <c r="T160" s="100"/>
      <c r="U160" s="100"/>
      <c r="V160" s="100"/>
      <c r="W160" s="100"/>
      <c r="X160" s="100"/>
      <c r="Y160" s="100"/>
      <c r="Z160" s="100"/>
    </row>
    <row r="161" ht="14.25" customHeight="1">
      <c r="A161" s="59"/>
      <c r="B161" s="59"/>
      <c r="C161" s="59"/>
      <c r="D161" s="59"/>
      <c r="E161" s="59"/>
      <c r="F161" s="59"/>
      <c r="G161" s="59"/>
      <c r="H161" s="59"/>
      <c r="I161" s="59"/>
      <c r="J161" s="59"/>
      <c r="K161" s="59"/>
      <c r="L161" s="59"/>
      <c r="M161" s="59"/>
      <c r="N161" s="59"/>
      <c r="O161" s="100"/>
      <c r="P161" s="100"/>
      <c r="Q161" s="100"/>
      <c r="R161" s="100"/>
      <c r="S161" s="100"/>
      <c r="T161" s="100"/>
      <c r="U161" s="100"/>
      <c r="V161" s="100"/>
      <c r="W161" s="100"/>
      <c r="X161" s="100"/>
      <c r="Y161" s="100"/>
      <c r="Z161" s="100"/>
    </row>
    <row r="162" ht="14.25" customHeight="1">
      <c r="A162" s="59"/>
      <c r="B162" s="59"/>
      <c r="C162" s="59"/>
      <c r="D162" s="59"/>
      <c r="E162" s="59"/>
      <c r="F162" s="59"/>
      <c r="G162" s="59"/>
      <c r="H162" s="59"/>
      <c r="I162" s="59"/>
      <c r="J162" s="59"/>
      <c r="K162" s="59"/>
      <c r="L162" s="59"/>
      <c r="M162" s="59"/>
      <c r="N162" s="59"/>
      <c r="O162" s="100"/>
      <c r="P162" s="100"/>
      <c r="Q162" s="100"/>
      <c r="R162" s="100"/>
      <c r="S162" s="100"/>
      <c r="T162" s="100"/>
      <c r="U162" s="100"/>
      <c r="V162" s="100"/>
      <c r="W162" s="100"/>
      <c r="X162" s="100"/>
      <c r="Y162" s="100"/>
      <c r="Z162" s="100"/>
    </row>
    <row r="163" ht="14.25" customHeight="1">
      <c r="A163" s="59"/>
      <c r="B163" s="59"/>
      <c r="C163" s="59"/>
      <c r="D163" s="59"/>
      <c r="E163" s="59"/>
      <c r="F163" s="59"/>
      <c r="G163" s="59"/>
      <c r="H163" s="59"/>
      <c r="I163" s="59"/>
      <c r="J163" s="59"/>
      <c r="K163" s="59"/>
      <c r="L163" s="59"/>
      <c r="M163" s="59"/>
      <c r="N163" s="59"/>
      <c r="O163" s="100"/>
      <c r="P163" s="100"/>
      <c r="Q163" s="100"/>
      <c r="R163" s="100"/>
      <c r="S163" s="100"/>
      <c r="T163" s="100"/>
      <c r="U163" s="100"/>
      <c r="V163" s="100"/>
      <c r="W163" s="100"/>
      <c r="X163" s="100"/>
      <c r="Y163" s="100"/>
      <c r="Z163" s="100"/>
    </row>
    <row r="164" ht="14.25" customHeight="1">
      <c r="A164" s="59"/>
      <c r="B164" s="59"/>
      <c r="C164" s="59"/>
      <c r="D164" s="59"/>
      <c r="E164" s="59"/>
      <c r="F164" s="59"/>
      <c r="G164" s="59"/>
      <c r="H164" s="59"/>
      <c r="I164" s="59"/>
      <c r="J164" s="59"/>
      <c r="K164" s="59"/>
      <c r="L164" s="59"/>
      <c r="M164" s="59"/>
      <c r="N164" s="59"/>
      <c r="O164" s="100"/>
      <c r="P164" s="100"/>
      <c r="Q164" s="100"/>
      <c r="R164" s="100"/>
      <c r="S164" s="100"/>
      <c r="T164" s="100"/>
      <c r="U164" s="100"/>
      <c r="V164" s="100"/>
      <c r="W164" s="100"/>
      <c r="X164" s="100"/>
      <c r="Y164" s="100"/>
      <c r="Z164" s="100"/>
    </row>
    <row r="165" ht="14.25" customHeight="1">
      <c r="A165" s="59"/>
      <c r="B165" s="59"/>
      <c r="C165" s="59"/>
      <c r="D165" s="59"/>
      <c r="E165" s="59"/>
      <c r="F165" s="59"/>
      <c r="G165" s="59"/>
      <c r="H165" s="59"/>
      <c r="I165" s="59"/>
      <c r="J165" s="59"/>
      <c r="K165" s="59"/>
      <c r="L165" s="59"/>
      <c r="M165" s="59"/>
      <c r="N165" s="59"/>
      <c r="O165" s="100"/>
      <c r="P165" s="100"/>
      <c r="Q165" s="100"/>
      <c r="R165" s="100"/>
      <c r="S165" s="100"/>
      <c r="T165" s="100"/>
      <c r="U165" s="100"/>
      <c r="V165" s="100"/>
      <c r="W165" s="100"/>
      <c r="X165" s="100"/>
      <c r="Y165" s="100"/>
      <c r="Z165" s="100"/>
    </row>
    <row r="166" ht="14.25" customHeight="1">
      <c r="A166" s="59"/>
      <c r="B166" s="59"/>
      <c r="C166" s="59"/>
      <c r="D166" s="59"/>
      <c r="E166" s="59"/>
      <c r="F166" s="59"/>
      <c r="G166" s="59"/>
      <c r="H166" s="59"/>
      <c r="I166" s="59"/>
      <c r="J166" s="59"/>
      <c r="K166" s="59"/>
      <c r="L166" s="59"/>
      <c r="M166" s="59"/>
      <c r="N166" s="59"/>
      <c r="O166" s="100"/>
      <c r="P166" s="100"/>
      <c r="Q166" s="100"/>
      <c r="R166" s="100"/>
      <c r="S166" s="100"/>
      <c r="T166" s="100"/>
      <c r="U166" s="100"/>
      <c r="V166" s="100"/>
      <c r="W166" s="100"/>
      <c r="X166" s="100"/>
      <c r="Y166" s="100"/>
      <c r="Z166" s="100"/>
    </row>
    <row r="167" ht="14.25" customHeight="1">
      <c r="A167" s="59"/>
      <c r="B167" s="59"/>
      <c r="C167" s="59"/>
      <c r="D167" s="59"/>
      <c r="E167" s="59"/>
      <c r="F167" s="59"/>
      <c r="G167" s="59"/>
      <c r="H167" s="59"/>
      <c r="I167" s="59"/>
      <c r="J167" s="59"/>
      <c r="K167" s="59"/>
      <c r="L167" s="59"/>
      <c r="M167" s="59"/>
      <c r="N167" s="59"/>
      <c r="O167" s="100"/>
      <c r="P167" s="100"/>
      <c r="Q167" s="100"/>
      <c r="R167" s="100"/>
      <c r="S167" s="100"/>
      <c r="T167" s="100"/>
      <c r="U167" s="100"/>
      <c r="V167" s="100"/>
      <c r="W167" s="100"/>
      <c r="X167" s="100"/>
      <c r="Y167" s="100"/>
      <c r="Z167" s="100"/>
    </row>
    <row r="168" ht="14.25" customHeight="1">
      <c r="A168" s="59"/>
      <c r="B168" s="59"/>
      <c r="C168" s="59"/>
      <c r="D168" s="59"/>
      <c r="E168" s="59"/>
      <c r="F168" s="59"/>
      <c r="G168" s="59"/>
      <c r="H168" s="59"/>
      <c r="I168" s="59"/>
      <c r="J168" s="59"/>
      <c r="K168" s="59"/>
      <c r="L168" s="59"/>
      <c r="M168" s="59"/>
      <c r="N168" s="59"/>
      <c r="O168" s="100"/>
      <c r="P168" s="100"/>
      <c r="Q168" s="100"/>
      <c r="R168" s="100"/>
      <c r="S168" s="100"/>
      <c r="T168" s="100"/>
      <c r="U168" s="100"/>
      <c r="V168" s="100"/>
      <c r="W168" s="100"/>
      <c r="X168" s="100"/>
      <c r="Y168" s="100"/>
      <c r="Z168" s="100"/>
    </row>
    <row r="169" ht="14.25" customHeight="1">
      <c r="A169" s="59"/>
      <c r="B169" s="59"/>
      <c r="C169" s="59"/>
      <c r="D169" s="59"/>
      <c r="E169" s="59"/>
      <c r="F169" s="59"/>
      <c r="G169" s="59"/>
      <c r="H169" s="59"/>
      <c r="I169" s="59"/>
      <c r="J169" s="59"/>
      <c r="K169" s="59"/>
      <c r="L169" s="59"/>
      <c r="M169" s="59"/>
      <c r="N169" s="59"/>
      <c r="O169" s="100"/>
      <c r="P169" s="100"/>
      <c r="Q169" s="100"/>
      <c r="R169" s="100"/>
      <c r="S169" s="100"/>
      <c r="T169" s="100"/>
      <c r="U169" s="100"/>
      <c r="V169" s="100"/>
      <c r="W169" s="100"/>
      <c r="X169" s="100"/>
      <c r="Y169" s="100"/>
      <c r="Z169" s="100"/>
    </row>
    <row r="170" ht="14.25" customHeight="1">
      <c r="A170" s="59"/>
      <c r="B170" s="59"/>
      <c r="C170" s="59"/>
      <c r="D170" s="59"/>
      <c r="E170" s="59"/>
      <c r="F170" s="59"/>
      <c r="G170" s="59"/>
      <c r="H170" s="59"/>
      <c r="I170" s="59"/>
      <c r="J170" s="59"/>
      <c r="K170" s="59"/>
      <c r="L170" s="59"/>
      <c r="M170" s="59"/>
      <c r="N170" s="59"/>
      <c r="O170" s="100"/>
      <c r="P170" s="100"/>
      <c r="Q170" s="100"/>
      <c r="R170" s="100"/>
      <c r="S170" s="100"/>
      <c r="T170" s="100"/>
      <c r="U170" s="100"/>
      <c r="V170" s="100"/>
      <c r="W170" s="100"/>
      <c r="X170" s="100"/>
      <c r="Y170" s="100"/>
      <c r="Z170" s="100"/>
    </row>
    <row r="171" ht="14.25" customHeight="1">
      <c r="A171" s="59"/>
      <c r="B171" s="59"/>
      <c r="C171" s="59"/>
      <c r="D171" s="59"/>
      <c r="E171" s="59"/>
      <c r="F171" s="59"/>
      <c r="G171" s="59"/>
      <c r="H171" s="59"/>
      <c r="I171" s="59"/>
      <c r="J171" s="59"/>
      <c r="K171" s="59"/>
      <c r="L171" s="59"/>
      <c r="M171" s="59"/>
      <c r="N171" s="59"/>
      <c r="O171" s="100"/>
      <c r="P171" s="100"/>
      <c r="Q171" s="100"/>
      <c r="R171" s="100"/>
      <c r="S171" s="100"/>
      <c r="T171" s="100"/>
      <c r="U171" s="100"/>
      <c r="V171" s="100"/>
      <c r="W171" s="100"/>
      <c r="X171" s="100"/>
      <c r="Y171" s="100"/>
      <c r="Z171" s="100"/>
    </row>
    <row r="172" ht="14.25" customHeight="1">
      <c r="A172" s="59"/>
      <c r="B172" s="59"/>
      <c r="C172" s="59"/>
      <c r="D172" s="59"/>
      <c r="E172" s="59"/>
      <c r="F172" s="59"/>
      <c r="G172" s="59"/>
      <c r="H172" s="59"/>
      <c r="I172" s="59"/>
      <c r="J172" s="59"/>
      <c r="K172" s="59"/>
      <c r="L172" s="59"/>
      <c r="M172" s="59"/>
      <c r="N172" s="59"/>
      <c r="O172" s="100"/>
      <c r="P172" s="100"/>
      <c r="Q172" s="100"/>
      <c r="R172" s="100"/>
      <c r="S172" s="100"/>
      <c r="T172" s="100"/>
      <c r="U172" s="100"/>
      <c r="V172" s="100"/>
      <c r="W172" s="100"/>
      <c r="X172" s="100"/>
      <c r="Y172" s="100"/>
      <c r="Z172" s="100"/>
    </row>
    <row r="173" ht="14.25" customHeight="1">
      <c r="A173" s="59"/>
      <c r="B173" s="59"/>
      <c r="C173" s="59"/>
      <c r="D173" s="59"/>
      <c r="E173" s="59"/>
      <c r="F173" s="59"/>
      <c r="G173" s="59"/>
      <c r="H173" s="59"/>
      <c r="I173" s="59"/>
      <c r="J173" s="59"/>
      <c r="K173" s="59"/>
      <c r="L173" s="59"/>
      <c r="M173" s="59"/>
      <c r="N173" s="59"/>
      <c r="O173" s="100"/>
      <c r="P173" s="100"/>
      <c r="Q173" s="100"/>
      <c r="R173" s="100"/>
      <c r="S173" s="100"/>
      <c r="T173" s="100"/>
      <c r="U173" s="100"/>
      <c r="V173" s="100"/>
      <c r="W173" s="100"/>
      <c r="X173" s="100"/>
      <c r="Y173" s="100"/>
      <c r="Z173" s="100"/>
    </row>
    <row r="174" ht="14.25" customHeight="1">
      <c r="A174" s="59"/>
      <c r="B174" s="59"/>
      <c r="C174" s="59"/>
      <c r="D174" s="59"/>
      <c r="E174" s="59"/>
      <c r="F174" s="59"/>
      <c r="G174" s="59"/>
      <c r="H174" s="59"/>
      <c r="I174" s="59"/>
      <c r="J174" s="59"/>
      <c r="K174" s="59"/>
      <c r="L174" s="59"/>
      <c r="M174" s="59"/>
      <c r="N174" s="59"/>
      <c r="O174" s="100"/>
      <c r="P174" s="100"/>
      <c r="Q174" s="100"/>
      <c r="R174" s="100"/>
      <c r="S174" s="100"/>
      <c r="T174" s="100"/>
      <c r="U174" s="100"/>
      <c r="V174" s="100"/>
      <c r="W174" s="100"/>
      <c r="X174" s="100"/>
      <c r="Y174" s="100"/>
      <c r="Z174" s="100"/>
    </row>
    <row r="175" ht="14.25" customHeight="1">
      <c r="A175" s="59"/>
      <c r="B175" s="59"/>
      <c r="C175" s="59"/>
      <c r="D175" s="59"/>
      <c r="E175" s="59"/>
      <c r="F175" s="59"/>
      <c r="G175" s="59"/>
      <c r="H175" s="59"/>
      <c r="I175" s="59"/>
      <c r="J175" s="59"/>
      <c r="K175" s="59"/>
      <c r="L175" s="59"/>
      <c r="M175" s="59"/>
      <c r="N175" s="59"/>
      <c r="O175" s="100"/>
      <c r="P175" s="100"/>
      <c r="Q175" s="100"/>
      <c r="R175" s="100"/>
      <c r="S175" s="100"/>
      <c r="T175" s="100"/>
      <c r="U175" s="100"/>
      <c r="V175" s="100"/>
      <c r="W175" s="100"/>
      <c r="X175" s="100"/>
      <c r="Y175" s="100"/>
      <c r="Z175" s="100"/>
    </row>
    <row r="176" ht="14.25" customHeight="1">
      <c r="A176" s="59"/>
      <c r="B176" s="59"/>
      <c r="C176" s="59"/>
      <c r="D176" s="59"/>
      <c r="E176" s="59"/>
      <c r="F176" s="59"/>
      <c r="G176" s="59"/>
      <c r="H176" s="59"/>
      <c r="I176" s="59"/>
      <c r="J176" s="59"/>
      <c r="K176" s="59"/>
      <c r="L176" s="59"/>
      <c r="M176" s="59"/>
      <c r="N176" s="59"/>
      <c r="O176" s="100"/>
      <c r="P176" s="100"/>
      <c r="Q176" s="100"/>
      <c r="R176" s="100"/>
      <c r="S176" s="100"/>
      <c r="T176" s="100"/>
      <c r="U176" s="100"/>
      <c r="V176" s="100"/>
      <c r="W176" s="100"/>
      <c r="X176" s="100"/>
      <c r="Y176" s="100"/>
      <c r="Z176" s="100"/>
    </row>
    <row r="177" ht="14.25" customHeight="1">
      <c r="A177" s="59"/>
      <c r="B177" s="59"/>
      <c r="C177" s="59"/>
      <c r="D177" s="59"/>
      <c r="E177" s="59"/>
      <c r="F177" s="59"/>
      <c r="G177" s="59"/>
      <c r="H177" s="59"/>
      <c r="I177" s="59"/>
      <c r="J177" s="59"/>
      <c r="K177" s="59"/>
      <c r="L177" s="59"/>
      <c r="M177" s="59"/>
      <c r="N177" s="59"/>
      <c r="O177" s="100"/>
      <c r="P177" s="100"/>
      <c r="Q177" s="100"/>
      <c r="R177" s="100"/>
      <c r="S177" s="100"/>
      <c r="T177" s="100"/>
      <c r="U177" s="100"/>
      <c r="V177" s="100"/>
      <c r="W177" s="100"/>
      <c r="X177" s="100"/>
      <c r="Y177" s="100"/>
      <c r="Z177" s="100"/>
    </row>
    <row r="178" ht="14.25" customHeight="1">
      <c r="A178" s="59"/>
      <c r="B178" s="59"/>
      <c r="C178" s="59"/>
      <c r="D178" s="59"/>
      <c r="E178" s="59"/>
      <c r="F178" s="59"/>
      <c r="G178" s="59"/>
      <c r="H178" s="59"/>
      <c r="I178" s="59"/>
      <c r="J178" s="59"/>
      <c r="K178" s="59"/>
      <c r="L178" s="59"/>
      <c r="M178" s="59"/>
      <c r="N178" s="59"/>
      <c r="O178" s="100"/>
      <c r="P178" s="100"/>
      <c r="Q178" s="100"/>
      <c r="R178" s="100"/>
      <c r="S178" s="100"/>
      <c r="T178" s="100"/>
      <c r="U178" s="100"/>
      <c r="V178" s="100"/>
      <c r="W178" s="100"/>
      <c r="X178" s="100"/>
      <c r="Y178" s="100"/>
      <c r="Z178" s="100"/>
    </row>
    <row r="179" ht="14.25" customHeight="1">
      <c r="A179" s="59"/>
      <c r="B179" s="59"/>
      <c r="C179" s="59"/>
      <c r="D179" s="59"/>
      <c r="E179" s="59"/>
      <c r="F179" s="59"/>
      <c r="G179" s="59"/>
      <c r="H179" s="59"/>
      <c r="I179" s="59"/>
      <c r="J179" s="59"/>
      <c r="K179" s="59"/>
      <c r="L179" s="59"/>
      <c r="M179" s="59"/>
      <c r="N179" s="59"/>
      <c r="O179" s="100"/>
      <c r="P179" s="100"/>
      <c r="Q179" s="100"/>
      <c r="R179" s="100"/>
      <c r="S179" s="100"/>
      <c r="T179" s="100"/>
      <c r="U179" s="100"/>
      <c r="V179" s="100"/>
      <c r="W179" s="100"/>
      <c r="X179" s="100"/>
      <c r="Y179" s="100"/>
      <c r="Z179" s="100"/>
    </row>
    <row r="180" ht="14.25" customHeight="1">
      <c r="A180" s="59"/>
      <c r="B180" s="59"/>
      <c r="C180" s="59"/>
      <c r="D180" s="59"/>
      <c r="E180" s="59"/>
      <c r="F180" s="59"/>
      <c r="G180" s="59"/>
      <c r="H180" s="59"/>
      <c r="I180" s="59"/>
      <c r="J180" s="59"/>
      <c r="K180" s="59"/>
      <c r="L180" s="59"/>
      <c r="M180" s="59"/>
      <c r="N180" s="59"/>
      <c r="O180" s="100"/>
      <c r="P180" s="100"/>
      <c r="Q180" s="100"/>
      <c r="R180" s="100"/>
      <c r="S180" s="100"/>
      <c r="T180" s="100"/>
      <c r="U180" s="100"/>
      <c r="V180" s="100"/>
      <c r="W180" s="100"/>
      <c r="X180" s="100"/>
      <c r="Y180" s="100"/>
      <c r="Z180" s="100"/>
    </row>
    <row r="181" ht="14.25" customHeight="1">
      <c r="A181" s="59"/>
      <c r="B181" s="59"/>
      <c r="C181" s="59"/>
      <c r="D181" s="59"/>
      <c r="E181" s="59"/>
      <c r="F181" s="59"/>
      <c r="G181" s="59"/>
      <c r="H181" s="59"/>
      <c r="I181" s="59"/>
      <c r="J181" s="59"/>
      <c r="K181" s="59"/>
      <c r="L181" s="59"/>
      <c r="M181" s="59"/>
      <c r="N181" s="59"/>
      <c r="O181" s="100"/>
      <c r="P181" s="100"/>
      <c r="Q181" s="100"/>
      <c r="R181" s="100"/>
      <c r="S181" s="100"/>
      <c r="T181" s="100"/>
      <c r="U181" s="100"/>
      <c r="V181" s="100"/>
      <c r="W181" s="100"/>
      <c r="X181" s="100"/>
      <c r="Y181" s="100"/>
      <c r="Z181" s="100"/>
    </row>
    <row r="182" ht="14.25" customHeight="1">
      <c r="A182" s="59"/>
      <c r="B182" s="59"/>
      <c r="C182" s="59"/>
      <c r="D182" s="59"/>
      <c r="E182" s="59"/>
      <c r="F182" s="59"/>
      <c r="G182" s="59"/>
      <c r="H182" s="59"/>
      <c r="I182" s="59"/>
      <c r="J182" s="59"/>
      <c r="K182" s="59"/>
      <c r="L182" s="59"/>
      <c r="M182" s="59"/>
      <c r="N182" s="59"/>
      <c r="O182" s="100"/>
      <c r="P182" s="100"/>
      <c r="Q182" s="100"/>
      <c r="R182" s="100"/>
      <c r="S182" s="100"/>
      <c r="T182" s="100"/>
      <c r="U182" s="100"/>
      <c r="V182" s="100"/>
      <c r="W182" s="100"/>
      <c r="X182" s="100"/>
      <c r="Y182" s="100"/>
      <c r="Z182" s="100"/>
    </row>
    <row r="183" ht="14.25" customHeight="1">
      <c r="A183" s="59"/>
      <c r="B183" s="59"/>
      <c r="C183" s="59"/>
      <c r="D183" s="59"/>
      <c r="E183" s="59"/>
      <c r="F183" s="59"/>
      <c r="G183" s="59"/>
      <c r="H183" s="59"/>
      <c r="I183" s="59"/>
      <c r="J183" s="59"/>
      <c r="K183" s="59"/>
      <c r="L183" s="59"/>
      <c r="M183" s="59"/>
      <c r="N183" s="59"/>
      <c r="O183" s="100"/>
      <c r="P183" s="100"/>
      <c r="Q183" s="100"/>
      <c r="R183" s="100"/>
      <c r="S183" s="100"/>
      <c r="T183" s="100"/>
      <c r="U183" s="100"/>
      <c r="V183" s="100"/>
      <c r="W183" s="100"/>
      <c r="X183" s="100"/>
      <c r="Y183" s="100"/>
      <c r="Z183" s="100"/>
    </row>
    <row r="184" ht="14.25" customHeight="1">
      <c r="A184" s="59"/>
      <c r="B184" s="59"/>
      <c r="C184" s="59"/>
      <c r="D184" s="59"/>
      <c r="E184" s="59"/>
      <c r="F184" s="59"/>
      <c r="G184" s="59"/>
      <c r="H184" s="59"/>
      <c r="I184" s="59"/>
      <c r="J184" s="59"/>
      <c r="K184" s="59"/>
      <c r="L184" s="59"/>
      <c r="M184" s="59"/>
      <c r="N184" s="59"/>
      <c r="O184" s="100"/>
      <c r="P184" s="100"/>
      <c r="Q184" s="100"/>
      <c r="R184" s="100"/>
      <c r="S184" s="100"/>
      <c r="T184" s="100"/>
      <c r="U184" s="100"/>
      <c r="V184" s="100"/>
      <c r="W184" s="100"/>
      <c r="X184" s="100"/>
      <c r="Y184" s="100"/>
      <c r="Z184" s="100"/>
    </row>
    <row r="185" ht="14.25" customHeight="1">
      <c r="A185" s="59"/>
      <c r="B185" s="59"/>
      <c r="C185" s="59"/>
      <c r="D185" s="59"/>
      <c r="E185" s="59"/>
      <c r="F185" s="59"/>
      <c r="G185" s="59"/>
      <c r="H185" s="59"/>
      <c r="I185" s="59"/>
      <c r="J185" s="59"/>
      <c r="K185" s="59"/>
      <c r="L185" s="59"/>
      <c r="M185" s="59"/>
      <c r="N185" s="59"/>
      <c r="O185" s="100"/>
      <c r="P185" s="100"/>
      <c r="Q185" s="100"/>
      <c r="R185" s="100"/>
      <c r="S185" s="100"/>
      <c r="T185" s="100"/>
      <c r="U185" s="100"/>
      <c r="V185" s="100"/>
      <c r="W185" s="100"/>
      <c r="X185" s="100"/>
      <c r="Y185" s="100"/>
      <c r="Z185" s="100"/>
    </row>
    <row r="186" ht="14.25" customHeight="1">
      <c r="A186" s="59"/>
      <c r="B186" s="59"/>
      <c r="C186" s="59"/>
      <c r="D186" s="59"/>
      <c r="E186" s="59"/>
      <c r="F186" s="59"/>
      <c r="G186" s="59"/>
      <c r="H186" s="59"/>
      <c r="I186" s="59"/>
      <c r="J186" s="59"/>
      <c r="K186" s="59"/>
      <c r="L186" s="59"/>
      <c r="M186" s="59"/>
      <c r="N186" s="59"/>
      <c r="O186" s="100"/>
      <c r="P186" s="100"/>
      <c r="Q186" s="100"/>
      <c r="R186" s="100"/>
      <c r="S186" s="100"/>
      <c r="T186" s="100"/>
      <c r="U186" s="100"/>
      <c r="V186" s="100"/>
      <c r="W186" s="100"/>
      <c r="X186" s="100"/>
      <c r="Y186" s="100"/>
      <c r="Z186" s="100"/>
    </row>
    <row r="187" ht="14.25" customHeight="1">
      <c r="A187" s="59"/>
      <c r="B187" s="59"/>
      <c r="C187" s="59"/>
      <c r="D187" s="59"/>
      <c r="E187" s="59"/>
      <c r="F187" s="59"/>
      <c r="G187" s="59"/>
      <c r="H187" s="59"/>
      <c r="I187" s="59"/>
      <c r="J187" s="59"/>
      <c r="K187" s="59"/>
      <c r="L187" s="59"/>
      <c r="M187" s="59"/>
      <c r="N187" s="59"/>
      <c r="O187" s="100"/>
      <c r="P187" s="100"/>
      <c r="Q187" s="100"/>
      <c r="R187" s="100"/>
      <c r="S187" s="100"/>
      <c r="T187" s="100"/>
      <c r="U187" s="100"/>
      <c r="V187" s="100"/>
      <c r="W187" s="100"/>
      <c r="X187" s="100"/>
      <c r="Y187" s="100"/>
      <c r="Z187" s="100"/>
    </row>
    <row r="188" ht="14.25" customHeight="1">
      <c r="A188" s="59"/>
      <c r="B188" s="59"/>
      <c r="C188" s="59"/>
      <c r="D188" s="59"/>
      <c r="E188" s="59"/>
      <c r="F188" s="59"/>
      <c r="G188" s="59"/>
      <c r="H188" s="59"/>
      <c r="I188" s="59"/>
      <c r="J188" s="59"/>
      <c r="K188" s="59"/>
      <c r="L188" s="59"/>
      <c r="M188" s="59"/>
      <c r="N188" s="59"/>
      <c r="O188" s="100"/>
      <c r="P188" s="100"/>
      <c r="Q188" s="100"/>
      <c r="R188" s="100"/>
      <c r="S188" s="100"/>
      <c r="T188" s="100"/>
      <c r="U188" s="100"/>
      <c r="V188" s="100"/>
      <c r="W188" s="100"/>
      <c r="X188" s="100"/>
      <c r="Y188" s="100"/>
      <c r="Z188" s="100"/>
    </row>
    <row r="189" ht="14.25" customHeight="1">
      <c r="A189" s="59"/>
      <c r="B189" s="59"/>
      <c r="C189" s="59"/>
      <c r="D189" s="59"/>
      <c r="E189" s="59"/>
      <c r="F189" s="59"/>
      <c r="G189" s="59"/>
      <c r="H189" s="59"/>
      <c r="I189" s="59"/>
      <c r="J189" s="59"/>
      <c r="K189" s="59"/>
      <c r="L189" s="59"/>
      <c r="M189" s="59"/>
      <c r="N189" s="59"/>
      <c r="O189" s="100"/>
      <c r="P189" s="100"/>
      <c r="Q189" s="100"/>
      <c r="R189" s="100"/>
      <c r="S189" s="100"/>
      <c r="T189" s="100"/>
      <c r="U189" s="100"/>
      <c r="V189" s="100"/>
      <c r="W189" s="100"/>
      <c r="X189" s="100"/>
      <c r="Y189" s="100"/>
      <c r="Z189" s="100"/>
    </row>
    <row r="190" ht="14.25" customHeight="1">
      <c r="A190" s="59"/>
      <c r="B190" s="59"/>
      <c r="C190" s="59"/>
      <c r="D190" s="59"/>
      <c r="E190" s="59"/>
      <c r="F190" s="59"/>
      <c r="G190" s="59"/>
      <c r="H190" s="59"/>
      <c r="I190" s="59"/>
      <c r="J190" s="59"/>
      <c r="K190" s="59"/>
      <c r="L190" s="59"/>
      <c r="M190" s="59"/>
      <c r="N190" s="59"/>
      <c r="O190" s="100"/>
      <c r="P190" s="100"/>
      <c r="Q190" s="100"/>
      <c r="R190" s="100"/>
      <c r="S190" s="100"/>
      <c r="T190" s="100"/>
      <c r="U190" s="100"/>
      <c r="V190" s="100"/>
      <c r="W190" s="100"/>
      <c r="X190" s="100"/>
      <c r="Y190" s="100"/>
      <c r="Z190" s="100"/>
    </row>
    <row r="191" ht="14.25" customHeight="1">
      <c r="A191" s="59"/>
      <c r="B191" s="59"/>
      <c r="C191" s="59"/>
      <c r="D191" s="59"/>
      <c r="E191" s="59"/>
      <c r="F191" s="59"/>
      <c r="G191" s="59"/>
      <c r="H191" s="59"/>
      <c r="I191" s="59"/>
      <c r="J191" s="59"/>
      <c r="K191" s="59"/>
      <c r="L191" s="59"/>
      <c r="M191" s="59"/>
      <c r="N191" s="59"/>
      <c r="O191" s="100"/>
      <c r="P191" s="100"/>
      <c r="Q191" s="100"/>
      <c r="R191" s="100"/>
      <c r="S191" s="100"/>
      <c r="T191" s="100"/>
      <c r="U191" s="100"/>
      <c r="V191" s="100"/>
      <c r="W191" s="100"/>
      <c r="X191" s="100"/>
      <c r="Y191" s="100"/>
      <c r="Z191" s="100"/>
    </row>
    <row r="192" ht="14.25" customHeight="1">
      <c r="A192" s="59"/>
      <c r="B192" s="59"/>
      <c r="C192" s="59"/>
      <c r="D192" s="59"/>
      <c r="E192" s="59"/>
      <c r="F192" s="59"/>
      <c r="G192" s="59"/>
      <c r="H192" s="59"/>
      <c r="I192" s="59"/>
      <c r="J192" s="59"/>
      <c r="K192" s="59"/>
      <c r="L192" s="59"/>
      <c r="M192" s="59"/>
      <c r="N192" s="59"/>
      <c r="O192" s="100"/>
      <c r="P192" s="100"/>
      <c r="Q192" s="100"/>
      <c r="R192" s="100"/>
      <c r="S192" s="100"/>
      <c r="T192" s="100"/>
      <c r="U192" s="100"/>
      <c r="V192" s="100"/>
      <c r="W192" s="100"/>
      <c r="X192" s="100"/>
      <c r="Y192" s="100"/>
      <c r="Z192" s="100"/>
    </row>
    <row r="193" ht="14.25" customHeight="1">
      <c r="A193" s="59"/>
      <c r="B193" s="59"/>
      <c r="C193" s="59"/>
      <c r="D193" s="59"/>
      <c r="E193" s="59"/>
      <c r="F193" s="59"/>
      <c r="G193" s="59"/>
      <c r="H193" s="59"/>
      <c r="I193" s="59"/>
      <c r="J193" s="59"/>
      <c r="K193" s="59"/>
      <c r="L193" s="59"/>
      <c r="M193" s="59"/>
      <c r="N193" s="59"/>
      <c r="O193" s="100"/>
      <c r="P193" s="100"/>
      <c r="Q193" s="100"/>
      <c r="R193" s="100"/>
      <c r="S193" s="100"/>
      <c r="T193" s="100"/>
      <c r="U193" s="100"/>
      <c r="V193" s="100"/>
      <c r="W193" s="100"/>
      <c r="X193" s="100"/>
      <c r="Y193" s="100"/>
      <c r="Z193" s="100"/>
    </row>
    <row r="194" ht="14.25" customHeight="1">
      <c r="A194" s="59"/>
      <c r="B194" s="59"/>
      <c r="C194" s="59"/>
      <c r="D194" s="59"/>
      <c r="E194" s="59"/>
      <c r="F194" s="59"/>
      <c r="G194" s="59"/>
      <c r="H194" s="59"/>
      <c r="I194" s="59"/>
      <c r="J194" s="59"/>
      <c r="K194" s="59"/>
      <c r="L194" s="59"/>
      <c r="M194" s="59"/>
      <c r="N194" s="59"/>
      <c r="O194" s="100"/>
      <c r="P194" s="100"/>
      <c r="Q194" s="100"/>
      <c r="R194" s="100"/>
      <c r="S194" s="100"/>
      <c r="T194" s="100"/>
      <c r="U194" s="100"/>
      <c r="V194" s="100"/>
      <c r="W194" s="100"/>
      <c r="X194" s="100"/>
      <c r="Y194" s="100"/>
      <c r="Z194" s="100"/>
    </row>
    <row r="195" ht="14.25" customHeight="1">
      <c r="A195" s="59"/>
      <c r="B195" s="59"/>
      <c r="C195" s="59"/>
      <c r="D195" s="59"/>
      <c r="E195" s="59"/>
      <c r="F195" s="59"/>
      <c r="G195" s="59"/>
      <c r="H195" s="59"/>
      <c r="I195" s="59"/>
      <c r="J195" s="59"/>
      <c r="K195" s="59"/>
      <c r="L195" s="59"/>
      <c r="M195" s="59"/>
      <c r="N195" s="59"/>
      <c r="O195" s="100"/>
      <c r="P195" s="100"/>
      <c r="Q195" s="100"/>
      <c r="R195" s="100"/>
      <c r="S195" s="100"/>
      <c r="T195" s="100"/>
      <c r="U195" s="100"/>
      <c r="V195" s="100"/>
      <c r="W195" s="100"/>
      <c r="X195" s="100"/>
      <c r="Y195" s="100"/>
      <c r="Z195" s="100"/>
    </row>
    <row r="196" ht="14.25" customHeight="1">
      <c r="A196" s="59"/>
      <c r="B196" s="59"/>
      <c r="C196" s="59"/>
      <c r="D196" s="59"/>
      <c r="E196" s="59"/>
      <c r="F196" s="59"/>
      <c r="G196" s="59"/>
      <c r="H196" s="59"/>
      <c r="I196" s="59"/>
      <c r="J196" s="59"/>
      <c r="K196" s="59"/>
      <c r="L196" s="59"/>
      <c r="M196" s="59"/>
      <c r="N196" s="59"/>
      <c r="O196" s="100"/>
      <c r="P196" s="100"/>
      <c r="Q196" s="100"/>
      <c r="R196" s="100"/>
      <c r="S196" s="100"/>
      <c r="T196" s="100"/>
      <c r="U196" s="100"/>
      <c r="V196" s="100"/>
      <c r="W196" s="100"/>
      <c r="X196" s="100"/>
      <c r="Y196" s="100"/>
      <c r="Z196" s="100"/>
    </row>
    <row r="197" ht="14.25" customHeight="1">
      <c r="A197" s="59"/>
      <c r="B197" s="59"/>
      <c r="C197" s="59"/>
      <c r="D197" s="59"/>
      <c r="E197" s="59"/>
      <c r="F197" s="59"/>
      <c r="G197" s="59"/>
      <c r="H197" s="59"/>
      <c r="I197" s="59"/>
      <c r="J197" s="59"/>
      <c r="K197" s="59"/>
      <c r="L197" s="59"/>
      <c r="M197" s="59"/>
      <c r="N197" s="59"/>
      <c r="O197" s="100"/>
      <c r="P197" s="100"/>
      <c r="Q197" s="100"/>
      <c r="R197" s="100"/>
      <c r="S197" s="100"/>
      <c r="T197" s="100"/>
      <c r="U197" s="100"/>
      <c r="V197" s="100"/>
      <c r="W197" s="100"/>
      <c r="X197" s="100"/>
      <c r="Y197" s="100"/>
      <c r="Z197" s="100"/>
    </row>
    <row r="198" ht="14.25" customHeight="1">
      <c r="A198" s="59"/>
      <c r="B198" s="59"/>
      <c r="C198" s="59"/>
      <c r="D198" s="59"/>
      <c r="E198" s="59"/>
      <c r="F198" s="59"/>
      <c r="G198" s="59"/>
      <c r="H198" s="59"/>
      <c r="I198" s="59"/>
      <c r="J198" s="59"/>
      <c r="K198" s="59"/>
      <c r="L198" s="59"/>
      <c r="M198" s="59"/>
      <c r="N198" s="59"/>
      <c r="O198" s="100"/>
      <c r="P198" s="100"/>
      <c r="Q198" s="100"/>
      <c r="R198" s="100"/>
      <c r="S198" s="100"/>
      <c r="T198" s="100"/>
      <c r="U198" s="100"/>
      <c r="V198" s="100"/>
      <c r="W198" s="100"/>
      <c r="X198" s="100"/>
      <c r="Y198" s="100"/>
      <c r="Z198" s="100"/>
    </row>
    <row r="199" ht="14.25" customHeight="1">
      <c r="A199" s="59"/>
      <c r="B199" s="59"/>
      <c r="C199" s="59"/>
      <c r="D199" s="59"/>
      <c r="E199" s="59"/>
      <c r="F199" s="59"/>
      <c r="G199" s="59"/>
      <c r="H199" s="59"/>
      <c r="I199" s="59"/>
      <c r="J199" s="59"/>
      <c r="K199" s="59"/>
      <c r="L199" s="59"/>
      <c r="M199" s="59"/>
      <c r="N199" s="59"/>
      <c r="O199" s="100"/>
      <c r="P199" s="100"/>
      <c r="Q199" s="100"/>
      <c r="R199" s="100"/>
      <c r="S199" s="100"/>
      <c r="T199" s="100"/>
      <c r="U199" s="100"/>
      <c r="V199" s="100"/>
      <c r="W199" s="100"/>
      <c r="X199" s="100"/>
      <c r="Y199" s="100"/>
      <c r="Z199" s="100"/>
    </row>
    <row r="200" ht="14.25" customHeight="1">
      <c r="A200" s="59"/>
      <c r="B200" s="59"/>
      <c r="C200" s="59"/>
      <c r="D200" s="59"/>
      <c r="E200" s="59"/>
      <c r="F200" s="59"/>
      <c r="G200" s="59"/>
      <c r="H200" s="59"/>
      <c r="I200" s="59"/>
      <c r="J200" s="59"/>
      <c r="K200" s="59"/>
      <c r="L200" s="59"/>
      <c r="M200" s="59"/>
      <c r="N200" s="59"/>
      <c r="O200" s="100"/>
      <c r="P200" s="100"/>
      <c r="Q200" s="100"/>
      <c r="R200" s="100"/>
      <c r="S200" s="100"/>
      <c r="T200" s="100"/>
      <c r="U200" s="100"/>
      <c r="V200" s="100"/>
      <c r="W200" s="100"/>
      <c r="X200" s="100"/>
      <c r="Y200" s="100"/>
      <c r="Z200" s="100"/>
    </row>
    <row r="201" ht="14.25" customHeight="1">
      <c r="A201" s="59"/>
      <c r="B201" s="59"/>
      <c r="C201" s="59"/>
      <c r="D201" s="59"/>
      <c r="E201" s="59"/>
      <c r="F201" s="59"/>
      <c r="G201" s="59"/>
      <c r="H201" s="59"/>
      <c r="I201" s="59"/>
      <c r="J201" s="59"/>
      <c r="K201" s="59"/>
      <c r="L201" s="59"/>
      <c r="M201" s="59"/>
      <c r="N201" s="59"/>
      <c r="O201" s="100"/>
      <c r="P201" s="100"/>
      <c r="Q201" s="100"/>
      <c r="R201" s="100"/>
      <c r="S201" s="100"/>
      <c r="T201" s="100"/>
      <c r="U201" s="100"/>
      <c r="V201" s="100"/>
      <c r="W201" s="100"/>
      <c r="X201" s="100"/>
      <c r="Y201" s="100"/>
      <c r="Z201" s="100"/>
    </row>
    <row r="202" ht="14.25" customHeight="1">
      <c r="A202" s="59"/>
      <c r="B202" s="59"/>
      <c r="C202" s="59"/>
      <c r="D202" s="59"/>
      <c r="E202" s="59"/>
      <c r="F202" s="59"/>
      <c r="G202" s="59"/>
      <c r="H202" s="59"/>
      <c r="I202" s="59"/>
      <c r="J202" s="59"/>
      <c r="K202" s="59"/>
      <c r="L202" s="59"/>
      <c r="M202" s="59"/>
      <c r="N202" s="59"/>
      <c r="O202" s="100"/>
      <c r="P202" s="100"/>
      <c r="Q202" s="100"/>
      <c r="R202" s="100"/>
      <c r="S202" s="100"/>
      <c r="T202" s="100"/>
      <c r="U202" s="100"/>
      <c r="V202" s="100"/>
      <c r="W202" s="100"/>
      <c r="X202" s="100"/>
      <c r="Y202" s="100"/>
      <c r="Z202" s="100"/>
    </row>
    <row r="203" ht="14.25" customHeight="1">
      <c r="A203" s="59"/>
      <c r="B203" s="59"/>
      <c r="C203" s="59"/>
      <c r="D203" s="59"/>
      <c r="E203" s="59"/>
      <c r="F203" s="59"/>
      <c r="G203" s="59"/>
      <c r="H203" s="59"/>
      <c r="I203" s="59"/>
      <c r="J203" s="59"/>
      <c r="K203" s="59"/>
      <c r="L203" s="59"/>
      <c r="M203" s="59"/>
      <c r="N203" s="59"/>
      <c r="O203" s="100"/>
      <c r="P203" s="100"/>
      <c r="Q203" s="100"/>
      <c r="R203" s="100"/>
      <c r="S203" s="100"/>
      <c r="T203" s="100"/>
      <c r="U203" s="100"/>
      <c r="V203" s="100"/>
      <c r="W203" s="100"/>
      <c r="X203" s="100"/>
      <c r="Y203" s="100"/>
      <c r="Z203" s="100"/>
    </row>
    <row r="204" ht="14.25" customHeight="1">
      <c r="A204" s="59"/>
      <c r="B204" s="59"/>
      <c r="C204" s="59"/>
      <c r="D204" s="59"/>
      <c r="E204" s="59"/>
      <c r="F204" s="59"/>
      <c r="G204" s="59"/>
      <c r="H204" s="59"/>
      <c r="I204" s="59"/>
      <c r="J204" s="59"/>
      <c r="K204" s="59"/>
      <c r="L204" s="59"/>
      <c r="M204" s="59"/>
      <c r="N204" s="59"/>
      <c r="O204" s="100"/>
      <c r="P204" s="100"/>
      <c r="Q204" s="100"/>
      <c r="R204" s="100"/>
      <c r="S204" s="100"/>
      <c r="T204" s="100"/>
      <c r="U204" s="100"/>
      <c r="V204" s="100"/>
      <c r="W204" s="100"/>
      <c r="X204" s="100"/>
      <c r="Y204" s="100"/>
      <c r="Z204" s="100"/>
    </row>
    <row r="205" ht="14.25" customHeight="1">
      <c r="A205" s="59"/>
      <c r="B205" s="59"/>
      <c r="C205" s="59"/>
      <c r="D205" s="59"/>
      <c r="E205" s="59"/>
      <c r="F205" s="59"/>
      <c r="G205" s="59"/>
      <c r="H205" s="59"/>
      <c r="I205" s="59"/>
      <c r="J205" s="59"/>
      <c r="K205" s="59"/>
      <c r="L205" s="59"/>
      <c r="M205" s="59"/>
      <c r="N205" s="59"/>
      <c r="O205" s="100"/>
      <c r="P205" s="100"/>
      <c r="Q205" s="100"/>
      <c r="R205" s="100"/>
      <c r="S205" s="100"/>
      <c r="T205" s="100"/>
      <c r="U205" s="100"/>
      <c r="V205" s="100"/>
      <c r="W205" s="100"/>
      <c r="X205" s="100"/>
      <c r="Y205" s="100"/>
      <c r="Z205" s="100"/>
    </row>
    <row r="206" ht="14.25" customHeight="1">
      <c r="A206" s="59"/>
      <c r="B206" s="59"/>
      <c r="C206" s="59"/>
      <c r="D206" s="59"/>
      <c r="E206" s="59"/>
      <c r="F206" s="59"/>
      <c r="G206" s="59"/>
      <c r="H206" s="59"/>
      <c r="I206" s="59"/>
      <c r="J206" s="59"/>
      <c r="K206" s="59"/>
      <c r="L206" s="59"/>
      <c r="M206" s="59"/>
      <c r="N206" s="59"/>
      <c r="O206" s="100"/>
      <c r="P206" s="100"/>
      <c r="Q206" s="100"/>
      <c r="R206" s="100"/>
      <c r="S206" s="100"/>
      <c r="T206" s="100"/>
      <c r="U206" s="100"/>
      <c r="V206" s="100"/>
      <c r="W206" s="100"/>
      <c r="X206" s="100"/>
      <c r="Y206" s="100"/>
      <c r="Z206" s="100"/>
    </row>
    <row r="207" ht="14.25" customHeight="1">
      <c r="A207" s="59"/>
      <c r="B207" s="59"/>
      <c r="C207" s="59"/>
      <c r="D207" s="59"/>
      <c r="E207" s="59"/>
      <c r="F207" s="59"/>
      <c r="G207" s="59"/>
      <c r="H207" s="59"/>
      <c r="I207" s="59"/>
      <c r="J207" s="59"/>
      <c r="K207" s="59"/>
      <c r="L207" s="59"/>
      <c r="M207" s="59"/>
      <c r="N207" s="59"/>
      <c r="O207" s="100"/>
      <c r="P207" s="100"/>
      <c r="Q207" s="100"/>
      <c r="R207" s="100"/>
      <c r="S207" s="100"/>
      <c r="T207" s="100"/>
      <c r="U207" s="100"/>
      <c r="V207" s="100"/>
      <c r="W207" s="100"/>
      <c r="X207" s="100"/>
      <c r="Y207" s="100"/>
      <c r="Z207" s="100"/>
    </row>
    <row r="208" ht="14.25" customHeight="1">
      <c r="A208" s="59"/>
      <c r="B208" s="59"/>
      <c r="C208" s="59"/>
      <c r="D208" s="59"/>
      <c r="E208" s="59"/>
      <c r="F208" s="59"/>
      <c r="G208" s="59"/>
      <c r="H208" s="59"/>
      <c r="I208" s="59"/>
      <c r="J208" s="59"/>
      <c r="K208" s="59"/>
      <c r="L208" s="59"/>
      <c r="M208" s="59"/>
      <c r="N208" s="59"/>
      <c r="O208" s="100"/>
      <c r="P208" s="100"/>
      <c r="Q208" s="100"/>
      <c r="R208" s="100"/>
      <c r="S208" s="100"/>
      <c r="T208" s="100"/>
      <c r="U208" s="100"/>
      <c r="V208" s="100"/>
      <c r="W208" s="100"/>
      <c r="X208" s="100"/>
      <c r="Y208" s="100"/>
      <c r="Z208" s="100"/>
    </row>
    <row r="209" ht="14.25" customHeight="1">
      <c r="A209" s="59"/>
      <c r="B209" s="59"/>
      <c r="C209" s="59"/>
      <c r="D209" s="59"/>
      <c r="E209" s="59"/>
      <c r="F209" s="59"/>
      <c r="G209" s="59"/>
      <c r="H209" s="59"/>
      <c r="I209" s="59"/>
      <c r="J209" s="59"/>
      <c r="K209" s="59"/>
      <c r="L209" s="59"/>
      <c r="M209" s="59"/>
      <c r="N209" s="59"/>
      <c r="O209" s="100"/>
      <c r="P209" s="100"/>
      <c r="Q209" s="100"/>
      <c r="R209" s="100"/>
      <c r="S209" s="100"/>
      <c r="T209" s="100"/>
      <c r="U209" s="100"/>
      <c r="V209" s="100"/>
      <c r="W209" s="100"/>
      <c r="X209" s="100"/>
      <c r="Y209" s="100"/>
      <c r="Z209" s="100"/>
    </row>
    <row r="210" ht="14.25" customHeight="1">
      <c r="A210" s="59"/>
      <c r="B210" s="59"/>
      <c r="C210" s="59"/>
      <c r="D210" s="59"/>
      <c r="E210" s="59"/>
      <c r="F210" s="59"/>
      <c r="G210" s="59"/>
      <c r="H210" s="59"/>
      <c r="I210" s="59"/>
      <c r="J210" s="59"/>
      <c r="K210" s="59"/>
      <c r="L210" s="59"/>
      <c r="M210" s="59"/>
      <c r="N210" s="59"/>
      <c r="O210" s="100"/>
      <c r="P210" s="100"/>
      <c r="Q210" s="100"/>
      <c r="R210" s="100"/>
      <c r="S210" s="100"/>
      <c r="T210" s="100"/>
      <c r="U210" s="100"/>
      <c r="V210" s="100"/>
      <c r="W210" s="100"/>
      <c r="X210" s="100"/>
      <c r="Y210" s="100"/>
      <c r="Z210" s="100"/>
    </row>
    <row r="211" ht="14.25" customHeight="1">
      <c r="A211" s="59"/>
      <c r="B211" s="59"/>
      <c r="C211" s="59"/>
      <c r="D211" s="59"/>
      <c r="E211" s="59"/>
      <c r="F211" s="59"/>
      <c r="G211" s="59"/>
      <c r="H211" s="59"/>
      <c r="I211" s="59"/>
      <c r="J211" s="59"/>
      <c r="K211" s="59"/>
      <c r="L211" s="59"/>
      <c r="M211" s="59"/>
      <c r="N211" s="59"/>
      <c r="O211" s="100"/>
      <c r="P211" s="100"/>
      <c r="Q211" s="100"/>
      <c r="R211" s="100"/>
      <c r="S211" s="100"/>
      <c r="T211" s="100"/>
      <c r="U211" s="100"/>
      <c r="V211" s="100"/>
      <c r="W211" s="100"/>
      <c r="X211" s="100"/>
      <c r="Y211" s="100"/>
      <c r="Z211" s="100"/>
    </row>
    <row r="212" ht="14.25" customHeight="1">
      <c r="A212" s="59"/>
      <c r="B212" s="59"/>
      <c r="C212" s="59"/>
      <c r="D212" s="59"/>
      <c r="E212" s="59"/>
      <c r="F212" s="59"/>
      <c r="G212" s="59"/>
      <c r="H212" s="59"/>
      <c r="I212" s="59"/>
      <c r="J212" s="59"/>
      <c r="K212" s="59"/>
      <c r="L212" s="59"/>
      <c r="M212" s="59"/>
      <c r="N212" s="59"/>
      <c r="O212" s="100"/>
      <c r="P212" s="100"/>
      <c r="Q212" s="100"/>
      <c r="R212" s="100"/>
      <c r="S212" s="100"/>
      <c r="T212" s="100"/>
      <c r="U212" s="100"/>
      <c r="V212" s="100"/>
      <c r="W212" s="100"/>
      <c r="X212" s="100"/>
      <c r="Y212" s="100"/>
      <c r="Z212" s="100"/>
    </row>
    <row r="213" ht="14.25" customHeight="1">
      <c r="A213" s="59"/>
      <c r="B213" s="59"/>
      <c r="C213" s="59"/>
      <c r="D213" s="59"/>
      <c r="E213" s="59"/>
      <c r="F213" s="59"/>
      <c r="G213" s="59"/>
      <c r="H213" s="59"/>
      <c r="I213" s="59"/>
      <c r="J213" s="59"/>
      <c r="K213" s="59"/>
      <c r="L213" s="59"/>
      <c r="M213" s="59"/>
      <c r="N213" s="59"/>
      <c r="O213" s="100"/>
      <c r="P213" s="100"/>
      <c r="Q213" s="100"/>
      <c r="R213" s="100"/>
      <c r="S213" s="100"/>
      <c r="T213" s="100"/>
      <c r="U213" s="100"/>
      <c r="V213" s="100"/>
      <c r="W213" s="100"/>
      <c r="X213" s="100"/>
      <c r="Y213" s="100"/>
      <c r="Z213" s="100"/>
    </row>
    <row r="214" ht="14.25" customHeight="1">
      <c r="A214" s="59"/>
      <c r="B214" s="59"/>
      <c r="C214" s="59"/>
      <c r="D214" s="59"/>
      <c r="E214" s="59"/>
      <c r="F214" s="59"/>
      <c r="G214" s="59"/>
      <c r="H214" s="59"/>
      <c r="I214" s="59"/>
      <c r="J214" s="59"/>
      <c r="K214" s="59"/>
      <c r="L214" s="59"/>
      <c r="M214" s="59"/>
      <c r="N214" s="59"/>
      <c r="O214" s="100"/>
      <c r="P214" s="100"/>
      <c r="Q214" s="100"/>
      <c r="R214" s="100"/>
      <c r="S214" s="100"/>
      <c r="T214" s="100"/>
      <c r="U214" s="100"/>
      <c r="V214" s="100"/>
      <c r="W214" s="100"/>
      <c r="X214" s="100"/>
      <c r="Y214" s="100"/>
      <c r="Z214" s="100"/>
    </row>
    <row r="215" ht="14.25" customHeight="1">
      <c r="A215" s="59"/>
      <c r="B215" s="59"/>
      <c r="C215" s="59"/>
      <c r="D215" s="59"/>
      <c r="E215" s="59"/>
      <c r="F215" s="59"/>
      <c r="G215" s="59"/>
      <c r="H215" s="59"/>
      <c r="I215" s="59"/>
      <c r="J215" s="59"/>
      <c r="K215" s="59"/>
      <c r="L215" s="59"/>
      <c r="M215" s="59"/>
      <c r="N215" s="59"/>
      <c r="O215" s="100"/>
      <c r="P215" s="100"/>
      <c r="Q215" s="100"/>
      <c r="R215" s="100"/>
      <c r="S215" s="100"/>
      <c r="T215" s="100"/>
      <c r="U215" s="100"/>
      <c r="V215" s="100"/>
      <c r="W215" s="100"/>
      <c r="X215" s="100"/>
      <c r="Y215" s="100"/>
      <c r="Z215" s="100"/>
    </row>
    <row r="216" ht="14.25" customHeight="1">
      <c r="A216" s="59"/>
      <c r="B216" s="59"/>
      <c r="C216" s="59"/>
      <c r="D216" s="59"/>
      <c r="E216" s="59"/>
      <c r="F216" s="59"/>
      <c r="G216" s="59"/>
      <c r="H216" s="59"/>
      <c r="I216" s="59"/>
      <c r="J216" s="59"/>
      <c r="K216" s="59"/>
      <c r="L216" s="59"/>
      <c r="M216" s="59"/>
      <c r="N216" s="59"/>
      <c r="O216" s="100"/>
      <c r="P216" s="100"/>
      <c r="Q216" s="100"/>
      <c r="R216" s="100"/>
      <c r="S216" s="100"/>
      <c r="T216" s="100"/>
      <c r="U216" s="100"/>
      <c r="V216" s="100"/>
      <c r="W216" s="100"/>
      <c r="X216" s="100"/>
      <c r="Y216" s="100"/>
      <c r="Z216" s="100"/>
    </row>
    <row r="217" ht="14.25" customHeight="1">
      <c r="A217" s="59"/>
      <c r="B217" s="59"/>
      <c r="C217" s="59"/>
      <c r="D217" s="59"/>
      <c r="E217" s="59"/>
      <c r="F217" s="59"/>
      <c r="G217" s="59"/>
      <c r="H217" s="59"/>
      <c r="I217" s="59"/>
      <c r="J217" s="59"/>
      <c r="K217" s="59"/>
      <c r="L217" s="59"/>
      <c r="M217" s="59"/>
      <c r="N217" s="59"/>
      <c r="O217" s="100"/>
      <c r="P217" s="100"/>
      <c r="Q217" s="100"/>
      <c r="R217" s="100"/>
      <c r="S217" s="100"/>
      <c r="T217" s="100"/>
      <c r="U217" s="100"/>
      <c r="V217" s="100"/>
      <c r="W217" s="100"/>
      <c r="X217" s="100"/>
      <c r="Y217" s="100"/>
      <c r="Z217" s="100"/>
    </row>
    <row r="218" ht="14.25" customHeight="1">
      <c r="A218" s="59"/>
      <c r="B218" s="59"/>
      <c r="C218" s="59"/>
      <c r="D218" s="59"/>
      <c r="E218" s="59"/>
      <c r="F218" s="59"/>
      <c r="G218" s="59"/>
      <c r="H218" s="59"/>
      <c r="I218" s="59"/>
      <c r="J218" s="59"/>
      <c r="K218" s="59"/>
      <c r="L218" s="59"/>
      <c r="M218" s="59"/>
      <c r="N218" s="59"/>
      <c r="O218" s="100"/>
      <c r="P218" s="100"/>
      <c r="Q218" s="100"/>
      <c r="R218" s="100"/>
      <c r="S218" s="100"/>
      <c r="T218" s="100"/>
      <c r="U218" s="100"/>
      <c r="V218" s="100"/>
      <c r="W218" s="100"/>
      <c r="X218" s="100"/>
      <c r="Y218" s="100"/>
      <c r="Z218" s="100"/>
    </row>
    <row r="219" ht="14.25" customHeight="1">
      <c r="A219" s="59"/>
      <c r="B219" s="59"/>
      <c r="C219" s="59"/>
      <c r="D219" s="59"/>
      <c r="E219" s="59"/>
      <c r="F219" s="59"/>
      <c r="G219" s="59"/>
      <c r="H219" s="59"/>
      <c r="I219" s="59"/>
      <c r="J219" s="59"/>
      <c r="K219" s="59"/>
      <c r="L219" s="59"/>
      <c r="M219" s="59"/>
      <c r="N219" s="59"/>
      <c r="O219" s="100"/>
      <c r="P219" s="100"/>
      <c r="Q219" s="100"/>
      <c r="R219" s="100"/>
      <c r="S219" s="100"/>
      <c r="T219" s="100"/>
      <c r="U219" s="100"/>
      <c r="V219" s="100"/>
      <c r="W219" s="100"/>
      <c r="X219" s="100"/>
      <c r="Y219" s="100"/>
      <c r="Z219" s="100"/>
    </row>
    <row r="220" ht="14.25" customHeight="1">
      <c r="A220" s="59"/>
      <c r="B220" s="59"/>
      <c r="C220" s="59"/>
      <c r="D220" s="59"/>
      <c r="E220" s="59"/>
      <c r="F220" s="59"/>
      <c r="G220" s="59"/>
      <c r="H220" s="59"/>
      <c r="I220" s="59"/>
      <c r="J220" s="59"/>
      <c r="K220" s="59"/>
      <c r="L220" s="59"/>
      <c r="M220" s="59"/>
      <c r="N220" s="59"/>
      <c r="O220" s="100"/>
      <c r="P220" s="100"/>
      <c r="Q220" s="100"/>
      <c r="R220" s="100"/>
      <c r="S220" s="100"/>
      <c r="T220" s="100"/>
      <c r="U220" s="100"/>
      <c r="V220" s="100"/>
      <c r="W220" s="100"/>
      <c r="X220" s="100"/>
      <c r="Y220" s="100"/>
      <c r="Z220" s="100"/>
    </row>
    <row r="221" ht="14.25" customHeight="1">
      <c r="A221" s="59"/>
      <c r="B221" s="59"/>
      <c r="C221" s="59"/>
      <c r="D221" s="59"/>
      <c r="E221" s="59"/>
      <c r="F221" s="59"/>
      <c r="G221" s="59"/>
      <c r="H221" s="59"/>
      <c r="I221" s="59"/>
      <c r="J221" s="59"/>
      <c r="K221" s="59"/>
      <c r="L221" s="59"/>
      <c r="M221" s="59"/>
      <c r="N221" s="59"/>
      <c r="O221" s="100"/>
      <c r="P221" s="100"/>
      <c r="Q221" s="100"/>
      <c r="R221" s="100"/>
      <c r="S221" s="100"/>
      <c r="T221" s="100"/>
      <c r="U221" s="100"/>
      <c r="V221" s="100"/>
      <c r="W221" s="100"/>
      <c r="X221" s="100"/>
      <c r="Y221" s="100"/>
      <c r="Z221" s="100"/>
    </row>
    <row r="222" ht="14.25" customHeight="1">
      <c r="A222" s="59"/>
      <c r="B222" s="59"/>
      <c r="C222" s="59"/>
      <c r="D222" s="59"/>
      <c r="E222" s="59"/>
      <c r="F222" s="59"/>
      <c r="G222" s="59"/>
      <c r="H222" s="59"/>
      <c r="I222" s="59"/>
      <c r="J222" s="59"/>
      <c r="K222" s="59"/>
      <c r="L222" s="59"/>
      <c r="M222" s="59"/>
      <c r="N222" s="59"/>
      <c r="O222" s="100"/>
      <c r="P222" s="100"/>
      <c r="Q222" s="100"/>
      <c r="R222" s="100"/>
      <c r="S222" s="100"/>
      <c r="T222" s="100"/>
      <c r="U222" s="100"/>
      <c r="V222" s="100"/>
      <c r="W222" s="100"/>
      <c r="X222" s="100"/>
      <c r="Y222" s="100"/>
      <c r="Z222" s="100"/>
    </row>
    <row r="223" ht="14.25" customHeight="1">
      <c r="A223" s="59"/>
      <c r="B223" s="59"/>
      <c r="C223" s="59"/>
      <c r="D223" s="59"/>
      <c r="E223" s="59"/>
      <c r="F223" s="59"/>
      <c r="G223" s="59"/>
      <c r="H223" s="59"/>
      <c r="I223" s="59"/>
      <c r="J223" s="59"/>
      <c r="K223" s="59"/>
      <c r="L223" s="59"/>
      <c r="M223" s="59"/>
      <c r="N223" s="59"/>
      <c r="O223" s="100"/>
      <c r="P223" s="100"/>
      <c r="Q223" s="100"/>
      <c r="R223" s="100"/>
      <c r="S223" s="100"/>
      <c r="T223" s="100"/>
      <c r="U223" s="100"/>
      <c r="V223" s="100"/>
      <c r="W223" s="100"/>
      <c r="X223" s="100"/>
      <c r="Y223" s="100"/>
      <c r="Z223" s="100"/>
    </row>
    <row r="224" ht="14.25" customHeight="1">
      <c r="A224" s="59"/>
      <c r="B224" s="59"/>
      <c r="C224" s="59"/>
      <c r="D224" s="59"/>
      <c r="E224" s="59"/>
      <c r="F224" s="59"/>
      <c r="G224" s="59"/>
      <c r="H224" s="59"/>
      <c r="I224" s="59"/>
      <c r="J224" s="59"/>
      <c r="K224" s="59"/>
      <c r="L224" s="59"/>
      <c r="M224" s="59"/>
      <c r="N224" s="59"/>
      <c r="O224" s="100"/>
      <c r="P224" s="100"/>
      <c r="Q224" s="100"/>
      <c r="R224" s="100"/>
      <c r="S224" s="100"/>
      <c r="T224" s="100"/>
      <c r="U224" s="100"/>
      <c r="V224" s="100"/>
      <c r="W224" s="100"/>
      <c r="X224" s="100"/>
      <c r="Y224" s="100"/>
      <c r="Z224" s="100"/>
    </row>
    <row r="225" ht="14.25" customHeight="1">
      <c r="A225" s="59"/>
      <c r="B225" s="59"/>
      <c r="C225" s="59"/>
      <c r="D225" s="59"/>
      <c r="E225" s="59"/>
      <c r="F225" s="59"/>
      <c r="G225" s="59"/>
      <c r="H225" s="59"/>
      <c r="I225" s="59"/>
      <c r="J225" s="59"/>
      <c r="K225" s="59"/>
      <c r="L225" s="59"/>
      <c r="M225" s="59"/>
      <c r="N225" s="59"/>
      <c r="O225" s="100"/>
      <c r="P225" s="100"/>
      <c r="Q225" s="100"/>
      <c r="R225" s="100"/>
      <c r="S225" s="100"/>
      <c r="T225" s="100"/>
      <c r="U225" s="100"/>
      <c r="V225" s="100"/>
      <c r="W225" s="100"/>
      <c r="X225" s="100"/>
      <c r="Y225" s="100"/>
      <c r="Z225" s="100"/>
    </row>
    <row r="226" ht="14.25" customHeight="1">
      <c r="A226" s="59"/>
      <c r="B226" s="59"/>
      <c r="C226" s="59"/>
      <c r="D226" s="59"/>
      <c r="E226" s="59"/>
      <c r="F226" s="59"/>
      <c r="G226" s="59"/>
      <c r="H226" s="59"/>
      <c r="I226" s="59"/>
      <c r="J226" s="59"/>
      <c r="K226" s="59"/>
      <c r="L226" s="59"/>
      <c r="M226" s="59"/>
      <c r="N226" s="59"/>
      <c r="O226" s="100"/>
      <c r="P226" s="100"/>
      <c r="Q226" s="100"/>
      <c r="R226" s="100"/>
      <c r="S226" s="100"/>
      <c r="T226" s="100"/>
      <c r="U226" s="100"/>
      <c r="V226" s="100"/>
      <c r="W226" s="100"/>
      <c r="X226" s="100"/>
      <c r="Y226" s="100"/>
      <c r="Z226" s="100"/>
    </row>
    <row r="227" ht="14.25" customHeight="1">
      <c r="A227" s="59"/>
      <c r="B227" s="59"/>
      <c r="C227" s="59"/>
      <c r="D227" s="59"/>
      <c r="E227" s="59"/>
      <c r="F227" s="59"/>
      <c r="G227" s="59"/>
      <c r="H227" s="59"/>
      <c r="I227" s="59"/>
      <c r="J227" s="59"/>
      <c r="K227" s="59"/>
      <c r="L227" s="59"/>
      <c r="M227" s="59"/>
      <c r="N227" s="59"/>
      <c r="O227" s="100"/>
      <c r="P227" s="100"/>
      <c r="Q227" s="100"/>
      <c r="R227" s="100"/>
      <c r="S227" s="100"/>
      <c r="T227" s="100"/>
      <c r="U227" s="100"/>
      <c r="V227" s="100"/>
      <c r="W227" s="100"/>
      <c r="X227" s="100"/>
      <c r="Y227" s="100"/>
      <c r="Z227" s="100"/>
    </row>
    <row r="228" ht="14.25" customHeight="1">
      <c r="A228" s="59"/>
      <c r="B228" s="59"/>
      <c r="C228" s="59"/>
      <c r="D228" s="59"/>
      <c r="E228" s="59"/>
      <c r="F228" s="59"/>
      <c r="G228" s="59"/>
      <c r="H228" s="59"/>
      <c r="I228" s="59"/>
      <c r="J228" s="59"/>
      <c r="K228" s="59"/>
      <c r="L228" s="59"/>
      <c r="M228" s="59"/>
      <c r="N228" s="59"/>
      <c r="O228" s="100"/>
      <c r="P228" s="100"/>
      <c r="Q228" s="100"/>
      <c r="R228" s="100"/>
      <c r="S228" s="100"/>
      <c r="T228" s="100"/>
      <c r="U228" s="100"/>
      <c r="V228" s="100"/>
      <c r="W228" s="100"/>
      <c r="X228" s="100"/>
      <c r="Y228" s="100"/>
      <c r="Z228" s="100"/>
    </row>
    <row r="229" ht="14.25" customHeight="1">
      <c r="A229" s="59"/>
      <c r="B229" s="59"/>
      <c r="C229" s="59"/>
      <c r="D229" s="59"/>
      <c r="E229" s="59"/>
      <c r="F229" s="59"/>
      <c r="G229" s="59"/>
      <c r="H229" s="59"/>
      <c r="I229" s="59"/>
      <c r="J229" s="59"/>
      <c r="K229" s="59"/>
      <c r="L229" s="59"/>
      <c r="M229" s="59"/>
      <c r="N229" s="59"/>
      <c r="O229" s="100"/>
      <c r="P229" s="100"/>
      <c r="Q229" s="100"/>
      <c r="R229" s="100"/>
      <c r="S229" s="100"/>
      <c r="T229" s="100"/>
      <c r="U229" s="100"/>
      <c r="V229" s="100"/>
      <c r="W229" s="100"/>
      <c r="X229" s="100"/>
      <c r="Y229" s="100"/>
      <c r="Z229" s="100"/>
    </row>
    <row r="230" ht="14.25" customHeight="1">
      <c r="A230" s="59"/>
      <c r="B230" s="59"/>
      <c r="C230" s="59"/>
      <c r="D230" s="59"/>
      <c r="E230" s="59"/>
      <c r="F230" s="59"/>
      <c r="G230" s="59"/>
      <c r="H230" s="59"/>
      <c r="I230" s="59"/>
      <c r="J230" s="59"/>
      <c r="K230" s="59"/>
      <c r="L230" s="59"/>
      <c r="M230" s="59"/>
      <c r="N230" s="59"/>
      <c r="O230" s="100"/>
      <c r="P230" s="100"/>
      <c r="Q230" s="100"/>
      <c r="R230" s="100"/>
      <c r="S230" s="100"/>
      <c r="T230" s="100"/>
      <c r="U230" s="100"/>
      <c r="V230" s="100"/>
      <c r="W230" s="100"/>
      <c r="X230" s="100"/>
      <c r="Y230" s="100"/>
      <c r="Z230" s="100"/>
    </row>
    <row r="231" ht="14.25" customHeight="1">
      <c r="A231" s="59"/>
      <c r="B231" s="59"/>
      <c r="C231" s="59"/>
      <c r="D231" s="59"/>
      <c r="E231" s="59"/>
      <c r="F231" s="59"/>
      <c r="G231" s="59"/>
      <c r="H231" s="59"/>
      <c r="I231" s="59"/>
      <c r="J231" s="59"/>
      <c r="K231" s="59"/>
      <c r="L231" s="59"/>
      <c r="M231" s="59"/>
      <c r="N231" s="59"/>
      <c r="O231" s="100"/>
      <c r="P231" s="100"/>
      <c r="Q231" s="100"/>
      <c r="R231" s="100"/>
      <c r="S231" s="100"/>
      <c r="T231" s="100"/>
      <c r="U231" s="100"/>
      <c r="V231" s="100"/>
      <c r="W231" s="100"/>
      <c r="X231" s="100"/>
      <c r="Y231" s="100"/>
      <c r="Z231" s="100"/>
    </row>
    <row r="232" ht="14.25" customHeight="1">
      <c r="A232" s="59"/>
      <c r="B232" s="59"/>
      <c r="C232" s="59"/>
      <c r="D232" s="59"/>
      <c r="E232" s="59"/>
      <c r="F232" s="59"/>
      <c r="G232" s="59"/>
      <c r="H232" s="59"/>
      <c r="I232" s="59"/>
      <c r="J232" s="59"/>
      <c r="K232" s="59"/>
      <c r="L232" s="59"/>
      <c r="M232" s="59"/>
      <c r="N232" s="59"/>
      <c r="O232" s="100"/>
      <c r="P232" s="100"/>
      <c r="Q232" s="100"/>
      <c r="R232" s="100"/>
      <c r="S232" s="100"/>
      <c r="T232" s="100"/>
      <c r="U232" s="100"/>
      <c r="V232" s="100"/>
      <c r="W232" s="100"/>
      <c r="X232" s="100"/>
      <c r="Y232" s="100"/>
      <c r="Z232" s="100"/>
    </row>
    <row r="233" ht="14.25" customHeight="1">
      <c r="A233" s="59"/>
      <c r="B233" s="59"/>
      <c r="C233" s="59"/>
      <c r="D233" s="59"/>
      <c r="E233" s="59"/>
      <c r="F233" s="59"/>
      <c r="G233" s="59"/>
      <c r="H233" s="59"/>
      <c r="I233" s="59"/>
      <c r="J233" s="59"/>
      <c r="K233" s="59"/>
      <c r="L233" s="59"/>
      <c r="M233" s="59"/>
      <c r="N233" s="59"/>
      <c r="O233" s="100"/>
      <c r="P233" s="100"/>
      <c r="Q233" s="100"/>
      <c r="R233" s="100"/>
      <c r="S233" s="100"/>
      <c r="T233" s="100"/>
      <c r="U233" s="100"/>
      <c r="V233" s="100"/>
      <c r="W233" s="100"/>
      <c r="X233" s="100"/>
      <c r="Y233" s="100"/>
      <c r="Z233" s="100"/>
    </row>
    <row r="234" ht="14.25" customHeight="1">
      <c r="A234" s="59"/>
      <c r="B234" s="59"/>
      <c r="C234" s="59"/>
      <c r="D234" s="59"/>
      <c r="E234" s="59"/>
      <c r="F234" s="59"/>
      <c r="G234" s="59"/>
      <c r="H234" s="59"/>
      <c r="I234" s="59"/>
      <c r="J234" s="59"/>
      <c r="K234" s="59"/>
      <c r="L234" s="59"/>
      <c r="M234" s="59"/>
      <c r="N234" s="59"/>
      <c r="O234" s="100"/>
      <c r="P234" s="100"/>
      <c r="Q234" s="100"/>
      <c r="R234" s="100"/>
      <c r="S234" s="100"/>
      <c r="T234" s="100"/>
      <c r="U234" s="100"/>
      <c r="V234" s="100"/>
      <c r="W234" s="100"/>
      <c r="X234" s="100"/>
      <c r="Y234" s="100"/>
      <c r="Z234" s="100"/>
    </row>
    <row r="235" ht="14.25" customHeight="1">
      <c r="A235" s="59"/>
      <c r="B235" s="59"/>
      <c r="C235" s="59"/>
      <c r="D235" s="59"/>
      <c r="E235" s="59"/>
      <c r="F235" s="59"/>
      <c r="G235" s="59"/>
      <c r="H235" s="59"/>
      <c r="I235" s="59"/>
      <c r="J235" s="59"/>
      <c r="K235" s="59"/>
      <c r="L235" s="59"/>
      <c r="M235" s="59"/>
      <c r="N235" s="59"/>
      <c r="O235" s="100"/>
      <c r="P235" s="100"/>
      <c r="Q235" s="100"/>
      <c r="R235" s="100"/>
      <c r="S235" s="100"/>
      <c r="T235" s="100"/>
      <c r="U235" s="100"/>
      <c r="V235" s="100"/>
      <c r="W235" s="100"/>
      <c r="X235" s="100"/>
      <c r="Y235" s="100"/>
      <c r="Z235" s="100"/>
    </row>
    <row r="236" ht="14.25" customHeight="1">
      <c r="A236" s="59"/>
      <c r="B236" s="59"/>
      <c r="C236" s="59"/>
      <c r="D236" s="59"/>
      <c r="E236" s="59"/>
      <c r="F236" s="59"/>
      <c r="G236" s="59"/>
      <c r="H236" s="59"/>
      <c r="I236" s="59"/>
      <c r="J236" s="59"/>
      <c r="K236" s="59"/>
      <c r="L236" s="59"/>
      <c r="M236" s="59"/>
      <c r="N236" s="59"/>
      <c r="O236" s="100"/>
      <c r="P236" s="100"/>
      <c r="Q236" s="100"/>
      <c r="R236" s="100"/>
      <c r="S236" s="100"/>
      <c r="T236" s="100"/>
      <c r="U236" s="100"/>
      <c r="V236" s="100"/>
      <c r="W236" s="100"/>
      <c r="X236" s="100"/>
      <c r="Y236" s="100"/>
      <c r="Z236" s="100"/>
    </row>
    <row r="237" ht="14.25" customHeight="1">
      <c r="A237" s="59"/>
      <c r="B237" s="59"/>
      <c r="C237" s="59"/>
      <c r="D237" s="59"/>
      <c r="E237" s="59"/>
      <c r="F237" s="59"/>
      <c r="G237" s="59"/>
      <c r="H237" s="59"/>
      <c r="I237" s="59"/>
      <c r="J237" s="59"/>
      <c r="K237" s="59"/>
      <c r="L237" s="59"/>
      <c r="M237" s="59"/>
      <c r="N237" s="59"/>
      <c r="O237" s="100"/>
      <c r="P237" s="100"/>
      <c r="Q237" s="100"/>
      <c r="R237" s="100"/>
      <c r="S237" s="100"/>
      <c r="T237" s="100"/>
      <c r="U237" s="100"/>
      <c r="V237" s="100"/>
      <c r="W237" s="100"/>
      <c r="X237" s="100"/>
      <c r="Y237" s="100"/>
      <c r="Z237" s="100"/>
    </row>
    <row r="238" ht="14.25" customHeight="1">
      <c r="A238" s="59"/>
      <c r="B238" s="59"/>
      <c r="C238" s="59"/>
      <c r="D238" s="59"/>
      <c r="E238" s="59"/>
      <c r="F238" s="59"/>
      <c r="G238" s="59"/>
      <c r="H238" s="59"/>
      <c r="I238" s="59"/>
      <c r="J238" s="59"/>
      <c r="K238" s="59"/>
      <c r="L238" s="59"/>
      <c r="M238" s="59"/>
      <c r="N238" s="59"/>
      <c r="O238" s="100"/>
      <c r="P238" s="100"/>
      <c r="Q238" s="100"/>
      <c r="R238" s="100"/>
      <c r="S238" s="100"/>
      <c r="T238" s="100"/>
      <c r="U238" s="100"/>
      <c r="V238" s="100"/>
      <c r="W238" s="100"/>
      <c r="X238" s="100"/>
      <c r="Y238" s="100"/>
      <c r="Z238" s="100"/>
    </row>
    <row r="239" ht="14.25" customHeight="1">
      <c r="A239" s="59"/>
      <c r="B239" s="59"/>
      <c r="C239" s="59"/>
      <c r="D239" s="59"/>
      <c r="E239" s="59"/>
      <c r="F239" s="59"/>
      <c r="G239" s="59"/>
      <c r="H239" s="59"/>
      <c r="I239" s="59"/>
      <c r="J239" s="59"/>
      <c r="K239" s="59"/>
      <c r="L239" s="59"/>
      <c r="M239" s="59"/>
      <c r="N239" s="59"/>
      <c r="O239" s="100"/>
      <c r="P239" s="100"/>
      <c r="Q239" s="100"/>
      <c r="R239" s="100"/>
      <c r="S239" s="100"/>
      <c r="T239" s="100"/>
      <c r="U239" s="100"/>
      <c r="V239" s="100"/>
      <c r="W239" s="100"/>
      <c r="X239" s="100"/>
      <c r="Y239" s="100"/>
      <c r="Z239" s="100"/>
    </row>
    <row r="240" ht="14.25" customHeight="1">
      <c r="A240" s="59"/>
      <c r="B240" s="59"/>
      <c r="C240" s="59"/>
      <c r="D240" s="59"/>
      <c r="E240" s="59"/>
      <c r="F240" s="59"/>
      <c r="G240" s="59"/>
      <c r="H240" s="59"/>
      <c r="I240" s="59"/>
      <c r="J240" s="59"/>
      <c r="K240" s="59"/>
      <c r="L240" s="59"/>
      <c r="M240" s="59"/>
      <c r="N240" s="59"/>
      <c r="O240" s="100"/>
      <c r="P240" s="100"/>
      <c r="Q240" s="100"/>
      <c r="R240" s="100"/>
      <c r="S240" s="100"/>
      <c r="T240" s="100"/>
      <c r="U240" s="100"/>
      <c r="V240" s="100"/>
      <c r="W240" s="100"/>
      <c r="X240" s="100"/>
      <c r="Y240" s="100"/>
      <c r="Z240" s="100"/>
    </row>
    <row r="241" ht="14.25" customHeight="1">
      <c r="A241" s="59"/>
      <c r="B241" s="59"/>
      <c r="C241" s="59"/>
      <c r="D241" s="59"/>
      <c r="E241" s="59"/>
      <c r="F241" s="59"/>
      <c r="G241" s="59"/>
      <c r="H241" s="59"/>
      <c r="I241" s="59"/>
      <c r="J241" s="59"/>
      <c r="K241" s="59"/>
      <c r="L241" s="59"/>
      <c r="M241" s="59"/>
      <c r="N241" s="59"/>
      <c r="O241" s="100"/>
      <c r="P241" s="100"/>
      <c r="Q241" s="100"/>
      <c r="R241" s="100"/>
      <c r="S241" s="100"/>
      <c r="T241" s="100"/>
      <c r="U241" s="100"/>
      <c r="V241" s="100"/>
      <c r="W241" s="100"/>
      <c r="X241" s="100"/>
      <c r="Y241" s="100"/>
      <c r="Z241" s="100"/>
    </row>
    <row r="242" ht="14.25" customHeight="1">
      <c r="A242" s="59"/>
      <c r="B242" s="59"/>
      <c r="C242" s="59"/>
      <c r="D242" s="59"/>
      <c r="E242" s="59"/>
      <c r="F242" s="59"/>
      <c r="G242" s="59"/>
      <c r="H242" s="59"/>
      <c r="I242" s="59"/>
      <c r="J242" s="59"/>
      <c r="K242" s="59"/>
      <c r="L242" s="59"/>
      <c r="M242" s="59"/>
      <c r="N242" s="59"/>
      <c r="O242" s="100"/>
      <c r="P242" s="100"/>
      <c r="Q242" s="100"/>
      <c r="R242" s="100"/>
      <c r="S242" s="100"/>
      <c r="T242" s="100"/>
      <c r="U242" s="100"/>
      <c r="V242" s="100"/>
      <c r="W242" s="100"/>
      <c r="X242" s="100"/>
      <c r="Y242" s="100"/>
      <c r="Z242" s="100"/>
    </row>
    <row r="243" ht="14.25" customHeight="1">
      <c r="A243" s="59"/>
      <c r="B243" s="59"/>
      <c r="C243" s="59"/>
      <c r="D243" s="59"/>
      <c r="E243" s="59"/>
      <c r="F243" s="59"/>
      <c r="G243" s="59"/>
      <c r="H243" s="59"/>
      <c r="I243" s="59"/>
      <c r="J243" s="59"/>
      <c r="K243" s="59"/>
      <c r="L243" s="59"/>
      <c r="M243" s="59"/>
      <c r="N243" s="59"/>
      <c r="O243" s="100"/>
      <c r="P243" s="100"/>
      <c r="Q243" s="100"/>
      <c r="R243" s="100"/>
      <c r="S243" s="100"/>
      <c r="T243" s="100"/>
      <c r="U243" s="100"/>
      <c r="V243" s="100"/>
      <c r="W243" s="100"/>
      <c r="X243" s="100"/>
      <c r="Y243" s="100"/>
      <c r="Z243" s="100"/>
    </row>
    <row r="244" ht="14.25" customHeight="1">
      <c r="A244" s="59"/>
      <c r="B244" s="59"/>
      <c r="C244" s="59"/>
      <c r="D244" s="59"/>
      <c r="E244" s="59"/>
      <c r="F244" s="59"/>
      <c r="G244" s="59"/>
      <c r="H244" s="59"/>
      <c r="I244" s="59"/>
      <c r="J244" s="59"/>
      <c r="K244" s="59"/>
      <c r="L244" s="59"/>
      <c r="M244" s="59"/>
      <c r="N244" s="59"/>
      <c r="O244" s="100"/>
      <c r="P244" s="100"/>
      <c r="Q244" s="100"/>
      <c r="R244" s="100"/>
      <c r="S244" s="100"/>
      <c r="T244" s="100"/>
      <c r="U244" s="100"/>
      <c r="V244" s="100"/>
      <c r="W244" s="100"/>
      <c r="X244" s="100"/>
      <c r="Y244" s="100"/>
      <c r="Z244" s="100"/>
    </row>
    <row r="245" ht="14.25" customHeight="1">
      <c r="A245" s="59"/>
      <c r="B245" s="59"/>
      <c r="C245" s="59"/>
      <c r="D245" s="59"/>
      <c r="E245" s="59"/>
      <c r="F245" s="59"/>
      <c r="G245" s="59"/>
      <c r="H245" s="59"/>
      <c r="I245" s="59"/>
      <c r="J245" s="59"/>
      <c r="K245" s="59"/>
      <c r="L245" s="59"/>
      <c r="M245" s="59"/>
      <c r="N245" s="59"/>
      <c r="O245" s="100"/>
      <c r="P245" s="100"/>
      <c r="Q245" s="100"/>
      <c r="R245" s="100"/>
      <c r="S245" s="100"/>
      <c r="T245" s="100"/>
      <c r="U245" s="100"/>
      <c r="V245" s="100"/>
      <c r="W245" s="100"/>
      <c r="X245" s="100"/>
      <c r="Y245" s="100"/>
      <c r="Z245" s="100"/>
    </row>
    <row r="246" ht="14.25" customHeight="1">
      <c r="A246" s="59"/>
      <c r="B246" s="59"/>
      <c r="C246" s="59"/>
      <c r="D246" s="59"/>
      <c r="E246" s="59"/>
      <c r="F246" s="59"/>
      <c r="G246" s="59"/>
      <c r="H246" s="59"/>
      <c r="I246" s="59"/>
      <c r="J246" s="59"/>
      <c r="K246" s="59"/>
      <c r="L246" s="59"/>
      <c r="M246" s="59"/>
      <c r="N246" s="59"/>
      <c r="O246" s="100"/>
      <c r="P246" s="100"/>
      <c r="Q246" s="100"/>
      <c r="R246" s="100"/>
      <c r="S246" s="100"/>
      <c r="T246" s="100"/>
      <c r="U246" s="100"/>
      <c r="V246" s="100"/>
      <c r="W246" s="100"/>
      <c r="X246" s="100"/>
      <c r="Y246" s="100"/>
      <c r="Z246" s="100"/>
    </row>
    <row r="247" ht="14.25" customHeight="1">
      <c r="A247" s="59"/>
      <c r="B247" s="59"/>
      <c r="C247" s="59"/>
      <c r="D247" s="59"/>
      <c r="E247" s="59"/>
      <c r="F247" s="59"/>
      <c r="G247" s="59"/>
      <c r="H247" s="59"/>
      <c r="I247" s="59"/>
      <c r="J247" s="59"/>
      <c r="K247" s="59"/>
      <c r="L247" s="59"/>
      <c r="M247" s="59"/>
      <c r="N247" s="59"/>
      <c r="O247" s="100"/>
      <c r="P247" s="100"/>
      <c r="Q247" s="100"/>
      <c r="R247" s="100"/>
      <c r="S247" s="100"/>
      <c r="T247" s="100"/>
      <c r="U247" s="100"/>
      <c r="V247" s="100"/>
      <c r="W247" s="100"/>
      <c r="X247" s="100"/>
      <c r="Y247" s="100"/>
      <c r="Z247" s="100"/>
    </row>
    <row r="248" ht="14.25" customHeight="1">
      <c r="A248" s="59"/>
      <c r="B248" s="59"/>
      <c r="C248" s="59"/>
      <c r="D248" s="59"/>
      <c r="E248" s="59"/>
      <c r="F248" s="59"/>
      <c r="G248" s="59"/>
      <c r="H248" s="59"/>
      <c r="I248" s="59"/>
      <c r="J248" s="59"/>
      <c r="K248" s="59"/>
      <c r="L248" s="59"/>
      <c r="M248" s="59"/>
      <c r="N248" s="59"/>
      <c r="O248" s="100"/>
      <c r="P248" s="100"/>
      <c r="Q248" s="100"/>
      <c r="R248" s="100"/>
      <c r="S248" s="100"/>
      <c r="T248" s="100"/>
      <c r="U248" s="100"/>
      <c r="V248" s="100"/>
      <c r="W248" s="100"/>
      <c r="X248" s="100"/>
      <c r="Y248" s="100"/>
      <c r="Z248" s="100"/>
    </row>
    <row r="249" ht="14.25" customHeight="1">
      <c r="A249" s="59"/>
      <c r="B249" s="59"/>
      <c r="C249" s="59"/>
      <c r="D249" s="59"/>
      <c r="E249" s="59"/>
      <c r="F249" s="59"/>
      <c r="G249" s="59"/>
      <c r="H249" s="59"/>
      <c r="I249" s="59"/>
      <c r="J249" s="59"/>
      <c r="K249" s="59"/>
      <c r="L249" s="59"/>
      <c r="M249" s="59"/>
      <c r="N249" s="59"/>
      <c r="O249" s="100"/>
      <c r="P249" s="100"/>
      <c r="Q249" s="100"/>
      <c r="R249" s="100"/>
      <c r="S249" s="100"/>
      <c r="T249" s="100"/>
      <c r="U249" s="100"/>
      <c r="V249" s="100"/>
      <c r="W249" s="100"/>
      <c r="X249" s="100"/>
      <c r="Y249" s="100"/>
      <c r="Z249" s="100"/>
    </row>
    <row r="250" ht="14.25" customHeight="1">
      <c r="A250" s="59"/>
      <c r="B250" s="59"/>
      <c r="C250" s="59"/>
      <c r="D250" s="59"/>
      <c r="E250" s="59"/>
      <c r="F250" s="59"/>
      <c r="G250" s="59"/>
      <c r="H250" s="59"/>
      <c r="I250" s="59"/>
      <c r="J250" s="59"/>
      <c r="K250" s="59"/>
      <c r="L250" s="59"/>
      <c r="M250" s="59"/>
      <c r="N250" s="59"/>
      <c r="O250" s="100"/>
      <c r="P250" s="100"/>
      <c r="Q250" s="100"/>
      <c r="R250" s="100"/>
      <c r="S250" s="100"/>
      <c r="T250" s="100"/>
      <c r="U250" s="100"/>
      <c r="V250" s="100"/>
      <c r="W250" s="100"/>
      <c r="X250" s="100"/>
      <c r="Y250" s="100"/>
      <c r="Z250" s="100"/>
    </row>
    <row r="251" ht="14.25" customHeight="1">
      <c r="A251" s="59"/>
      <c r="B251" s="59"/>
      <c r="C251" s="59"/>
      <c r="D251" s="59"/>
      <c r="E251" s="59"/>
      <c r="F251" s="59"/>
      <c r="G251" s="59"/>
      <c r="H251" s="59"/>
      <c r="I251" s="59"/>
      <c r="J251" s="59"/>
      <c r="K251" s="59"/>
      <c r="L251" s="59"/>
      <c r="M251" s="59"/>
      <c r="N251" s="59"/>
      <c r="O251" s="100"/>
      <c r="P251" s="100"/>
      <c r="Q251" s="100"/>
      <c r="R251" s="100"/>
      <c r="S251" s="100"/>
      <c r="T251" s="100"/>
      <c r="U251" s="100"/>
      <c r="V251" s="100"/>
      <c r="W251" s="100"/>
      <c r="X251" s="100"/>
      <c r="Y251" s="100"/>
      <c r="Z251" s="100"/>
    </row>
    <row r="252" ht="14.25" customHeight="1">
      <c r="A252" s="59"/>
      <c r="B252" s="59"/>
      <c r="C252" s="59"/>
      <c r="D252" s="59"/>
      <c r="E252" s="59"/>
      <c r="F252" s="59"/>
      <c r="G252" s="59"/>
      <c r="H252" s="59"/>
      <c r="I252" s="59"/>
      <c r="J252" s="59"/>
      <c r="K252" s="59"/>
      <c r="L252" s="59"/>
      <c r="M252" s="59"/>
      <c r="N252" s="59"/>
      <c r="O252" s="100"/>
      <c r="P252" s="100"/>
      <c r="Q252" s="100"/>
      <c r="R252" s="100"/>
      <c r="S252" s="100"/>
      <c r="T252" s="100"/>
      <c r="U252" s="100"/>
      <c r="V252" s="100"/>
      <c r="W252" s="100"/>
      <c r="X252" s="100"/>
      <c r="Y252" s="100"/>
      <c r="Z252" s="100"/>
    </row>
    <row r="253" ht="14.25" customHeight="1">
      <c r="A253" s="59"/>
      <c r="B253" s="59"/>
      <c r="C253" s="59"/>
      <c r="D253" s="59"/>
      <c r="E253" s="59"/>
      <c r="F253" s="59"/>
      <c r="G253" s="59"/>
      <c r="H253" s="59"/>
      <c r="I253" s="59"/>
      <c r="J253" s="59"/>
      <c r="K253" s="59"/>
      <c r="L253" s="59"/>
      <c r="M253" s="59"/>
      <c r="N253" s="59"/>
      <c r="O253" s="100"/>
      <c r="P253" s="100"/>
      <c r="Q253" s="100"/>
      <c r="R253" s="100"/>
      <c r="S253" s="100"/>
      <c r="T253" s="100"/>
      <c r="U253" s="100"/>
      <c r="V253" s="100"/>
      <c r="W253" s="100"/>
      <c r="X253" s="100"/>
      <c r="Y253" s="100"/>
      <c r="Z253" s="100"/>
    </row>
    <row r="254" ht="14.25" customHeight="1">
      <c r="A254" s="59"/>
      <c r="B254" s="59"/>
      <c r="C254" s="59"/>
      <c r="D254" s="59"/>
      <c r="E254" s="59"/>
      <c r="F254" s="59"/>
      <c r="G254" s="59"/>
      <c r="H254" s="59"/>
      <c r="I254" s="59"/>
      <c r="J254" s="59"/>
      <c r="K254" s="59"/>
      <c r="L254" s="59"/>
      <c r="M254" s="59"/>
      <c r="N254" s="59"/>
      <c r="O254" s="100"/>
      <c r="P254" s="100"/>
      <c r="Q254" s="100"/>
      <c r="R254" s="100"/>
      <c r="S254" s="100"/>
      <c r="T254" s="100"/>
      <c r="U254" s="100"/>
      <c r="V254" s="100"/>
      <c r="W254" s="100"/>
      <c r="X254" s="100"/>
      <c r="Y254" s="100"/>
      <c r="Z254" s="100"/>
    </row>
    <row r="255" ht="14.25" customHeight="1">
      <c r="A255" s="59"/>
      <c r="B255" s="59"/>
      <c r="C255" s="59"/>
      <c r="D255" s="59"/>
      <c r="E255" s="59"/>
      <c r="F255" s="59"/>
      <c r="G255" s="59"/>
      <c r="H255" s="59"/>
      <c r="I255" s="59"/>
      <c r="J255" s="59"/>
      <c r="K255" s="59"/>
      <c r="L255" s="59"/>
      <c r="M255" s="59"/>
      <c r="N255" s="59"/>
      <c r="O255" s="100"/>
      <c r="P255" s="100"/>
      <c r="Q255" s="100"/>
      <c r="R255" s="100"/>
      <c r="S255" s="100"/>
      <c r="T255" s="100"/>
      <c r="U255" s="100"/>
      <c r="V255" s="100"/>
      <c r="W255" s="100"/>
      <c r="X255" s="100"/>
      <c r="Y255" s="100"/>
      <c r="Z255" s="100"/>
    </row>
    <row r="256" ht="14.25" customHeight="1">
      <c r="A256" s="59"/>
      <c r="B256" s="59"/>
      <c r="C256" s="59"/>
      <c r="D256" s="59"/>
      <c r="E256" s="59"/>
      <c r="F256" s="59"/>
      <c r="G256" s="59"/>
      <c r="H256" s="59"/>
      <c r="I256" s="59"/>
      <c r="J256" s="59"/>
      <c r="K256" s="59"/>
      <c r="L256" s="59"/>
      <c r="M256" s="59"/>
      <c r="N256" s="59"/>
      <c r="O256" s="100"/>
      <c r="P256" s="100"/>
      <c r="Q256" s="100"/>
      <c r="R256" s="100"/>
      <c r="S256" s="100"/>
      <c r="T256" s="100"/>
      <c r="U256" s="100"/>
      <c r="V256" s="100"/>
      <c r="W256" s="100"/>
      <c r="X256" s="100"/>
      <c r="Y256" s="100"/>
      <c r="Z256" s="100"/>
    </row>
    <row r="257" ht="14.25" customHeight="1">
      <c r="A257" s="59"/>
      <c r="B257" s="59"/>
      <c r="C257" s="59"/>
      <c r="D257" s="59"/>
      <c r="E257" s="59"/>
      <c r="F257" s="59"/>
      <c r="G257" s="59"/>
      <c r="H257" s="59"/>
      <c r="I257" s="59"/>
      <c r="J257" s="59"/>
      <c r="K257" s="59"/>
      <c r="L257" s="59"/>
      <c r="M257" s="59"/>
      <c r="N257" s="59"/>
      <c r="O257" s="100"/>
      <c r="P257" s="100"/>
      <c r="Q257" s="100"/>
      <c r="R257" s="100"/>
      <c r="S257" s="100"/>
      <c r="T257" s="100"/>
      <c r="U257" s="100"/>
      <c r="V257" s="100"/>
      <c r="W257" s="100"/>
      <c r="X257" s="100"/>
      <c r="Y257" s="100"/>
      <c r="Z257" s="100"/>
    </row>
    <row r="258" ht="14.25" customHeight="1">
      <c r="A258" s="59"/>
      <c r="B258" s="59"/>
      <c r="C258" s="59"/>
      <c r="D258" s="59"/>
      <c r="E258" s="59"/>
      <c r="F258" s="59"/>
      <c r="G258" s="59"/>
      <c r="H258" s="59"/>
      <c r="I258" s="59"/>
      <c r="J258" s="59"/>
      <c r="K258" s="59"/>
      <c r="L258" s="59"/>
      <c r="M258" s="59"/>
      <c r="N258" s="59"/>
      <c r="O258" s="100"/>
      <c r="P258" s="100"/>
      <c r="Q258" s="100"/>
      <c r="R258" s="100"/>
      <c r="S258" s="100"/>
      <c r="T258" s="100"/>
      <c r="U258" s="100"/>
      <c r="V258" s="100"/>
      <c r="W258" s="100"/>
      <c r="X258" s="100"/>
      <c r="Y258" s="100"/>
      <c r="Z258" s="100"/>
    </row>
    <row r="259" ht="14.25" customHeight="1">
      <c r="A259" s="59"/>
      <c r="B259" s="59"/>
      <c r="C259" s="59"/>
      <c r="D259" s="59"/>
      <c r="E259" s="59"/>
      <c r="F259" s="59"/>
      <c r="G259" s="59"/>
      <c r="H259" s="59"/>
      <c r="I259" s="59"/>
      <c r="J259" s="59"/>
      <c r="K259" s="59"/>
      <c r="L259" s="59"/>
      <c r="M259" s="59"/>
      <c r="N259" s="59"/>
      <c r="O259" s="100"/>
      <c r="P259" s="100"/>
      <c r="Q259" s="100"/>
      <c r="R259" s="100"/>
      <c r="S259" s="100"/>
      <c r="T259" s="100"/>
      <c r="U259" s="100"/>
      <c r="V259" s="100"/>
      <c r="W259" s="100"/>
      <c r="X259" s="100"/>
      <c r="Y259" s="100"/>
      <c r="Z259" s="100"/>
    </row>
    <row r="260" ht="14.25" customHeight="1">
      <c r="A260" s="59"/>
      <c r="B260" s="59"/>
      <c r="C260" s="59"/>
      <c r="D260" s="59"/>
      <c r="E260" s="59"/>
      <c r="F260" s="59"/>
      <c r="G260" s="59"/>
      <c r="H260" s="59"/>
      <c r="I260" s="59"/>
      <c r="J260" s="59"/>
      <c r="K260" s="59"/>
      <c r="L260" s="59"/>
      <c r="M260" s="59"/>
      <c r="N260" s="59"/>
      <c r="O260" s="100"/>
      <c r="P260" s="100"/>
      <c r="Q260" s="100"/>
      <c r="R260" s="100"/>
      <c r="S260" s="100"/>
      <c r="T260" s="100"/>
      <c r="U260" s="100"/>
      <c r="V260" s="100"/>
      <c r="W260" s="100"/>
      <c r="X260" s="100"/>
      <c r="Y260" s="100"/>
      <c r="Z260" s="100"/>
    </row>
    <row r="261" ht="14.25" customHeight="1">
      <c r="A261" s="59"/>
      <c r="B261" s="59"/>
      <c r="C261" s="59"/>
      <c r="D261" s="59"/>
      <c r="E261" s="59"/>
      <c r="F261" s="59"/>
      <c r="G261" s="59"/>
      <c r="H261" s="59"/>
      <c r="I261" s="59"/>
      <c r="J261" s="59"/>
      <c r="K261" s="59"/>
      <c r="L261" s="59"/>
      <c r="M261" s="59"/>
      <c r="N261" s="59"/>
      <c r="O261" s="100"/>
      <c r="P261" s="100"/>
      <c r="Q261" s="100"/>
      <c r="R261" s="100"/>
      <c r="S261" s="100"/>
      <c r="T261" s="100"/>
      <c r="U261" s="100"/>
      <c r="V261" s="100"/>
      <c r="W261" s="100"/>
      <c r="X261" s="100"/>
      <c r="Y261" s="100"/>
      <c r="Z261" s="100"/>
    </row>
    <row r="262" ht="14.25" customHeight="1">
      <c r="A262" s="59"/>
      <c r="B262" s="59"/>
      <c r="C262" s="59"/>
      <c r="D262" s="59"/>
      <c r="E262" s="59"/>
      <c r="F262" s="59"/>
      <c r="G262" s="59"/>
      <c r="H262" s="59"/>
      <c r="I262" s="59"/>
      <c r="J262" s="59"/>
      <c r="K262" s="59"/>
      <c r="L262" s="59"/>
      <c r="M262" s="59"/>
      <c r="N262" s="59"/>
      <c r="O262" s="100"/>
      <c r="P262" s="100"/>
      <c r="Q262" s="100"/>
      <c r="R262" s="100"/>
      <c r="S262" s="100"/>
      <c r="T262" s="100"/>
      <c r="U262" s="100"/>
      <c r="V262" s="100"/>
      <c r="W262" s="100"/>
      <c r="X262" s="100"/>
      <c r="Y262" s="100"/>
      <c r="Z262" s="100"/>
    </row>
    <row r="263" ht="14.25" customHeight="1">
      <c r="A263" s="59"/>
      <c r="B263" s="59"/>
      <c r="C263" s="59"/>
      <c r="D263" s="59"/>
      <c r="E263" s="59"/>
      <c r="F263" s="59"/>
      <c r="G263" s="59"/>
      <c r="H263" s="59"/>
      <c r="I263" s="59"/>
      <c r="J263" s="59"/>
      <c r="K263" s="59"/>
      <c r="L263" s="59"/>
      <c r="M263" s="59"/>
      <c r="N263" s="59"/>
      <c r="O263" s="100"/>
      <c r="P263" s="100"/>
      <c r="Q263" s="100"/>
      <c r="R263" s="100"/>
      <c r="S263" s="100"/>
      <c r="T263" s="100"/>
      <c r="U263" s="100"/>
      <c r="V263" s="100"/>
      <c r="W263" s="100"/>
      <c r="X263" s="100"/>
      <c r="Y263" s="100"/>
      <c r="Z263" s="100"/>
    </row>
    <row r="264" ht="14.25" customHeight="1">
      <c r="A264" s="59"/>
      <c r="B264" s="59"/>
      <c r="C264" s="59"/>
      <c r="D264" s="59"/>
      <c r="E264" s="59"/>
      <c r="F264" s="59"/>
      <c r="G264" s="59"/>
      <c r="H264" s="59"/>
      <c r="I264" s="59"/>
      <c r="J264" s="59"/>
      <c r="K264" s="59"/>
      <c r="L264" s="59"/>
      <c r="M264" s="59"/>
      <c r="N264" s="59"/>
      <c r="O264" s="100"/>
      <c r="P264" s="100"/>
      <c r="Q264" s="100"/>
      <c r="R264" s="100"/>
      <c r="S264" s="100"/>
      <c r="T264" s="100"/>
      <c r="U264" s="100"/>
      <c r="V264" s="100"/>
      <c r="W264" s="100"/>
      <c r="X264" s="100"/>
      <c r="Y264" s="100"/>
      <c r="Z264" s="100"/>
    </row>
    <row r="265" ht="14.25" customHeight="1">
      <c r="A265" s="59"/>
      <c r="B265" s="59"/>
      <c r="C265" s="59"/>
      <c r="D265" s="59"/>
      <c r="E265" s="59"/>
      <c r="F265" s="59"/>
      <c r="G265" s="59"/>
      <c r="H265" s="59"/>
      <c r="I265" s="59"/>
      <c r="J265" s="59"/>
      <c r="K265" s="59"/>
      <c r="L265" s="59"/>
      <c r="M265" s="59"/>
      <c r="N265" s="59"/>
      <c r="O265" s="100"/>
      <c r="P265" s="100"/>
      <c r="Q265" s="100"/>
      <c r="R265" s="100"/>
      <c r="S265" s="100"/>
      <c r="T265" s="100"/>
      <c r="U265" s="100"/>
      <c r="V265" s="100"/>
      <c r="W265" s="100"/>
      <c r="X265" s="100"/>
      <c r="Y265" s="100"/>
      <c r="Z265" s="100"/>
    </row>
    <row r="266" ht="14.25" customHeight="1">
      <c r="A266" s="59"/>
      <c r="B266" s="59"/>
      <c r="C266" s="59"/>
      <c r="D266" s="59"/>
      <c r="E266" s="59"/>
      <c r="F266" s="59"/>
      <c r="G266" s="59"/>
      <c r="H266" s="59"/>
      <c r="I266" s="59"/>
      <c r="J266" s="59"/>
      <c r="K266" s="59"/>
      <c r="L266" s="59"/>
      <c r="M266" s="59"/>
      <c r="N266" s="59"/>
      <c r="O266" s="100"/>
      <c r="P266" s="100"/>
      <c r="Q266" s="100"/>
      <c r="R266" s="100"/>
      <c r="S266" s="100"/>
      <c r="T266" s="100"/>
      <c r="U266" s="100"/>
      <c r="V266" s="100"/>
      <c r="W266" s="100"/>
      <c r="X266" s="100"/>
      <c r="Y266" s="100"/>
      <c r="Z266" s="100"/>
    </row>
    <row r="267" ht="14.25" customHeight="1">
      <c r="A267" s="59"/>
      <c r="B267" s="59"/>
      <c r="C267" s="59"/>
      <c r="D267" s="59"/>
      <c r="E267" s="59"/>
      <c r="F267" s="59"/>
      <c r="G267" s="59"/>
      <c r="H267" s="59"/>
      <c r="I267" s="59"/>
      <c r="J267" s="59"/>
      <c r="K267" s="59"/>
      <c r="L267" s="59"/>
      <c r="M267" s="59"/>
      <c r="N267" s="59"/>
      <c r="O267" s="100"/>
      <c r="P267" s="100"/>
      <c r="Q267" s="100"/>
      <c r="R267" s="100"/>
      <c r="S267" s="100"/>
      <c r="T267" s="100"/>
      <c r="U267" s="100"/>
      <c r="V267" s="100"/>
      <c r="W267" s="100"/>
      <c r="X267" s="100"/>
      <c r="Y267" s="100"/>
      <c r="Z267" s="100"/>
    </row>
    <row r="268" ht="14.25" customHeight="1">
      <c r="A268" s="59"/>
      <c r="B268" s="59"/>
      <c r="C268" s="59"/>
      <c r="D268" s="59"/>
      <c r="E268" s="59"/>
      <c r="F268" s="59"/>
      <c r="G268" s="59"/>
      <c r="H268" s="59"/>
      <c r="I268" s="59"/>
      <c r="J268" s="59"/>
      <c r="K268" s="59"/>
      <c r="L268" s="59"/>
      <c r="M268" s="59"/>
      <c r="N268" s="59"/>
      <c r="O268" s="100"/>
      <c r="P268" s="100"/>
      <c r="Q268" s="100"/>
      <c r="R268" s="100"/>
      <c r="S268" s="100"/>
      <c r="T268" s="100"/>
      <c r="U268" s="100"/>
      <c r="V268" s="100"/>
      <c r="W268" s="100"/>
      <c r="X268" s="100"/>
      <c r="Y268" s="100"/>
      <c r="Z268" s="100"/>
    </row>
    <row r="269" ht="14.25" customHeight="1">
      <c r="A269" s="59"/>
      <c r="B269" s="59"/>
      <c r="C269" s="59"/>
      <c r="D269" s="59"/>
      <c r="E269" s="59"/>
      <c r="F269" s="59"/>
      <c r="G269" s="59"/>
      <c r="H269" s="59"/>
      <c r="I269" s="59"/>
      <c r="J269" s="59"/>
      <c r="K269" s="59"/>
      <c r="L269" s="59"/>
      <c r="M269" s="59"/>
      <c r="N269" s="59"/>
      <c r="O269" s="100"/>
      <c r="P269" s="100"/>
      <c r="Q269" s="100"/>
      <c r="R269" s="100"/>
      <c r="S269" s="100"/>
      <c r="T269" s="100"/>
      <c r="U269" s="100"/>
      <c r="V269" s="100"/>
      <c r="W269" s="100"/>
      <c r="X269" s="100"/>
      <c r="Y269" s="100"/>
      <c r="Z269" s="100"/>
    </row>
    <row r="270" ht="14.25" customHeight="1">
      <c r="A270" s="59"/>
      <c r="B270" s="59"/>
      <c r="C270" s="59"/>
      <c r="D270" s="59"/>
      <c r="E270" s="59"/>
      <c r="F270" s="59"/>
      <c r="G270" s="59"/>
      <c r="H270" s="59"/>
      <c r="I270" s="59"/>
      <c r="J270" s="59"/>
      <c r="K270" s="59"/>
      <c r="L270" s="59"/>
      <c r="M270" s="59"/>
      <c r="N270" s="59"/>
      <c r="O270" s="100"/>
      <c r="P270" s="100"/>
      <c r="Q270" s="100"/>
      <c r="R270" s="100"/>
      <c r="S270" s="100"/>
      <c r="T270" s="100"/>
      <c r="U270" s="100"/>
      <c r="V270" s="100"/>
      <c r="W270" s="100"/>
      <c r="X270" s="100"/>
      <c r="Y270" s="100"/>
      <c r="Z270" s="100"/>
    </row>
    <row r="271" ht="14.25" customHeight="1">
      <c r="A271" s="59"/>
      <c r="B271" s="59"/>
      <c r="C271" s="59"/>
      <c r="D271" s="59"/>
      <c r="E271" s="59"/>
      <c r="F271" s="59"/>
      <c r="G271" s="59"/>
      <c r="H271" s="59"/>
      <c r="I271" s="59"/>
      <c r="J271" s="59"/>
      <c r="K271" s="59"/>
      <c r="L271" s="59"/>
      <c r="M271" s="59"/>
      <c r="N271" s="59"/>
      <c r="O271" s="100"/>
      <c r="P271" s="100"/>
      <c r="Q271" s="100"/>
      <c r="R271" s="100"/>
      <c r="S271" s="100"/>
      <c r="T271" s="100"/>
      <c r="U271" s="100"/>
      <c r="V271" s="100"/>
      <c r="W271" s="100"/>
      <c r="X271" s="100"/>
      <c r="Y271" s="100"/>
      <c r="Z271" s="100"/>
    </row>
    <row r="272" ht="14.25" customHeight="1">
      <c r="A272" s="59"/>
      <c r="B272" s="59"/>
      <c r="C272" s="59"/>
      <c r="D272" s="59"/>
      <c r="E272" s="59"/>
      <c r="F272" s="59"/>
      <c r="G272" s="59"/>
      <c r="H272" s="59"/>
      <c r="I272" s="59"/>
      <c r="J272" s="59"/>
      <c r="K272" s="59"/>
      <c r="L272" s="59"/>
      <c r="M272" s="59"/>
      <c r="N272" s="59"/>
      <c r="O272" s="100"/>
      <c r="P272" s="100"/>
      <c r="Q272" s="100"/>
      <c r="R272" s="100"/>
      <c r="S272" s="100"/>
      <c r="T272" s="100"/>
      <c r="U272" s="100"/>
      <c r="V272" s="100"/>
      <c r="W272" s="100"/>
      <c r="X272" s="100"/>
      <c r="Y272" s="100"/>
      <c r="Z272" s="100"/>
    </row>
    <row r="273" ht="14.25" customHeight="1">
      <c r="A273" s="59"/>
      <c r="B273" s="59"/>
      <c r="C273" s="59"/>
      <c r="D273" s="59"/>
      <c r="E273" s="59"/>
      <c r="F273" s="59"/>
      <c r="G273" s="59"/>
      <c r="H273" s="59"/>
      <c r="I273" s="59"/>
      <c r="J273" s="59"/>
      <c r="K273" s="59"/>
      <c r="L273" s="59"/>
      <c r="M273" s="59"/>
      <c r="N273" s="59"/>
      <c r="O273" s="100"/>
      <c r="P273" s="100"/>
      <c r="Q273" s="100"/>
      <c r="R273" s="100"/>
      <c r="S273" s="100"/>
      <c r="T273" s="100"/>
      <c r="U273" s="100"/>
      <c r="V273" s="100"/>
      <c r="W273" s="100"/>
      <c r="X273" s="100"/>
      <c r="Y273" s="100"/>
      <c r="Z273" s="100"/>
    </row>
    <row r="274" ht="14.25" customHeight="1">
      <c r="A274" s="59"/>
      <c r="B274" s="59"/>
      <c r="C274" s="59"/>
      <c r="D274" s="59"/>
      <c r="E274" s="59"/>
      <c r="F274" s="59"/>
      <c r="G274" s="59"/>
      <c r="H274" s="59"/>
      <c r="I274" s="59"/>
      <c r="J274" s="59"/>
      <c r="K274" s="59"/>
      <c r="L274" s="59"/>
      <c r="M274" s="59"/>
      <c r="N274" s="59"/>
      <c r="O274" s="100"/>
      <c r="P274" s="100"/>
      <c r="Q274" s="100"/>
      <c r="R274" s="100"/>
      <c r="S274" s="100"/>
      <c r="T274" s="100"/>
      <c r="U274" s="100"/>
      <c r="V274" s="100"/>
      <c r="W274" s="100"/>
      <c r="X274" s="100"/>
      <c r="Y274" s="100"/>
      <c r="Z274" s="100"/>
    </row>
    <row r="275" ht="14.25" customHeight="1">
      <c r="A275" s="59"/>
      <c r="B275" s="59"/>
      <c r="C275" s="59"/>
      <c r="D275" s="59"/>
      <c r="E275" s="59"/>
      <c r="F275" s="59"/>
      <c r="G275" s="59"/>
      <c r="H275" s="59"/>
      <c r="I275" s="59"/>
      <c r="J275" s="59"/>
      <c r="K275" s="59"/>
      <c r="L275" s="59"/>
      <c r="M275" s="59"/>
      <c r="N275" s="59"/>
      <c r="O275" s="100"/>
      <c r="P275" s="100"/>
      <c r="Q275" s="100"/>
      <c r="R275" s="100"/>
      <c r="S275" s="100"/>
      <c r="T275" s="100"/>
      <c r="U275" s="100"/>
      <c r="V275" s="100"/>
      <c r="W275" s="100"/>
      <c r="X275" s="100"/>
      <c r="Y275" s="100"/>
      <c r="Z275" s="100"/>
    </row>
    <row r="276" ht="14.25" customHeight="1">
      <c r="A276" s="59"/>
      <c r="B276" s="59"/>
      <c r="C276" s="59"/>
      <c r="D276" s="59"/>
      <c r="E276" s="59"/>
      <c r="F276" s="59"/>
      <c r="G276" s="59"/>
      <c r="H276" s="59"/>
      <c r="I276" s="59"/>
      <c r="J276" s="59"/>
      <c r="K276" s="59"/>
      <c r="L276" s="59"/>
      <c r="M276" s="59"/>
      <c r="N276" s="59"/>
      <c r="O276" s="100"/>
      <c r="P276" s="100"/>
      <c r="Q276" s="100"/>
      <c r="R276" s="100"/>
      <c r="S276" s="100"/>
      <c r="T276" s="100"/>
      <c r="U276" s="100"/>
      <c r="V276" s="100"/>
      <c r="W276" s="100"/>
      <c r="X276" s="100"/>
      <c r="Y276" s="100"/>
      <c r="Z276" s="100"/>
    </row>
    <row r="277" ht="14.25" customHeight="1">
      <c r="A277" s="59"/>
      <c r="B277" s="59"/>
      <c r="C277" s="59"/>
      <c r="D277" s="59"/>
      <c r="E277" s="59"/>
      <c r="F277" s="59"/>
      <c r="G277" s="59"/>
      <c r="H277" s="59"/>
      <c r="I277" s="59"/>
      <c r="J277" s="59"/>
      <c r="K277" s="59"/>
      <c r="L277" s="59"/>
      <c r="M277" s="59"/>
      <c r="N277" s="59"/>
      <c r="O277" s="100"/>
      <c r="P277" s="100"/>
      <c r="Q277" s="100"/>
      <c r="R277" s="100"/>
      <c r="S277" s="100"/>
      <c r="T277" s="100"/>
      <c r="U277" s="100"/>
      <c r="V277" s="100"/>
      <c r="W277" s="100"/>
      <c r="X277" s="100"/>
      <c r="Y277" s="100"/>
      <c r="Z277" s="100"/>
    </row>
    <row r="278" ht="14.25" customHeight="1">
      <c r="A278" s="59"/>
      <c r="B278" s="59"/>
      <c r="C278" s="59"/>
      <c r="D278" s="59"/>
      <c r="E278" s="59"/>
      <c r="F278" s="59"/>
      <c r="G278" s="59"/>
      <c r="H278" s="59"/>
      <c r="I278" s="59"/>
      <c r="J278" s="59"/>
      <c r="K278" s="59"/>
      <c r="L278" s="59"/>
      <c r="M278" s="59"/>
      <c r="N278" s="59"/>
      <c r="O278" s="100"/>
      <c r="P278" s="100"/>
      <c r="Q278" s="100"/>
      <c r="R278" s="100"/>
      <c r="S278" s="100"/>
      <c r="T278" s="100"/>
      <c r="U278" s="100"/>
      <c r="V278" s="100"/>
      <c r="W278" s="100"/>
      <c r="X278" s="100"/>
      <c r="Y278" s="100"/>
      <c r="Z278" s="100"/>
    </row>
    <row r="279" ht="14.25" customHeight="1">
      <c r="A279" s="59"/>
      <c r="B279" s="59"/>
      <c r="C279" s="59"/>
      <c r="D279" s="59"/>
      <c r="E279" s="59"/>
      <c r="F279" s="59"/>
      <c r="G279" s="59"/>
      <c r="H279" s="59"/>
      <c r="I279" s="59"/>
      <c r="J279" s="59"/>
      <c r="K279" s="59"/>
      <c r="L279" s="59"/>
      <c r="M279" s="59"/>
      <c r="N279" s="59"/>
      <c r="O279" s="100"/>
      <c r="P279" s="100"/>
      <c r="Q279" s="100"/>
      <c r="R279" s="100"/>
      <c r="S279" s="100"/>
      <c r="T279" s="100"/>
      <c r="U279" s="100"/>
      <c r="V279" s="100"/>
      <c r="W279" s="100"/>
      <c r="X279" s="100"/>
      <c r="Y279" s="100"/>
      <c r="Z279" s="100"/>
    </row>
    <row r="280" ht="14.25" customHeight="1">
      <c r="A280" s="59"/>
      <c r="B280" s="59"/>
      <c r="C280" s="59"/>
      <c r="D280" s="59"/>
      <c r="E280" s="59"/>
      <c r="F280" s="59"/>
      <c r="G280" s="59"/>
      <c r="H280" s="59"/>
      <c r="I280" s="59"/>
      <c r="J280" s="59"/>
      <c r="K280" s="59"/>
      <c r="L280" s="59"/>
      <c r="M280" s="59"/>
      <c r="N280" s="59"/>
      <c r="O280" s="100"/>
      <c r="P280" s="100"/>
      <c r="Q280" s="100"/>
      <c r="R280" s="100"/>
      <c r="S280" s="100"/>
      <c r="T280" s="100"/>
      <c r="U280" s="100"/>
      <c r="V280" s="100"/>
      <c r="W280" s="100"/>
      <c r="X280" s="100"/>
      <c r="Y280" s="100"/>
      <c r="Z280" s="100"/>
    </row>
    <row r="281" ht="14.25" customHeight="1">
      <c r="A281" s="59"/>
      <c r="B281" s="59"/>
      <c r="C281" s="59"/>
      <c r="D281" s="59"/>
      <c r="E281" s="59"/>
      <c r="F281" s="59"/>
      <c r="G281" s="59"/>
      <c r="H281" s="59"/>
      <c r="I281" s="59"/>
      <c r="J281" s="59"/>
      <c r="K281" s="59"/>
      <c r="L281" s="59"/>
      <c r="M281" s="59"/>
      <c r="N281" s="59"/>
      <c r="O281" s="100"/>
      <c r="P281" s="100"/>
      <c r="Q281" s="100"/>
      <c r="R281" s="100"/>
      <c r="S281" s="100"/>
      <c r="T281" s="100"/>
      <c r="U281" s="100"/>
      <c r="V281" s="100"/>
      <c r="W281" s="100"/>
      <c r="X281" s="100"/>
      <c r="Y281" s="100"/>
      <c r="Z281" s="100"/>
    </row>
    <row r="282" ht="14.25" customHeight="1">
      <c r="A282" s="59"/>
      <c r="B282" s="59"/>
      <c r="C282" s="59"/>
      <c r="D282" s="59"/>
      <c r="E282" s="59"/>
      <c r="F282" s="59"/>
      <c r="G282" s="59"/>
      <c r="H282" s="59"/>
      <c r="I282" s="59"/>
      <c r="J282" s="59"/>
      <c r="K282" s="59"/>
      <c r="L282" s="59"/>
      <c r="M282" s="59"/>
      <c r="N282" s="59"/>
      <c r="O282" s="100"/>
      <c r="P282" s="100"/>
      <c r="Q282" s="100"/>
      <c r="R282" s="100"/>
      <c r="S282" s="100"/>
      <c r="T282" s="100"/>
      <c r="U282" s="100"/>
      <c r="V282" s="100"/>
      <c r="W282" s="100"/>
      <c r="X282" s="100"/>
      <c r="Y282" s="100"/>
      <c r="Z282" s="100"/>
    </row>
    <row r="283" ht="14.25" customHeight="1">
      <c r="A283" s="59"/>
      <c r="B283" s="59"/>
      <c r="C283" s="59"/>
      <c r="D283" s="59"/>
      <c r="E283" s="59"/>
      <c r="F283" s="59"/>
      <c r="G283" s="59"/>
      <c r="H283" s="59"/>
      <c r="I283" s="59"/>
      <c r="J283" s="59"/>
      <c r="K283" s="59"/>
      <c r="L283" s="59"/>
      <c r="M283" s="59"/>
      <c r="N283" s="59"/>
      <c r="O283" s="100"/>
      <c r="P283" s="100"/>
      <c r="Q283" s="100"/>
      <c r="R283" s="100"/>
      <c r="S283" s="100"/>
      <c r="T283" s="100"/>
      <c r="U283" s="100"/>
      <c r="V283" s="100"/>
      <c r="W283" s="100"/>
      <c r="X283" s="100"/>
      <c r="Y283" s="100"/>
      <c r="Z283" s="100"/>
    </row>
    <row r="284" ht="14.25" customHeight="1">
      <c r="A284" s="59"/>
      <c r="B284" s="59"/>
      <c r="C284" s="59"/>
      <c r="D284" s="59"/>
      <c r="E284" s="59"/>
      <c r="F284" s="59"/>
      <c r="G284" s="59"/>
      <c r="H284" s="59"/>
      <c r="I284" s="59"/>
      <c r="J284" s="59"/>
      <c r="K284" s="59"/>
      <c r="L284" s="59"/>
      <c r="M284" s="59"/>
      <c r="N284" s="59"/>
      <c r="O284" s="100"/>
      <c r="P284" s="100"/>
      <c r="Q284" s="100"/>
      <c r="R284" s="100"/>
      <c r="S284" s="100"/>
      <c r="T284" s="100"/>
      <c r="U284" s="100"/>
      <c r="V284" s="100"/>
      <c r="W284" s="100"/>
      <c r="X284" s="100"/>
      <c r="Y284" s="100"/>
      <c r="Z284" s="100"/>
    </row>
    <row r="285" ht="14.25" customHeight="1">
      <c r="A285" s="59"/>
      <c r="B285" s="59"/>
      <c r="C285" s="59"/>
      <c r="D285" s="59"/>
      <c r="E285" s="59"/>
      <c r="F285" s="59"/>
      <c r="G285" s="59"/>
      <c r="H285" s="59"/>
      <c r="I285" s="59"/>
      <c r="J285" s="59"/>
      <c r="K285" s="59"/>
      <c r="L285" s="59"/>
      <c r="M285" s="59"/>
      <c r="N285" s="59"/>
      <c r="O285" s="100"/>
      <c r="P285" s="100"/>
      <c r="Q285" s="100"/>
      <c r="R285" s="100"/>
      <c r="S285" s="100"/>
      <c r="T285" s="100"/>
      <c r="U285" s="100"/>
      <c r="V285" s="100"/>
      <c r="W285" s="100"/>
      <c r="X285" s="100"/>
      <c r="Y285" s="100"/>
      <c r="Z285" s="100"/>
    </row>
    <row r="286" ht="14.25" customHeight="1">
      <c r="A286" s="59"/>
      <c r="B286" s="59"/>
      <c r="C286" s="59"/>
      <c r="D286" s="59"/>
      <c r="E286" s="59"/>
      <c r="F286" s="59"/>
      <c r="G286" s="59"/>
      <c r="H286" s="59"/>
      <c r="I286" s="59"/>
      <c r="J286" s="59"/>
      <c r="K286" s="59"/>
      <c r="L286" s="59"/>
      <c r="M286" s="59"/>
      <c r="N286" s="59"/>
      <c r="O286" s="100"/>
      <c r="P286" s="100"/>
      <c r="Q286" s="100"/>
      <c r="R286" s="100"/>
      <c r="S286" s="100"/>
      <c r="T286" s="100"/>
      <c r="U286" s="100"/>
      <c r="V286" s="100"/>
      <c r="W286" s="100"/>
      <c r="X286" s="100"/>
      <c r="Y286" s="100"/>
      <c r="Z286" s="100"/>
    </row>
    <row r="287" ht="14.25" customHeight="1">
      <c r="A287" s="59"/>
      <c r="B287" s="59"/>
      <c r="C287" s="59"/>
      <c r="D287" s="59"/>
      <c r="E287" s="59"/>
      <c r="F287" s="59"/>
      <c r="G287" s="59"/>
      <c r="H287" s="59"/>
      <c r="I287" s="59"/>
      <c r="J287" s="59"/>
      <c r="K287" s="59"/>
      <c r="L287" s="59"/>
      <c r="M287" s="59"/>
      <c r="N287" s="59"/>
      <c r="O287" s="100"/>
      <c r="P287" s="100"/>
      <c r="Q287" s="100"/>
      <c r="R287" s="100"/>
      <c r="S287" s="100"/>
      <c r="T287" s="100"/>
      <c r="U287" s="100"/>
      <c r="V287" s="100"/>
      <c r="W287" s="100"/>
      <c r="X287" s="100"/>
      <c r="Y287" s="100"/>
      <c r="Z287" s="100"/>
    </row>
    <row r="288" ht="14.25" customHeight="1">
      <c r="A288" s="59"/>
      <c r="B288" s="59"/>
      <c r="C288" s="59"/>
      <c r="D288" s="59"/>
      <c r="E288" s="59"/>
      <c r="F288" s="59"/>
      <c r="G288" s="59"/>
      <c r="H288" s="59"/>
      <c r="I288" s="59"/>
      <c r="J288" s="59"/>
      <c r="K288" s="59"/>
      <c r="L288" s="59"/>
      <c r="M288" s="59"/>
      <c r="N288" s="59"/>
      <c r="O288" s="100"/>
      <c r="P288" s="100"/>
      <c r="Q288" s="100"/>
      <c r="R288" s="100"/>
      <c r="S288" s="100"/>
      <c r="T288" s="100"/>
      <c r="U288" s="100"/>
      <c r="V288" s="100"/>
      <c r="W288" s="100"/>
      <c r="X288" s="100"/>
      <c r="Y288" s="100"/>
      <c r="Z288" s="100"/>
    </row>
    <row r="289" ht="14.25" customHeight="1">
      <c r="A289" s="59"/>
      <c r="B289" s="59"/>
      <c r="C289" s="59"/>
      <c r="D289" s="59"/>
      <c r="E289" s="59"/>
      <c r="F289" s="59"/>
      <c r="G289" s="59"/>
      <c r="H289" s="59"/>
      <c r="I289" s="59"/>
      <c r="J289" s="59"/>
      <c r="K289" s="59"/>
      <c r="L289" s="59"/>
      <c r="M289" s="59"/>
      <c r="N289" s="59"/>
      <c r="O289" s="100"/>
      <c r="P289" s="100"/>
      <c r="Q289" s="100"/>
      <c r="R289" s="100"/>
      <c r="S289" s="100"/>
      <c r="T289" s="100"/>
      <c r="U289" s="100"/>
      <c r="V289" s="100"/>
      <c r="W289" s="100"/>
      <c r="X289" s="100"/>
      <c r="Y289" s="100"/>
      <c r="Z289" s="100"/>
    </row>
    <row r="290" ht="14.25" customHeight="1">
      <c r="A290" s="59"/>
      <c r="B290" s="59"/>
      <c r="C290" s="59"/>
      <c r="D290" s="59"/>
      <c r="E290" s="59"/>
      <c r="F290" s="59"/>
      <c r="G290" s="59"/>
      <c r="H290" s="59"/>
      <c r="I290" s="59"/>
      <c r="J290" s="59"/>
      <c r="K290" s="59"/>
      <c r="L290" s="59"/>
      <c r="M290" s="59"/>
      <c r="N290" s="59"/>
      <c r="O290" s="100"/>
      <c r="P290" s="100"/>
      <c r="Q290" s="100"/>
      <c r="R290" s="100"/>
      <c r="S290" s="100"/>
      <c r="T290" s="100"/>
      <c r="U290" s="100"/>
      <c r="V290" s="100"/>
      <c r="W290" s="100"/>
      <c r="X290" s="100"/>
      <c r="Y290" s="100"/>
      <c r="Z290" s="100"/>
    </row>
    <row r="291" ht="14.25" customHeight="1">
      <c r="A291" s="59"/>
      <c r="B291" s="59"/>
      <c r="C291" s="59"/>
      <c r="D291" s="59"/>
      <c r="E291" s="59"/>
      <c r="F291" s="59"/>
      <c r="G291" s="59"/>
      <c r="H291" s="59"/>
      <c r="I291" s="59"/>
      <c r="J291" s="59"/>
      <c r="K291" s="59"/>
      <c r="L291" s="59"/>
      <c r="M291" s="59"/>
      <c r="N291" s="59"/>
      <c r="O291" s="100"/>
      <c r="P291" s="100"/>
      <c r="Q291" s="100"/>
      <c r="R291" s="100"/>
      <c r="S291" s="100"/>
      <c r="T291" s="100"/>
      <c r="U291" s="100"/>
      <c r="V291" s="100"/>
      <c r="W291" s="100"/>
      <c r="X291" s="100"/>
      <c r="Y291" s="100"/>
      <c r="Z291" s="100"/>
    </row>
    <row r="292" ht="14.25" customHeight="1">
      <c r="A292" s="59"/>
      <c r="B292" s="59"/>
      <c r="C292" s="59"/>
      <c r="D292" s="59"/>
      <c r="E292" s="59"/>
      <c r="F292" s="59"/>
      <c r="G292" s="59"/>
      <c r="H292" s="59"/>
      <c r="I292" s="59"/>
      <c r="J292" s="59"/>
      <c r="K292" s="59"/>
      <c r="L292" s="59"/>
      <c r="M292" s="59"/>
      <c r="N292" s="59"/>
      <c r="O292" s="100"/>
      <c r="P292" s="100"/>
      <c r="Q292" s="100"/>
      <c r="R292" s="100"/>
      <c r="S292" s="100"/>
      <c r="T292" s="100"/>
      <c r="U292" s="100"/>
      <c r="V292" s="100"/>
      <c r="W292" s="100"/>
      <c r="X292" s="100"/>
      <c r="Y292" s="100"/>
      <c r="Z292" s="100"/>
    </row>
    <row r="293" ht="14.25" customHeight="1">
      <c r="A293" s="59"/>
      <c r="B293" s="59"/>
      <c r="C293" s="59"/>
      <c r="D293" s="59"/>
      <c r="E293" s="59"/>
      <c r="F293" s="59"/>
      <c r="G293" s="59"/>
      <c r="H293" s="59"/>
      <c r="I293" s="59"/>
      <c r="J293" s="59"/>
      <c r="K293" s="59"/>
      <c r="L293" s="59"/>
      <c r="M293" s="59"/>
      <c r="N293" s="59"/>
      <c r="O293" s="100"/>
      <c r="P293" s="100"/>
      <c r="Q293" s="100"/>
      <c r="R293" s="100"/>
      <c r="S293" s="100"/>
      <c r="T293" s="100"/>
      <c r="U293" s="100"/>
      <c r="V293" s="100"/>
      <c r="W293" s="100"/>
      <c r="X293" s="100"/>
      <c r="Y293" s="100"/>
      <c r="Z293" s="100"/>
    </row>
    <row r="294" ht="14.25" customHeight="1">
      <c r="A294" s="59"/>
      <c r="B294" s="59"/>
      <c r="C294" s="59"/>
      <c r="D294" s="59"/>
      <c r="E294" s="59"/>
      <c r="F294" s="59"/>
      <c r="G294" s="59"/>
      <c r="H294" s="59"/>
      <c r="I294" s="59"/>
      <c r="J294" s="59"/>
      <c r="K294" s="59"/>
      <c r="L294" s="59"/>
      <c r="M294" s="59"/>
      <c r="N294" s="59"/>
      <c r="O294" s="100"/>
      <c r="P294" s="100"/>
      <c r="Q294" s="100"/>
      <c r="R294" s="100"/>
      <c r="S294" s="100"/>
      <c r="T294" s="100"/>
      <c r="U294" s="100"/>
      <c r="V294" s="100"/>
      <c r="W294" s="100"/>
      <c r="X294" s="100"/>
      <c r="Y294" s="100"/>
      <c r="Z294" s="100"/>
    </row>
    <row r="295" ht="14.25" customHeight="1">
      <c r="A295" s="59"/>
      <c r="B295" s="59"/>
      <c r="C295" s="59"/>
      <c r="D295" s="59"/>
      <c r="E295" s="59"/>
      <c r="F295" s="59"/>
      <c r="G295" s="59"/>
      <c r="H295" s="59"/>
      <c r="I295" s="59"/>
      <c r="J295" s="59"/>
      <c r="K295" s="59"/>
      <c r="L295" s="59"/>
      <c r="M295" s="59"/>
      <c r="N295" s="59"/>
      <c r="O295" s="100"/>
      <c r="P295" s="100"/>
      <c r="Q295" s="100"/>
      <c r="R295" s="100"/>
      <c r="S295" s="100"/>
      <c r="T295" s="100"/>
      <c r="U295" s="100"/>
      <c r="V295" s="100"/>
      <c r="W295" s="100"/>
      <c r="X295" s="100"/>
      <c r="Y295" s="100"/>
      <c r="Z295" s="100"/>
    </row>
    <row r="296" ht="14.25" customHeight="1">
      <c r="A296" s="59"/>
      <c r="B296" s="59"/>
      <c r="C296" s="59"/>
      <c r="D296" s="59"/>
      <c r="E296" s="59"/>
      <c r="F296" s="59"/>
      <c r="G296" s="59"/>
      <c r="H296" s="59"/>
      <c r="I296" s="59"/>
      <c r="J296" s="59"/>
      <c r="K296" s="59"/>
      <c r="L296" s="59"/>
      <c r="M296" s="59"/>
      <c r="N296" s="59"/>
      <c r="O296" s="100"/>
      <c r="P296" s="100"/>
      <c r="Q296" s="100"/>
      <c r="R296" s="100"/>
      <c r="S296" s="100"/>
      <c r="T296" s="100"/>
      <c r="U296" s="100"/>
      <c r="V296" s="100"/>
      <c r="W296" s="100"/>
      <c r="X296" s="100"/>
      <c r="Y296" s="100"/>
      <c r="Z296" s="100"/>
    </row>
    <row r="297" ht="14.25" customHeight="1">
      <c r="A297" s="59"/>
      <c r="B297" s="59"/>
      <c r="C297" s="59"/>
      <c r="D297" s="59"/>
      <c r="E297" s="59"/>
      <c r="F297" s="59"/>
      <c r="G297" s="59"/>
      <c r="H297" s="59"/>
      <c r="I297" s="59"/>
      <c r="J297" s="59"/>
      <c r="K297" s="59"/>
      <c r="L297" s="59"/>
      <c r="M297" s="59"/>
      <c r="N297" s="59"/>
      <c r="O297" s="100"/>
      <c r="P297" s="100"/>
      <c r="Q297" s="100"/>
      <c r="R297" s="100"/>
      <c r="S297" s="100"/>
      <c r="T297" s="100"/>
      <c r="U297" s="100"/>
      <c r="V297" s="100"/>
      <c r="W297" s="100"/>
      <c r="X297" s="100"/>
      <c r="Y297" s="100"/>
      <c r="Z297" s="100"/>
    </row>
    <row r="298" ht="14.25" customHeight="1">
      <c r="A298" s="59"/>
      <c r="B298" s="59"/>
      <c r="C298" s="59"/>
      <c r="D298" s="59"/>
      <c r="E298" s="59"/>
      <c r="F298" s="59"/>
      <c r="G298" s="59"/>
      <c r="H298" s="59"/>
      <c r="I298" s="59"/>
      <c r="J298" s="59"/>
      <c r="K298" s="59"/>
      <c r="L298" s="59"/>
      <c r="M298" s="59"/>
      <c r="N298" s="59"/>
      <c r="O298" s="100"/>
      <c r="P298" s="100"/>
      <c r="Q298" s="100"/>
      <c r="R298" s="100"/>
      <c r="S298" s="100"/>
      <c r="T298" s="100"/>
      <c r="U298" s="100"/>
      <c r="V298" s="100"/>
      <c r="W298" s="100"/>
      <c r="X298" s="100"/>
      <c r="Y298" s="100"/>
      <c r="Z298" s="100"/>
    </row>
    <row r="299" ht="14.25" customHeight="1">
      <c r="A299" s="59"/>
      <c r="B299" s="59"/>
      <c r="C299" s="59"/>
      <c r="D299" s="59"/>
      <c r="E299" s="59"/>
      <c r="F299" s="59"/>
      <c r="G299" s="59"/>
      <c r="H299" s="59"/>
      <c r="I299" s="59"/>
      <c r="J299" s="59"/>
      <c r="K299" s="59"/>
      <c r="L299" s="59"/>
      <c r="M299" s="59"/>
      <c r="N299" s="59"/>
      <c r="O299" s="100"/>
      <c r="P299" s="100"/>
      <c r="Q299" s="100"/>
      <c r="R299" s="100"/>
      <c r="S299" s="100"/>
      <c r="T299" s="100"/>
      <c r="U299" s="100"/>
      <c r="V299" s="100"/>
      <c r="W299" s="100"/>
      <c r="X299" s="100"/>
      <c r="Y299" s="100"/>
      <c r="Z299" s="100"/>
    </row>
    <row r="300" ht="14.25" customHeight="1">
      <c r="A300" s="59"/>
      <c r="B300" s="59"/>
      <c r="C300" s="59"/>
      <c r="D300" s="59"/>
      <c r="E300" s="59"/>
      <c r="F300" s="59"/>
      <c r="G300" s="59"/>
      <c r="H300" s="59"/>
      <c r="I300" s="59"/>
      <c r="J300" s="59"/>
      <c r="K300" s="59"/>
      <c r="L300" s="59"/>
      <c r="M300" s="59"/>
      <c r="N300" s="59"/>
      <c r="O300" s="100"/>
      <c r="P300" s="100"/>
      <c r="Q300" s="100"/>
      <c r="R300" s="100"/>
      <c r="S300" s="100"/>
      <c r="T300" s="100"/>
      <c r="U300" s="100"/>
      <c r="V300" s="100"/>
      <c r="W300" s="100"/>
      <c r="X300" s="100"/>
      <c r="Y300" s="100"/>
      <c r="Z300" s="100"/>
    </row>
    <row r="301" ht="14.25" customHeight="1">
      <c r="A301" s="59"/>
      <c r="B301" s="59"/>
      <c r="C301" s="59"/>
      <c r="D301" s="59"/>
      <c r="E301" s="59"/>
      <c r="F301" s="59"/>
      <c r="G301" s="59"/>
      <c r="H301" s="59"/>
      <c r="I301" s="59"/>
      <c r="J301" s="59"/>
      <c r="K301" s="59"/>
      <c r="L301" s="59"/>
      <c r="M301" s="59"/>
      <c r="N301" s="59"/>
      <c r="O301" s="100"/>
      <c r="P301" s="100"/>
      <c r="Q301" s="100"/>
      <c r="R301" s="100"/>
      <c r="S301" s="100"/>
      <c r="T301" s="100"/>
      <c r="U301" s="100"/>
      <c r="V301" s="100"/>
      <c r="W301" s="100"/>
      <c r="X301" s="100"/>
      <c r="Y301" s="100"/>
      <c r="Z301" s="100"/>
    </row>
    <row r="302" ht="14.25" customHeight="1">
      <c r="A302" s="59"/>
      <c r="B302" s="59"/>
      <c r="C302" s="59"/>
      <c r="D302" s="59"/>
      <c r="E302" s="59"/>
      <c r="F302" s="59"/>
      <c r="G302" s="59"/>
      <c r="H302" s="59"/>
      <c r="I302" s="59"/>
      <c r="J302" s="59"/>
      <c r="K302" s="59"/>
      <c r="L302" s="59"/>
      <c r="M302" s="59"/>
      <c r="N302" s="59"/>
      <c r="O302" s="100"/>
      <c r="P302" s="100"/>
      <c r="Q302" s="100"/>
      <c r="R302" s="100"/>
      <c r="S302" s="100"/>
      <c r="T302" s="100"/>
      <c r="U302" s="100"/>
      <c r="V302" s="100"/>
      <c r="W302" s="100"/>
      <c r="X302" s="100"/>
      <c r="Y302" s="100"/>
      <c r="Z302" s="100"/>
    </row>
    <row r="303" ht="14.25" customHeight="1">
      <c r="A303" s="59"/>
      <c r="B303" s="59"/>
      <c r="C303" s="59"/>
      <c r="D303" s="59"/>
      <c r="E303" s="59"/>
      <c r="F303" s="59"/>
      <c r="G303" s="59"/>
      <c r="H303" s="59"/>
      <c r="I303" s="59"/>
      <c r="J303" s="59"/>
      <c r="K303" s="59"/>
      <c r="L303" s="59"/>
      <c r="M303" s="59"/>
      <c r="N303" s="59"/>
      <c r="O303" s="100"/>
      <c r="P303" s="100"/>
      <c r="Q303" s="100"/>
      <c r="R303" s="100"/>
      <c r="S303" s="100"/>
      <c r="T303" s="100"/>
      <c r="U303" s="100"/>
      <c r="V303" s="100"/>
      <c r="W303" s="100"/>
      <c r="X303" s="100"/>
      <c r="Y303" s="100"/>
      <c r="Z303" s="100"/>
    </row>
    <row r="304" ht="14.25" customHeight="1">
      <c r="A304" s="59"/>
      <c r="B304" s="59"/>
      <c r="C304" s="59"/>
      <c r="D304" s="59"/>
      <c r="E304" s="59"/>
      <c r="F304" s="59"/>
      <c r="G304" s="59"/>
      <c r="H304" s="59"/>
      <c r="I304" s="59"/>
      <c r="J304" s="59"/>
      <c r="K304" s="59"/>
      <c r="L304" s="59"/>
      <c r="M304" s="59"/>
      <c r="N304" s="59"/>
      <c r="O304" s="100"/>
      <c r="P304" s="100"/>
      <c r="Q304" s="100"/>
      <c r="R304" s="100"/>
      <c r="S304" s="100"/>
      <c r="T304" s="100"/>
      <c r="U304" s="100"/>
      <c r="V304" s="100"/>
      <c r="W304" s="100"/>
      <c r="X304" s="100"/>
      <c r="Y304" s="100"/>
      <c r="Z304" s="100"/>
    </row>
    <row r="305" ht="14.25" customHeight="1">
      <c r="A305" s="59"/>
      <c r="B305" s="59"/>
      <c r="C305" s="59"/>
      <c r="D305" s="59"/>
      <c r="E305" s="59"/>
      <c r="F305" s="59"/>
      <c r="G305" s="59"/>
      <c r="H305" s="59"/>
      <c r="I305" s="59"/>
      <c r="J305" s="59"/>
      <c r="K305" s="59"/>
      <c r="L305" s="59"/>
      <c r="M305" s="59"/>
      <c r="N305" s="59"/>
      <c r="O305" s="100"/>
      <c r="P305" s="100"/>
      <c r="Q305" s="100"/>
      <c r="R305" s="100"/>
      <c r="S305" s="100"/>
      <c r="T305" s="100"/>
      <c r="U305" s="100"/>
      <c r="V305" s="100"/>
      <c r="W305" s="100"/>
      <c r="X305" s="100"/>
      <c r="Y305" s="100"/>
      <c r="Z305" s="100"/>
    </row>
    <row r="306" ht="14.25" customHeight="1">
      <c r="A306" s="59"/>
      <c r="B306" s="59"/>
      <c r="C306" s="59"/>
      <c r="D306" s="59"/>
      <c r="E306" s="59"/>
      <c r="F306" s="59"/>
      <c r="G306" s="59"/>
      <c r="H306" s="59"/>
      <c r="I306" s="59"/>
      <c r="J306" s="59"/>
      <c r="K306" s="59"/>
      <c r="L306" s="59"/>
      <c r="M306" s="59"/>
      <c r="N306" s="59"/>
      <c r="O306" s="100"/>
      <c r="P306" s="100"/>
      <c r="Q306" s="100"/>
      <c r="R306" s="100"/>
      <c r="S306" s="100"/>
      <c r="T306" s="100"/>
      <c r="U306" s="100"/>
      <c r="V306" s="100"/>
      <c r="W306" s="100"/>
      <c r="X306" s="100"/>
      <c r="Y306" s="100"/>
      <c r="Z306" s="100"/>
    </row>
    <row r="307" ht="14.25" customHeight="1">
      <c r="A307" s="59"/>
      <c r="B307" s="59"/>
      <c r="C307" s="59"/>
      <c r="D307" s="59"/>
      <c r="E307" s="59"/>
      <c r="F307" s="59"/>
      <c r="G307" s="59"/>
      <c r="H307" s="59"/>
      <c r="I307" s="59"/>
      <c r="J307" s="59"/>
      <c r="K307" s="59"/>
      <c r="L307" s="59"/>
      <c r="M307" s="59"/>
      <c r="N307" s="59"/>
      <c r="O307" s="100"/>
      <c r="P307" s="100"/>
      <c r="Q307" s="100"/>
      <c r="R307" s="100"/>
      <c r="S307" s="100"/>
      <c r="T307" s="100"/>
      <c r="U307" s="100"/>
      <c r="V307" s="100"/>
      <c r="W307" s="100"/>
      <c r="X307" s="100"/>
      <c r="Y307" s="100"/>
      <c r="Z307" s="100"/>
    </row>
    <row r="308" ht="14.25" customHeight="1">
      <c r="A308" s="59"/>
      <c r="B308" s="59"/>
      <c r="C308" s="59"/>
      <c r="D308" s="59"/>
      <c r="E308" s="59"/>
      <c r="F308" s="59"/>
      <c r="G308" s="59"/>
      <c r="H308" s="59"/>
      <c r="I308" s="59"/>
      <c r="J308" s="59"/>
      <c r="K308" s="59"/>
      <c r="L308" s="59"/>
      <c r="M308" s="59"/>
      <c r="N308" s="59"/>
      <c r="O308" s="100"/>
      <c r="P308" s="100"/>
      <c r="Q308" s="100"/>
      <c r="R308" s="100"/>
      <c r="S308" s="100"/>
      <c r="T308" s="100"/>
      <c r="U308" s="100"/>
      <c r="V308" s="100"/>
      <c r="W308" s="100"/>
      <c r="X308" s="100"/>
      <c r="Y308" s="100"/>
      <c r="Z308" s="100"/>
    </row>
    <row r="309" ht="14.25" customHeight="1">
      <c r="A309" s="59"/>
      <c r="B309" s="59"/>
      <c r="C309" s="59"/>
      <c r="D309" s="59"/>
      <c r="E309" s="59"/>
      <c r="F309" s="59"/>
      <c r="G309" s="59"/>
      <c r="H309" s="59"/>
      <c r="I309" s="59"/>
      <c r="J309" s="59"/>
      <c r="K309" s="59"/>
      <c r="L309" s="59"/>
      <c r="M309" s="59"/>
      <c r="N309" s="59"/>
      <c r="O309" s="100"/>
      <c r="P309" s="100"/>
      <c r="Q309" s="100"/>
      <c r="R309" s="100"/>
      <c r="S309" s="100"/>
      <c r="T309" s="100"/>
      <c r="U309" s="100"/>
      <c r="V309" s="100"/>
      <c r="W309" s="100"/>
      <c r="X309" s="100"/>
      <c r="Y309" s="100"/>
      <c r="Z309" s="100"/>
    </row>
    <row r="310" ht="14.25" customHeight="1">
      <c r="A310" s="59"/>
      <c r="B310" s="59"/>
      <c r="C310" s="59"/>
      <c r="D310" s="59"/>
      <c r="E310" s="59"/>
      <c r="F310" s="59"/>
      <c r="G310" s="59"/>
      <c r="H310" s="59"/>
      <c r="I310" s="59"/>
      <c r="J310" s="59"/>
      <c r="K310" s="59"/>
      <c r="L310" s="59"/>
      <c r="M310" s="59"/>
      <c r="N310" s="59"/>
      <c r="O310" s="100"/>
      <c r="P310" s="100"/>
      <c r="Q310" s="100"/>
      <c r="R310" s="100"/>
      <c r="S310" s="100"/>
      <c r="T310" s="100"/>
      <c r="U310" s="100"/>
      <c r="V310" s="100"/>
      <c r="W310" s="100"/>
      <c r="X310" s="100"/>
      <c r="Y310" s="100"/>
      <c r="Z310" s="100"/>
    </row>
    <row r="311" ht="14.25" customHeight="1">
      <c r="A311" s="59"/>
      <c r="B311" s="59"/>
      <c r="C311" s="59"/>
      <c r="D311" s="59"/>
      <c r="E311" s="59"/>
      <c r="F311" s="59"/>
      <c r="G311" s="59"/>
      <c r="H311" s="59"/>
      <c r="I311" s="59"/>
      <c r="J311" s="59"/>
      <c r="K311" s="59"/>
      <c r="L311" s="59"/>
      <c r="M311" s="59"/>
      <c r="N311" s="59"/>
      <c r="O311" s="100"/>
      <c r="P311" s="100"/>
      <c r="Q311" s="100"/>
      <c r="R311" s="100"/>
      <c r="S311" s="100"/>
      <c r="T311" s="100"/>
      <c r="U311" s="100"/>
      <c r="V311" s="100"/>
      <c r="W311" s="100"/>
      <c r="X311" s="100"/>
      <c r="Y311" s="100"/>
      <c r="Z311" s="100"/>
    </row>
    <row r="312" ht="14.25" customHeight="1">
      <c r="A312" s="59"/>
      <c r="B312" s="59"/>
      <c r="C312" s="59"/>
      <c r="D312" s="59"/>
      <c r="E312" s="59"/>
      <c r="F312" s="59"/>
      <c r="G312" s="59"/>
      <c r="H312" s="59"/>
      <c r="I312" s="59"/>
      <c r="J312" s="59"/>
      <c r="K312" s="59"/>
      <c r="L312" s="59"/>
      <c r="M312" s="59"/>
      <c r="N312" s="59"/>
      <c r="O312" s="100"/>
      <c r="P312" s="100"/>
      <c r="Q312" s="100"/>
      <c r="R312" s="100"/>
      <c r="S312" s="100"/>
      <c r="T312" s="100"/>
      <c r="U312" s="100"/>
      <c r="V312" s="100"/>
      <c r="W312" s="100"/>
      <c r="X312" s="100"/>
      <c r="Y312" s="100"/>
      <c r="Z312" s="100"/>
    </row>
    <row r="313" ht="14.25" customHeight="1">
      <c r="A313" s="59"/>
      <c r="B313" s="59"/>
      <c r="C313" s="59"/>
      <c r="D313" s="59"/>
      <c r="E313" s="59"/>
      <c r="F313" s="59"/>
      <c r="G313" s="59"/>
      <c r="H313" s="59"/>
      <c r="I313" s="59"/>
      <c r="J313" s="59"/>
      <c r="K313" s="59"/>
      <c r="L313" s="59"/>
      <c r="M313" s="59"/>
      <c r="N313" s="59"/>
      <c r="O313" s="100"/>
      <c r="P313" s="100"/>
      <c r="Q313" s="100"/>
      <c r="R313" s="100"/>
      <c r="S313" s="100"/>
      <c r="T313" s="100"/>
      <c r="U313" s="100"/>
      <c r="V313" s="100"/>
      <c r="W313" s="100"/>
      <c r="X313" s="100"/>
      <c r="Y313" s="100"/>
      <c r="Z313" s="100"/>
    </row>
    <row r="314" ht="14.25" customHeight="1">
      <c r="A314" s="59"/>
      <c r="B314" s="59"/>
      <c r="C314" s="59"/>
      <c r="D314" s="59"/>
      <c r="E314" s="59"/>
      <c r="F314" s="59"/>
      <c r="G314" s="59"/>
      <c r="H314" s="59"/>
      <c r="I314" s="59"/>
      <c r="J314" s="59"/>
      <c r="K314" s="59"/>
      <c r="L314" s="59"/>
      <c r="M314" s="59"/>
      <c r="N314" s="59"/>
      <c r="O314" s="100"/>
      <c r="P314" s="100"/>
      <c r="Q314" s="100"/>
      <c r="R314" s="100"/>
      <c r="S314" s="100"/>
      <c r="T314" s="100"/>
      <c r="U314" s="100"/>
      <c r="V314" s="100"/>
      <c r="W314" s="100"/>
      <c r="X314" s="100"/>
      <c r="Y314" s="100"/>
      <c r="Z314" s="100"/>
    </row>
    <row r="315" ht="14.25" customHeight="1">
      <c r="A315" s="59"/>
      <c r="B315" s="59"/>
      <c r="C315" s="59"/>
      <c r="D315" s="59"/>
      <c r="E315" s="59"/>
      <c r="F315" s="59"/>
      <c r="G315" s="59"/>
      <c r="H315" s="59"/>
      <c r="I315" s="59"/>
      <c r="J315" s="59"/>
      <c r="K315" s="59"/>
      <c r="L315" s="59"/>
      <c r="M315" s="59"/>
      <c r="N315" s="59"/>
      <c r="O315" s="100"/>
      <c r="P315" s="100"/>
      <c r="Q315" s="100"/>
      <c r="R315" s="100"/>
      <c r="S315" s="100"/>
      <c r="T315" s="100"/>
      <c r="U315" s="100"/>
      <c r="V315" s="100"/>
      <c r="W315" s="100"/>
      <c r="X315" s="100"/>
      <c r="Y315" s="100"/>
      <c r="Z315" s="100"/>
    </row>
    <row r="316" ht="14.25" customHeight="1">
      <c r="A316" s="59"/>
      <c r="B316" s="59"/>
      <c r="C316" s="59"/>
      <c r="D316" s="59"/>
      <c r="E316" s="59"/>
      <c r="F316" s="59"/>
      <c r="G316" s="59"/>
      <c r="H316" s="59"/>
      <c r="I316" s="59"/>
      <c r="J316" s="59"/>
      <c r="K316" s="59"/>
      <c r="L316" s="59"/>
      <c r="M316" s="59"/>
      <c r="N316" s="59"/>
      <c r="O316" s="100"/>
      <c r="P316" s="100"/>
      <c r="Q316" s="100"/>
      <c r="R316" s="100"/>
      <c r="S316" s="100"/>
      <c r="T316" s="100"/>
      <c r="U316" s="100"/>
      <c r="V316" s="100"/>
      <c r="W316" s="100"/>
      <c r="X316" s="100"/>
      <c r="Y316" s="100"/>
      <c r="Z316" s="100"/>
    </row>
    <row r="317" ht="14.25" customHeight="1">
      <c r="A317" s="59"/>
      <c r="B317" s="59"/>
      <c r="C317" s="59"/>
      <c r="D317" s="59"/>
      <c r="E317" s="59"/>
      <c r="F317" s="59"/>
      <c r="G317" s="59"/>
      <c r="H317" s="59"/>
      <c r="I317" s="59"/>
      <c r="J317" s="59"/>
      <c r="K317" s="59"/>
      <c r="L317" s="59"/>
      <c r="M317" s="59"/>
      <c r="N317" s="59"/>
      <c r="O317" s="100"/>
      <c r="P317" s="100"/>
      <c r="Q317" s="100"/>
      <c r="R317" s="100"/>
      <c r="S317" s="100"/>
      <c r="T317" s="100"/>
      <c r="U317" s="100"/>
      <c r="V317" s="100"/>
      <c r="W317" s="100"/>
      <c r="X317" s="100"/>
      <c r="Y317" s="100"/>
      <c r="Z317" s="100"/>
    </row>
    <row r="318" ht="14.25" customHeight="1">
      <c r="A318" s="59"/>
      <c r="B318" s="59"/>
      <c r="C318" s="59"/>
      <c r="D318" s="59"/>
      <c r="E318" s="59"/>
      <c r="F318" s="59"/>
      <c r="G318" s="59"/>
      <c r="H318" s="59"/>
      <c r="I318" s="59"/>
      <c r="J318" s="59"/>
      <c r="K318" s="59"/>
      <c r="L318" s="59"/>
      <c r="M318" s="59"/>
      <c r="N318" s="59"/>
      <c r="O318" s="100"/>
      <c r="P318" s="100"/>
      <c r="Q318" s="100"/>
      <c r="R318" s="100"/>
      <c r="S318" s="100"/>
      <c r="T318" s="100"/>
      <c r="U318" s="100"/>
      <c r="V318" s="100"/>
      <c r="W318" s="100"/>
      <c r="X318" s="100"/>
      <c r="Y318" s="100"/>
      <c r="Z318" s="100"/>
    </row>
    <row r="319" ht="14.25" customHeight="1">
      <c r="A319" s="59"/>
      <c r="B319" s="59"/>
      <c r="C319" s="59"/>
      <c r="D319" s="59"/>
      <c r="E319" s="59"/>
      <c r="F319" s="59"/>
      <c r="G319" s="59"/>
      <c r="H319" s="59"/>
      <c r="I319" s="59"/>
      <c r="J319" s="59"/>
      <c r="K319" s="59"/>
      <c r="L319" s="59"/>
      <c r="M319" s="59"/>
      <c r="N319" s="59"/>
      <c r="O319" s="100"/>
      <c r="P319" s="100"/>
      <c r="Q319" s="100"/>
      <c r="R319" s="100"/>
      <c r="S319" s="100"/>
      <c r="T319" s="100"/>
      <c r="U319" s="100"/>
      <c r="V319" s="100"/>
      <c r="W319" s="100"/>
      <c r="X319" s="100"/>
      <c r="Y319" s="100"/>
      <c r="Z319" s="100"/>
    </row>
    <row r="320" ht="14.25" customHeight="1">
      <c r="A320" s="59"/>
      <c r="B320" s="59"/>
      <c r="C320" s="59"/>
      <c r="D320" s="59"/>
      <c r="E320" s="59"/>
      <c r="F320" s="59"/>
      <c r="G320" s="59"/>
      <c r="H320" s="59"/>
      <c r="I320" s="59"/>
      <c r="J320" s="59"/>
      <c r="K320" s="59"/>
      <c r="L320" s="59"/>
      <c r="M320" s="59"/>
      <c r="N320" s="59"/>
      <c r="O320" s="100"/>
      <c r="P320" s="100"/>
      <c r="Q320" s="100"/>
      <c r="R320" s="100"/>
      <c r="S320" s="100"/>
      <c r="T320" s="100"/>
      <c r="U320" s="100"/>
      <c r="V320" s="100"/>
      <c r="W320" s="100"/>
      <c r="X320" s="100"/>
      <c r="Y320" s="100"/>
      <c r="Z320" s="100"/>
    </row>
    <row r="321" ht="14.25" customHeight="1">
      <c r="A321" s="59"/>
      <c r="B321" s="59"/>
      <c r="C321" s="59"/>
      <c r="D321" s="59"/>
      <c r="E321" s="59"/>
      <c r="F321" s="59"/>
      <c r="G321" s="59"/>
      <c r="H321" s="59"/>
      <c r="I321" s="59"/>
      <c r="J321" s="59"/>
      <c r="K321" s="59"/>
      <c r="L321" s="59"/>
      <c r="M321" s="59"/>
      <c r="N321" s="59"/>
      <c r="O321" s="100"/>
      <c r="P321" s="100"/>
      <c r="Q321" s="100"/>
      <c r="R321" s="100"/>
      <c r="S321" s="100"/>
      <c r="T321" s="100"/>
      <c r="U321" s="100"/>
      <c r="V321" s="100"/>
      <c r="W321" s="100"/>
      <c r="X321" s="100"/>
      <c r="Y321" s="100"/>
      <c r="Z321" s="100"/>
    </row>
    <row r="322" ht="14.25" customHeight="1">
      <c r="A322" s="59"/>
      <c r="B322" s="59"/>
      <c r="C322" s="59"/>
      <c r="D322" s="59"/>
      <c r="E322" s="59"/>
      <c r="F322" s="59"/>
      <c r="G322" s="59"/>
      <c r="H322" s="59"/>
      <c r="I322" s="59"/>
      <c r="J322" s="59"/>
      <c r="K322" s="59"/>
      <c r="L322" s="59"/>
      <c r="M322" s="59"/>
      <c r="N322" s="59"/>
      <c r="O322" s="100"/>
      <c r="P322" s="100"/>
      <c r="Q322" s="100"/>
      <c r="R322" s="100"/>
      <c r="S322" s="100"/>
      <c r="T322" s="100"/>
      <c r="U322" s="100"/>
      <c r="V322" s="100"/>
      <c r="W322" s="100"/>
      <c r="X322" s="100"/>
      <c r="Y322" s="100"/>
      <c r="Z322" s="100"/>
    </row>
    <row r="323" ht="14.25" customHeight="1">
      <c r="A323" s="59"/>
      <c r="B323" s="59"/>
      <c r="C323" s="59"/>
      <c r="D323" s="59"/>
      <c r="E323" s="59"/>
      <c r="F323" s="59"/>
      <c r="G323" s="59"/>
      <c r="H323" s="59"/>
      <c r="I323" s="59"/>
      <c r="J323" s="59"/>
      <c r="K323" s="59"/>
      <c r="L323" s="59"/>
      <c r="M323" s="59"/>
      <c r="N323" s="59"/>
      <c r="O323" s="100"/>
      <c r="P323" s="100"/>
      <c r="Q323" s="100"/>
      <c r="R323" s="100"/>
      <c r="S323" s="100"/>
      <c r="T323" s="100"/>
      <c r="U323" s="100"/>
      <c r="V323" s="100"/>
      <c r="W323" s="100"/>
      <c r="X323" s="100"/>
      <c r="Y323" s="100"/>
      <c r="Z323" s="100"/>
    </row>
    <row r="324" ht="14.25" customHeight="1">
      <c r="A324" s="59"/>
      <c r="B324" s="59"/>
      <c r="C324" s="59"/>
      <c r="D324" s="59"/>
      <c r="E324" s="59"/>
      <c r="F324" s="59"/>
      <c r="G324" s="59"/>
      <c r="H324" s="59"/>
      <c r="I324" s="59"/>
      <c r="J324" s="59"/>
      <c r="K324" s="59"/>
      <c r="L324" s="59"/>
      <c r="M324" s="59"/>
      <c r="N324" s="59"/>
      <c r="O324" s="100"/>
      <c r="P324" s="100"/>
      <c r="Q324" s="100"/>
      <c r="R324" s="100"/>
      <c r="S324" s="100"/>
      <c r="T324" s="100"/>
      <c r="U324" s="100"/>
      <c r="V324" s="100"/>
      <c r="W324" s="100"/>
      <c r="X324" s="100"/>
      <c r="Y324" s="100"/>
      <c r="Z324" s="100"/>
    </row>
    <row r="325" ht="14.25" customHeight="1">
      <c r="A325" s="59"/>
      <c r="B325" s="59"/>
      <c r="C325" s="59"/>
      <c r="D325" s="59"/>
      <c r="E325" s="59"/>
      <c r="F325" s="59"/>
      <c r="G325" s="59"/>
      <c r="H325" s="59"/>
      <c r="I325" s="59"/>
      <c r="J325" s="59"/>
      <c r="K325" s="59"/>
      <c r="L325" s="59"/>
      <c r="M325" s="59"/>
      <c r="N325" s="59"/>
      <c r="O325" s="100"/>
      <c r="P325" s="100"/>
      <c r="Q325" s="100"/>
      <c r="R325" s="100"/>
      <c r="S325" s="100"/>
      <c r="T325" s="100"/>
      <c r="U325" s="100"/>
      <c r="V325" s="100"/>
      <c r="W325" s="100"/>
      <c r="X325" s="100"/>
      <c r="Y325" s="100"/>
      <c r="Z325" s="100"/>
    </row>
    <row r="326" ht="14.25" customHeight="1">
      <c r="A326" s="59"/>
      <c r="B326" s="59"/>
      <c r="C326" s="59"/>
      <c r="D326" s="59"/>
      <c r="E326" s="59"/>
      <c r="F326" s="59"/>
      <c r="G326" s="59"/>
      <c r="H326" s="59"/>
      <c r="I326" s="59"/>
      <c r="J326" s="59"/>
      <c r="K326" s="59"/>
      <c r="L326" s="59"/>
      <c r="M326" s="59"/>
      <c r="N326" s="59"/>
      <c r="O326" s="100"/>
      <c r="P326" s="100"/>
      <c r="Q326" s="100"/>
      <c r="R326" s="100"/>
      <c r="S326" s="100"/>
      <c r="T326" s="100"/>
      <c r="U326" s="100"/>
      <c r="V326" s="100"/>
      <c r="W326" s="100"/>
      <c r="X326" s="100"/>
      <c r="Y326" s="100"/>
      <c r="Z326" s="100"/>
    </row>
    <row r="327" ht="14.25" customHeight="1">
      <c r="A327" s="59"/>
      <c r="B327" s="59"/>
      <c r="C327" s="59"/>
      <c r="D327" s="59"/>
      <c r="E327" s="59"/>
      <c r="F327" s="59"/>
      <c r="G327" s="59"/>
      <c r="H327" s="59"/>
      <c r="I327" s="59"/>
      <c r="J327" s="59"/>
      <c r="K327" s="59"/>
      <c r="L327" s="59"/>
      <c r="M327" s="59"/>
      <c r="N327" s="59"/>
      <c r="O327" s="100"/>
      <c r="P327" s="100"/>
      <c r="Q327" s="100"/>
      <c r="R327" s="100"/>
      <c r="S327" s="100"/>
      <c r="T327" s="100"/>
      <c r="U327" s="100"/>
      <c r="V327" s="100"/>
      <c r="W327" s="100"/>
      <c r="X327" s="100"/>
      <c r="Y327" s="100"/>
      <c r="Z327" s="100"/>
    </row>
    <row r="328" ht="14.25" customHeight="1">
      <c r="A328" s="59"/>
      <c r="B328" s="59"/>
      <c r="C328" s="59"/>
      <c r="D328" s="59"/>
      <c r="E328" s="59"/>
      <c r="F328" s="59"/>
      <c r="G328" s="59"/>
      <c r="H328" s="59"/>
      <c r="I328" s="59"/>
      <c r="J328" s="59"/>
      <c r="K328" s="59"/>
      <c r="L328" s="59"/>
      <c r="M328" s="59"/>
      <c r="N328" s="59"/>
      <c r="O328" s="100"/>
      <c r="P328" s="100"/>
      <c r="Q328" s="100"/>
      <c r="R328" s="100"/>
      <c r="S328" s="100"/>
      <c r="T328" s="100"/>
      <c r="U328" s="100"/>
      <c r="V328" s="100"/>
      <c r="W328" s="100"/>
      <c r="X328" s="100"/>
      <c r="Y328" s="100"/>
      <c r="Z328" s="100"/>
    </row>
    <row r="329" ht="14.25" customHeight="1">
      <c r="A329" s="59"/>
      <c r="B329" s="59"/>
      <c r="C329" s="59"/>
      <c r="D329" s="59"/>
      <c r="E329" s="59"/>
      <c r="F329" s="59"/>
      <c r="G329" s="59"/>
      <c r="H329" s="59"/>
      <c r="I329" s="59"/>
      <c r="J329" s="59"/>
      <c r="K329" s="59"/>
      <c r="L329" s="59"/>
      <c r="M329" s="59"/>
      <c r="N329" s="59"/>
      <c r="O329" s="100"/>
      <c r="P329" s="100"/>
      <c r="Q329" s="100"/>
      <c r="R329" s="100"/>
      <c r="S329" s="100"/>
      <c r="T329" s="100"/>
      <c r="U329" s="100"/>
      <c r="V329" s="100"/>
      <c r="W329" s="100"/>
      <c r="X329" s="100"/>
      <c r="Y329" s="100"/>
      <c r="Z329" s="100"/>
    </row>
    <row r="330" ht="14.25" customHeight="1">
      <c r="A330" s="59"/>
      <c r="B330" s="59"/>
      <c r="C330" s="59"/>
      <c r="D330" s="59"/>
      <c r="E330" s="59"/>
      <c r="F330" s="59"/>
      <c r="G330" s="59"/>
      <c r="H330" s="59"/>
      <c r="I330" s="59"/>
      <c r="J330" s="59"/>
      <c r="K330" s="59"/>
      <c r="L330" s="59"/>
      <c r="M330" s="59"/>
      <c r="N330" s="59"/>
      <c r="O330" s="100"/>
      <c r="P330" s="100"/>
      <c r="Q330" s="100"/>
      <c r="R330" s="100"/>
      <c r="S330" s="100"/>
      <c r="T330" s="100"/>
      <c r="U330" s="100"/>
      <c r="V330" s="100"/>
      <c r="W330" s="100"/>
      <c r="X330" s="100"/>
      <c r="Y330" s="100"/>
      <c r="Z330" s="100"/>
    </row>
    <row r="331" ht="14.25" customHeight="1">
      <c r="A331" s="59"/>
      <c r="B331" s="59"/>
      <c r="C331" s="59"/>
      <c r="D331" s="59"/>
      <c r="E331" s="59"/>
      <c r="F331" s="59"/>
      <c r="G331" s="59"/>
      <c r="H331" s="59"/>
      <c r="I331" s="59"/>
      <c r="J331" s="59"/>
      <c r="K331" s="59"/>
      <c r="L331" s="59"/>
      <c r="M331" s="59"/>
      <c r="N331" s="59"/>
      <c r="O331" s="100"/>
      <c r="P331" s="100"/>
      <c r="Q331" s="100"/>
      <c r="R331" s="100"/>
      <c r="S331" s="100"/>
      <c r="T331" s="100"/>
      <c r="U331" s="100"/>
      <c r="V331" s="100"/>
      <c r="W331" s="100"/>
      <c r="X331" s="100"/>
      <c r="Y331" s="100"/>
      <c r="Z331" s="100"/>
    </row>
    <row r="332" ht="14.25" customHeight="1">
      <c r="A332" s="59"/>
      <c r="B332" s="59"/>
      <c r="C332" s="59"/>
      <c r="D332" s="59"/>
      <c r="E332" s="59"/>
      <c r="F332" s="59"/>
      <c r="G332" s="59"/>
      <c r="H332" s="59"/>
      <c r="I332" s="59"/>
      <c r="J332" s="59"/>
      <c r="K332" s="59"/>
      <c r="L332" s="59"/>
      <c r="M332" s="59"/>
      <c r="N332" s="59"/>
      <c r="O332" s="100"/>
      <c r="P332" s="100"/>
      <c r="Q332" s="100"/>
      <c r="R332" s="100"/>
      <c r="S332" s="100"/>
      <c r="T332" s="100"/>
      <c r="U332" s="100"/>
      <c r="V332" s="100"/>
      <c r="W332" s="100"/>
      <c r="X332" s="100"/>
      <c r="Y332" s="100"/>
      <c r="Z332" s="100"/>
    </row>
    <row r="333" ht="14.25" customHeight="1">
      <c r="A333" s="59"/>
      <c r="B333" s="59"/>
      <c r="C333" s="59"/>
      <c r="D333" s="59"/>
      <c r="E333" s="59"/>
      <c r="F333" s="59"/>
      <c r="G333" s="59"/>
      <c r="H333" s="59"/>
      <c r="I333" s="59"/>
      <c r="J333" s="59"/>
      <c r="K333" s="59"/>
      <c r="L333" s="59"/>
      <c r="M333" s="59"/>
      <c r="N333" s="59"/>
      <c r="O333" s="100"/>
      <c r="P333" s="100"/>
      <c r="Q333" s="100"/>
      <c r="R333" s="100"/>
      <c r="S333" s="100"/>
      <c r="T333" s="100"/>
      <c r="U333" s="100"/>
      <c r="V333" s="100"/>
      <c r="W333" s="100"/>
      <c r="X333" s="100"/>
      <c r="Y333" s="100"/>
      <c r="Z333" s="100"/>
    </row>
    <row r="334" ht="14.25" customHeight="1">
      <c r="A334" s="59"/>
      <c r="B334" s="59"/>
      <c r="C334" s="59"/>
      <c r="D334" s="59"/>
      <c r="E334" s="59"/>
      <c r="F334" s="59"/>
      <c r="G334" s="59"/>
      <c r="H334" s="59"/>
      <c r="I334" s="59"/>
      <c r="J334" s="59"/>
      <c r="K334" s="59"/>
      <c r="L334" s="59"/>
      <c r="M334" s="59"/>
      <c r="N334" s="59"/>
      <c r="O334" s="100"/>
      <c r="P334" s="100"/>
      <c r="Q334" s="100"/>
      <c r="R334" s="100"/>
      <c r="S334" s="100"/>
      <c r="T334" s="100"/>
      <c r="U334" s="100"/>
      <c r="V334" s="100"/>
      <c r="W334" s="100"/>
      <c r="X334" s="100"/>
      <c r="Y334" s="100"/>
      <c r="Z334" s="100"/>
    </row>
    <row r="335" ht="14.25" customHeight="1">
      <c r="A335" s="59"/>
      <c r="B335" s="59"/>
      <c r="C335" s="59"/>
      <c r="D335" s="59"/>
      <c r="E335" s="59"/>
      <c r="F335" s="59"/>
      <c r="G335" s="59"/>
      <c r="H335" s="59"/>
      <c r="I335" s="59"/>
      <c r="J335" s="59"/>
      <c r="K335" s="59"/>
      <c r="L335" s="59"/>
      <c r="M335" s="59"/>
      <c r="N335" s="59"/>
      <c r="O335" s="100"/>
      <c r="P335" s="100"/>
      <c r="Q335" s="100"/>
      <c r="R335" s="100"/>
      <c r="S335" s="100"/>
      <c r="T335" s="100"/>
      <c r="U335" s="100"/>
      <c r="V335" s="100"/>
      <c r="W335" s="100"/>
      <c r="X335" s="100"/>
      <c r="Y335" s="100"/>
      <c r="Z335" s="100"/>
    </row>
    <row r="336" ht="14.25" customHeight="1">
      <c r="A336" s="59"/>
      <c r="B336" s="59"/>
      <c r="C336" s="59"/>
      <c r="D336" s="59"/>
      <c r="E336" s="59"/>
      <c r="F336" s="59"/>
      <c r="G336" s="59"/>
      <c r="H336" s="59"/>
      <c r="I336" s="59"/>
      <c r="J336" s="59"/>
      <c r="K336" s="59"/>
      <c r="L336" s="59"/>
      <c r="M336" s="59"/>
      <c r="N336" s="59"/>
      <c r="O336" s="100"/>
      <c r="P336" s="100"/>
      <c r="Q336" s="100"/>
      <c r="R336" s="100"/>
      <c r="S336" s="100"/>
      <c r="T336" s="100"/>
      <c r="U336" s="100"/>
      <c r="V336" s="100"/>
      <c r="W336" s="100"/>
      <c r="X336" s="100"/>
      <c r="Y336" s="100"/>
      <c r="Z336" s="100"/>
    </row>
    <row r="337" ht="14.25" customHeight="1">
      <c r="A337" s="59"/>
      <c r="B337" s="59"/>
      <c r="C337" s="59"/>
      <c r="D337" s="59"/>
      <c r="E337" s="59"/>
      <c r="F337" s="59"/>
      <c r="G337" s="59"/>
      <c r="H337" s="59"/>
      <c r="I337" s="59"/>
      <c r="J337" s="59"/>
      <c r="K337" s="59"/>
      <c r="L337" s="59"/>
      <c r="M337" s="59"/>
      <c r="N337" s="59"/>
      <c r="O337" s="100"/>
      <c r="P337" s="100"/>
      <c r="Q337" s="100"/>
      <c r="R337" s="100"/>
      <c r="S337" s="100"/>
      <c r="T337" s="100"/>
      <c r="U337" s="100"/>
      <c r="V337" s="100"/>
      <c r="W337" s="100"/>
      <c r="X337" s="100"/>
      <c r="Y337" s="100"/>
      <c r="Z337" s="100"/>
    </row>
    <row r="338" ht="14.25" customHeight="1">
      <c r="A338" s="59"/>
      <c r="B338" s="59"/>
      <c r="C338" s="59"/>
      <c r="D338" s="59"/>
      <c r="E338" s="59"/>
      <c r="F338" s="59"/>
      <c r="G338" s="59"/>
      <c r="H338" s="59"/>
      <c r="I338" s="59"/>
      <c r="J338" s="59"/>
      <c r="K338" s="59"/>
      <c r="L338" s="59"/>
      <c r="M338" s="59"/>
      <c r="N338" s="59"/>
      <c r="O338" s="100"/>
      <c r="P338" s="100"/>
      <c r="Q338" s="100"/>
      <c r="R338" s="100"/>
      <c r="S338" s="100"/>
      <c r="T338" s="100"/>
      <c r="U338" s="100"/>
      <c r="V338" s="100"/>
      <c r="W338" s="100"/>
      <c r="X338" s="100"/>
      <c r="Y338" s="100"/>
      <c r="Z338" s="100"/>
    </row>
    <row r="339" ht="14.25" customHeight="1">
      <c r="A339" s="59"/>
      <c r="B339" s="59"/>
      <c r="C339" s="59"/>
      <c r="D339" s="59"/>
      <c r="E339" s="59"/>
      <c r="F339" s="59"/>
      <c r="G339" s="59"/>
      <c r="H339" s="59"/>
      <c r="I339" s="59"/>
      <c r="J339" s="59"/>
      <c r="K339" s="59"/>
      <c r="L339" s="59"/>
      <c r="M339" s="59"/>
      <c r="N339" s="59"/>
      <c r="O339" s="100"/>
      <c r="P339" s="100"/>
      <c r="Q339" s="100"/>
      <c r="R339" s="100"/>
      <c r="S339" s="100"/>
      <c r="T339" s="100"/>
      <c r="U339" s="100"/>
      <c r="V339" s="100"/>
      <c r="W339" s="100"/>
      <c r="X339" s="100"/>
      <c r="Y339" s="100"/>
      <c r="Z339" s="100"/>
    </row>
    <row r="340" ht="14.25" customHeight="1">
      <c r="A340" s="59"/>
      <c r="B340" s="59"/>
      <c r="C340" s="59"/>
      <c r="D340" s="59"/>
      <c r="E340" s="59"/>
      <c r="F340" s="59"/>
      <c r="G340" s="59"/>
      <c r="H340" s="59"/>
      <c r="I340" s="59"/>
      <c r="J340" s="59"/>
      <c r="K340" s="59"/>
      <c r="L340" s="59"/>
      <c r="M340" s="59"/>
      <c r="N340" s="59"/>
      <c r="O340" s="100"/>
      <c r="P340" s="100"/>
      <c r="Q340" s="100"/>
      <c r="R340" s="100"/>
      <c r="S340" s="100"/>
      <c r="T340" s="100"/>
      <c r="U340" s="100"/>
      <c r="V340" s="100"/>
      <c r="W340" s="100"/>
      <c r="X340" s="100"/>
      <c r="Y340" s="100"/>
      <c r="Z340" s="100"/>
    </row>
    <row r="341" ht="14.25" customHeight="1">
      <c r="A341" s="59"/>
      <c r="B341" s="59"/>
      <c r="C341" s="59"/>
      <c r="D341" s="59"/>
      <c r="E341" s="59"/>
      <c r="F341" s="59"/>
      <c r="G341" s="59"/>
      <c r="H341" s="59"/>
      <c r="I341" s="59"/>
      <c r="J341" s="59"/>
      <c r="K341" s="59"/>
      <c r="L341" s="59"/>
      <c r="M341" s="59"/>
      <c r="N341" s="59"/>
      <c r="O341" s="100"/>
      <c r="P341" s="100"/>
      <c r="Q341" s="100"/>
      <c r="R341" s="100"/>
      <c r="S341" s="100"/>
      <c r="T341" s="100"/>
      <c r="U341" s="100"/>
      <c r="V341" s="100"/>
      <c r="W341" s="100"/>
      <c r="X341" s="100"/>
      <c r="Y341" s="100"/>
      <c r="Z341" s="100"/>
    </row>
    <row r="342" ht="14.25" customHeight="1">
      <c r="A342" s="59"/>
      <c r="B342" s="59"/>
      <c r="C342" s="59"/>
      <c r="D342" s="59"/>
      <c r="E342" s="59"/>
      <c r="F342" s="59"/>
      <c r="G342" s="59"/>
      <c r="H342" s="59"/>
      <c r="I342" s="59"/>
      <c r="J342" s="59"/>
      <c r="K342" s="59"/>
      <c r="L342" s="59"/>
      <c r="M342" s="59"/>
      <c r="N342" s="59"/>
      <c r="O342" s="100"/>
      <c r="P342" s="100"/>
      <c r="Q342" s="100"/>
      <c r="R342" s="100"/>
      <c r="S342" s="100"/>
      <c r="T342" s="100"/>
      <c r="U342" s="100"/>
      <c r="V342" s="100"/>
      <c r="W342" s="100"/>
      <c r="X342" s="100"/>
      <c r="Y342" s="100"/>
      <c r="Z342" s="100"/>
    </row>
    <row r="343" ht="14.25" customHeight="1">
      <c r="A343" s="59"/>
      <c r="B343" s="59"/>
      <c r="C343" s="59"/>
      <c r="D343" s="59"/>
      <c r="E343" s="59"/>
      <c r="F343" s="59"/>
      <c r="G343" s="59"/>
      <c r="H343" s="59"/>
      <c r="I343" s="59"/>
      <c r="J343" s="59"/>
      <c r="K343" s="59"/>
      <c r="L343" s="59"/>
      <c r="M343" s="59"/>
      <c r="N343" s="59"/>
      <c r="O343" s="100"/>
      <c r="P343" s="100"/>
      <c r="Q343" s="100"/>
      <c r="R343" s="100"/>
      <c r="S343" s="100"/>
      <c r="T343" s="100"/>
      <c r="U343" s="100"/>
      <c r="V343" s="100"/>
      <c r="W343" s="100"/>
      <c r="X343" s="100"/>
      <c r="Y343" s="100"/>
      <c r="Z343" s="100"/>
    </row>
    <row r="344" ht="14.25" customHeight="1">
      <c r="A344" s="59"/>
      <c r="B344" s="59"/>
      <c r="C344" s="59"/>
      <c r="D344" s="59"/>
      <c r="E344" s="59"/>
      <c r="F344" s="59"/>
      <c r="G344" s="59"/>
      <c r="H344" s="59"/>
      <c r="I344" s="59"/>
      <c r="J344" s="59"/>
      <c r="K344" s="59"/>
      <c r="L344" s="59"/>
      <c r="M344" s="59"/>
      <c r="N344" s="59"/>
      <c r="O344" s="100"/>
      <c r="P344" s="100"/>
      <c r="Q344" s="100"/>
      <c r="R344" s="100"/>
      <c r="S344" s="100"/>
      <c r="T344" s="100"/>
      <c r="U344" s="100"/>
      <c r="V344" s="100"/>
      <c r="W344" s="100"/>
      <c r="X344" s="100"/>
      <c r="Y344" s="100"/>
      <c r="Z344" s="100"/>
    </row>
    <row r="345" ht="14.25" customHeight="1">
      <c r="A345" s="59"/>
      <c r="B345" s="59"/>
      <c r="C345" s="59"/>
      <c r="D345" s="59"/>
      <c r="E345" s="59"/>
      <c r="F345" s="59"/>
      <c r="G345" s="59"/>
      <c r="H345" s="59"/>
      <c r="I345" s="59"/>
      <c r="J345" s="59"/>
      <c r="K345" s="59"/>
      <c r="L345" s="59"/>
      <c r="M345" s="59"/>
      <c r="N345" s="59"/>
      <c r="O345" s="100"/>
      <c r="P345" s="100"/>
      <c r="Q345" s="100"/>
      <c r="R345" s="100"/>
      <c r="S345" s="100"/>
      <c r="T345" s="100"/>
      <c r="U345" s="100"/>
      <c r="V345" s="100"/>
      <c r="W345" s="100"/>
      <c r="X345" s="100"/>
      <c r="Y345" s="100"/>
      <c r="Z345" s="100"/>
    </row>
    <row r="346" ht="14.25" customHeight="1">
      <c r="A346" s="59"/>
      <c r="B346" s="59"/>
      <c r="C346" s="59"/>
      <c r="D346" s="59"/>
      <c r="E346" s="59"/>
      <c r="F346" s="59"/>
      <c r="G346" s="59"/>
      <c r="H346" s="59"/>
      <c r="I346" s="59"/>
      <c r="J346" s="59"/>
      <c r="K346" s="59"/>
      <c r="L346" s="59"/>
      <c r="M346" s="59"/>
      <c r="N346" s="59"/>
      <c r="O346" s="100"/>
      <c r="P346" s="100"/>
      <c r="Q346" s="100"/>
      <c r="R346" s="100"/>
      <c r="S346" s="100"/>
      <c r="T346" s="100"/>
      <c r="U346" s="100"/>
      <c r="V346" s="100"/>
      <c r="W346" s="100"/>
      <c r="X346" s="100"/>
      <c r="Y346" s="100"/>
      <c r="Z346" s="100"/>
    </row>
    <row r="347" ht="14.25" customHeight="1">
      <c r="A347" s="59"/>
      <c r="B347" s="59"/>
      <c r="C347" s="59"/>
      <c r="D347" s="59"/>
      <c r="E347" s="59"/>
      <c r="F347" s="59"/>
      <c r="G347" s="59"/>
      <c r="H347" s="59"/>
      <c r="I347" s="59"/>
      <c r="J347" s="59"/>
      <c r="K347" s="59"/>
      <c r="L347" s="59"/>
      <c r="M347" s="59"/>
      <c r="N347" s="59"/>
      <c r="O347" s="100"/>
      <c r="P347" s="100"/>
      <c r="Q347" s="100"/>
      <c r="R347" s="100"/>
      <c r="S347" s="100"/>
      <c r="T347" s="100"/>
      <c r="U347" s="100"/>
      <c r="V347" s="100"/>
      <c r="W347" s="100"/>
      <c r="X347" s="100"/>
      <c r="Y347" s="100"/>
      <c r="Z347" s="100"/>
    </row>
    <row r="348" ht="14.25" customHeight="1">
      <c r="A348" s="59"/>
      <c r="B348" s="59"/>
      <c r="C348" s="59"/>
      <c r="D348" s="59"/>
      <c r="E348" s="59"/>
      <c r="F348" s="59"/>
      <c r="G348" s="59"/>
      <c r="H348" s="59"/>
      <c r="I348" s="59"/>
      <c r="J348" s="59"/>
      <c r="K348" s="59"/>
      <c r="L348" s="59"/>
      <c r="M348" s="59"/>
      <c r="N348" s="59"/>
      <c r="O348" s="100"/>
      <c r="P348" s="100"/>
      <c r="Q348" s="100"/>
      <c r="R348" s="100"/>
      <c r="S348" s="100"/>
      <c r="T348" s="100"/>
      <c r="U348" s="100"/>
      <c r="V348" s="100"/>
      <c r="W348" s="100"/>
      <c r="X348" s="100"/>
      <c r="Y348" s="100"/>
      <c r="Z348" s="100"/>
    </row>
    <row r="349" ht="14.25" customHeight="1">
      <c r="A349" s="59"/>
      <c r="B349" s="59"/>
      <c r="C349" s="59"/>
      <c r="D349" s="59"/>
      <c r="E349" s="59"/>
      <c r="F349" s="59"/>
      <c r="G349" s="59"/>
      <c r="H349" s="59"/>
      <c r="I349" s="59"/>
      <c r="J349" s="59"/>
      <c r="K349" s="59"/>
      <c r="L349" s="59"/>
      <c r="M349" s="59"/>
      <c r="N349" s="59"/>
      <c r="O349" s="100"/>
      <c r="P349" s="100"/>
      <c r="Q349" s="100"/>
      <c r="R349" s="100"/>
      <c r="S349" s="100"/>
      <c r="T349" s="100"/>
      <c r="U349" s="100"/>
      <c r="V349" s="100"/>
      <c r="W349" s="100"/>
      <c r="X349" s="100"/>
      <c r="Y349" s="100"/>
      <c r="Z349" s="100"/>
    </row>
    <row r="350" ht="14.25" customHeight="1">
      <c r="A350" s="59"/>
      <c r="B350" s="59"/>
      <c r="C350" s="59"/>
      <c r="D350" s="59"/>
      <c r="E350" s="59"/>
      <c r="F350" s="59"/>
      <c r="G350" s="59"/>
      <c r="H350" s="59"/>
      <c r="I350" s="59"/>
      <c r="J350" s="59"/>
      <c r="K350" s="59"/>
      <c r="L350" s="59"/>
      <c r="M350" s="59"/>
      <c r="N350" s="59"/>
      <c r="O350" s="100"/>
      <c r="P350" s="100"/>
      <c r="Q350" s="100"/>
      <c r="R350" s="100"/>
      <c r="S350" s="100"/>
      <c r="T350" s="100"/>
      <c r="U350" s="100"/>
      <c r="V350" s="100"/>
      <c r="W350" s="100"/>
      <c r="X350" s="100"/>
      <c r="Y350" s="100"/>
      <c r="Z350" s="100"/>
    </row>
    <row r="351" ht="14.25" customHeight="1">
      <c r="A351" s="59"/>
      <c r="B351" s="59"/>
      <c r="C351" s="59"/>
      <c r="D351" s="59"/>
      <c r="E351" s="59"/>
      <c r="F351" s="59"/>
      <c r="G351" s="59"/>
      <c r="H351" s="59"/>
      <c r="I351" s="59"/>
      <c r="J351" s="59"/>
      <c r="K351" s="59"/>
      <c r="L351" s="59"/>
      <c r="M351" s="59"/>
      <c r="N351" s="59"/>
      <c r="O351" s="100"/>
      <c r="P351" s="100"/>
      <c r="Q351" s="100"/>
      <c r="R351" s="100"/>
      <c r="S351" s="100"/>
      <c r="T351" s="100"/>
      <c r="U351" s="100"/>
      <c r="V351" s="100"/>
      <c r="W351" s="100"/>
      <c r="X351" s="100"/>
      <c r="Y351" s="100"/>
      <c r="Z351" s="100"/>
    </row>
    <row r="352" ht="14.25" customHeight="1">
      <c r="A352" s="59"/>
      <c r="B352" s="59"/>
      <c r="C352" s="59"/>
      <c r="D352" s="59"/>
      <c r="E352" s="59"/>
      <c r="F352" s="59"/>
      <c r="G352" s="59"/>
      <c r="H352" s="59"/>
      <c r="I352" s="59"/>
      <c r="J352" s="59"/>
      <c r="K352" s="59"/>
      <c r="L352" s="59"/>
      <c r="M352" s="59"/>
      <c r="N352" s="59"/>
      <c r="O352" s="100"/>
      <c r="P352" s="100"/>
      <c r="Q352" s="100"/>
      <c r="R352" s="100"/>
      <c r="S352" s="100"/>
      <c r="T352" s="100"/>
      <c r="U352" s="100"/>
      <c r="V352" s="100"/>
      <c r="W352" s="100"/>
      <c r="X352" s="100"/>
      <c r="Y352" s="100"/>
      <c r="Z352" s="100"/>
    </row>
    <row r="353" ht="14.25" customHeight="1">
      <c r="A353" s="59"/>
      <c r="B353" s="59"/>
      <c r="C353" s="59"/>
      <c r="D353" s="59"/>
      <c r="E353" s="59"/>
      <c r="F353" s="59"/>
      <c r="G353" s="59"/>
      <c r="H353" s="59"/>
      <c r="I353" s="59"/>
      <c r="J353" s="59"/>
      <c r="K353" s="59"/>
      <c r="L353" s="59"/>
      <c r="M353" s="59"/>
      <c r="N353" s="59"/>
      <c r="O353" s="100"/>
      <c r="P353" s="100"/>
      <c r="Q353" s="100"/>
      <c r="R353" s="100"/>
      <c r="S353" s="100"/>
      <c r="T353" s="100"/>
      <c r="U353" s="100"/>
      <c r="V353" s="100"/>
      <c r="W353" s="100"/>
      <c r="X353" s="100"/>
      <c r="Y353" s="100"/>
      <c r="Z353" s="100"/>
    </row>
    <row r="354" ht="14.25" customHeight="1">
      <c r="A354" s="59"/>
      <c r="B354" s="59"/>
      <c r="C354" s="59"/>
      <c r="D354" s="59"/>
      <c r="E354" s="59"/>
      <c r="F354" s="59"/>
      <c r="G354" s="59"/>
      <c r="H354" s="59"/>
      <c r="I354" s="59"/>
      <c r="J354" s="59"/>
      <c r="K354" s="59"/>
      <c r="L354" s="59"/>
      <c r="M354" s="59"/>
      <c r="N354" s="59"/>
      <c r="O354" s="100"/>
      <c r="P354" s="100"/>
      <c r="Q354" s="100"/>
      <c r="R354" s="100"/>
      <c r="S354" s="100"/>
      <c r="T354" s="100"/>
      <c r="U354" s="100"/>
      <c r="V354" s="100"/>
      <c r="W354" s="100"/>
      <c r="X354" s="100"/>
      <c r="Y354" s="100"/>
      <c r="Z354" s="100"/>
    </row>
    <row r="355" ht="14.25" customHeight="1">
      <c r="A355" s="59"/>
      <c r="B355" s="59"/>
      <c r="C355" s="59"/>
      <c r="D355" s="59"/>
      <c r="E355" s="59"/>
      <c r="F355" s="59"/>
      <c r="G355" s="59"/>
      <c r="H355" s="59"/>
      <c r="I355" s="59"/>
      <c r="J355" s="59"/>
      <c r="K355" s="59"/>
      <c r="L355" s="59"/>
      <c r="M355" s="59"/>
      <c r="N355" s="59"/>
      <c r="O355" s="100"/>
      <c r="P355" s="100"/>
      <c r="Q355" s="100"/>
      <c r="R355" s="100"/>
      <c r="S355" s="100"/>
      <c r="T355" s="100"/>
      <c r="U355" s="100"/>
      <c r="V355" s="100"/>
      <c r="W355" s="100"/>
      <c r="X355" s="100"/>
      <c r="Y355" s="100"/>
      <c r="Z355" s="100"/>
    </row>
    <row r="356" ht="14.25" customHeight="1">
      <c r="A356" s="59"/>
      <c r="B356" s="59"/>
      <c r="C356" s="59"/>
      <c r="D356" s="59"/>
      <c r="E356" s="59"/>
      <c r="F356" s="59"/>
      <c r="G356" s="59"/>
      <c r="H356" s="59"/>
      <c r="I356" s="59"/>
      <c r="J356" s="59"/>
      <c r="K356" s="59"/>
      <c r="L356" s="59"/>
      <c r="M356" s="59"/>
      <c r="N356" s="59"/>
      <c r="O356" s="100"/>
      <c r="P356" s="100"/>
      <c r="Q356" s="100"/>
      <c r="R356" s="100"/>
      <c r="S356" s="100"/>
      <c r="T356" s="100"/>
      <c r="U356" s="100"/>
      <c r="V356" s="100"/>
      <c r="W356" s="100"/>
      <c r="X356" s="100"/>
      <c r="Y356" s="100"/>
      <c r="Z356" s="100"/>
    </row>
    <row r="357" ht="14.25" customHeight="1">
      <c r="A357" s="59"/>
      <c r="B357" s="59"/>
      <c r="C357" s="59"/>
      <c r="D357" s="59"/>
      <c r="E357" s="59"/>
      <c r="F357" s="59"/>
      <c r="G357" s="59"/>
      <c r="H357" s="59"/>
      <c r="I357" s="59"/>
      <c r="J357" s="59"/>
      <c r="K357" s="59"/>
      <c r="L357" s="59"/>
      <c r="M357" s="59"/>
      <c r="N357" s="59"/>
      <c r="O357" s="100"/>
      <c r="P357" s="100"/>
      <c r="Q357" s="100"/>
      <c r="R357" s="100"/>
      <c r="S357" s="100"/>
      <c r="T357" s="100"/>
      <c r="U357" s="100"/>
      <c r="V357" s="100"/>
      <c r="W357" s="100"/>
      <c r="X357" s="100"/>
      <c r="Y357" s="100"/>
      <c r="Z357" s="100"/>
    </row>
    <row r="358" ht="14.25" customHeight="1">
      <c r="A358" s="59"/>
      <c r="B358" s="59"/>
      <c r="C358" s="59"/>
      <c r="D358" s="59"/>
      <c r="E358" s="59"/>
      <c r="F358" s="59"/>
      <c r="G358" s="59"/>
      <c r="H358" s="59"/>
      <c r="I358" s="59"/>
      <c r="J358" s="59"/>
      <c r="K358" s="59"/>
      <c r="L358" s="59"/>
      <c r="M358" s="59"/>
      <c r="N358" s="59"/>
      <c r="O358" s="100"/>
      <c r="P358" s="100"/>
      <c r="Q358" s="100"/>
      <c r="R358" s="100"/>
      <c r="S358" s="100"/>
      <c r="T358" s="100"/>
      <c r="U358" s="100"/>
      <c r="V358" s="100"/>
      <c r="W358" s="100"/>
      <c r="X358" s="100"/>
      <c r="Y358" s="100"/>
      <c r="Z358" s="100"/>
    </row>
    <row r="359" ht="14.25" customHeight="1">
      <c r="A359" s="59"/>
      <c r="B359" s="59"/>
      <c r="C359" s="59"/>
      <c r="D359" s="59"/>
      <c r="E359" s="59"/>
      <c r="F359" s="59"/>
      <c r="G359" s="59"/>
      <c r="H359" s="59"/>
      <c r="I359" s="59"/>
      <c r="J359" s="59"/>
      <c r="K359" s="59"/>
      <c r="L359" s="59"/>
      <c r="M359" s="59"/>
      <c r="N359" s="59"/>
      <c r="O359" s="100"/>
      <c r="P359" s="100"/>
      <c r="Q359" s="100"/>
      <c r="R359" s="100"/>
      <c r="S359" s="100"/>
      <c r="T359" s="100"/>
      <c r="U359" s="100"/>
      <c r="V359" s="100"/>
      <c r="W359" s="100"/>
      <c r="X359" s="100"/>
      <c r="Y359" s="100"/>
      <c r="Z359" s="100"/>
    </row>
    <row r="360" ht="14.25" customHeight="1">
      <c r="A360" s="59"/>
      <c r="B360" s="59"/>
      <c r="C360" s="59"/>
      <c r="D360" s="59"/>
      <c r="E360" s="59"/>
      <c r="F360" s="59"/>
      <c r="G360" s="59"/>
      <c r="H360" s="59"/>
      <c r="I360" s="59"/>
      <c r="J360" s="59"/>
      <c r="K360" s="59"/>
      <c r="L360" s="59"/>
      <c r="M360" s="59"/>
      <c r="N360" s="59"/>
      <c r="O360" s="100"/>
      <c r="P360" s="100"/>
      <c r="Q360" s="100"/>
      <c r="R360" s="100"/>
      <c r="S360" s="100"/>
      <c r="T360" s="100"/>
      <c r="U360" s="100"/>
      <c r="V360" s="100"/>
      <c r="W360" s="100"/>
      <c r="X360" s="100"/>
      <c r="Y360" s="100"/>
      <c r="Z360" s="100"/>
    </row>
    <row r="361" ht="14.25" customHeight="1">
      <c r="A361" s="59"/>
      <c r="B361" s="59"/>
      <c r="C361" s="59"/>
      <c r="D361" s="59"/>
      <c r="E361" s="59"/>
      <c r="F361" s="59"/>
      <c r="G361" s="59"/>
      <c r="H361" s="59"/>
      <c r="I361" s="59"/>
      <c r="J361" s="59"/>
      <c r="K361" s="59"/>
      <c r="L361" s="59"/>
      <c r="M361" s="59"/>
      <c r="N361" s="59"/>
      <c r="O361" s="100"/>
      <c r="P361" s="100"/>
      <c r="Q361" s="100"/>
      <c r="R361" s="100"/>
      <c r="S361" s="100"/>
      <c r="T361" s="100"/>
      <c r="U361" s="100"/>
      <c r="V361" s="100"/>
      <c r="W361" s="100"/>
      <c r="X361" s="100"/>
      <c r="Y361" s="100"/>
      <c r="Z361" s="100"/>
    </row>
    <row r="362" ht="14.25" customHeight="1">
      <c r="A362" s="59"/>
      <c r="B362" s="59"/>
      <c r="C362" s="59"/>
      <c r="D362" s="59"/>
      <c r="E362" s="59"/>
      <c r="F362" s="59"/>
      <c r="G362" s="59"/>
      <c r="H362" s="59"/>
      <c r="I362" s="59"/>
      <c r="J362" s="59"/>
      <c r="K362" s="59"/>
      <c r="L362" s="59"/>
      <c r="M362" s="59"/>
      <c r="N362" s="59"/>
      <c r="O362" s="100"/>
      <c r="P362" s="100"/>
      <c r="Q362" s="100"/>
      <c r="R362" s="100"/>
      <c r="S362" s="100"/>
      <c r="T362" s="100"/>
      <c r="U362" s="100"/>
      <c r="V362" s="100"/>
      <c r="W362" s="100"/>
      <c r="X362" s="100"/>
      <c r="Y362" s="100"/>
      <c r="Z362" s="100"/>
    </row>
    <row r="363" ht="14.25" customHeight="1">
      <c r="A363" s="59"/>
      <c r="B363" s="59"/>
      <c r="C363" s="59"/>
      <c r="D363" s="59"/>
      <c r="E363" s="59"/>
      <c r="F363" s="59"/>
      <c r="G363" s="59"/>
      <c r="H363" s="59"/>
      <c r="I363" s="59"/>
      <c r="J363" s="59"/>
      <c r="K363" s="59"/>
      <c r="L363" s="59"/>
      <c r="M363" s="59"/>
      <c r="N363" s="59"/>
      <c r="O363" s="100"/>
      <c r="P363" s="100"/>
      <c r="Q363" s="100"/>
      <c r="R363" s="100"/>
      <c r="S363" s="100"/>
      <c r="T363" s="100"/>
      <c r="U363" s="100"/>
      <c r="V363" s="100"/>
      <c r="W363" s="100"/>
      <c r="X363" s="100"/>
      <c r="Y363" s="100"/>
      <c r="Z363" s="100"/>
    </row>
    <row r="364" ht="14.25" customHeight="1">
      <c r="A364" s="59"/>
      <c r="B364" s="59"/>
      <c r="C364" s="59"/>
      <c r="D364" s="59"/>
      <c r="E364" s="59"/>
      <c r="F364" s="59"/>
      <c r="G364" s="59"/>
      <c r="H364" s="59"/>
      <c r="I364" s="59"/>
      <c r="J364" s="59"/>
      <c r="K364" s="59"/>
      <c r="L364" s="59"/>
      <c r="M364" s="59"/>
      <c r="N364" s="59"/>
      <c r="O364" s="100"/>
      <c r="P364" s="100"/>
      <c r="Q364" s="100"/>
      <c r="R364" s="100"/>
      <c r="S364" s="100"/>
      <c r="T364" s="100"/>
      <c r="U364" s="100"/>
      <c r="V364" s="100"/>
      <c r="W364" s="100"/>
      <c r="X364" s="100"/>
      <c r="Y364" s="100"/>
      <c r="Z364" s="100"/>
    </row>
    <row r="365" ht="14.25" customHeight="1">
      <c r="A365" s="59"/>
      <c r="B365" s="59"/>
      <c r="C365" s="59"/>
      <c r="D365" s="59"/>
      <c r="E365" s="59"/>
      <c r="F365" s="59"/>
      <c r="G365" s="59"/>
      <c r="H365" s="59"/>
      <c r="I365" s="59"/>
      <c r="J365" s="59"/>
      <c r="K365" s="59"/>
      <c r="L365" s="59"/>
      <c r="M365" s="59"/>
      <c r="N365" s="59"/>
      <c r="O365" s="100"/>
      <c r="P365" s="100"/>
      <c r="Q365" s="100"/>
      <c r="R365" s="100"/>
      <c r="S365" s="100"/>
      <c r="T365" s="100"/>
      <c r="U365" s="100"/>
      <c r="V365" s="100"/>
      <c r="W365" s="100"/>
      <c r="X365" s="100"/>
      <c r="Y365" s="100"/>
      <c r="Z365" s="100"/>
    </row>
    <row r="366" ht="14.25" customHeight="1">
      <c r="A366" s="59"/>
      <c r="B366" s="59"/>
      <c r="C366" s="59"/>
      <c r="D366" s="59"/>
      <c r="E366" s="59"/>
      <c r="F366" s="59"/>
      <c r="G366" s="59"/>
      <c r="H366" s="59"/>
      <c r="I366" s="59"/>
      <c r="J366" s="59"/>
      <c r="K366" s="59"/>
      <c r="L366" s="59"/>
      <c r="M366" s="59"/>
      <c r="N366" s="59"/>
      <c r="O366" s="100"/>
      <c r="P366" s="100"/>
      <c r="Q366" s="100"/>
      <c r="R366" s="100"/>
      <c r="S366" s="100"/>
      <c r="T366" s="100"/>
      <c r="U366" s="100"/>
      <c r="V366" s="100"/>
      <c r="W366" s="100"/>
      <c r="X366" s="100"/>
      <c r="Y366" s="100"/>
      <c r="Z366" s="100"/>
    </row>
    <row r="367" ht="14.25" customHeight="1">
      <c r="A367" s="59"/>
      <c r="B367" s="59"/>
      <c r="C367" s="59"/>
      <c r="D367" s="59"/>
      <c r="E367" s="59"/>
      <c r="F367" s="59"/>
      <c r="G367" s="59"/>
      <c r="H367" s="59"/>
      <c r="I367" s="59"/>
      <c r="J367" s="59"/>
      <c r="K367" s="59"/>
      <c r="L367" s="59"/>
      <c r="M367" s="59"/>
      <c r="N367" s="59"/>
      <c r="O367" s="100"/>
      <c r="P367" s="100"/>
      <c r="Q367" s="100"/>
      <c r="R367" s="100"/>
      <c r="S367" s="100"/>
      <c r="T367" s="100"/>
      <c r="U367" s="100"/>
      <c r="V367" s="100"/>
      <c r="W367" s="100"/>
      <c r="X367" s="100"/>
      <c r="Y367" s="100"/>
      <c r="Z367" s="100"/>
    </row>
    <row r="368" ht="14.25" customHeight="1">
      <c r="A368" s="59"/>
      <c r="B368" s="59"/>
      <c r="C368" s="59"/>
      <c r="D368" s="59"/>
      <c r="E368" s="59"/>
      <c r="F368" s="59"/>
      <c r="G368" s="59"/>
      <c r="H368" s="59"/>
      <c r="I368" s="59"/>
      <c r="J368" s="59"/>
      <c r="K368" s="59"/>
      <c r="L368" s="59"/>
      <c r="M368" s="59"/>
      <c r="N368" s="59"/>
      <c r="O368" s="100"/>
      <c r="P368" s="100"/>
      <c r="Q368" s="100"/>
      <c r="R368" s="100"/>
      <c r="S368" s="100"/>
      <c r="T368" s="100"/>
      <c r="U368" s="100"/>
      <c r="V368" s="100"/>
      <c r="W368" s="100"/>
      <c r="X368" s="100"/>
      <c r="Y368" s="100"/>
      <c r="Z368" s="100"/>
    </row>
    <row r="369" ht="14.25" customHeight="1">
      <c r="A369" s="59"/>
      <c r="B369" s="59"/>
      <c r="C369" s="59"/>
      <c r="D369" s="59"/>
      <c r="E369" s="59"/>
      <c r="F369" s="59"/>
      <c r="G369" s="59"/>
      <c r="H369" s="59"/>
      <c r="I369" s="59"/>
      <c r="J369" s="59"/>
      <c r="K369" s="59"/>
      <c r="L369" s="59"/>
      <c r="M369" s="59"/>
      <c r="N369" s="59"/>
      <c r="O369" s="100"/>
      <c r="P369" s="100"/>
      <c r="Q369" s="100"/>
      <c r="R369" s="100"/>
      <c r="S369" s="100"/>
      <c r="T369" s="100"/>
      <c r="U369" s="100"/>
      <c r="V369" s="100"/>
      <c r="W369" s="100"/>
      <c r="X369" s="100"/>
      <c r="Y369" s="100"/>
      <c r="Z369" s="100"/>
    </row>
    <row r="370" ht="14.25" customHeight="1">
      <c r="A370" s="59"/>
      <c r="B370" s="59"/>
      <c r="C370" s="59"/>
      <c r="D370" s="59"/>
      <c r="E370" s="59"/>
      <c r="F370" s="59"/>
      <c r="G370" s="59"/>
      <c r="H370" s="59"/>
      <c r="I370" s="59"/>
      <c r="J370" s="59"/>
      <c r="K370" s="59"/>
      <c r="L370" s="59"/>
      <c r="M370" s="59"/>
      <c r="N370" s="59"/>
      <c r="O370" s="100"/>
      <c r="P370" s="100"/>
      <c r="Q370" s="100"/>
      <c r="R370" s="100"/>
      <c r="S370" s="100"/>
      <c r="T370" s="100"/>
      <c r="U370" s="100"/>
      <c r="V370" s="100"/>
      <c r="W370" s="100"/>
      <c r="X370" s="100"/>
      <c r="Y370" s="100"/>
      <c r="Z370" s="100"/>
    </row>
    <row r="371" ht="14.25" customHeight="1">
      <c r="A371" s="59"/>
      <c r="B371" s="59"/>
      <c r="C371" s="59"/>
      <c r="D371" s="59"/>
      <c r="E371" s="59"/>
      <c r="F371" s="59"/>
      <c r="G371" s="59"/>
      <c r="H371" s="59"/>
      <c r="I371" s="59"/>
      <c r="J371" s="59"/>
      <c r="K371" s="59"/>
      <c r="L371" s="59"/>
      <c r="M371" s="59"/>
      <c r="N371" s="59"/>
      <c r="O371" s="100"/>
      <c r="P371" s="100"/>
      <c r="Q371" s="100"/>
      <c r="R371" s="100"/>
      <c r="S371" s="100"/>
      <c r="T371" s="100"/>
      <c r="U371" s="100"/>
      <c r="V371" s="100"/>
      <c r="W371" s="100"/>
      <c r="X371" s="100"/>
      <c r="Y371" s="100"/>
      <c r="Z371" s="100"/>
    </row>
    <row r="372" ht="14.25" customHeight="1">
      <c r="A372" s="59"/>
      <c r="B372" s="59"/>
      <c r="C372" s="59"/>
      <c r="D372" s="59"/>
      <c r="E372" s="59"/>
      <c r="F372" s="59"/>
      <c r="G372" s="59"/>
      <c r="H372" s="59"/>
      <c r="I372" s="59"/>
      <c r="J372" s="59"/>
      <c r="K372" s="59"/>
      <c r="L372" s="59"/>
      <c r="M372" s="59"/>
      <c r="N372" s="59"/>
      <c r="O372" s="100"/>
      <c r="P372" s="100"/>
      <c r="Q372" s="100"/>
      <c r="R372" s="100"/>
      <c r="S372" s="100"/>
      <c r="T372" s="100"/>
      <c r="U372" s="100"/>
      <c r="V372" s="100"/>
      <c r="W372" s="100"/>
      <c r="X372" s="100"/>
      <c r="Y372" s="100"/>
      <c r="Z372" s="100"/>
    </row>
    <row r="373" ht="14.25" customHeight="1">
      <c r="A373" s="59"/>
      <c r="B373" s="59"/>
      <c r="C373" s="59"/>
      <c r="D373" s="59"/>
      <c r="E373" s="59"/>
      <c r="F373" s="59"/>
      <c r="G373" s="59"/>
      <c r="H373" s="59"/>
      <c r="I373" s="59"/>
      <c r="J373" s="59"/>
      <c r="K373" s="59"/>
      <c r="L373" s="59"/>
      <c r="M373" s="59"/>
      <c r="N373" s="59"/>
      <c r="O373" s="100"/>
      <c r="P373" s="100"/>
      <c r="Q373" s="100"/>
      <c r="R373" s="100"/>
      <c r="S373" s="100"/>
      <c r="T373" s="100"/>
      <c r="U373" s="100"/>
      <c r="V373" s="100"/>
      <c r="W373" s="100"/>
      <c r="X373" s="100"/>
      <c r="Y373" s="100"/>
      <c r="Z373" s="100"/>
    </row>
    <row r="374" ht="14.25" customHeight="1">
      <c r="A374" s="59"/>
      <c r="B374" s="59"/>
      <c r="C374" s="59"/>
      <c r="D374" s="59"/>
      <c r="E374" s="59"/>
      <c r="F374" s="59"/>
      <c r="G374" s="59"/>
      <c r="H374" s="59"/>
      <c r="I374" s="59"/>
      <c r="J374" s="59"/>
      <c r="K374" s="59"/>
      <c r="L374" s="59"/>
      <c r="M374" s="59"/>
      <c r="N374" s="59"/>
      <c r="O374" s="100"/>
      <c r="P374" s="100"/>
      <c r="Q374" s="100"/>
      <c r="R374" s="100"/>
      <c r="S374" s="100"/>
      <c r="T374" s="100"/>
      <c r="U374" s="100"/>
      <c r="V374" s="100"/>
      <c r="W374" s="100"/>
      <c r="X374" s="100"/>
      <c r="Y374" s="100"/>
      <c r="Z374" s="100"/>
    </row>
    <row r="375" ht="14.25" customHeight="1">
      <c r="A375" s="59"/>
      <c r="B375" s="59"/>
      <c r="C375" s="59"/>
      <c r="D375" s="59"/>
      <c r="E375" s="59"/>
      <c r="F375" s="59"/>
      <c r="G375" s="59"/>
      <c r="H375" s="59"/>
      <c r="I375" s="59"/>
      <c r="J375" s="59"/>
      <c r="K375" s="59"/>
      <c r="L375" s="59"/>
      <c r="M375" s="59"/>
      <c r="N375" s="59"/>
      <c r="O375" s="100"/>
      <c r="P375" s="100"/>
      <c r="Q375" s="100"/>
      <c r="R375" s="100"/>
      <c r="S375" s="100"/>
      <c r="T375" s="100"/>
      <c r="U375" s="100"/>
      <c r="V375" s="100"/>
      <c r="W375" s="100"/>
      <c r="X375" s="100"/>
      <c r="Y375" s="100"/>
      <c r="Z375" s="100"/>
    </row>
    <row r="376" ht="14.25" customHeight="1">
      <c r="A376" s="59"/>
      <c r="B376" s="59"/>
      <c r="C376" s="59"/>
      <c r="D376" s="59"/>
      <c r="E376" s="59"/>
      <c r="F376" s="59"/>
      <c r="G376" s="59"/>
      <c r="H376" s="59"/>
      <c r="I376" s="59"/>
      <c r="J376" s="59"/>
      <c r="K376" s="59"/>
      <c r="L376" s="59"/>
      <c r="M376" s="59"/>
      <c r="N376" s="59"/>
      <c r="O376" s="100"/>
      <c r="P376" s="100"/>
      <c r="Q376" s="100"/>
      <c r="R376" s="100"/>
      <c r="S376" s="100"/>
      <c r="T376" s="100"/>
      <c r="U376" s="100"/>
      <c r="V376" s="100"/>
      <c r="W376" s="100"/>
      <c r="X376" s="100"/>
      <c r="Y376" s="100"/>
      <c r="Z376" s="100"/>
    </row>
    <row r="377" ht="14.25" customHeight="1">
      <c r="A377" s="59"/>
      <c r="B377" s="59"/>
      <c r="C377" s="59"/>
      <c r="D377" s="59"/>
      <c r="E377" s="59"/>
      <c r="F377" s="59"/>
      <c r="G377" s="59"/>
      <c r="H377" s="59"/>
      <c r="I377" s="59"/>
      <c r="J377" s="59"/>
      <c r="K377" s="59"/>
      <c r="L377" s="59"/>
      <c r="M377" s="59"/>
      <c r="N377" s="59"/>
      <c r="O377" s="100"/>
      <c r="P377" s="100"/>
      <c r="Q377" s="100"/>
      <c r="R377" s="100"/>
      <c r="S377" s="100"/>
      <c r="T377" s="100"/>
      <c r="U377" s="100"/>
      <c r="V377" s="100"/>
      <c r="W377" s="100"/>
      <c r="X377" s="100"/>
      <c r="Y377" s="100"/>
      <c r="Z377" s="100"/>
    </row>
    <row r="378" ht="14.25" customHeight="1">
      <c r="A378" s="59"/>
      <c r="B378" s="59"/>
      <c r="C378" s="59"/>
      <c r="D378" s="59"/>
      <c r="E378" s="59"/>
      <c r="F378" s="59"/>
      <c r="G378" s="59"/>
      <c r="H378" s="59"/>
      <c r="I378" s="59"/>
      <c r="J378" s="59"/>
      <c r="K378" s="59"/>
      <c r="L378" s="59"/>
      <c r="M378" s="59"/>
      <c r="N378" s="59"/>
      <c r="O378" s="100"/>
      <c r="P378" s="100"/>
      <c r="Q378" s="100"/>
      <c r="R378" s="100"/>
      <c r="S378" s="100"/>
      <c r="T378" s="100"/>
      <c r="U378" s="100"/>
      <c r="V378" s="100"/>
      <c r="W378" s="100"/>
      <c r="X378" s="100"/>
      <c r="Y378" s="100"/>
      <c r="Z378" s="100"/>
    </row>
    <row r="379" ht="14.25" customHeight="1">
      <c r="A379" s="59"/>
      <c r="B379" s="59"/>
      <c r="C379" s="59"/>
      <c r="D379" s="59"/>
      <c r="E379" s="59"/>
      <c r="F379" s="59"/>
      <c r="G379" s="59"/>
      <c r="H379" s="59"/>
      <c r="I379" s="59"/>
      <c r="J379" s="59"/>
      <c r="K379" s="59"/>
      <c r="L379" s="59"/>
      <c r="M379" s="59"/>
      <c r="N379" s="59"/>
      <c r="O379" s="100"/>
      <c r="P379" s="100"/>
      <c r="Q379" s="100"/>
      <c r="R379" s="100"/>
      <c r="S379" s="100"/>
      <c r="T379" s="100"/>
      <c r="U379" s="100"/>
      <c r="V379" s="100"/>
      <c r="W379" s="100"/>
      <c r="X379" s="100"/>
      <c r="Y379" s="100"/>
      <c r="Z379" s="100"/>
    </row>
    <row r="380" ht="14.25" customHeight="1">
      <c r="A380" s="59"/>
      <c r="B380" s="59"/>
      <c r="C380" s="59"/>
      <c r="D380" s="59"/>
      <c r="E380" s="59"/>
      <c r="F380" s="59"/>
      <c r="G380" s="59"/>
      <c r="H380" s="59"/>
      <c r="I380" s="59"/>
      <c r="J380" s="59"/>
      <c r="K380" s="59"/>
      <c r="L380" s="59"/>
      <c r="M380" s="59"/>
      <c r="N380" s="59"/>
      <c r="O380" s="100"/>
      <c r="P380" s="100"/>
      <c r="Q380" s="100"/>
      <c r="R380" s="100"/>
      <c r="S380" s="100"/>
      <c r="T380" s="100"/>
      <c r="U380" s="100"/>
      <c r="V380" s="100"/>
      <c r="W380" s="100"/>
      <c r="X380" s="100"/>
      <c r="Y380" s="100"/>
      <c r="Z380" s="100"/>
    </row>
    <row r="381" ht="14.25" customHeight="1">
      <c r="A381" s="59"/>
      <c r="B381" s="59"/>
      <c r="C381" s="59"/>
      <c r="D381" s="59"/>
      <c r="E381" s="59"/>
      <c r="F381" s="59"/>
      <c r="G381" s="59"/>
      <c r="H381" s="59"/>
      <c r="I381" s="59"/>
      <c r="J381" s="59"/>
      <c r="K381" s="59"/>
      <c r="L381" s="59"/>
      <c r="M381" s="59"/>
      <c r="N381" s="59"/>
      <c r="O381" s="100"/>
      <c r="P381" s="100"/>
      <c r="Q381" s="100"/>
      <c r="R381" s="100"/>
      <c r="S381" s="100"/>
      <c r="T381" s="100"/>
      <c r="U381" s="100"/>
      <c r="V381" s="100"/>
      <c r="W381" s="100"/>
      <c r="X381" s="100"/>
      <c r="Y381" s="100"/>
      <c r="Z381" s="100"/>
    </row>
    <row r="382" ht="14.25" customHeight="1">
      <c r="A382" s="59"/>
      <c r="B382" s="59"/>
      <c r="C382" s="59"/>
      <c r="D382" s="59"/>
      <c r="E382" s="59"/>
      <c r="F382" s="59"/>
      <c r="G382" s="59"/>
      <c r="H382" s="59"/>
      <c r="I382" s="59"/>
      <c r="J382" s="59"/>
      <c r="K382" s="59"/>
      <c r="L382" s="59"/>
      <c r="M382" s="59"/>
      <c r="N382" s="59"/>
      <c r="O382" s="100"/>
      <c r="P382" s="100"/>
      <c r="Q382" s="100"/>
      <c r="R382" s="100"/>
      <c r="S382" s="100"/>
      <c r="T382" s="100"/>
      <c r="U382" s="100"/>
      <c r="V382" s="100"/>
      <c r="W382" s="100"/>
      <c r="X382" s="100"/>
      <c r="Y382" s="100"/>
      <c r="Z382" s="100"/>
    </row>
    <row r="383" ht="14.25" customHeight="1">
      <c r="A383" s="59"/>
      <c r="B383" s="59"/>
      <c r="C383" s="59"/>
      <c r="D383" s="59"/>
      <c r="E383" s="59"/>
      <c r="F383" s="59"/>
      <c r="G383" s="59"/>
      <c r="H383" s="59"/>
      <c r="I383" s="59"/>
      <c r="J383" s="59"/>
      <c r="K383" s="59"/>
      <c r="L383" s="59"/>
      <c r="M383" s="59"/>
      <c r="N383" s="59"/>
      <c r="O383" s="100"/>
      <c r="P383" s="100"/>
      <c r="Q383" s="100"/>
      <c r="R383" s="100"/>
      <c r="S383" s="100"/>
      <c r="T383" s="100"/>
      <c r="U383" s="100"/>
      <c r="V383" s="100"/>
      <c r="W383" s="100"/>
      <c r="X383" s="100"/>
      <c r="Y383" s="100"/>
      <c r="Z383" s="100"/>
    </row>
    <row r="384" ht="14.25" customHeight="1">
      <c r="A384" s="59"/>
      <c r="B384" s="59"/>
      <c r="C384" s="59"/>
      <c r="D384" s="59"/>
      <c r="E384" s="59"/>
      <c r="F384" s="59"/>
      <c r="G384" s="59"/>
      <c r="H384" s="59"/>
      <c r="I384" s="59"/>
      <c r="J384" s="59"/>
      <c r="K384" s="59"/>
      <c r="L384" s="59"/>
      <c r="M384" s="59"/>
      <c r="N384" s="59"/>
      <c r="O384" s="100"/>
      <c r="P384" s="100"/>
      <c r="Q384" s="100"/>
      <c r="R384" s="100"/>
      <c r="S384" s="100"/>
      <c r="T384" s="100"/>
      <c r="U384" s="100"/>
      <c r="V384" s="100"/>
      <c r="W384" s="100"/>
      <c r="X384" s="100"/>
      <c r="Y384" s="100"/>
      <c r="Z384" s="100"/>
    </row>
    <row r="385" ht="14.25" customHeight="1">
      <c r="A385" s="59"/>
      <c r="B385" s="59"/>
      <c r="C385" s="59"/>
      <c r="D385" s="59"/>
      <c r="E385" s="59"/>
      <c r="F385" s="59"/>
      <c r="G385" s="59"/>
      <c r="H385" s="59"/>
      <c r="I385" s="59"/>
      <c r="J385" s="59"/>
      <c r="K385" s="59"/>
      <c r="L385" s="59"/>
      <c r="M385" s="59"/>
      <c r="N385" s="59"/>
      <c r="O385" s="100"/>
      <c r="P385" s="100"/>
      <c r="Q385" s="100"/>
      <c r="R385" s="100"/>
      <c r="S385" s="100"/>
      <c r="T385" s="100"/>
      <c r="U385" s="100"/>
      <c r="V385" s="100"/>
      <c r="W385" s="100"/>
      <c r="X385" s="100"/>
      <c r="Y385" s="100"/>
      <c r="Z385" s="100"/>
    </row>
    <row r="386" ht="14.25" customHeight="1">
      <c r="A386" s="59"/>
      <c r="B386" s="59"/>
      <c r="C386" s="59"/>
      <c r="D386" s="59"/>
      <c r="E386" s="59"/>
      <c r="F386" s="59"/>
      <c r="G386" s="59"/>
      <c r="H386" s="59"/>
      <c r="I386" s="59"/>
      <c r="J386" s="59"/>
      <c r="K386" s="59"/>
      <c r="L386" s="59"/>
      <c r="M386" s="59"/>
      <c r="N386" s="59"/>
      <c r="O386" s="100"/>
      <c r="P386" s="100"/>
      <c r="Q386" s="100"/>
      <c r="R386" s="100"/>
      <c r="S386" s="100"/>
      <c r="T386" s="100"/>
      <c r="U386" s="100"/>
      <c r="V386" s="100"/>
      <c r="W386" s="100"/>
      <c r="X386" s="100"/>
      <c r="Y386" s="100"/>
      <c r="Z386" s="100"/>
    </row>
    <row r="387" ht="14.25" customHeight="1">
      <c r="A387" s="59"/>
      <c r="B387" s="59"/>
      <c r="C387" s="59"/>
      <c r="D387" s="59"/>
      <c r="E387" s="59"/>
      <c r="F387" s="59"/>
      <c r="G387" s="59"/>
      <c r="H387" s="59"/>
      <c r="I387" s="59"/>
      <c r="J387" s="59"/>
      <c r="K387" s="59"/>
      <c r="L387" s="59"/>
      <c r="M387" s="59"/>
      <c r="N387" s="59"/>
      <c r="O387" s="100"/>
      <c r="P387" s="100"/>
      <c r="Q387" s="100"/>
      <c r="R387" s="100"/>
      <c r="S387" s="100"/>
      <c r="T387" s="100"/>
      <c r="U387" s="100"/>
      <c r="V387" s="100"/>
      <c r="W387" s="100"/>
      <c r="X387" s="100"/>
      <c r="Y387" s="100"/>
      <c r="Z387" s="100"/>
    </row>
    <row r="388" ht="14.25" customHeight="1">
      <c r="A388" s="59"/>
      <c r="B388" s="59"/>
      <c r="C388" s="59"/>
      <c r="D388" s="59"/>
      <c r="E388" s="59"/>
      <c r="F388" s="59"/>
      <c r="G388" s="59"/>
      <c r="H388" s="59"/>
      <c r="I388" s="59"/>
      <c r="J388" s="59"/>
      <c r="K388" s="59"/>
      <c r="L388" s="59"/>
      <c r="M388" s="59"/>
      <c r="N388" s="59"/>
      <c r="O388" s="100"/>
      <c r="P388" s="100"/>
      <c r="Q388" s="100"/>
      <c r="R388" s="100"/>
      <c r="S388" s="100"/>
      <c r="T388" s="100"/>
      <c r="U388" s="100"/>
      <c r="V388" s="100"/>
      <c r="W388" s="100"/>
      <c r="X388" s="100"/>
      <c r="Y388" s="100"/>
      <c r="Z388" s="100"/>
    </row>
    <row r="389" ht="14.25" customHeight="1">
      <c r="A389" s="59"/>
      <c r="B389" s="59"/>
      <c r="C389" s="59"/>
      <c r="D389" s="59"/>
      <c r="E389" s="59"/>
      <c r="F389" s="59"/>
      <c r="G389" s="59"/>
      <c r="H389" s="59"/>
      <c r="I389" s="59"/>
      <c r="J389" s="59"/>
      <c r="K389" s="59"/>
      <c r="L389" s="59"/>
      <c r="M389" s="59"/>
      <c r="N389" s="59"/>
      <c r="O389" s="100"/>
      <c r="P389" s="100"/>
      <c r="Q389" s="100"/>
      <c r="R389" s="100"/>
      <c r="S389" s="100"/>
      <c r="T389" s="100"/>
      <c r="U389" s="100"/>
      <c r="V389" s="100"/>
      <c r="W389" s="100"/>
      <c r="X389" s="100"/>
      <c r="Y389" s="100"/>
      <c r="Z389" s="100"/>
    </row>
    <row r="390" ht="14.25" customHeight="1">
      <c r="A390" s="59"/>
      <c r="B390" s="59"/>
      <c r="C390" s="59"/>
      <c r="D390" s="59"/>
      <c r="E390" s="59"/>
      <c r="F390" s="59"/>
      <c r="G390" s="59"/>
      <c r="H390" s="59"/>
      <c r="I390" s="59"/>
      <c r="J390" s="59"/>
      <c r="K390" s="59"/>
      <c r="L390" s="59"/>
      <c r="M390" s="59"/>
      <c r="N390" s="59"/>
      <c r="O390" s="100"/>
      <c r="P390" s="100"/>
      <c r="Q390" s="100"/>
      <c r="R390" s="100"/>
      <c r="S390" s="100"/>
      <c r="T390" s="100"/>
      <c r="U390" s="100"/>
      <c r="V390" s="100"/>
      <c r="W390" s="100"/>
      <c r="X390" s="100"/>
      <c r="Y390" s="100"/>
      <c r="Z390" s="100"/>
    </row>
    <row r="391" ht="14.25" customHeight="1">
      <c r="A391" s="59"/>
      <c r="B391" s="59"/>
      <c r="C391" s="59"/>
      <c r="D391" s="59"/>
      <c r="E391" s="59"/>
      <c r="F391" s="59"/>
      <c r="G391" s="59"/>
      <c r="H391" s="59"/>
      <c r="I391" s="59"/>
      <c r="J391" s="59"/>
      <c r="K391" s="59"/>
      <c r="L391" s="59"/>
      <c r="M391" s="59"/>
      <c r="N391" s="59"/>
      <c r="O391" s="100"/>
      <c r="P391" s="100"/>
      <c r="Q391" s="100"/>
      <c r="R391" s="100"/>
      <c r="S391" s="100"/>
      <c r="T391" s="100"/>
      <c r="U391" s="100"/>
      <c r="V391" s="100"/>
      <c r="W391" s="100"/>
      <c r="X391" s="100"/>
      <c r="Y391" s="100"/>
      <c r="Z391" s="100"/>
    </row>
    <row r="392" ht="14.25" customHeight="1">
      <c r="A392" s="59"/>
      <c r="B392" s="59"/>
      <c r="C392" s="59"/>
      <c r="D392" s="59"/>
      <c r="E392" s="59"/>
      <c r="F392" s="59"/>
      <c r="G392" s="59"/>
      <c r="H392" s="59"/>
      <c r="I392" s="59"/>
      <c r="J392" s="59"/>
      <c r="K392" s="59"/>
      <c r="L392" s="59"/>
      <c r="M392" s="59"/>
      <c r="N392" s="59"/>
      <c r="O392" s="100"/>
      <c r="P392" s="100"/>
      <c r="Q392" s="100"/>
      <c r="R392" s="100"/>
      <c r="S392" s="100"/>
      <c r="T392" s="100"/>
      <c r="U392" s="100"/>
      <c r="V392" s="100"/>
      <c r="W392" s="100"/>
      <c r="X392" s="100"/>
      <c r="Y392" s="100"/>
      <c r="Z392" s="100"/>
    </row>
    <row r="393" ht="14.25" customHeight="1">
      <c r="A393" s="59"/>
      <c r="B393" s="59"/>
      <c r="C393" s="59"/>
      <c r="D393" s="59"/>
      <c r="E393" s="59"/>
      <c r="F393" s="59"/>
      <c r="G393" s="59"/>
      <c r="H393" s="59"/>
      <c r="I393" s="59"/>
      <c r="J393" s="59"/>
      <c r="K393" s="59"/>
      <c r="L393" s="59"/>
      <c r="M393" s="59"/>
      <c r="N393" s="59"/>
      <c r="O393" s="100"/>
      <c r="P393" s="100"/>
      <c r="Q393" s="100"/>
      <c r="R393" s="100"/>
      <c r="S393" s="100"/>
      <c r="T393" s="100"/>
      <c r="U393" s="100"/>
      <c r="V393" s="100"/>
      <c r="W393" s="100"/>
      <c r="X393" s="100"/>
      <c r="Y393" s="100"/>
      <c r="Z393" s="100"/>
    </row>
    <row r="394" ht="14.25" customHeight="1">
      <c r="A394" s="59"/>
      <c r="B394" s="59"/>
      <c r="C394" s="59"/>
      <c r="D394" s="59"/>
      <c r="E394" s="59"/>
      <c r="F394" s="59"/>
      <c r="G394" s="59"/>
      <c r="H394" s="59"/>
      <c r="I394" s="59"/>
      <c r="J394" s="59"/>
      <c r="K394" s="59"/>
      <c r="L394" s="59"/>
      <c r="M394" s="59"/>
      <c r="N394" s="59"/>
      <c r="O394" s="100"/>
      <c r="P394" s="100"/>
      <c r="Q394" s="100"/>
      <c r="R394" s="100"/>
      <c r="S394" s="100"/>
      <c r="T394" s="100"/>
      <c r="U394" s="100"/>
      <c r="V394" s="100"/>
      <c r="W394" s="100"/>
      <c r="X394" s="100"/>
      <c r="Y394" s="100"/>
      <c r="Z394" s="100"/>
    </row>
    <row r="395" ht="14.25" customHeight="1">
      <c r="A395" s="59"/>
      <c r="B395" s="59"/>
      <c r="C395" s="59"/>
      <c r="D395" s="59"/>
      <c r="E395" s="59"/>
      <c r="F395" s="59"/>
      <c r="G395" s="59"/>
      <c r="H395" s="59"/>
      <c r="I395" s="59"/>
      <c r="J395" s="59"/>
      <c r="K395" s="59"/>
      <c r="L395" s="59"/>
      <c r="M395" s="59"/>
      <c r="N395" s="59"/>
      <c r="O395" s="100"/>
      <c r="P395" s="100"/>
      <c r="Q395" s="100"/>
      <c r="R395" s="100"/>
      <c r="S395" s="100"/>
      <c r="T395" s="100"/>
      <c r="U395" s="100"/>
      <c r="V395" s="100"/>
      <c r="W395" s="100"/>
      <c r="X395" s="100"/>
      <c r="Y395" s="100"/>
      <c r="Z395" s="100"/>
    </row>
    <row r="396" ht="14.25" customHeight="1">
      <c r="A396" s="59"/>
      <c r="B396" s="59"/>
      <c r="C396" s="59"/>
      <c r="D396" s="59"/>
      <c r="E396" s="59"/>
      <c r="F396" s="59"/>
      <c r="G396" s="59"/>
      <c r="H396" s="59"/>
      <c r="I396" s="59"/>
      <c r="J396" s="59"/>
      <c r="K396" s="59"/>
      <c r="L396" s="59"/>
      <c r="M396" s="59"/>
      <c r="N396" s="59"/>
      <c r="O396" s="100"/>
      <c r="P396" s="100"/>
      <c r="Q396" s="100"/>
      <c r="R396" s="100"/>
      <c r="S396" s="100"/>
      <c r="T396" s="100"/>
      <c r="U396" s="100"/>
      <c r="V396" s="100"/>
      <c r="W396" s="100"/>
      <c r="X396" s="100"/>
      <c r="Y396" s="100"/>
      <c r="Z396" s="100"/>
    </row>
    <row r="397" ht="14.25" customHeight="1">
      <c r="A397" s="59"/>
      <c r="B397" s="59"/>
      <c r="C397" s="59"/>
      <c r="D397" s="59"/>
      <c r="E397" s="59"/>
      <c r="F397" s="59"/>
      <c r="G397" s="59"/>
      <c r="H397" s="59"/>
      <c r="I397" s="59"/>
      <c r="J397" s="59"/>
      <c r="K397" s="59"/>
      <c r="L397" s="59"/>
      <c r="M397" s="59"/>
      <c r="N397" s="59"/>
      <c r="O397" s="100"/>
      <c r="P397" s="100"/>
      <c r="Q397" s="100"/>
      <c r="R397" s="100"/>
      <c r="S397" s="100"/>
      <c r="T397" s="100"/>
      <c r="U397" s="100"/>
      <c r="V397" s="100"/>
      <c r="W397" s="100"/>
      <c r="X397" s="100"/>
      <c r="Y397" s="100"/>
      <c r="Z397" s="100"/>
    </row>
    <row r="398" ht="14.25" customHeight="1">
      <c r="A398" s="59"/>
      <c r="B398" s="59"/>
      <c r="C398" s="59"/>
      <c r="D398" s="59"/>
      <c r="E398" s="59"/>
      <c r="F398" s="59"/>
      <c r="G398" s="59"/>
      <c r="H398" s="59"/>
      <c r="I398" s="59"/>
      <c r="J398" s="59"/>
      <c r="K398" s="59"/>
      <c r="L398" s="59"/>
      <c r="M398" s="59"/>
      <c r="N398" s="59"/>
      <c r="O398" s="100"/>
      <c r="P398" s="100"/>
      <c r="Q398" s="100"/>
      <c r="R398" s="100"/>
      <c r="S398" s="100"/>
      <c r="T398" s="100"/>
      <c r="U398" s="100"/>
      <c r="V398" s="100"/>
      <c r="W398" s="100"/>
      <c r="X398" s="100"/>
      <c r="Y398" s="100"/>
      <c r="Z398" s="100"/>
    </row>
    <row r="399" ht="14.25" customHeight="1">
      <c r="A399" s="59"/>
      <c r="B399" s="59"/>
      <c r="C399" s="59"/>
      <c r="D399" s="59"/>
      <c r="E399" s="59"/>
      <c r="F399" s="59"/>
      <c r="G399" s="59"/>
      <c r="H399" s="59"/>
      <c r="I399" s="59"/>
      <c r="J399" s="59"/>
      <c r="K399" s="59"/>
      <c r="L399" s="59"/>
      <c r="M399" s="59"/>
      <c r="N399" s="59"/>
      <c r="O399" s="100"/>
      <c r="P399" s="100"/>
      <c r="Q399" s="100"/>
      <c r="R399" s="100"/>
      <c r="S399" s="100"/>
      <c r="T399" s="100"/>
      <c r="U399" s="100"/>
      <c r="V399" s="100"/>
      <c r="W399" s="100"/>
      <c r="X399" s="100"/>
      <c r="Y399" s="100"/>
      <c r="Z399" s="100"/>
    </row>
    <row r="400" ht="14.25" customHeight="1">
      <c r="A400" s="59"/>
      <c r="B400" s="59"/>
      <c r="C400" s="59"/>
      <c r="D400" s="59"/>
      <c r="E400" s="59"/>
      <c r="F400" s="59"/>
      <c r="G400" s="59"/>
      <c r="H400" s="59"/>
      <c r="I400" s="59"/>
      <c r="J400" s="59"/>
      <c r="K400" s="59"/>
      <c r="L400" s="59"/>
      <c r="M400" s="59"/>
      <c r="N400" s="59"/>
      <c r="O400" s="100"/>
      <c r="P400" s="100"/>
      <c r="Q400" s="100"/>
      <c r="R400" s="100"/>
      <c r="S400" s="100"/>
      <c r="T400" s="100"/>
      <c r="U400" s="100"/>
      <c r="V400" s="100"/>
      <c r="W400" s="100"/>
      <c r="X400" s="100"/>
      <c r="Y400" s="100"/>
      <c r="Z400" s="100"/>
    </row>
    <row r="401" ht="14.25" customHeight="1">
      <c r="A401" s="59"/>
      <c r="B401" s="59"/>
      <c r="C401" s="59"/>
      <c r="D401" s="59"/>
      <c r="E401" s="59"/>
      <c r="F401" s="59"/>
      <c r="G401" s="59"/>
      <c r="H401" s="59"/>
      <c r="I401" s="59"/>
      <c r="J401" s="59"/>
      <c r="K401" s="59"/>
      <c r="L401" s="59"/>
      <c r="M401" s="59"/>
      <c r="N401" s="59"/>
      <c r="O401" s="100"/>
      <c r="P401" s="100"/>
      <c r="Q401" s="100"/>
      <c r="R401" s="100"/>
      <c r="S401" s="100"/>
      <c r="T401" s="100"/>
      <c r="U401" s="100"/>
      <c r="V401" s="100"/>
      <c r="W401" s="100"/>
      <c r="X401" s="100"/>
      <c r="Y401" s="100"/>
      <c r="Z401" s="100"/>
    </row>
    <row r="402" ht="14.25" customHeight="1">
      <c r="A402" s="59"/>
      <c r="B402" s="59"/>
      <c r="C402" s="59"/>
      <c r="D402" s="59"/>
      <c r="E402" s="59"/>
      <c r="F402" s="59"/>
      <c r="G402" s="59"/>
      <c r="H402" s="59"/>
      <c r="I402" s="59"/>
      <c r="J402" s="59"/>
      <c r="K402" s="59"/>
      <c r="L402" s="59"/>
      <c r="M402" s="59"/>
      <c r="N402" s="59"/>
      <c r="O402" s="100"/>
      <c r="P402" s="100"/>
      <c r="Q402" s="100"/>
      <c r="R402" s="100"/>
      <c r="S402" s="100"/>
      <c r="T402" s="100"/>
      <c r="U402" s="100"/>
      <c r="V402" s="100"/>
      <c r="W402" s="100"/>
      <c r="X402" s="100"/>
      <c r="Y402" s="100"/>
      <c r="Z402" s="100"/>
    </row>
    <row r="403" ht="14.25" customHeight="1">
      <c r="A403" s="59"/>
      <c r="B403" s="59"/>
      <c r="C403" s="59"/>
      <c r="D403" s="59"/>
      <c r="E403" s="59"/>
      <c r="F403" s="59"/>
      <c r="G403" s="59"/>
      <c r="H403" s="59"/>
      <c r="I403" s="59"/>
      <c r="J403" s="59"/>
      <c r="K403" s="59"/>
      <c r="L403" s="59"/>
      <c r="M403" s="59"/>
      <c r="N403" s="59"/>
      <c r="O403" s="100"/>
      <c r="P403" s="100"/>
      <c r="Q403" s="100"/>
      <c r="R403" s="100"/>
      <c r="S403" s="100"/>
      <c r="T403" s="100"/>
      <c r="U403" s="100"/>
      <c r="V403" s="100"/>
      <c r="W403" s="100"/>
      <c r="X403" s="100"/>
      <c r="Y403" s="100"/>
      <c r="Z403" s="100"/>
    </row>
    <row r="404" ht="14.25" customHeight="1">
      <c r="A404" s="59"/>
      <c r="B404" s="59"/>
      <c r="C404" s="59"/>
      <c r="D404" s="59"/>
      <c r="E404" s="59"/>
      <c r="F404" s="59"/>
      <c r="G404" s="59"/>
      <c r="H404" s="59"/>
      <c r="I404" s="59"/>
      <c r="J404" s="59"/>
      <c r="K404" s="59"/>
      <c r="L404" s="59"/>
      <c r="M404" s="59"/>
      <c r="N404" s="59"/>
      <c r="O404" s="100"/>
      <c r="P404" s="100"/>
      <c r="Q404" s="100"/>
      <c r="R404" s="100"/>
      <c r="S404" s="100"/>
      <c r="T404" s="100"/>
      <c r="U404" s="100"/>
      <c r="V404" s="100"/>
      <c r="W404" s="100"/>
      <c r="X404" s="100"/>
      <c r="Y404" s="100"/>
      <c r="Z404" s="100"/>
    </row>
    <row r="405" ht="14.25" customHeight="1">
      <c r="A405" s="59"/>
      <c r="B405" s="59"/>
      <c r="C405" s="59"/>
      <c r="D405" s="59"/>
      <c r="E405" s="59"/>
      <c r="F405" s="59"/>
      <c r="G405" s="59"/>
      <c r="H405" s="59"/>
      <c r="I405" s="59"/>
      <c r="J405" s="59"/>
      <c r="K405" s="59"/>
      <c r="L405" s="59"/>
      <c r="M405" s="59"/>
      <c r="N405" s="59"/>
      <c r="O405" s="100"/>
      <c r="P405" s="100"/>
      <c r="Q405" s="100"/>
      <c r="R405" s="100"/>
      <c r="S405" s="100"/>
      <c r="T405" s="100"/>
      <c r="U405" s="100"/>
      <c r="V405" s="100"/>
      <c r="W405" s="100"/>
      <c r="X405" s="100"/>
      <c r="Y405" s="100"/>
      <c r="Z405" s="100"/>
    </row>
    <row r="406" ht="14.25" customHeight="1">
      <c r="A406" s="59"/>
      <c r="B406" s="59"/>
      <c r="C406" s="59"/>
      <c r="D406" s="59"/>
      <c r="E406" s="59"/>
      <c r="F406" s="59"/>
      <c r="G406" s="59"/>
      <c r="H406" s="59"/>
      <c r="I406" s="59"/>
      <c r="J406" s="59"/>
      <c r="K406" s="59"/>
      <c r="L406" s="59"/>
      <c r="M406" s="59"/>
      <c r="N406" s="59"/>
      <c r="O406" s="100"/>
      <c r="P406" s="100"/>
      <c r="Q406" s="100"/>
      <c r="R406" s="100"/>
      <c r="S406" s="100"/>
      <c r="T406" s="100"/>
      <c r="U406" s="100"/>
      <c r="V406" s="100"/>
      <c r="W406" s="100"/>
      <c r="X406" s="100"/>
      <c r="Y406" s="100"/>
      <c r="Z406" s="100"/>
    </row>
    <row r="407" ht="14.25" customHeight="1">
      <c r="A407" s="59"/>
      <c r="B407" s="59"/>
      <c r="C407" s="59"/>
      <c r="D407" s="59"/>
      <c r="E407" s="59"/>
      <c r="F407" s="59"/>
      <c r="G407" s="59"/>
      <c r="H407" s="59"/>
      <c r="I407" s="59"/>
      <c r="J407" s="59"/>
      <c r="K407" s="59"/>
      <c r="L407" s="59"/>
      <c r="M407" s="59"/>
      <c r="N407" s="59"/>
      <c r="O407" s="100"/>
      <c r="P407" s="100"/>
      <c r="Q407" s="100"/>
      <c r="R407" s="100"/>
      <c r="S407" s="100"/>
      <c r="T407" s="100"/>
      <c r="U407" s="100"/>
      <c r="V407" s="100"/>
      <c r="W407" s="100"/>
      <c r="X407" s="100"/>
      <c r="Y407" s="100"/>
      <c r="Z407" s="100"/>
    </row>
    <row r="408" ht="14.25" customHeight="1">
      <c r="A408" s="59"/>
      <c r="B408" s="59"/>
      <c r="C408" s="59"/>
      <c r="D408" s="59"/>
      <c r="E408" s="59"/>
      <c r="F408" s="59"/>
      <c r="G408" s="59"/>
      <c r="H408" s="59"/>
      <c r="I408" s="59"/>
      <c r="J408" s="59"/>
      <c r="K408" s="59"/>
      <c r="L408" s="59"/>
      <c r="M408" s="59"/>
      <c r="N408" s="59"/>
      <c r="O408" s="100"/>
      <c r="P408" s="100"/>
      <c r="Q408" s="100"/>
      <c r="R408" s="100"/>
      <c r="S408" s="100"/>
      <c r="T408" s="100"/>
      <c r="U408" s="100"/>
      <c r="V408" s="100"/>
      <c r="W408" s="100"/>
      <c r="X408" s="100"/>
      <c r="Y408" s="100"/>
      <c r="Z408" s="100"/>
    </row>
    <row r="409" ht="14.25" customHeight="1">
      <c r="A409" s="59"/>
      <c r="B409" s="59"/>
      <c r="C409" s="59"/>
      <c r="D409" s="59"/>
      <c r="E409" s="59"/>
      <c r="F409" s="59"/>
      <c r="G409" s="59"/>
      <c r="H409" s="59"/>
      <c r="I409" s="59"/>
      <c r="J409" s="59"/>
      <c r="K409" s="59"/>
      <c r="L409" s="59"/>
      <c r="M409" s="59"/>
      <c r="N409" s="59"/>
      <c r="O409" s="100"/>
      <c r="P409" s="100"/>
      <c r="Q409" s="100"/>
      <c r="R409" s="100"/>
      <c r="S409" s="100"/>
      <c r="T409" s="100"/>
      <c r="U409" s="100"/>
      <c r="V409" s="100"/>
      <c r="W409" s="100"/>
      <c r="X409" s="100"/>
      <c r="Y409" s="100"/>
      <c r="Z409" s="100"/>
    </row>
    <row r="410" ht="14.25" customHeight="1">
      <c r="A410" s="59"/>
      <c r="B410" s="59"/>
      <c r="C410" s="59"/>
      <c r="D410" s="59"/>
      <c r="E410" s="59"/>
      <c r="F410" s="59"/>
      <c r="G410" s="59"/>
      <c r="H410" s="59"/>
      <c r="I410" s="59"/>
      <c r="J410" s="59"/>
      <c r="K410" s="59"/>
      <c r="L410" s="59"/>
      <c r="M410" s="59"/>
      <c r="N410" s="59"/>
      <c r="O410" s="100"/>
      <c r="P410" s="100"/>
      <c r="Q410" s="100"/>
      <c r="R410" s="100"/>
      <c r="S410" s="100"/>
      <c r="T410" s="100"/>
      <c r="U410" s="100"/>
      <c r="V410" s="100"/>
      <c r="W410" s="100"/>
      <c r="X410" s="100"/>
      <c r="Y410" s="100"/>
      <c r="Z410" s="100"/>
    </row>
    <row r="411" ht="14.25" customHeight="1">
      <c r="A411" s="59"/>
      <c r="B411" s="59"/>
      <c r="C411" s="59"/>
      <c r="D411" s="59"/>
      <c r="E411" s="59"/>
      <c r="F411" s="59"/>
      <c r="G411" s="59"/>
      <c r="H411" s="59"/>
      <c r="I411" s="59"/>
      <c r="J411" s="59"/>
      <c r="K411" s="59"/>
      <c r="L411" s="59"/>
      <c r="M411" s="59"/>
      <c r="N411" s="59"/>
      <c r="O411" s="100"/>
      <c r="P411" s="100"/>
      <c r="Q411" s="100"/>
      <c r="R411" s="100"/>
      <c r="S411" s="100"/>
      <c r="T411" s="100"/>
      <c r="U411" s="100"/>
      <c r="V411" s="100"/>
      <c r="W411" s="100"/>
      <c r="X411" s="100"/>
      <c r="Y411" s="100"/>
      <c r="Z411" s="100"/>
    </row>
    <row r="412" ht="14.25" customHeight="1">
      <c r="A412" s="59"/>
      <c r="B412" s="59"/>
      <c r="C412" s="59"/>
      <c r="D412" s="59"/>
      <c r="E412" s="59"/>
      <c r="F412" s="59"/>
      <c r="G412" s="59"/>
      <c r="H412" s="59"/>
      <c r="I412" s="59"/>
      <c r="J412" s="59"/>
      <c r="K412" s="59"/>
      <c r="L412" s="59"/>
      <c r="M412" s="59"/>
      <c r="N412" s="59"/>
      <c r="O412" s="100"/>
      <c r="P412" s="100"/>
      <c r="Q412" s="100"/>
      <c r="R412" s="100"/>
      <c r="S412" s="100"/>
      <c r="T412" s="100"/>
      <c r="U412" s="100"/>
      <c r="V412" s="100"/>
      <c r="W412" s="100"/>
      <c r="X412" s="100"/>
      <c r="Y412" s="100"/>
      <c r="Z412" s="100"/>
    </row>
    <row r="413" ht="14.25" customHeight="1">
      <c r="A413" s="59"/>
      <c r="B413" s="59"/>
      <c r="C413" s="59"/>
      <c r="D413" s="59"/>
      <c r="E413" s="59"/>
      <c r="F413" s="59"/>
      <c r="G413" s="59"/>
      <c r="H413" s="59"/>
      <c r="I413" s="59"/>
      <c r="J413" s="59"/>
      <c r="K413" s="59"/>
      <c r="L413" s="59"/>
      <c r="M413" s="59"/>
      <c r="N413" s="59"/>
      <c r="O413" s="100"/>
      <c r="P413" s="100"/>
      <c r="Q413" s="100"/>
      <c r="R413" s="100"/>
      <c r="S413" s="100"/>
      <c r="T413" s="100"/>
      <c r="U413" s="100"/>
      <c r="V413" s="100"/>
      <c r="W413" s="100"/>
      <c r="X413" s="100"/>
      <c r="Y413" s="100"/>
      <c r="Z413" s="100"/>
    </row>
    <row r="414" ht="14.25" customHeight="1">
      <c r="A414" s="59"/>
      <c r="B414" s="59"/>
      <c r="C414" s="59"/>
      <c r="D414" s="59"/>
      <c r="E414" s="59"/>
      <c r="F414" s="59"/>
      <c r="G414" s="59"/>
      <c r="H414" s="59"/>
      <c r="I414" s="59"/>
      <c r="J414" s="59"/>
      <c r="K414" s="59"/>
      <c r="L414" s="59"/>
      <c r="M414" s="59"/>
      <c r="N414" s="59"/>
      <c r="O414" s="100"/>
      <c r="P414" s="100"/>
      <c r="Q414" s="100"/>
      <c r="R414" s="100"/>
      <c r="S414" s="100"/>
      <c r="T414" s="100"/>
      <c r="U414" s="100"/>
      <c r="V414" s="100"/>
      <c r="W414" s="100"/>
      <c r="X414" s="100"/>
      <c r="Y414" s="100"/>
      <c r="Z414" s="100"/>
    </row>
    <row r="415" ht="14.25" customHeight="1">
      <c r="A415" s="59"/>
      <c r="B415" s="59"/>
      <c r="C415" s="59"/>
      <c r="D415" s="59"/>
      <c r="E415" s="59"/>
      <c r="F415" s="59"/>
      <c r="G415" s="59"/>
      <c r="H415" s="59"/>
      <c r="I415" s="59"/>
      <c r="J415" s="59"/>
      <c r="K415" s="59"/>
      <c r="L415" s="59"/>
      <c r="M415" s="59"/>
      <c r="N415" s="59"/>
      <c r="O415" s="100"/>
      <c r="P415" s="100"/>
      <c r="Q415" s="100"/>
      <c r="R415" s="100"/>
      <c r="S415" s="100"/>
      <c r="T415" s="100"/>
      <c r="U415" s="100"/>
      <c r="V415" s="100"/>
      <c r="W415" s="100"/>
      <c r="X415" s="100"/>
      <c r="Y415" s="100"/>
      <c r="Z415" s="100"/>
    </row>
    <row r="416" ht="14.25" customHeight="1">
      <c r="A416" s="59"/>
      <c r="B416" s="59"/>
      <c r="C416" s="59"/>
      <c r="D416" s="59"/>
      <c r="E416" s="59"/>
      <c r="F416" s="59"/>
      <c r="G416" s="59"/>
      <c r="H416" s="59"/>
      <c r="I416" s="59"/>
      <c r="J416" s="59"/>
      <c r="K416" s="59"/>
      <c r="L416" s="59"/>
      <c r="M416" s="59"/>
      <c r="N416" s="59"/>
      <c r="O416" s="100"/>
      <c r="P416" s="100"/>
      <c r="Q416" s="100"/>
      <c r="R416" s="100"/>
      <c r="S416" s="100"/>
      <c r="T416" s="100"/>
      <c r="U416" s="100"/>
      <c r="V416" s="100"/>
      <c r="W416" s="100"/>
      <c r="X416" s="100"/>
      <c r="Y416" s="100"/>
      <c r="Z416" s="100"/>
    </row>
    <row r="417" ht="14.25" customHeight="1">
      <c r="A417" s="59"/>
      <c r="B417" s="59"/>
      <c r="C417" s="59"/>
      <c r="D417" s="59"/>
      <c r="E417" s="59"/>
      <c r="F417" s="59"/>
      <c r="G417" s="59"/>
      <c r="H417" s="59"/>
      <c r="I417" s="59"/>
      <c r="J417" s="59"/>
      <c r="K417" s="59"/>
      <c r="L417" s="59"/>
      <c r="M417" s="59"/>
      <c r="N417" s="59"/>
      <c r="O417" s="100"/>
      <c r="P417" s="100"/>
      <c r="Q417" s="100"/>
      <c r="R417" s="100"/>
      <c r="S417" s="100"/>
      <c r="T417" s="100"/>
      <c r="U417" s="100"/>
      <c r="V417" s="100"/>
      <c r="W417" s="100"/>
      <c r="X417" s="100"/>
      <c r="Y417" s="100"/>
      <c r="Z417" s="100"/>
    </row>
    <row r="418" ht="14.25" customHeight="1">
      <c r="A418" s="59"/>
      <c r="B418" s="59"/>
      <c r="C418" s="59"/>
      <c r="D418" s="59"/>
      <c r="E418" s="59"/>
      <c r="F418" s="59"/>
      <c r="G418" s="59"/>
      <c r="H418" s="59"/>
      <c r="I418" s="59"/>
      <c r="J418" s="59"/>
      <c r="K418" s="59"/>
      <c r="L418" s="59"/>
      <c r="M418" s="59"/>
      <c r="N418" s="59"/>
      <c r="O418" s="100"/>
      <c r="P418" s="100"/>
      <c r="Q418" s="100"/>
      <c r="R418" s="100"/>
      <c r="S418" s="100"/>
      <c r="T418" s="100"/>
      <c r="U418" s="100"/>
      <c r="V418" s="100"/>
      <c r="W418" s="100"/>
      <c r="X418" s="100"/>
      <c r="Y418" s="100"/>
      <c r="Z418" s="100"/>
    </row>
    <row r="419" ht="14.25" customHeight="1">
      <c r="A419" s="59"/>
      <c r="B419" s="59"/>
      <c r="C419" s="59"/>
      <c r="D419" s="59"/>
      <c r="E419" s="59"/>
      <c r="F419" s="59"/>
      <c r="G419" s="59"/>
      <c r="H419" s="59"/>
      <c r="I419" s="59"/>
      <c r="J419" s="59"/>
      <c r="K419" s="59"/>
      <c r="L419" s="59"/>
      <c r="M419" s="59"/>
      <c r="N419" s="59"/>
      <c r="O419" s="100"/>
      <c r="P419" s="100"/>
      <c r="Q419" s="100"/>
      <c r="R419" s="100"/>
      <c r="S419" s="100"/>
      <c r="T419" s="100"/>
      <c r="U419" s="100"/>
      <c r="V419" s="100"/>
      <c r="W419" s="100"/>
      <c r="X419" s="100"/>
      <c r="Y419" s="100"/>
      <c r="Z419" s="100"/>
    </row>
    <row r="420" ht="14.25" customHeight="1">
      <c r="A420" s="59"/>
      <c r="B420" s="59"/>
      <c r="C420" s="59"/>
      <c r="D420" s="59"/>
      <c r="E420" s="59"/>
      <c r="F420" s="59"/>
      <c r="G420" s="59"/>
      <c r="H420" s="59"/>
      <c r="I420" s="59"/>
      <c r="J420" s="59"/>
      <c r="K420" s="59"/>
      <c r="L420" s="59"/>
      <c r="M420" s="59"/>
      <c r="N420" s="59"/>
      <c r="O420" s="100"/>
      <c r="P420" s="100"/>
      <c r="Q420" s="100"/>
      <c r="R420" s="100"/>
      <c r="S420" s="100"/>
      <c r="T420" s="100"/>
      <c r="U420" s="100"/>
      <c r="V420" s="100"/>
      <c r="W420" s="100"/>
      <c r="X420" s="100"/>
      <c r="Y420" s="100"/>
      <c r="Z420" s="100"/>
    </row>
    <row r="421" ht="14.25" customHeight="1">
      <c r="A421" s="59"/>
      <c r="B421" s="59"/>
      <c r="C421" s="59"/>
      <c r="D421" s="59"/>
      <c r="E421" s="59"/>
      <c r="F421" s="59"/>
      <c r="G421" s="59"/>
      <c r="H421" s="59"/>
      <c r="I421" s="59"/>
      <c r="J421" s="59"/>
      <c r="K421" s="59"/>
      <c r="L421" s="59"/>
      <c r="M421" s="59"/>
      <c r="N421" s="59"/>
      <c r="O421" s="100"/>
      <c r="P421" s="100"/>
      <c r="Q421" s="100"/>
      <c r="R421" s="100"/>
      <c r="S421" s="100"/>
      <c r="T421" s="100"/>
      <c r="U421" s="100"/>
      <c r="V421" s="100"/>
      <c r="W421" s="100"/>
      <c r="X421" s="100"/>
      <c r="Y421" s="100"/>
      <c r="Z421" s="100"/>
    </row>
    <row r="422" ht="14.25" customHeight="1">
      <c r="A422" s="59"/>
      <c r="B422" s="59"/>
      <c r="C422" s="59"/>
      <c r="D422" s="59"/>
      <c r="E422" s="59"/>
      <c r="F422" s="59"/>
      <c r="G422" s="59"/>
      <c r="H422" s="59"/>
      <c r="I422" s="59"/>
      <c r="J422" s="59"/>
      <c r="K422" s="59"/>
      <c r="L422" s="59"/>
      <c r="M422" s="59"/>
      <c r="N422" s="59"/>
      <c r="O422" s="100"/>
      <c r="P422" s="100"/>
      <c r="Q422" s="100"/>
      <c r="R422" s="100"/>
      <c r="S422" s="100"/>
      <c r="T422" s="100"/>
      <c r="U422" s="100"/>
      <c r="V422" s="100"/>
      <c r="W422" s="100"/>
      <c r="X422" s="100"/>
      <c r="Y422" s="100"/>
      <c r="Z422" s="100"/>
    </row>
    <row r="423" ht="14.25" customHeight="1">
      <c r="A423" s="59"/>
      <c r="B423" s="59"/>
      <c r="C423" s="59"/>
      <c r="D423" s="59"/>
      <c r="E423" s="59"/>
      <c r="F423" s="59"/>
      <c r="G423" s="59"/>
      <c r="H423" s="59"/>
      <c r="I423" s="59"/>
      <c r="J423" s="59"/>
      <c r="K423" s="59"/>
      <c r="L423" s="59"/>
      <c r="M423" s="59"/>
      <c r="N423" s="59"/>
      <c r="O423" s="100"/>
      <c r="P423" s="100"/>
      <c r="Q423" s="100"/>
      <c r="R423" s="100"/>
      <c r="S423" s="100"/>
      <c r="T423" s="100"/>
      <c r="U423" s="100"/>
      <c r="V423" s="100"/>
      <c r="W423" s="100"/>
      <c r="X423" s="100"/>
      <c r="Y423" s="100"/>
      <c r="Z423" s="100"/>
    </row>
    <row r="424" ht="14.25" customHeight="1">
      <c r="A424" s="59"/>
      <c r="B424" s="59"/>
      <c r="C424" s="59"/>
      <c r="D424" s="59"/>
      <c r="E424" s="59"/>
      <c r="F424" s="59"/>
      <c r="G424" s="59"/>
      <c r="H424" s="59"/>
      <c r="I424" s="59"/>
      <c r="J424" s="59"/>
      <c r="K424" s="59"/>
      <c r="L424" s="59"/>
      <c r="M424" s="59"/>
      <c r="N424" s="59"/>
      <c r="O424" s="100"/>
      <c r="P424" s="100"/>
      <c r="Q424" s="100"/>
      <c r="R424" s="100"/>
      <c r="S424" s="100"/>
      <c r="T424" s="100"/>
      <c r="U424" s="100"/>
      <c r="V424" s="100"/>
      <c r="W424" s="100"/>
      <c r="X424" s="100"/>
      <c r="Y424" s="100"/>
      <c r="Z424" s="100"/>
    </row>
    <row r="425" ht="14.25" customHeight="1">
      <c r="A425" s="59"/>
      <c r="B425" s="59"/>
      <c r="C425" s="59"/>
      <c r="D425" s="59"/>
      <c r="E425" s="59"/>
      <c r="F425" s="59"/>
      <c r="G425" s="59"/>
      <c r="H425" s="59"/>
      <c r="I425" s="59"/>
      <c r="J425" s="59"/>
      <c r="K425" s="59"/>
      <c r="L425" s="59"/>
      <c r="M425" s="59"/>
      <c r="N425" s="59"/>
      <c r="O425" s="100"/>
      <c r="P425" s="100"/>
      <c r="Q425" s="100"/>
      <c r="R425" s="100"/>
      <c r="S425" s="100"/>
      <c r="T425" s="100"/>
      <c r="U425" s="100"/>
      <c r="V425" s="100"/>
      <c r="W425" s="100"/>
      <c r="X425" s="100"/>
      <c r="Y425" s="100"/>
      <c r="Z425" s="100"/>
    </row>
    <row r="426" ht="14.25" customHeight="1">
      <c r="A426" s="59"/>
      <c r="B426" s="59"/>
      <c r="C426" s="59"/>
      <c r="D426" s="59"/>
      <c r="E426" s="59"/>
      <c r="F426" s="59"/>
      <c r="G426" s="59"/>
      <c r="H426" s="59"/>
      <c r="I426" s="59"/>
      <c r="J426" s="59"/>
      <c r="K426" s="59"/>
      <c r="L426" s="59"/>
      <c r="M426" s="59"/>
      <c r="N426" s="59"/>
      <c r="O426" s="100"/>
      <c r="P426" s="100"/>
      <c r="Q426" s="100"/>
      <c r="R426" s="100"/>
      <c r="S426" s="100"/>
      <c r="T426" s="100"/>
      <c r="U426" s="100"/>
      <c r="V426" s="100"/>
      <c r="W426" s="100"/>
      <c r="X426" s="100"/>
      <c r="Y426" s="100"/>
      <c r="Z426" s="100"/>
    </row>
    <row r="427" ht="14.25" customHeight="1">
      <c r="A427" s="59"/>
      <c r="B427" s="59"/>
      <c r="C427" s="59"/>
      <c r="D427" s="59"/>
      <c r="E427" s="59"/>
      <c r="F427" s="59"/>
      <c r="G427" s="59"/>
      <c r="H427" s="59"/>
      <c r="I427" s="59"/>
      <c r="J427" s="59"/>
      <c r="K427" s="59"/>
      <c r="L427" s="59"/>
      <c r="M427" s="59"/>
      <c r="N427" s="59"/>
      <c r="O427" s="100"/>
      <c r="P427" s="100"/>
      <c r="Q427" s="100"/>
      <c r="R427" s="100"/>
      <c r="S427" s="100"/>
      <c r="T427" s="100"/>
      <c r="U427" s="100"/>
      <c r="V427" s="100"/>
      <c r="W427" s="100"/>
      <c r="X427" s="100"/>
      <c r="Y427" s="100"/>
      <c r="Z427" s="100"/>
    </row>
    <row r="428" ht="14.25" customHeight="1">
      <c r="A428" s="59"/>
      <c r="B428" s="59"/>
      <c r="C428" s="59"/>
      <c r="D428" s="59"/>
      <c r="E428" s="59"/>
      <c r="F428" s="59"/>
      <c r="G428" s="59"/>
      <c r="H428" s="59"/>
      <c r="I428" s="59"/>
      <c r="J428" s="59"/>
      <c r="K428" s="59"/>
      <c r="L428" s="59"/>
      <c r="M428" s="59"/>
      <c r="N428" s="59"/>
      <c r="O428" s="100"/>
      <c r="P428" s="100"/>
      <c r="Q428" s="100"/>
      <c r="R428" s="100"/>
      <c r="S428" s="100"/>
      <c r="T428" s="100"/>
      <c r="U428" s="100"/>
      <c r="V428" s="100"/>
      <c r="W428" s="100"/>
      <c r="X428" s="100"/>
      <c r="Y428" s="100"/>
      <c r="Z428" s="100"/>
    </row>
    <row r="429" ht="14.25" customHeight="1">
      <c r="A429" s="59"/>
      <c r="B429" s="59"/>
      <c r="C429" s="59"/>
      <c r="D429" s="59"/>
      <c r="E429" s="59"/>
      <c r="F429" s="59"/>
      <c r="G429" s="59"/>
      <c r="H429" s="59"/>
      <c r="I429" s="59"/>
      <c r="J429" s="59"/>
      <c r="K429" s="59"/>
      <c r="L429" s="59"/>
      <c r="M429" s="59"/>
      <c r="N429" s="59"/>
      <c r="O429" s="100"/>
      <c r="P429" s="100"/>
      <c r="Q429" s="100"/>
      <c r="R429" s="100"/>
      <c r="S429" s="100"/>
      <c r="T429" s="100"/>
      <c r="U429" s="100"/>
      <c r="V429" s="100"/>
      <c r="W429" s="100"/>
      <c r="X429" s="100"/>
      <c r="Y429" s="100"/>
      <c r="Z429" s="100"/>
    </row>
    <row r="430" ht="14.25" customHeight="1">
      <c r="A430" s="59"/>
      <c r="B430" s="59"/>
      <c r="C430" s="59"/>
      <c r="D430" s="59"/>
      <c r="E430" s="59"/>
      <c r="F430" s="59"/>
      <c r="G430" s="59"/>
      <c r="H430" s="59"/>
      <c r="I430" s="59"/>
      <c r="J430" s="59"/>
      <c r="K430" s="59"/>
      <c r="L430" s="59"/>
      <c r="M430" s="59"/>
      <c r="N430" s="59"/>
      <c r="O430" s="100"/>
      <c r="P430" s="100"/>
      <c r="Q430" s="100"/>
      <c r="R430" s="100"/>
      <c r="S430" s="100"/>
      <c r="T430" s="100"/>
      <c r="U430" s="100"/>
      <c r="V430" s="100"/>
      <c r="W430" s="100"/>
      <c r="X430" s="100"/>
      <c r="Y430" s="100"/>
      <c r="Z430" s="100"/>
    </row>
    <row r="431" ht="14.25" customHeight="1">
      <c r="A431" s="59"/>
      <c r="B431" s="59"/>
      <c r="C431" s="59"/>
      <c r="D431" s="59"/>
      <c r="E431" s="59"/>
      <c r="F431" s="59"/>
      <c r="G431" s="59"/>
      <c r="H431" s="59"/>
      <c r="I431" s="59"/>
      <c r="J431" s="59"/>
      <c r="K431" s="59"/>
      <c r="L431" s="59"/>
      <c r="M431" s="59"/>
      <c r="N431" s="59"/>
      <c r="O431" s="100"/>
      <c r="P431" s="100"/>
      <c r="Q431" s="100"/>
      <c r="R431" s="100"/>
      <c r="S431" s="100"/>
      <c r="T431" s="100"/>
      <c r="U431" s="100"/>
      <c r="V431" s="100"/>
      <c r="W431" s="100"/>
      <c r="X431" s="100"/>
      <c r="Y431" s="100"/>
      <c r="Z431" s="100"/>
    </row>
    <row r="432" ht="14.25" customHeight="1">
      <c r="A432" s="59"/>
      <c r="B432" s="59"/>
      <c r="C432" s="59"/>
      <c r="D432" s="59"/>
      <c r="E432" s="59"/>
      <c r="F432" s="59"/>
      <c r="G432" s="59"/>
      <c r="H432" s="59"/>
      <c r="I432" s="59"/>
      <c r="J432" s="59"/>
      <c r="K432" s="59"/>
      <c r="L432" s="59"/>
      <c r="M432" s="59"/>
      <c r="N432" s="59"/>
      <c r="O432" s="100"/>
      <c r="P432" s="100"/>
      <c r="Q432" s="100"/>
      <c r="R432" s="100"/>
      <c r="S432" s="100"/>
      <c r="T432" s="100"/>
      <c r="U432" s="100"/>
      <c r="V432" s="100"/>
      <c r="W432" s="100"/>
      <c r="X432" s="100"/>
      <c r="Y432" s="100"/>
      <c r="Z432" s="100"/>
    </row>
    <row r="433" ht="14.25" customHeight="1">
      <c r="A433" s="59"/>
      <c r="B433" s="59"/>
      <c r="C433" s="59"/>
      <c r="D433" s="59"/>
      <c r="E433" s="59"/>
      <c r="F433" s="59"/>
      <c r="G433" s="59"/>
      <c r="H433" s="59"/>
      <c r="I433" s="59"/>
      <c r="J433" s="59"/>
      <c r="K433" s="59"/>
      <c r="L433" s="59"/>
      <c r="M433" s="59"/>
      <c r="N433" s="59"/>
      <c r="O433" s="100"/>
      <c r="P433" s="100"/>
      <c r="Q433" s="100"/>
      <c r="R433" s="100"/>
      <c r="S433" s="100"/>
      <c r="T433" s="100"/>
      <c r="U433" s="100"/>
      <c r="V433" s="100"/>
      <c r="W433" s="100"/>
      <c r="X433" s="100"/>
      <c r="Y433" s="100"/>
      <c r="Z433" s="100"/>
    </row>
    <row r="434" ht="14.25" customHeight="1">
      <c r="A434" s="59"/>
      <c r="B434" s="59"/>
      <c r="C434" s="59"/>
      <c r="D434" s="59"/>
      <c r="E434" s="59"/>
      <c r="F434" s="59"/>
      <c r="G434" s="59"/>
      <c r="H434" s="59"/>
      <c r="I434" s="59"/>
      <c r="J434" s="59"/>
      <c r="K434" s="59"/>
      <c r="L434" s="59"/>
      <c r="M434" s="59"/>
      <c r="N434" s="59"/>
      <c r="O434" s="100"/>
      <c r="P434" s="100"/>
      <c r="Q434" s="100"/>
      <c r="R434" s="100"/>
      <c r="S434" s="100"/>
      <c r="T434" s="100"/>
      <c r="U434" s="100"/>
      <c r="V434" s="100"/>
      <c r="W434" s="100"/>
      <c r="X434" s="100"/>
      <c r="Y434" s="100"/>
      <c r="Z434" s="100"/>
    </row>
    <row r="435" ht="14.25" customHeight="1">
      <c r="A435" s="59"/>
      <c r="B435" s="59"/>
      <c r="C435" s="59"/>
      <c r="D435" s="59"/>
      <c r="E435" s="59"/>
      <c r="F435" s="59"/>
      <c r="G435" s="59"/>
      <c r="H435" s="59"/>
      <c r="I435" s="59"/>
      <c r="J435" s="59"/>
      <c r="K435" s="59"/>
      <c r="L435" s="59"/>
      <c r="M435" s="59"/>
      <c r="N435" s="59"/>
      <c r="O435" s="100"/>
      <c r="P435" s="100"/>
      <c r="Q435" s="100"/>
      <c r="R435" s="100"/>
      <c r="S435" s="100"/>
      <c r="T435" s="100"/>
      <c r="U435" s="100"/>
      <c r="V435" s="100"/>
      <c r="W435" s="100"/>
      <c r="X435" s="100"/>
      <c r="Y435" s="100"/>
      <c r="Z435" s="100"/>
    </row>
    <row r="436" ht="14.25" customHeight="1">
      <c r="A436" s="59"/>
      <c r="B436" s="59"/>
      <c r="C436" s="59"/>
      <c r="D436" s="59"/>
      <c r="E436" s="59"/>
      <c r="F436" s="59"/>
      <c r="G436" s="59"/>
      <c r="H436" s="59"/>
      <c r="I436" s="59"/>
      <c r="J436" s="59"/>
      <c r="K436" s="59"/>
      <c r="L436" s="59"/>
      <c r="M436" s="59"/>
      <c r="N436" s="59"/>
      <c r="O436" s="100"/>
      <c r="P436" s="100"/>
      <c r="Q436" s="100"/>
      <c r="R436" s="100"/>
      <c r="S436" s="100"/>
      <c r="T436" s="100"/>
      <c r="U436" s="100"/>
      <c r="V436" s="100"/>
      <c r="W436" s="100"/>
      <c r="X436" s="100"/>
      <c r="Y436" s="100"/>
      <c r="Z436" s="100"/>
    </row>
    <row r="437" ht="14.25" customHeight="1">
      <c r="A437" s="59"/>
      <c r="B437" s="59"/>
      <c r="C437" s="59"/>
      <c r="D437" s="59"/>
      <c r="E437" s="59"/>
      <c r="F437" s="59"/>
      <c r="G437" s="59"/>
      <c r="H437" s="59"/>
      <c r="I437" s="59"/>
      <c r="J437" s="59"/>
      <c r="K437" s="59"/>
      <c r="L437" s="59"/>
      <c r="M437" s="59"/>
      <c r="N437" s="59"/>
      <c r="O437" s="100"/>
      <c r="P437" s="100"/>
      <c r="Q437" s="100"/>
      <c r="R437" s="100"/>
      <c r="S437" s="100"/>
      <c r="T437" s="100"/>
      <c r="U437" s="100"/>
      <c r="V437" s="100"/>
      <c r="W437" s="100"/>
      <c r="X437" s="100"/>
      <c r="Y437" s="100"/>
      <c r="Z437" s="100"/>
    </row>
    <row r="438" ht="14.25" customHeight="1">
      <c r="A438" s="59"/>
      <c r="B438" s="59"/>
      <c r="C438" s="59"/>
      <c r="D438" s="59"/>
      <c r="E438" s="59"/>
      <c r="F438" s="59"/>
      <c r="G438" s="59"/>
      <c r="H438" s="59"/>
      <c r="I438" s="59"/>
      <c r="J438" s="59"/>
      <c r="K438" s="59"/>
      <c r="L438" s="59"/>
      <c r="M438" s="59"/>
      <c r="N438" s="59"/>
      <c r="O438" s="100"/>
      <c r="P438" s="100"/>
      <c r="Q438" s="100"/>
      <c r="R438" s="100"/>
      <c r="S438" s="100"/>
      <c r="T438" s="100"/>
      <c r="U438" s="100"/>
      <c r="V438" s="100"/>
      <c r="W438" s="100"/>
      <c r="X438" s="100"/>
      <c r="Y438" s="100"/>
      <c r="Z438" s="100"/>
    </row>
    <row r="439" ht="14.25" customHeight="1">
      <c r="A439" s="59"/>
      <c r="B439" s="59"/>
      <c r="C439" s="59"/>
      <c r="D439" s="59"/>
      <c r="E439" s="59"/>
      <c r="F439" s="59"/>
      <c r="G439" s="59"/>
      <c r="H439" s="59"/>
      <c r="I439" s="59"/>
      <c r="J439" s="59"/>
      <c r="K439" s="59"/>
      <c r="L439" s="59"/>
      <c r="M439" s="59"/>
      <c r="N439" s="59"/>
      <c r="O439" s="100"/>
      <c r="P439" s="100"/>
      <c r="Q439" s="100"/>
      <c r="R439" s="100"/>
      <c r="S439" s="100"/>
      <c r="T439" s="100"/>
      <c r="U439" s="100"/>
      <c r="V439" s="100"/>
      <c r="W439" s="100"/>
      <c r="X439" s="100"/>
      <c r="Y439" s="100"/>
      <c r="Z439" s="100"/>
    </row>
    <row r="440" ht="14.25" customHeight="1">
      <c r="A440" s="59"/>
      <c r="B440" s="59"/>
      <c r="C440" s="59"/>
      <c r="D440" s="59"/>
      <c r="E440" s="59"/>
      <c r="F440" s="59"/>
      <c r="G440" s="59"/>
      <c r="H440" s="59"/>
      <c r="I440" s="59"/>
      <c r="J440" s="59"/>
      <c r="K440" s="59"/>
      <c r="L440" s="59"/>
      <c r="M440" s="59"/>
      <c r="N440" s="59"/>
      <c r="O440" s="100"/>
      <c r="P440" s="100"/>
      <c r="Q440" s="100"/>
      <c r="R440" s="100"/>
      <c r="S440" s="100"/>
      <c r="T440" s="100"/>
      <c r="U440" s="100"/>
      <c r="V440" s="100"/>
      <c r="W440" s="100"/>
      <c r="X440" s="100"/>
      <c r="Y440" s="100"/>
      <c r="Z440" s="100"/>
    </row>
    <row r="441" ht="14.25" customHeight="1">
      <c r="A441" s="59"/>
      <c r="B441" s="59"/>
      <c r="C441" s="59"/>
      <c r="D441" s="59"/>
      <c r="E441" s="59"/>
      <c r="F441" s="59"/>
      <c r="G441" s="59"/>
      <c r="H441" s="59"/>
      <c r="I441" s="59"/>
      <c r="J441" s="59"/>
      <c r="K441" s="59"/>
      <c r="L441" s="59"/>
      <c r="M441" s="59"/>
      <c r="N441" s="59"/>
      <c r="O441" s="100"/>
      <c r="P441" s="100"/>
      <c r="Q441" s="100"/>
      <c r="R441" s="100"/>
      <c r="S441" s="100"/>
      <c r="T441" s="100"/>
      <c r="U441" s="100"/>
      <c r="V441" s="100"/>
      <c r="W441" s="100"/>
      <c r="X441" s="100"/>
      <c r="Y441" s="100"/>
      <c r="Z441" s="100"/>
    </row>
    <row r="442" ht="14.25" customHeight="1">
      <c r="A442" s="59"/>
      <c r="B442" s="59"/>
      <c r="C442" s="59"/>
      <c r="D442" s="59"/>
      <c r="E442" s="59"/>
      <c r="F442" s="59"/>
      <c r="G442" s="59"/>
      <c r="H442" s="59"/>
      <c r="I442" s="59"/>
      <c r="J442" s="59"/>
      <c r="K442" s="59"/>
      <c r="L442" s="59"/>
      <c r="M442" s="59"/>
      <c r="N442" s="59"/>
      <c r="O442" s="100"/>
      <c r="P442" s="100"/>
      <c r="Q442" s="100"/>
      <c r="R442" s="100"/>
      <c r="S442" s="100"/>
      <c r="T442" s="100"/>
      <c r="U442" s="100"/>
      <c r="V442" s="100"/>
      <c r="W442" s="100"/>
      <c r="X442" s="100"/>
      <c r="Y442" s="100"/>
      <c r="Z442" s="100"/>
    </row>
    <row r="443" ht="14.25" customHeight="1">
      <c r="A443" s="59"/>
      <c r="B443" s="59"/>
      <c r="C443" s="59"/>
      <c r="D443" s="59"/>
      <c r="E443" s="59"/>
      <c r="F443" s="59"/>
      <c r="G443" s="59"/>
      <c r="H443" s="59"/>
      <c r="I443" s="59"/>
      <c r="J443" s="59"/>
      <c r="K443" s="59"/>
      <c r="L443" s="59"/>
      <c r="M443" s="59"/>
      <c r="N443" s="59"/>
      <c r="O443" s="100"/>
      <c r="P443" s="100"/>
      <c r="Q443" s="100"/>
      <c r="R443" s="100"/>
      <c r="S443" s="100"/>
      <c r="T443" s="100"/>
      <c r="U443" s="100"/>
      <c r="V443" s="100"/>
      <c r="W443" s="100"/>
      <c r="X443" s="100"/>
      <c r="Y443" s="100"/>
      <c r="Z443" s="100"/>
    </row>
    <row r="444" ht="14.25" customHeight="1">
      <c r="A444" s="59"/>
      <c r="B444" s="59"/>
      <c r="C444" s="59"/>
      <c r="D444" s="59"/>
      <c r="E444" s="59"/>
      <c r="F444" s="59"/>
      <c r="G444" s="59"/>
      <c r="H444" s="59"/>
      <c r="I444" s="59"/>
      <c r="J444" s="59"/>
      <c r="K444" s="59"/>
      <c r="L444" s="59"/>
      <c r="M444" s="59"/>
      <c r="N444" s="59"/>
      <c r="O444" s="100"/>
      <c r="P444" s="100"/>
      <c r="Q444" s="100"/>
      <c r="R444" s="100"/>
      <c r="S444" s="100"/>
      <c r="T444" s="100"/>
      <c r="U444" s="100"/>
      <c r="V444" s="100"/>
      <c r="W444" s="100"/>
      <c r="X444" s="100"/>
      <c r="Y444" s="100"/>
      <c r="Z444" s="100"/>
    </row>
    <row r="445" ht="14.25" customHeight="1">
      <c r="A445" s="59"/>
      <c r="B445" s="59"/>
      <c r="C445" s="59"/>
      <c r="D445" s="59"/>
      <c r="E445" s="59"/>
      <c r="F445" s="59"/>
      <c r="G445" s="59"/>
      <c r="H445" s="59"/>
      <c r="I445" s="59"/>
      <c r="J445" s="59"/>
      <c r="K445" s="59"/>
      <c r="L445" s="59"/>
      <c r="M445" s="59"/>
      <c r="N445" s="59"/>
      <c r="O445" s="100"/>
      <c r="P445" s="100"/>
      <c r="Q445" s="100"/>
      <c r="R445" s="100"/>
      <c r="S445" s="100"/>
      <c r="T445" s="100"/>
      <c r="U445" s="100"/>
      <c r="V445" s="100"/>
      <c r="W445" s="100"/>
      <c r="X445" s="100"/>
      <c r="Y445" s="100"/>
      <c r="Z445" s="100"/>
    </row>
    <row r="446" ht="14.25" customHeight="1">
      <c r="A446" s="59"/>
      <c r="B446" s="59"/>
      <c r="C446" s="59"/>
      <c r="D446" s="59"/>
      <c r="E446" s="59"/>
      <c r="F446" s="59"/>
      <c r="G446" s="59"/>
      <c r="H446" s="59"/>
      <c r="I446" s="59"/>
      <c r="J446" s="59"/>
      <c r="K446" s="59"/>
      <c r="L446" s="59"/>
      <c r="M446" s="59"/>
      <c r="N446" s="59"/>
      <c r="O446" s="100"/>
      <c r="P446" s="100"/>
      <c r="Q446" s="100"/>
      <c r="R446" s="100"/>
      <c r="S446" s="100"/>
      <c r="T446" s="100"/>
      <c r="U446" s="100"/>
      <c r="V446" s="100"/>
      <c r="W446" s="100"/>
      <c r="X446" s="100"/>
      <c r="Y446" s="100"/>
      <c r="Z446" s="100"/>
    </row>
    <row r="447" ht="14.25" customHeight="1">
      <c r="A447" s="59"/>
      <c r="B447" s="59"/>
      <c r="C447" s="59"/>
      <c r="D447" s="59"/>
      <c r="E447" s="59"/>
      <c r="F447" s="59"/>
      <c r="G447" s="59"/>
      <c r="H447" s="59"/>
      <c r="I447" s="59"/>
      <c r="J447" s="59"/>
      <c r="K447" s="59"/>
      <c r="L447" s="59"/>
      <c r="M447" s="59"/>
      <c r="N447" s="59"/>
      <c r="O447" s="100"/>
      <c r="P447" s="100"/>
      <c r="Q447" s="100"/>
      <c r="R447" s="100"/>
      <c r="S447" s="100"/>
      <c r="T447" s="100"/>
      <c r="U447" s="100"/>
      <c r="V447" s="100"/>
      <c r="W447" s="100"/>
      <c r="X447" s="100"/>
      <c r="Y447" s="100"/>
      <c r="Z447" s="100"/>
    </row>
    <row r="448" ht="14.25" customHeight="1">
      <c r="A448" s="59"/>
      <c r="B448" s="59"/>
      <c r="C448" s="59"/>
      <c r="D448" s="59"/>
      <c r="E448" s="59"/>
      <c r="F448" s="59"/>
      <c r="G448" s="59"/>
      <c r="H448" s="59"/>
      <c r="I448" s="59"/>
      <c r="J448" s="59"/>
      <c r="K448" s="59"/>
      <c r="L448" s="59"/>
      <c r="M448" s="59"/>
      <c r="N448" s="59"/>
      <c r="O448" s="100"/>
      <c r="P448" s="100"/>
      <c r="Q448" s="100"/>
      <c r="R448" s="100"/>
      <c r="S448" s="100"/>
      <c r="T448" s="100"/>
      <c r="U448" s="100"/>
      <c r="V448" s="100"/>
      <c r="W448" s="100"/>
      <c r="X448" s="100"/>
      <c r="Y448" s="100"/>
      <c r="Z448" s="100"/>
    </row>
    <row r="449" ht="14.25" customHeight="1">
      <c r="A449" s="59"/>
      <c r="B449" s="59"/>
      <c r="C449" s="59"/>
      <c r="D449" s="59"/>
      <c r="E449" s="59"/>
      <c r="F449" s="59"/>
      <c r="G449" s="59"/>
      <c r="H449" s="59"/>
      <c r="I449" s="59"/>
      <c r="J449" s="59"/>
      <c r="K449" s="59"/>
      <c r="L449" s="59"/>
      <c r="M449" s="59"/>
      <c r="N449" s="59"/>
      <c r="O449" s="100"/>
      <c r="P449" s="100"/>
      <c r="Q449" s="100"/>
      <c r="R449" s="100"/>
      <c r="S449" s="100"/>
      <c r="T449" s="100"/>
      <c r="U449" s="100"/>
      <c r="V449" s="100"/>
      <c r="W449" s="100"/>
      <c r="X449" s="100"/>
      <c r="Y449" s="100"/>
      <c r="Z449" s="100"/>
    </row>
    <row r="450" ht="14.25" customHeight="1">
      <c r="A450" s="59"/>
      <c r="B450" s="59"/>
      <c r="C450" s="59"/>
      <c r="D450" s="59"/>
      <c r="E450" s="59"/>
      <c r="F450" s="59"/>
      <c r="G450" s="59"/>
      <c r="H450" s="59"/>
      <c r="I450" s="59"/>
      <c r="J450" s="59"/>
      <c r="K450" s="59"/>
      <c r="L450" s="59"/>
      <c r="M450" s="59"/>
      <c r="N450" s="59"/>
      <c r="O450" s="100"/>
      <c r="P450" s="100"/>
      <c r="Q450" s="100"/>
      <c r="R450" s="100"/>
      <c r="S450" s="100"/>
      <c r="T450" s="100"/>
      <c r="U450" s="100"/>
      <c r="V450" s="100"/>
      <c r="W450" s="100"/>
      <c r="X450" s="100"/>
      <c r="Y450" s="100"/>
      <c r="Z450" s="100"/>
    </row>
    <row r="451" ht="14.25" customHeight="1">
      <c r="A451" s="59"/>
      <c r="B451" s="59"/>
      <c r="C451" s="59"/>
      <c r="D451" s="59"/>
      <c r="E451" s="59"/>
      <c r="F451" s="59"/>
      <c r="G451" s="59"/>
      <c r="H451" s="59"/>
      <c r="I451" s="59"/>
      <c r="J451" s="59"/>
      <c r="K451" s="59"/>
      <c r="L451" s="59"/>
      <c r="M451" s="59"/>
      <c r="N451" s="59"/>
      <c r="O451" s="100"/>
      <c r="P451" s="100"/>
      <c r="Q451" s="100"/>
      <c r="R451" s="100"/>
      <c r="S451" s="100"/>
      <c r="T451" s="100"/>
      <c r="U451" s="100"/>
      <c r="V451" s="100"/>
      <c r="W451" s="100"/>
      <c r="X451" s="100"/>
      <c r="Y451" s="100"/>
      <c r="Z451" s="100"/>
    </row>
    <row r="452" ht="14.25" customHeight="1">
      <c r="A452" s="59"/>
      <c r="B452" s="59"/>
      <c r="C452" s="59"/>
      <c r="D452" s="59"/>
      <c r="E452" s="59"/>
      <c r="F452" s="59"/>
      <c r="G452" s="59"/>
      <c r="H452" s="59"/>
      <c r="I452" s="59"/>
      <c r="J452" s="59"/>
      <c r="K452" s="59"/>
      <c r="L452" s="59"/>
      <c r="M452" s="59"/>
      <c r="N452" s="59"/>
      <c r="O452" s="100"/>
      <c r="P452" s="100"/>
      <c r="Q452" s="100"/>
      <c r="R452" s="100"/>
      <c r="S452" s="100"/>
      <c r="T452" s="100"/>
      <c r="U452" s="100"/>
      <c r="V452" s="100"/>
      <c r="W452" s="100"/>
      <c r="X452" s="100"/>
      <c r="Y452" s="100"/>
      <c r="Z452" s="100"/>
    </row>
    <row r="453" ht="14.25" customHeight="1">
      <c r="A453" s="59"/>
      <c r="B453" s="59"/>
      <c r="C453" s="59"/>
      <c r="D453" s="59"/>
      <c r="E453" s="59"/>
      <c r="F453" s="59"/>
      <c r="G453" s="59"/>
      <c r="H453" s="59"/>
      <c r="I453" s="59"/>
      <c r="J453" s="59"/>
      <c r="K453" s="59"/>
      <c r="L453" s="59"/>
      <c r="M453" s="59"/>
      <c r="N453" s="59"/>
      <c r="O453" s="100"/>
      <c r="P453" s="100"/>
      <c r="Q453" s="100"/>
      <c r="R453" s="100"/>
      <c r="S453" s="100"/>
      <c r="T453" s="100"/>
      <c r="U453" s="100"/>
      <c r="V453" s="100"/>
      <c r="W453" s="100"/>
      <c r="X453" s="100"/>
      <c r="Y453" s="100"/>
      <c r="Z453" s="100"/>
    </row>
    <row r="454" ht="14.25" customHeight="1">
      <c r="A454" s="59"/>
      <c r="B454" s="59"/>
      <c r="C454" s="59"/>
      <c r="D454" s="59"/>
      <c r="E454" s="59"/>
      <c r="F454" s="59"/>
      <c r="G454" s="59"/>
      <c r="H454" s="59"/>
      <c r="I454" s="59"/>
      <c r="J454" s="59"/>
      <c r="K454" s="59"/>
      <c r="L454" s="59"/>
      <c r="M454" s="59"/>
      <c r="N454" s="59"/>
      <c r="O454" s="100"/>
      <c r="P454" s="100"/>
      <c r="Q454" s="100"/>
      <c r="R454" s="100"/>
      <c r="S454" s="100"/>
      <c r="T454" s="100"/>
      <c r="U454" s="100"/>
      <c r="V454" s="100"/>
      <c r="W454" s="100"/>
      <c r="X454" s="100"/>
      <c r="Y454" s="100"/>
      <c r="Z454" s="100"/>
    </row>
    <row r="455" ht="14.25" customHeight="1">
      <c r="A455" s="59"/>
      <c r="B455" s="59"/>
      <c r="C455" s="59"/>
      <c r="D455" s="59"/>
      <c r="E455" s="59"/>
      <c r="F455" s="59"/>
      <c r="G455" s="59"/>
      <c r="H455" s="59"/>
      <c r="I455" s="59"/>
      <c r="J455" s="59"/>
      <c r="K455" s="59"/>
      <c r="L455" s="59"/>
      <c r="M455" s="59"/>
      <c r="N455" s="59"/>
      <c r="O455" s="100"/>
      <c r="P455" s="100"/>
      <c r="Q455" s="100"/>
      <c r="R455" s="100"/>
      <c r="S455" s="100"/>
      <c r="T455" s="100"/>
      <c r="U455" s="100"/>
      <c r="V455" s="100"/>
      <c r="W455" s="100"/>
      <c r="X455" s="100"/>
      <c r="Y455" s="100"/>
      <c r="Z455" s="100"/>
    </row>
    <row r="456" ht="14.25" customHeight="1">
      <c r="A456" s="59"/>
      <c r="B456" s="59"/>
      <c r="C456" s="59"/>
      <c r="D456" s="59"/>
      <c r="E456" s="59"/>
      <c r="F456" s="59"/>
      <c r="G456" s="59"/>
      <c r="H456" s="59"/>
      <c r="I456" s="59"/>
      <c r="J456" s="59"/>
      <c r="K456" s="59"/>
      <c r="L456" s="59"/>
      <c r="M456" s="59"/>
      <c r="N456" s="59"/>
      <c r="O456" s="100"/>
      <c r="P456" s="100"/>
      <c r="Q456" s="100"/>
      <c r="R456" s="100"/>
      <c r="S456" s="100"/>
      <c r="T456" s="100"/>
      <c r="U456" s="100"/>
      <c r="V456" s="100"/>
      <c r="W456" s="100"/>
      <c r="X456" s="100"/>
      <c r="Y456" s="100"/>
      <c r="Z456" s="100"/>
    </row>
    <row r="457" ht="14.25" customHeight="1">
      <c r="A457" s="59"/>
      <c r="B457" s="59"/>
      <c r="C457" s="59"/>
      <c r="D457" s="59"/>
      <c r="E457" s="59"/>
      <c r="F457" s="59"/>
      <c r="G457" s="59"/>
      <c r="H457" s="59"/>
      <c r="I457" s="59"/>
      <c r="J457" s="59"/>
      <c r="K457" s="59"/>
      <c r="L457" s="59"/>
      <c r="M457" s="59"/>
      <c r="N457" s="59"/>
      <c r="O457" s="100"/>
      <c r="P457" s="100"/>
      <c r="Q457" s="100"/>
      <c r="R457" s="100"/>
      <c r="S457" s="100"/>
      <c r="T457" s="100"/>
      <c r="U457" s="100"/>
      <c r="V457" s="100"/>
      <c r="W457" s="100"/>
      <c r="X457" s="100"/>
      <c r="Y457" s="100"/>
      <c r="Z457" s="100"/>
    </row>
    <row r="458" ht="14.25" customHeight="1">
      <c r="A458" s="59"/>
      <c r="B458" s="59"/>
      <c r="C458" s="59"/>
      <c r="D458" s="59"/>
      <c r="E458" s="59"/>
      <c r="F458" s="59"/>
      <c r="G458" s="59"/>
      <c r="H458" s="59"/>
      <c r="I458" s="59"/>
      <c r="J458" s="59"/>
      <c r="K458" s="59"/>
      <c r="L458" s="59"/>
      <c r="M458" s="59"/>
      <c r="N458" s="59"/>
      <c r="O458" s="100"/>
      <c r="P458" s="100"/>
      <c r="Q458" s="100"/>
      <c r="R458" s="100"/>
      <c r="S458" s="100"/>
      <c r="T458" s="100"/>
      <c r="U458" s="100"/>
      <c r="V458" s="100"/>
      <c r="W458" s="100"/>
      <c r="X458" s="100"/>
      <c r="Y458" s="100"/>
      <c r="Z458" s="100"/>
    </row>
    <row r="459" ht="14.25" customHeight="1">
      <c r="A459" s="59"/>
      <c r="B459" s="59"/>
      <c r="C459" s="59"/>
      <c r="D459" s="59"/>
      <c r="E459" s="59"/>
      <c r="F459" s="59"/>
      <c r="G459" s="59"/>
      <c r="H459" s="59"/>
      <c r="I459" s="59"/>
      <c r="J459" s="59"/>
      <c r="K459" s="59"/>
      <c r="L459" s="59"/>
      <c r="M459" s="59"/>
      <c r="N459" s="59"/>
      <c r="O459" s="100"/>
      <c r="P459" s="100"/>
      <c r="Q459" s="100"/>
      <c r="R459" s="100"/>
      <c r="S459" s="100"/>
      <c r="T459" s="100"/>
      <c r="U459" s="100"/>
      <c r="V459" s="100"/>
      <c r="W459" s="100"/>
      <c r="X459" s="100"/>
      <c r="Y459" s="100"/>
      <c r="Z459" s="100"/>
    </row>
    <row r="460" ht="14.25" customHeight="1">
      <c r="A460" s="59"/>
      <c r="B460" s="59"/>
      <c r="C460" s="59"/>
      <c r="D460" s="59"/>
      <c r="E460" s="59"/>
      <c r="F460" s="59"/>
      <c r="G460" s="59"/>
      <c r="H460" s="59"/>
      <c r="I460" s="59"/>
      <c r="J460" s="59"/>
      <c r="K460" s="59"/>
      <c r="L460" s="59"/>
      <c r="M460" s="59"/>
      <c r="N460" s="59"/>
      <c r="O460" s="100"/>
      <c r="P460" s="100"/>
      <c r="Q460" s="100"/>
      <c r="R460" s="100"/>
      <c r="S460" s="100"/>
      <c r="T460" s="100"/>
      <c r="U460" s="100"/>
      <c r="V460" s="100"/>
      <c r="W460" s="100"/>
      <c r="X460" s="100"/>
      <c r="Y460" s="100"/>
      <c r="Z460" s="100"/>
    </row>
    <row r="461" ht="14.25" customHeight="1">
      <c r="A461" s="59"/>
      <c r="B461" s="59"/>
      <c r="C461" s="59"/>
      <c r="D461" s="59"/>
      <c r="E461" s="59"/>
      <c r="F461" s="59"/>
      <c r="G461" s="59"/>
      <c r="H461" s="59"/>
      <c r="I461" s="59"/>
      <c r="J461" s="59"/>
      <c r="K461" s="59"/>
      <c r="L461" s="59"/>
      <c r="M461" s="59"/>
      <c r="N461" s="59"/>
      <c r="O461" s="100"/>
      <c r="P461" s="100"/>
      <c r="Q461" s="100"/>
      <c r="R461" s="100"/>
      <c r="S461" s="100"/>
      <c r="T461" s="100"/>
      <c r="U461" s="100"/>
      <c r="V461" s="100"/>
      <c r="W461" s="100"/>
      <c r="X461" s="100"/>
      <c r="Y461" s="100"/>
      <c r="Z461" s="100"/>
    </row>
    <row r="462" ht="14.25" customHeight="1">
      <c r="A462" s="59"/>
      <c r="B462" s="59"/>
      <c r="C462" s="59"/>
      <c r="D462" s="59"/>
      <c r="E462" s="59"/>
      <c r="F462" s="59"/>
      <c r="G462" s="59"/>
      <c r="H462" s="59"/>
      <c r="I462" s="59"/>
      <c r="J462" s="59"/>
      <c r="K462" s="59"/>
      <c r="L462" s="59"/>
      <c r="M462" s="59"/>
      <c r="N462" s="59"/>
      <c r="O462" s="100"/>
      <c r="P462" s="100"/>
      <c r="Q462" s="100"/>
      <c r="R462" s="100"/>
      <c r="S462" s="100"/>
      <c r="T462" s="100"/>
      <c r="U462" s="100"/>
      <c r="V462" s="100"/>
      <c r="W462" s="100"/>
      <c r="X462" s="100"/>
      <c r="Y462" s="100"/>
      <c r="Z462" s="100"/>
    </row>
    <row r="463" ht="14.25" customHeight="1">
      <c r="A463" s="59"/>
      <c r="B463" s="59"/>
      <c r="C463" s="59"/>
      <c r="D463" s="59"/>
      <c r="E463" s="59"/>
      <c r="F463" s="59"/>
      <c r="G463" s="59"/>
      <c r="H463" s="59"/>
      <c r="I463" s="59"/>
      <c r="J463" s="59"/>
      <c r="K463" s="59"/>
      <c r="L463" s="59"/>
      <c r="M463" s="59"/>
      <c r="N463" s="59"/>
      <c r="O463" s="100"/>
      <c r="P463" s="100"/>
      <c r="Q463" s="100"/>
      <c r="R463" s="100"/>
      <c r="S463" s="100"/>
      <c r="T463" s="100"/>
      <c r="U463" s="100"/>
      <c r="V463" s="100"/>
      <c r="W463" s="100"/>
      <c r="X463" s="100"/>
      <c r="Y463" s="100"/>
      <c r="Z463" s="100"/>
    </row>
    <row r="464" ht="14.25" customHeight="1">
      <c r="A464" s="59"/>
      <c r="B464" s="59"/>
      <c r="C464" s="59"/>
      <c r="D464" s="59"/>
      <c r="E464" s="59"/>
      <c r="F464" s="59"/>
      <c r="G464" s="59"/>
      <c r="H464" s="59"/>
      <c r="I464" s="59"/>
      <c r="J464" s="59"/>
      <c r="K464" s="59"/>
      <c r="L464" s="59"/>
      <c r="M464" s="59"/>
      <c r="N464" s="59"/>
      <c r="O464" s="100"/>
      <c r="P464" s="100"/>
      <c r="Q464" s="100"/>
      <c r="R464" s="100"/>
      <c r="S464" s="100"/>
      <c r="T464" s="100"/>
      <c r="U464" s="100"/>
      <c r="V464" s="100"/>
      <c r="W464" s="100"/>
      <c r="X464" s="100"/>
      <c r="Y464" s="100"/>
      <c r="Z464" s="100"/>
    </row>
    <row r="465" ht="14.25" customHeight="1">
      <c r="A465" s="59"/>
      <c r="B465" s="59"/>
      <c r="C465" s="59"/>
      <c r="D465" s="59"/>
      <c r="E465" s="59"/>
      <c r="F465" s="59"/>
      <c r="G465" s="59"/>
      <c r="H465" s="59"/>
      <c r="I465" s="59"/>
      <c r="J465" s="59"/>
      <c r="K465" s="59"/>
      <c r="L465" s="59"/>
      <c r="M465" s="59"/>
      <c r="N465" s="59"/>
      <c r="O465" s="100"/>
      <c r="P465" s="100"/>
      <c r="Q465" s="100"/>
      <c r="R465" s="100"/>
      <c r="S465" s="100"/>
      <c r="T465" s="100"/>
      <c r="U465" s="100"/>
      <c r="V465" s="100"/>
      <c r="W465" s="100"/>
      <c r="X465" s="100"/>
      <c r="Y465" s="100"/>
      <c r="Z465" s="100"/>
    </row>
    <row r="466" ht="14.25" customHeight="1">
      <c r="A466" s="59"/>
      <c r="B466" s="59"/>
      <c r="C466" s="59"/>
      <c r="D466" s="59"/>
      <c r="E466" s="59"/>
      <c r="F466" s="59"/>
      <c r="G466" s="59"/>
      <c r="H466" s="59"/>
      <c r="I466" s="59"/>
      <c r="J466" s="59"/>
      <c r="K466" s="59"/>
      <c r="L466" s="59"/>
      <c r="M466" s="59"/>
      <c r="N466" s="59"/>
      <c r="O466" s="100"/>
      <c r="P466" s="100"/>
      <c r="Q466" s="100"/>
      <c r="R466" s="100"/>
      <c r="S466" s="100"/>
      <c r="T466" s="100"/>
      <c r="U466" s="100"/>
      <c r="V466" s="100"/>
      <c r="W466" s="100"/>
      <c r="X466" s="100"/>
      <c r="Y466" s="100"/>
      <c r="Z466" s="100"/>
    </row>
    <row r="467" ht="14.25" customHeight="1">
      <c r="A467" s="59"/>
      <c r="B467" s="59"/>
      <c r="C467" s="59"/>
      <c r="D467" s="59"/>
      <c r="E467" s="59"/>
      <c r="F467" s="59"/>
      <c r="G467" s="59"/>
      <c r="H467" s="59"/>
      <c r="I467" s="59"/>
      <c r="J467" s="59"/>
      <c r="K467" s="59"/>
      <c r="L467" s="59"/>
      <c r="M467" s="59"/>
      <c r="N467" s="59"/>
      <c r="O467" s="100"/>
      <c r="P467" s="100"/>
      <c r="Q467" s="100"/>
      <c r="R467" s="100"/>
      <c r="S467" s="100"/>
      <c r="T467" s="100"/>
      <c r="U467" s="100"/>
      <c r="V467" s="100"/>
      <c r="W467" s="100"/>
      <c r="X467" s="100"/>
      <c r="Y467" s="100"/>
      <c r="Z467" s="100"/>
    </row>
    <row r="468" ht="14.25" customHeight="1">
      <c r="A468" s="59"/>
      <c r="B468" s="59"/>
      <c r="C468" s="59"/>
      <c r="D468" s="59"/>
      <c r="E468" s="59"/>
      <c r="F468" s="59"/>
      <c r="G468" s="59"/>
      <c r="H468" s="59"/>
      <c r="I468" s="59"/>
      <c r="J468" s="59"/>
      <c r="K468" s="59"/>
      <c r="L468" s="59"/>
      <c r="M468" s="59"/>
      <c r="N468" s="59"/>
      <c r="O468" s="100"/>
      <c r="P468" s="100"/>
      <c r="Q468" s="100"/>
      <c r="R468" s="100"/>
      <c r="S468" s="100"/>
      <c r="T468" s="100"/>
      <c r="U468" s="100"/>
      <c r="V468" s="100"/>
      <c r="W468" s="100"/>
      <c r="X468" s="100"/>
      <c r="Y468" s="100"/>
      <c r="Z468" s="100"/>
    </row>
    <row r="469" ht="14.25" customHeight="1">
      <c r="A469" s="59"/>
      <c r="B469" s="59"/>
      <c r="C469" s="59"/>
      <c r="D469" s="59"/>
      <c r="E469" s="59"/>
      <c r="F469" s="59"/>
      <c r="G469" s="59"/>
      <c r="H469" s="59"/>
      <c r="I469" s="59"/>
      <c r="J469" s="59"/>
      <c r="K469" s="59"/>
      <c r="L469" s="59"/>
      <c r="M469" s="59"/>
      <c r="N469" s="59"/>
      <c r="O469" s="100"/>
      <c r="P469" s="100"/>
      <c r="Q469" s="100"/>
      <c r="R469" s="100"/>
      <c r="S469" s="100"/>
      <c r="T469" s="100"/>
      <c r="U469" s="100"/>
      <c r="V469" s="100"/>
      <c r="W469" s="100"/>
      <c r="X469" s="100"/>
      <c r="Y469" s="100"/>
      <c r="Z469" s="100"/>
    </row>
    <row r="470" ht="14.25" customHeight="1">
      <c r="A470" s="59"/>
      <c r="B470" s="59"/>
      <c r="C470" s="59"/>
      <c r="D470" s="59"/>
      <c r="E470" s="59"/>
      <c r="F470" s="59"/>
      <c r="G470" s="59"/>
      <c r="H470" s="59"/>
      <c r="I470" s="59"/>
      <c r="J470" s="59"/>
      <c r="K470" s="59"/>
      <c r="L470" s="59"/>
      <c r="M470" s="59"/>
      <c r="N470" s="59"/>
      <c r="O470" s="100"/>
      <c r="P470" s="100"/>
      <c r="Q470" s="100"/>
      <c r="R470" s="100"/>
      <c r="S470" s="100"/>
      <c r="T470" s="100"/>
      <c r="U470" s="100"/>
      <c r="V470" s="100"/>
      <c r="W470" s="100"/>
      <c r="X470" s="100"/>
      <c r="Y470" s="100"/>
      <c r="Z470" s="100"/>
    </row>
    <row r="471" ht="14.25" customHeight="1">
      <c r="A471" s="59"/>
      <c r="B471" s="59"/>
      <c r="C471" s="59"/>
      <c r="D471" s="59"/>
      <c r="E471" s="59"/>
      <c r="F471" s="59"/>
      <c r="G471" s="59"/>
      <c r="H471" s="59"/>
      <c r="I471" s="59"/>
      <c r="J471" s="59"/>
      <c r="K471" s="59"/>
      <c r="L471" s="59"/>
      <c r="M471" s="59"/>
      <c r="N471" s="59"/>
      <c r="O471" s="100"/>
      <c r="P471" s="100"/>
      <c r="Q471" s="100"/>
      <c r="R471" s="100"/>
      <c r="S471" s="100"/>
      <c r="T471" s="100"/>
      <c r="U471" s="100"/>
      <c r="V471" s="100"/>
      <c r="W471" s="100"/>
      <c r="X471" s="100"/>
      <c r="Y471" s="100"/>
      <c r="Z471" s="100"/>
    </row>
    <row r="472" ht="14.25" customHeight="1">
      <c r="A472" s="59"/>
      <c r="B472" s="59"/>
      <c r="C472" s="59"/>
      <c r="D472" s="59"/>
      <c r="E472" s="59"/>
      <c r="F472" s="59"/>
      <c r="G472" s="59"/>
      <c r="H472" s="59"/>
      <c r="I472" s="59"/>
      <c r="J472" s="59"/>
      <c r="K472" s="59"/>
      <c r="L472" s="59"/>
      <c r="M472" s="59"/>
      <c r="N472" s="59"/>
      <c r="O472" s="100"/>
      <c r="P472" s="100"/>
      <c r="Q472" s="100"/>
      <c r="R472" s="100"/>
      <c r="S472" s="100"/>
      <c r="T472" s="100"/>
      <c r="U472" s="100"/>
      <c r="V472" s="100"/>
      <c r="W472" s="100"/>
      <c r="X472" s="100"/>
      <c r="Y472" s="100"/>
      <c r="Z472" s="100"/>
    </row>
    <row r="473" ht="14.25" customHeight="1">
      <c r="A473" s="59"/>
      <c r="B473" s="59"/>
      <c r="C473" s="59"/>
      <c r="D473" s="59"/>
      <c r="E473" s="59"/>
      <c r="F473" s="59"/>
      <c r="G473" s="59"/>
      <c r="H473" s="59"/>
      <c r="I473" s="59"/>
      <c r="J473" s="59"/>
      <c r="K473" s="59"/>
      <c r="L473" s="59"/>
      <c r="M473" s="59"/>
      <c r="N473" s="59"/>
      <c r="O473" s="100"/>
      <c r="P473" s="100"/>
      <c r="Q473" s="100"/>
      <c r="R473" s="100"/>
      <c r="S473" s="100"/>
      <c r="T473" s="100"/>
      <c r="U473" s="100"/>
      <c r="V473" s="100"/>
      <c r="W473" s="100"/>
      <c r="X473" s="100"/>
      <c r="Y473" s="100"/>
      <c r="Z473" s="100"/>
    </row>
    <row r="474" ht="14.25" customHeight="1">
      <c r="A474" s="59"/>
      <c r="B474" s="59"/>
      <c r="C474" s="59"/>
      <c r="D474" s="59"/>
      <c r="E474" s="59"/>
      <c r="F474" s="59"/>
      <c r="G474" s="59"/>
      <c r="H474" s="59"/>
      <c r="I474" s="59"/>
      <c r="J474" s="59"/>
      <c r="K474" s="59"/>
      <c r="L474" s="59"/>
      <c r="M474" s="59"/>
      <c r="N474" s="59"/>
      <c r="O474" s="100"/>
      <c r="P474" s="100"/>
      <c r="Q474" s="100"/>
      <c r="R474" s="100"/>
      <c r="S474" s="100"/>
      <c r="T474" s="100"/>
      <c r="U474" s="100"/>
      <c r="V474" s="100"/>
      <c r="W474" s="100"/>
      <c r="X474" s="100"/>
      <c r="Y474" s="100"/>
      <c r="Z474" s="100"/>
    </row>
    <row r="475" ht="14.25" customHeight="1">
      <c r="A475" s="59"/>
      <c r="B475" s="59"/>
      <c r="C475" s="59"/>
      <c r="D475" s="59"/>
      <c r="E475" s="59"/>
      <c r="F475" s="59"/>
      <c r="G475" s="59"/>
      <c r="H475" s="59"/>
      <c r="I475" s="59"/>
      <c r="J475" s="59"/>
      <c r="K475" s="59"/>
      <c r="L475" s="59"/>
      <c r="M475" s="59"/>
      <c r="N475" s="59"/>
      <c r="O475" s="100"/>
      <c r="P475" s="100"/>
      <c r="Q475" s="100"/>
      <c r="R475" s="100"/>
      <c r="S475" s="100"/>
      <c r="T475" s="100"/>
      <c r="U475" s="100"/>
      <c r="V475" s="100"/>
      <c r="W475" s="100"/>
      <c r="X475" s="100"/>
      <c r="Y475" s="100"/>
      <c r="Z475" s="100"/>
    </row>
    <row r="476" ht="14.25" customHeight="1">
      <c r="A476" s="59"/>
      <c r="B476" s="59"/>
      <c r="C476" s="59"/>
      <c r="D476" s="59"/>
      <c r="E476" s="59"/>
      <c r="F476" s="59"/>
      <c r="G476" s="59"/>
      <c r="H476" s="59"/>
      <c r="I476" s="59"/>
      <c r="J476" s="59"/>
      <c r="K476" s="59"/>
      <c r="L476" s="59"/>
      <c r="M476" s="59"/>
      <c r="N476" s="59"/>
      <c r="O476" s="100"/>
      <c r="P476" s="100"/>
      <c r="Q476" s="100"/>
      <c r="R476" s="100"/>
      <c r="S476" s="100"/>
      <c r="T476" s="100"/>
      <c r="U476" s="100"/>
      <c r="V476" s="100"/>
      <c r="W476" s="100"/>
      <c r="X476" s="100"/>
      <c r="Y476" s="100"/>
      <c r="Z476" s="100"/>
    </row>
    <row r="477" ht="14.25" customHeight="1">
      <c r="A477" s="59"/>
      <c r="B477" s="59"/>
      <c r="C477" s="59"/>
      <c r="D477" s="59"/>
      <c r="E477" s="59"/>
      <c r="F477" s="59"/>
      <c r="G477" s="59"/>
      <c r="H477" s="59"/>
      <c r="I477" s="59"/>
      <c r="J477" s="59"/>
      <c r="K477" s="59"/>
      <c r="L477" s="59"/>
      <c r="M477" s="59"/>
      <c r="N477" s="59"/>
      <c r="O477" s="100"/>
      <c r="P477" s="100"/>
      <c r="Q477" s="100"/>
      <c r="R477" s="100"/>
      <c r="S477" s="100"/>
      <c r="T477" s="100"/>
      <c r="U477" s="100"/>
      <c r="V477" s="100"/>
      <c r="W477" s="100"/>
      <c r="X477" s="100"/>
      <c r="Y477" s="100"/>
      <c r="Z477" s="100"/>
    </row>
    <row r="478" ht="14.25" customHeight="1">
      <c r="A478" s="59"/>
      <c r="B478" s="59"/>
      <c r="C478" s="59"/>
      <c r="D478" s="59"/>
      <c r="E478" s="59"/>
      <c r="F478" s="59"/>
      <c r="G478" s="59"/>
      <c r="H478" s="59"/>
      <c r="I478" s="59"/>
      <c r="J478" s="59"/>
      <c r="K478" s="59"/>
      <c r="L478" s="59"/>
      <c r="M478" s="59"/>
      <c r="N478" s="59"/>
      <c r="O478" s="100"/>
      <c r="P478" s="100"/>
      <c r="Q478" s="100"/>
      <c r="R478" s="100"/>
      <c r="S478" s="100"/>
      <c r="T478" s="100"/>
      <c r="U478" s="100"/>
      <c r="V478" s="100"/>
      <c r="W478" s="100"/>
      <c r="X478" s="100"/>
      <c r="Y478" s="100"/>
      <c r="Z478" s="100"/>
    </row>
    <row r="479" ht="14.25" customHeight="1">
      <c r="A479" s="59"/>
      <c r="B479" s="59"/>
      <c r="C479" s="59"/>
      <c r="D479" s="59"/>
      <c r="E479" s="59"/>
      <c r="F479" s="59"/>
      <c r="G479" s="59"/>
      <c r="H479" s="59"/>
      <c r="I479" s="59"/>
      <c r="J479" s="59"/>
      <c r="K479" s="59"/>
      <c r="L479" s="59"/>
      <c r="M479" s="59"/>
      <c r="N479" s="59"/>
      <c r="O479" s="100"/>
      <c r="P479" s="100"/>
      <c r="Q479" s="100"/>
      <c r="R479" s="100"/>
      <c r="S479" s="100"/>
      <c r="T479" s="100"/>
      <c r="U479" s="100"/>
      <c r="V479" s="100"/>
      <c r="W479" s="100"/>
      <c r="X479" s="100"/>
      <c r="Y479" s="100"/>
      <c r="Z479" s="100"/>
    </row>
    <row r="480" ht="14.25" customHeight="1">
      <c r="A480" s="59"/>
      <c r="B480" s="59"/>
      <c r="C480" s="59"/>
      <c r="D480" s="59"/>
      <c r="E480" s="59"/>
      <c r="F480" s="59"/>
      <c r="G480" s="59"/>
      <c r="H480" s="59"/>
      <c r="I480" s="59"/>
      <c r="J480" s="59"/>
      <c r="K480" s="59"/>
      <c r="L480" s="59"/>
      <c r="M480" s="59"/>
      <c r="N480" s="59"/>
      <c r="O480" s="100"/>
      <c r="P480" s="100"/>
      <c r="Q480" s="100"/>
      <c r="R480" s="100"/>
      <c r="S480" s="100"/>
      <c r="T480" s="100"/>
      <c r="U480" s="100"/>
      <c r="V480" s="100"/>
      <c r="W480" s="100"/>
      <c r="X480" s="100"/>
      <c r="Y480" s="100"/>
      <c r="Z480" s="100"/>
    </row>
    <row r="481" ht="14.25" customHeight="1">
      <c r="A481" s="59"/>
      <c r="B481" s="59"/>
      <c r="C481" s="59"/>
      <c r="D481" s="59"/>
      <c r="E481" s="59"/>
      <c r="F481" s="59"/>
      <c r="G481" s="59"/>
      <c r="H481" s="59"/>
      <c r="I481" s="59"/>
      <c r="J481" s="59"/>
      <c r="K481" s="59"/>
      <c r="L481" s="59"/>
      <c r="M481" s="59"/>
      <c r="N481" s="59"/>
      <c r="O481" s="100"/>
      <c r="P481" s="100"/>
      <c r="Q481" s="100"/>
      <c r="R481" s="100"/>
      <c r="S481" s="100"/>
      <c r="T481" s="100"/>
      <c r="U481" s="100"/>
      <c r="V481" s="100"/>
      <c r="W481" s="100"/>
      <c r="X481" s="100"/>
      <c r="Y481" s="100"/>
      <c r="Z481" s="100"/>
    </row>
    <row r="482" ht="14.25" customHeight="1">
      <c r="A482" s="59"/>
      <c r="B482" s="59"/>
      <c r="C482" s="59"/>
      <c r="D482" s="59"/>
      <c r="E482" s="59"/>
      <c r="F482" s="59"/>
      <c r="G482" s="59"/>
      <c r="H482" s="59"/>
      <c r="I482" s="59"/>
      <c r="J482" s="59"/>
      <c r="K482" s="59"/>
      <c r="L482" s="59"/>
      <c r="M482" s="59"/>
      <c r="N482" s="59"/>
      <c r="O482" s="100"/>
      <c r="P482" s="100"/>
      <c r="Q482" s="100"/>
      <c r="R482" s="100"/>
      <c r="S482" s="100"/>
      <c r="T482" s="100"/>
      <c r="U482" s="100"/>
      <c r="V482" s="100"/>
      <c r="W482" s="100"/>
      <c r="X482" s="100"/>
      <c r="Y482" s="100"/>
      <c r="Z482" s="100"/>
    </row>
    <row r="483" ht="14.25" customHeight="1">
      <c r="A483" s="59"/>
      <c r="B483" s="59"/>
      <c r="C483" s="59"/>
      <c r="D483" s="59"/>
      <c r="E483" s="59"/>
      <c r="F483" s="59"/>
      <c r="G483" s="59"/>
      <c r="H483" s="59"/>
      <c r="I483" s="59"/>
      <c r="J483" s="59"/>
      <c r="K483" s="59"/>
      <c r="L483" s="59"/>
      <c r="M483" s="59"/>
      <c r="N483" s="59"/>
      <c r="O483" s="100"/>
      <c r="P483" s="100"/>
      <c r="Q483" s="100"/>
      <c r="R483" s="100"/>
      <c r="S483" s="100"/>
      <c r="T483" s="100"/>
      <c r="U483" s="100"/>
      <c r="V483" s="100"/>
      <c r="W483" s="100"/>
      <c r="X483" s="100"/>
      <c r="Y483" s="100"/>
      <c r="Z483" s="100"/>
    </row>
    <row r="484" ht="14.25" customHeight="1">
      <c r="A484" s="59"/>
      <c r="B484" s="59"/>
      <c r="C484" s="59"/>
      <c r="D484" s="59"/>
      <c r="E484" s="59"/>
      <c r="F484" s="59"/>
      <c r="G484" s="59"/>
      <c r="H484" s="59"/>
      <c r="I484" s="59"/>
      <c r="J484" s="59"/>
      <c r="K484" s="59"/>
      <c r="L484" s="59"/>
      <c r="M484" s="59"/>
      <c r="N484" s="59"/>
      <c r="O484" s="100"/>
      <c r="P484" s="100"/>
      <c r="Q484" s="100"/>
      <c r="R484" s="100"/>
      <c r="S484" s="100"/>
      <c r="T484" s="100"/>
      <c r="U484" s="100"/>
      <c r="V484" s="100"/>
      <c r="W484" s="100"/>
      <c r="X484" s="100"/>
      <c r="Y484" s="100"/>
      <c r="Z484" s="100"/>
    </row>
    <row r="485" ht="14.25" customHeight="1">
      <c r="A485" s="59"/>
      <c r="B485" s="59"/>
      <c r="C485" s="59"/>
      <c r="D485" s="59"/>
      <c r="E485" s="59"/>
      <c r="F485" s="59"/>
      <c r="G485" s="59"/>
      <c r="H485" s="59"/>
      <c r="I485" s="59"/>
      <c r="J485" s="59"/>
      <c r="K485" s="59"/>
      <c r="L485" s="59"/>
      <c r="M485" s="59"/>
      <c r="N485" s="59"/>
      <c r="O485" s="100"/>
      <c r="P485" s="100"/>
      <c r="Q485" s="100"/>
      <c r="R485" s="100"/>
      <c r="S485" s="100"/>
      <c r="T485" s="100"/>
      <c r="U485" s="100"/>
      <c r="V485" s="100"/>
      <c r="W485" s="100"/>
      <c r="X485" s="100"/>
      <c r="Y485" s="100"/>
      <c r="Z485" s="100"/>
    </row>
    <row r="486" ht="14.25" customHeight="1">
      <c r="A486" s="59"/>
      <c r="B486" s="59"/>
      <c r="C486" s="59"/>
      <c r="D486" s="59"/>
      <c r="E486" s="59"/>
      <c r="F486" s="59"/>
      <c r="G486" s="59"/>
      <c r="H486" s="59"/>
      <c r="I486" s="59"/>
      <c r="J486" s="59"/>
      <c r="K486" s="59"/>
      <c r="L486" s="59"/>
      <c r="M486" s="59"/>
      <c r="N486" s="59"/>
      <c r="O486" s="100"/>
      <c r="P486" s="100"/>
      <c r="Q486" s="100"/>
      <c r="R486" s="100"/>
      <c r="S486" s="100"/>
      <c r="T486" s="100"/>
      <c r="U486" s="100"/>
      <c r="V486" s="100"/>
      <c r="W486" s="100"/>
      <c r="X486" s="100"/>
      <c r="Y486" s="100"/>
      <c r="Z486" s="100"/>
    </row>
    <row r="487" ht="14.25" customHeight="1">
      <c r="A487" s="59"/>
      <c r="B487" s="59"/>
      <c r="C487" s="59"/>
      <c r="D487" s="59"/>
      <c r="E487" s="59"/>
      <c r="F487" s="59"/>
      <c r="G487" s="59"/>
      <c r="H487" s="59"/>
      <c r="I487" s="59"/>
      <c r="J487" s="59"/>
      <c r="K487" s="59"/>
      <c r="L487" s="59"/>
      <c r="M487" s="59"/>
      <c r="N487" s="59"/>
      <c r="O487" s="100"/>
      <c r="P487" s="100"/>
      <c r="Q487" s="100"/>
      <c r="R487" s="100"/>
      <c r="S487" s="100"/>
      <c r="T487" s="100"/>
      <c r="U487" s="100"/>
      <c r="V487" s="100"/>
      <c r="W487" s="100"/>
      <c r="X487" s="100"/>
      <c r="Y487" s="100"/>
      <c r="Z487" s="100"/>
    </row>
    <row r="488" ht="14.25" customHeight="1">
      <c r="A488" s="59"/>
      <c r="B488" s="59"/>
      <c r="C488" s="59"/>
      <c r="D488" s="59"/>
      <c r="E488" s="59"/>
      <c r="F488" s="59"/>
      <c r="G488" s="59"/>
      <c r="H488" s="59"/>
      <c r="I488" s="59"/>
      <c r="J488" s="59"/>
      <c r="K488" s="59"/>
      <c r="L488" s="59"/>
      <c r="M488" s="59"/>
      <c r="N488" s="59"/>
      <c r="O488" s="100"/>
      <c r="P488" s="100"/>
      <c r="Q488" s="100"/>
      <c r="R488" s="100"/>
      <c r="S488" s="100"/>
      <c r="T488" s="100"/>
      <c r="U488" s="100"/>
      <c r="V488" s="100"/>
      <c r="W488" s="100"/>
      <c r="X488" s="100"/>
      <c r="Y488" s="100"/>
      <c r="Z488" s="100"/>
    </row>
    <row r="489" ht="14.25" customHeight="1">
      <c r="A489" s="59"/>
      <c r="B489" s="59"/>
      <c r="C489" s="59"/>
      <c r="D489" s="59"/>
      <c r="E489" s="59"/>
      <c r="F489" s="59"/>
      <c r="G489" s="59"/>
      <c r="H489" s="59"/>
      <c r="I489" s="59"/>
      <c r="J489" s="59"/>
      <c r="K489" s="59"/>
      <c r="L489" s="59"/>
      <c r="M489" s="59"/>
      <c r="N489" s="59"/>
      <c r="O489" s="100"/>
      <c r="P489" s="100"/>
      <c r="Q489" s="100"/>
      <c r="R489" s="100"/>
      <c r="S489" s="100"/>
      <c r="T489" s="100"/>
      <c r="U489" s="100"/>
      <c r="V489" s="100"/>
      <c r="W489" s="100"/>
      <c r="X489" s="100"/>
      <c r="Y489" s="100"/>
      <c r="Z489" s="100"/>
    </row>
    <row r="490" ht="14.25" customHeight="1">
      <c r="A490" s="59"/>
      <c r="B490" s="59"/>
      <c r="C490" s="59"/>
      <c r="D490" s="59"/>
      <c r="E490" s="59"/>
      <c r="F490" s="59"/>
      <c r="G490" s="59"/>
      <c r="H490" s="59"/>
      <c r="I490" s="59"/>
      <c r="J490" s="59"/>
      <c r="K490" s="59"/>
      <c r="L490" s="59"/>
      <c r="M490" s="59"/>
      <c r="N490" s="59"/>
      <c r="O490" s="100"/>
      <c r="P490" s="100"/>
      <c r="Q490" s="100"/>
      <c r="R490" s="100"/>
      <c r="S490" s="100"/>
      <c r="T490" s="100"/>
      <c r="U490" s="100"/>
      <c r="V490" s="100"/>
      <c r="W490" s="100"/>
      <c r="X490" s="100"/>
      <c r="Y490" s="100"/>
      <c r="Z490" s="100"/>
    </row>
    <row r="491" ht="14.25" customHeight="1">
      <c r="A491" s="59"/>
      <c r="B491" s="59"/>
      <c r="C491" s="59"/>
      <c r="D491" s="59"/>
      <c r="E491" s="59"/>
      <c r="F491" s="59"/>
      <c r="G491" s="59"/>
      <c r="H491" s="59"/>
      <c r="I491" s="59"/>
      <c r="J491" s="59"/>
      <c r="K491" s="59"/>
      <c r="L491" s="59"/>
      <c r="M491" s="59"/>
      <c r="N491" s="59"/>
      <c r="O491" s="100"/>
      <c r="P491" s="100"/>
      <c r="Q491" s="100"/>
      <c r="R491" s="100"/>
      <c r="S491" s="100"/>
      <c r="T491" s="100"/>
      <c r="U491" s="100"/>
      <c r="V491" s="100"/>
      <c r="W491" s="100"/>
      <c r="X491" s="100"/>
      <c r="Y491" s="100"/>
      <c r="Z491" s="100"/>
    </row>
    <row r="492" ht="14.25" customHeight="1">
      <c r="A492" s="59"/>
      <c r="B492" s="59"/>
      <c r="C492" s="59"/>
      <c r="D492" s="59"/>
      <c r="E492" s="59"/>
      <c r="F492" s="59"/>
      <c r="G492" s="59"/>
      <c r="H492" s="59"/>
      <c r="I492" s="59"/>
      <c r="J492" s="59"/>
      <c r="K492" s="59"/>
      <c r="L492" s="59"/>
      <c r="M492" s="59"/>
      <c r="N492" s="59"/>
      <c r="O492" s="100"/>
      <c r="P492" s="100"/>
      <c r="Q492" s="100"/>
      <c r="R492" s="100"/>
      <c r="S492" s="100"/>
      <c r="T492" s="100"/>
      <c r="U492" s="100"/>
      <c r="V492" s="100"/>
      <c r="W492" s="100"/>
      <c r="X492" s="100"/>
      <c r="Y492" s="100"/>
      <c r="Z492" s="100"/>
    </row>
    <row r="493" ht="14.25" customHeight="1">
      <c r="A493" s="59"/>
      <c r="B493" s="59"/>
      <c r="C493" s="59"/>
      <c r="D493" s="59"/>
      <c r="E493" s="59"/>
      <c r="F493" s="59"/>
      <c r="G493" s="59"/>
      <c r="H493" s="59"/>
      <c r="I493" s="59"/>
      <c r="J493" s="59"/>
      <c r="K493" s="59"/>
      <c r="L493" s="59"/>
      <c r="M493" s="59"/>
      <c r="N493" s="59"/>
      <c r="O493" s="100"/>
      <c r="P493" s="100"/>
      <c r="Q493" s="100"/>
      <c r="R493" s="100"/>
      <c r="S493" s="100"/>
      <c r="T493" s="100"/>
      <c r="U493" s="100"/>
      <c r="V493" s="100"/>
      <c r="W493" s="100"/>
      <c r="X493" s="100"/>
      <c r="Y493" s="100"/>
      <c r="Z493" s="100"/>
    </row>
    <row r="494" ht="14.25" customHeight="1">
      <c r="A494" s="59"/>
      <c r="B494" s="59"/>
      <c r="C494" s="59"/>
      <c r="D494" s="59"/>
      <c r="E494" s="59"/>
      <c r="F494" s="59"/>
      <c r="G494" s="59"/>
      <c r="H494" s="59"/>
      <c r="I494" s="59"/>
      <c r="J494" s="59"/>
      <c r="K494" s="59"/>
      <c r="L494" s="59"/>
      <c r="M494" s="59"/>
      <c r="N494" s="59"/>
      <c r="O494" s="100"/>
      <c r="P494" s="100"/>
      <c r="Q494" s="100"/>
      <c r="R494" s="100"/>
      <c r="S494" s="100"/>
      <c r="T494" s="100"/>
      <c r="U494" s="100"/>
      <c r="V494" s="100"/>
      <c r="W494" s="100"/>
      <c r="X494" s="100"/>
      <c r="Y494" s="100"/>
      <c r="Z494" s="100"/>
    </row>
    <row r="495" ht="14.25" customHeight="1">
      <c r="A495" s="59"/>
      <c r="B495" s="59"/>
      <c r="C495" s="59"/>
      <c r="D495" s="59"/>
      <c r="E495" s="59"/>
      <c r="F495" s="59"/>
      <c r="G495" s="59"/>
      <c r="H495" s="59"/>
      <c r="I495" s="59"/>
      <c r="J495" s="59"/>
      <c r="K495" s="59"/>
      <c r="L495" s="59"/>
      <c r="M495" s="59"/>
      <c r="N495" s="59"/>
      <c r="O495" s="100"/>
      <c r="P495" s="100"/>
      <c r="Q495" s="100"/>
      <c r="R495" s="100"/>
      <c r="S495" s="100"/>
      <c r="T495" s="100"/>
      <c r="U495" s="100"/>
      <c r="V495" s="100"/>
      <c r="W495" s="100"/>
      <c r="X495" s="100"/>
      <c r="Y495" s="100"/>
      <c r="Z495" s="100"/>
    </row>
    <row r="496" ht="14.25" customHeight="1">
      <c r="A496" s="59"/>
      <c r="B496" s="59"/>
      <c r="C496" s="59"/>
      <c r="D496" s="59"/>
      <c r="E496" s="59"/>
      <c r="F496" s="59"/>
      <c r="G496" s="59"/>
      <c r="H496" s="59"/>
      <c r="I496" s="59"/>
      <c r="J496" s="59"/>
      <c r="K496" s="59"/>
      <c r="L496" s="59"/>
      <c r="M496" s="59"/>
      <c r="N496" s="59"/>
      <c r="O496" s="100"/>
      <c r="P496" s="100"/>
      <c r="Q496" s="100"/>
      <c r="R496" s="100"/>
      <c r="S496" s="100"/>
      <c r="T496" s="100"/>
      <c r="U496" s="100"/>
      <c r="V496" s="100"/>
      <c r="W496" s="100"/>
      <c r="X496" s="100"/>
      <c r="Y496" s="100"/>
      <c r="Z496" s="100"/>
    </row>
    <row r="497" ht="14.25" customHeight="1">
      <c r="A497" s="59"/>
      <c r="B497" s="59"/>
      <c r="C497" s="59"/>
      <c r="D497" s="59"/>
      <c r="E497" s="59"/>
      <c r="F497" s="59"/>
      <c r="G497" s="59"/>
      <c r="H497" s="59"/>
      <c r="I497" s="59"/>
      <c r="J497" s="59"/>
      <c r="K497" s="59"/>
      <c r="L497" s="59"/>
      <c r="M497" s="59"/>
      <c r="N497" s="59"/>
      <c r="O497" s="100"/>
      <c r="P497" s="100"/>
      <c r="Q497" s="100"/>
      <c r="R497" s="100"/>
      <c r="S497" s="100"/>
      <c r="T497" s="100"/>
      <c r="U497" s="100"/>
      <c r="V497" s="100"/>
      <c r="W497" s="100"/>
      <c r="X497" s="100"/>
      <c r="Y497" s="100"/>
      <c r="Z497" s="100"/>
    </row>
    <row r="498" ht="14.25" customHeight="1">
      <c r="A498" s="59"/>
      <c r="B498" s="59"/>
      <c r="C498" s="59"/>
      <c r="D498" s="59"/>
      <c r="E498" s="59"/>
      <c r="F498" s="59"/>
      <c r="G498" s="59"/>
      <c r="H498" s="59"/>
      <c r="I498" s="59"/>
      <c r="J498" s="59"/>
      <c r="K498" s="59"/>
      <c r="L498" s="59"/>
      <c r="M498" s="59"/>
      <c r="N498" s="59"/>
      <c r="O498" s="100"/>
      <c r="P498" s="100"/>
      <c r="Q498" s="100"/>
      <c r="R498" s="100"/>
      <c r="S498" s="100"/>
      <c r="T498" s="100"/>
      <c r="U498" s="100"/>
      <c r="V498" s="100"/>
      <c r="W498" s="100"/>
      <c r="X498" s="100"/>
      <c r="Y498" s="100"/>
      <c r="Z498" s="100"/>
    </row>
    <row r="499" ht="14.25" customHeight="1">
      <c r="A499" s="59"/>
      <c r="B499" s="59"/>
      <c r="C499" s="59"/>
      <c r="D499" s="59"/>
      <c r="E499" s="59"/>
      <c r="F499" s="59"/>
      <c r="G499" s="59"/>
      <c r="H499" s="59"/>
      <c r="I499" s="59"/>
      <c r="J499" s="59"/>
      <c r="K499" s="59"/>
      <c r="L499" s="59"/>
      <c r="M499" s="59"/>
      <c r="N499" s="59"/>
      <c r="O499" s="100"/>
      <c r="P499" s="100"/>
      <c r="Q499" s="100"/>
      <c r="R499" s="100"/>
      <c r="S499" s="100"/>
      <c r="T499" s="100"/>
      <c r="U499" s="100"/>
      <c r="V499" s="100"/>
      <c r="W499" s="100"/>
      <c r="X499" s="100"/>
      <c r="Y499" s="100"/>
      <c r="Z499" s="100"/>
    </row>
    <row r="500" ht="14.25" customHeight="1">
      <c r="A500" s="59"/>
      <c r="B500" s="59"/>
      <c r="C500" s="59"/>
      <c r="D500" s="59"/>
      <c r="E500" s="59"/>
      <c r="F500" s="59"/>
      <c r="G500" s="59"/>
      <c r="H500" s="59"/>
      <c r="I500" s="59"/>
      <c r="J500" s="59"/>
      <c r="K500" s="59"/>
      <c r="L500" s="59"/>
      <c r="M500" s="59"/>
      <c r="N500" s="59"/>
      <c r="O500" s="100"/>
      <c r="P500" s="100"/>
      <c r="Q500" s="100"/>
      <c r="R500" s="100"/>
      <c r="S500" s="100"/>
      <c r="T500" s="100"/>
      <c r="U500" s="100"/>
      <c r="V500" s="100"/>
      <c r="W500" s="100"/>
      <c r="X500" s="100"/>
      <c r="Y500" s="100"/>
      <c r="Z500" s="100"/>
    </row>
    <row r="501" ht="14.25" customHeight="1">
      <c r="A501" s="59"/>
      <c r="B501" s="59"/>
      <c r="C501" s="59"/>
      <c r="D501" s="59"/>
      <c r="E501" s="59"/>
      <c r="F501" s="59"/>
      <c r="G501" s="59"/>
      <c r="H501" s="59"/>
      <c r="I501" s="59"/>
      <c r="J501" s="59"/>
      <c r="K501" s="59"/>
      <c r="L501" s="59"/>
      <c r="M501" s="59"/>
      <c r="N501" s="59"/>
      <c r="O501" s="100"/>
      <c r="P501" s="100"/>
      <c r="Q501" s="100"/>
      <c r="R501" s="100"/>
      <c r="S501" s="100"/>
      <c r="T501" s="100"/>
      <c r="U501" s="100"/>
      <c r="V501" s="100"/>
      <c r="W501" s="100"/>
      <c r="X501" s="100"/>
      <c r="Y501" s="100"/>
      <c r="Z501" s="100"/>
    </row>
    <row r="502" ht="14.25" customHeight="1">
      <c r="A502" s="59"/>
      <c r="B502" s="59"/>
      <c r="C502" s="59"/>
      <c r="D502" s="59"/>
      <c r="E502" s="59"/>
      <c r="F502" s="59"/>
      <c r="G502" s="59"/>
      <c r="H502" s="59"/>
      <c r="I502" s="59"/>
      <c r="J502" s="59"/>
      <c r="K502" s="59"/>
      <c r="L502" s="59"/>
      <c r="M502" s="59"/>
      <c r="N502" s="59"/>
      <c r="O502" s="100"/>
      <c r="P502" s="100"/>
      <c r="Q502" s="100"/>
      <c r="R502" s="100"/>
      <c r="S502" s="100"/>
      <c r="T502" s="100"/>
      <c r="U502" s="100"/>
      <c r="V502" s="100"/>
      <c r="W502" s="100"/>
      <c r="X502" s="100"/>
      <c r="Y502" s="100"/>
      <c r="Z502" s="100"/>
    </row>
    <row r="503" ht="14.25" customHeight="1">
      <c r="A503" s="59"/>
      <c r="B503" s="59"/>
      <c r="C503" s="59"/>
      <c r="D503" s="59"/>
      <c r="E503" s="59"/>
      <c r="F503" s="59"/>
      <c r="G503" s="59"/>
      <c r="H503" s="59"/>
      <c r="I503" s="59"/>
      <c r="J503" s="59"/>
      <c r="K503" s="59"/>
      <c r="L503" s="59"/>
      <c r="M503" s="59"/>
      <c r="N503" s="59"/>
      <c r="O503" s="100"/>
      <c r="P503" s="100"/>
      <c r="Q503" s="100"/>
      <c r="R503" s="100"/>
      <c r="S503" s="100"/>
      <c r="T503" s="100"/>
      <c r="U503" s="100"/>
      <c r="V503" s="100"/>
      <c r="W503" s="100"/>
      <c r="X503" s="100"/>
      <c r="Y503" s="100"/>
      <c r="Z503" s="100"/>
    </row>
    <row r="504" ht="14.25" customHeight="1">
      <c r="A504" s="59"/>
      <c r="B504" s="59"/>
      <c r="C504" s="59"/>
      <c r="D504" s="59"/>
      <c r="E504" s="59"/>
      <c r="F504" s="59"/>
      <c r="G504" s="59"/>
      <c r="H504" s="59"/>
      <c r="I504" s="59"/>
      <c r="J504" s="59"/>
      <c r="K504" s="59"/>
      <c r="L504" s="59"/>
      <c r="M504" s="59"/>
      <c r="N504" s="59"/>
      <c r="O504" s="100"/>
      <c r="P504" s="100"/>
      <c r="Q504" s="100"/>
      <c r="R504" s="100"/>
      <c r="S504" s="100"/>
      <c r="T504" s="100"/>
      <c r="U504" s="100"/>
      <c r="V504" s="100"/>
      <c r="W504" s="100"/>
      <c r="X504" s="100"/>
      <c r="Y504" s="100"/>
      <c r="Z504" s="100"/>
    </row>
    <row r="505" ht="14.25" customHeight="1">
      <c r="A505" s="59"/>
      <c r="B505" s="59"/>
      <c r="C505" s="59"/>
      <c r="D505" s="59"/>
      <c r="E505" s="59"/>
      <c r="F505" s="59"/>
      <c r="G505" s="59"/>
      <c r="H505" s="59"/>
      <c r="I505" s="59"/>
      <c r="J505" s="59"/>
      <c r="K505" s="59"/>
      <c r="L505" s="59"/>
      <c r="M505" s="59"/>
      <c r="N505" s="59"/>
      <c r="O505" s="100"/>
      <c r="P505" s="100"/>
      <c r="Q505" s="100"/>
      <c r="R505" s="100"/>
      <c r="S505" s="100"/>
      <c r="T505" s="100"/>
      <c r="U505" s="100"/>
      <c r="V505" s="100"/>
      <c r="W505" s="100"/>
      <c r="X505" s="100"/>
      <c r="Y505" s="100"/>
      <c r="Z505" s="100"/>
    </row>
    <row r="506" ht="14.25" customHeight="1">
      <c r="A506" s="59"/>
      <c r="B506" s="59"/>
      <c r="C506" s="59"/>
      <c r="D506" s="59"/>
      <c r="E506" s="59"/>
      <c r="F506" s="59"/>
      <c r="G506" s="59"/>
      <c r="H506" s="59"/>
      <c r="I506" s="59"/>
      <c r="J506" s="59"/>
      <c r="K506" s="59"/>
      <c r="L506" s="59"/>
      <c r="M506" s="59"/>
      <c r="N506" s="59"/>
      <c r="O506" s="100"/>
      <c r="P506" s="100"/>
      <c r="Q506" s="100"/>
      <c r="R506" s="100"/>
      <c r="S506" s="100"/>
      <c r="T506" s="100"/>
      <c r="U506" s="100"/>
      <c r="V506" s="100"/>
      <c r="W506" s="100"/>
      <c r="X506" s="100"/>
      <c r="Y506" s="100"/>
      <c r="Z506" s="100"/>
    </row>
    <row r="507" ht="14.25" customHeight="1">
      <c r="A507" s="59"/>
      <c r="B507" s="59"/>
      <c r="C507" s="59"/>
      <c r="D507" s="59"/>
      <c r="E507" s="59"/>
      <c r="F507" s="59"/>
      <c r="G507" s="59"/>
      <c r="H507" s="59"/>
      <c r="I507" s="59"/>
      <c r="J507" s="59"/>
      <c r="K507" s="59"/>
      <c r="L507" s="59"/>
      <c r="M507" s="59"/>
      <c r="N507" s="59"/>
      <c r="O507" s="100"/>
      <c r="P507" s="100"/>
      <c r="Q507" s="100"/>
      <c r="R507" s="100"/>
      <c r="S507" s="100"/>
      <c r="T507" s="100"/>
      <c r="U507" s="100"/>
      <c r="V507" s="100"/>
      <c r="W507" s="100"/>
      <c r="X507" s="100"/>
      <c r="Y507" s="100"/>
      <c r="Z507" s="100"/>
    </row>
    <row r="508" ht="14.25" customHeight="1">
      <c r="A508" s="59"/>
      <c r="B508" s="59"/>
      <c r="C508" s="59"/>
      <c r="D508" s="59"/>
      <c r="E508" s="59"/>
      <c r="F508" s="59"/>
      <c r="G508" s="59"/>
      <c r="H508" s="59"/>
      <c r="I508" s="59"/>
      <c r="J508" s="59"/>
      <c r="K508" s="59"/>
      <c r="L508" s="59"/>
      <c r="M508" s="59"/>
      <c r="N508" s="59"/>
      <c r="O508" s="100"/>
      <c r="P508" s="100"/>
      <c r="Q508" s="100"/>
      <c r="R508" s="100"/>
      <c r="S508" s="100"/>
      <c r="T508" s="100"/>
      <c r="U508" s="100"/>
      <c r="V508" s="100"/>
      <c r="W508" s="100"/>
      <c r="X508" s="100"/>
      <c r="Y508" s="100"/>
      <c r="Z508" s="100"/>
    </row>
    <row r="509" ht="14.25" customHeight="1">
      <c r="A509" s="59"/>
      <c r="B509" s="59"/>
      <c r="C509" s="59"/>
      <c r="D509" s="59"/>
      <c r="E509" s="59"/>
      <c r="F509" s="59"/>
      <c r="G509" s="59"/>
      <c r="H509" s="59"/>
      <c r="I509" s="59"/>
      <c r="J509" s="59"/>
      <c r="K509" s="59"/>
      <c r="L509" s="59"/>
      <c r="M509" s="59"/>
      <c r="N509" s="59"/>
      <c r="O509" s="100"/>
      <c r="P509" s="100"/>
      <c r="Q509" s="100"/>
      <c r="R509" s="100"/>
      <c r="S509" s="100"/>
      <c r="T509" s="100"/>
      <c r="U509" s="100"/>
      <c r="V509" s="100"/>
      <c r="W509" s="100"/>
      <c r="X509" s="100"/>
      <c r="Y509" s="100"/>
      <c r="Z509" s="100"/>
    </row>
    <row r="510" ht="14.25" customHeight="1">
      <c r="A510" s="59"/>
      <c r="B510" s="59"/>
      <c r="C510" s="59"/>
      <c r="D510" s="59"/>
      <c r="E510" s="59"/>
      <c r="F510" s="59"/>
      <c r="G510" s="59"/>
      <c r="H510" s="59"/>
      <c r="I510" s="59"/>
      <c r="J510" s="59"/>
      <c r="K510" s="59"/>
      <c r="L510" s="59"/>
      <c r="M510" s="59"/>
      <c r="N510" s="59"/>
      <c r="O510" s="100"/>
      <c r="P510" s="100"/>
      <c r="Q510" s="100"/>
      <c r="R510" s="100"/>
      <c r="S510" s="100"/>
      <c r="T510" s="100"/>
      <c r="U510" s="100"/>
      <c r="V510" s="100"/>
      <c r="W510" s="100"/>
      <c r="X510" s="100"/>
      <c r="Y510" s="100"/>
      <c r="Z510" s="100"/>
    </row>
    <row r="511" ht="14.25" customHeight="1">
      <c r="A511" s="59"/>
      <c r="B511" s="59"/>
      <c r="C511" s="59"/>
      <c r="D511" s="59"/>
      <c r="E511" s="59"/>
      <c r="F511" s="59"/>
      <c r="G511" s="59"/>
      <c r="H511" s="59"/>
      <c r="I511" s="59"/>
      <c r="J511" s="59"/>
      <c r="K511" s="59"/>
      <c r="L511" s="59"/>
      <c r="M511" s="59"/>
      <c r="N511" s="59"/>
      <c r="O511" s="100"/>
      <c r="P511" s="100"/>
      <c r="Q511" s="100"/>
      <c r="R511" s="100"/>
      <c r="S511" s="100"/>
      <c r="T511" s="100"/>
      <c r="U511" s="100"/>
      <c r="V511" s="100"/>
      <c r="W511" s="100"/>
      <c r="X511" s="100"/>
      <c r="Y511" s="100"/>
      <c r="Z511" s="100"/>
    </row>
    <row r="512" ht="14.25" customHeight="1">
      <c r="A512" s="59"/>
      <c r="B512" s="59"/>
      <c r="C512" s="59"/>
      <c r="D512" s="59"/>
      <c r="E512" s="59"/>
      <c r="F512" s="59"/>
      <c r="G512" s="59"/>
      <c r="H512" s="59"/>
      <c r="I512" s="59"/>
      <c r="J512" s="59"/>
      <c r="K512" s="59"/>
      <c r="L512" s="59"/>
      <c r="M512" s="59"/>
      <c r="N512" s="59"/>
      <c r="O512" s="100"/>
      <c r="P512" s="100"/>
      <c r="Q512" s="100"/>
      <c r="R512" s="100"/>
      <c r="S512" s="100"/>
      <c r="T512" s="100"/>
      <c r="U512" s="100"/>
      <c r="V512" s="100"/>
      <c r="W512" s="100"/>
      <c r="X512" s="100"/>
      <c r="Y512" s="100"/>
      <c r="Z512" s="100"/>
    </row>
    <row r="513" ht="14.25" customHeight="1">
      <c r="A513" s="59"/>
      <c r="B513" s="59"/>
      <c r="C513" s="59"/>
      <c r="D513" s="59"/>
      <c r="E513" s="59"/>
      <c r="F513" s="59"/>
      <c r="G513" s="59"/>
      <c r="H513" s="59"/>
      <c r="I513" s="59"/>
      <c r="J513" s="59"/>
      <c r="K513" s="59"/>
      <c r="L513" s="59"/>
      <c r="M513" s="59"/>
      <c r="N513" s="59"/>
      <c r="O513" s="100"/>
      <c r="P513" s="100"/>
      <c r="Q513" s="100"/>
      <c r="R513" s="100"/>
      <c r="S513" s="100"/>
      <c r="T513" s="100"/>
      <c r="U513" s="100"/>
      <c r="V513" s="100"/>
      <c r="W513" s="100"/>
      <c r="X513" s="100"/>
      <c r="Y513" s="100"/>
      <c r="Z513" s="100"/>
    </row>
    <row r="514" ht="14.25" customHeight="1">
      <c r="A514" s="59"/>
      <c r="B514" s="59"/>
      <c r="C514" s="59"/>
      <c r="D514" s="59"/>
      <c r="E514" s="59"/>
      <c r="F514" s="59"/>
      <c r="G514" s="59"/>
      <c r="H514" s="59"/>
      <c r="I514" s="59"/>
      <c r="J514" s="59"/>
      <c r="K514" s="59"/>
      <c r="L514" s="59"/>
      <c r="M514" s="59"/>
      <c r="N514" s="59"/>
      <c r="O514" s="100"/>
      <c r="P514" s="100"/>
      <c r="Q514" s="100"/>
      <c r="R514" s="100"/>
      <c r="S514" s="100"/>
      <c r="T514" s="100"/>
      <c r="U514" s="100"/>
      <c r="V514" s="100"/>
      <c r="W514" s="100"/>
      <c r="X514" s="100"/>
      <c r="Y514" s="100"/>
      <c r="Z514" s="100"/>
    </row>
    <row r="515" ht="14.25" customHeight="1">
      <c r="A515" s="59"/>
      <c r="B515" s="59"/>
      <c r="C515" s="59"/>
      <c r="D515" s="59"/>
      <c r="E515" s="59"/>
      <c r="F515" s="59"/>
      <c r="G515" s="59"/>
      <c r="H515" s="59"/>
      <c r="I515" s="59"/>
      <c r="J515" s="59"/>
      <c r="K515" s="59"/>
      <c r="L515" s="59"/>
      <c r="M515" s="59"/>
      <c r="N515" s="59"/>
      <c r="O515" s="100"/>
      <c r="P515" s="100"/>
      <c r="Q515" s="100"/>
      <c r="R515" s="100"/>
      <c r="S515" s="100"/>
      <c r="T515" s="100"/>
      <c r="U515" s="100"/>
      <c r="V515" s="100"/>
      <c r="W515" s="100"/>
      <c r="X515" s="100"/>
      <c r="Y515" s="100"/>
      <c r="Z515" s="100"/>
    </row>
    <row r="516" ht="14.25" customHeight="1">
      <c r="A516" s="59"/>
      <c r="B516" s="59"/>
      <c r="C516" s="59"/>
      <c r="D516" s="59"/>
      <c r="E516" s="59"/>
      <c r="F516" s="59"/>
      <c r="G516" s="59"/>
      <c r="H516" s="59"/>
      <c r="I516" s="59"/>
      <c r="J516" s="59"/>
      <c r="K516" s="59"/>
      <c r="L516" s="59"/>
      <c r="M516" s="59"/>
      <c r="N516" s="59"/>
      <c r="O516" s="100"/>
      <c r="P516" s="100"/>
      <c r="Q516" s="100"/>
      <c r="R516" s="100"/>
      <c r="S516" s="100"/>
      <c r="T516" s="100"/>
      <c r="U516" s="100"/>
      <c r="V516" s="100"/>
      <c r="W516" s="100"/>
      <c r="X516" s="100"/>
      <c r="Y516" s="100"/>
      <c r="Z516" s="100"/>
    </row>
    <row r="517" ht="14.25" customHeight="1">
      <c r="A517" s="59"/>
      <c r="B517" s="59"/>
      <c r="C517" s="59"/>
      <c r="D517" s="59"/>
      <c r="E517" s="59"/>
      <c r="F517" s="59"/>
      <c r="G517" s="59"/>
      <c r="H517" s="59"/>
      <c r="I517" s="59"/>
      <c r="J517" s="59"/>
      <c r="K517" s="59"/>
      <c r="L517" s="59"/>
      <c r="M517" s="59"/>
      <c r="N517" s="59"/>
      <c r="O517" s="100"/>
      <c r="P517" s="100"/>
      <c r="Q517" s="100"/>
      <c r="R517" s="100"/>
      <c r="S517" s="100"/>
      <c r="T517" s="100"/>
      <c r="U517" s="100"/>
      <c r="V517" s="100"/>
      <c r="W517" s="100"/>
      <c r="X517" s="100"/>
      <c r="Y517" s="100"/>
      <c r="Z517" s="100"/>
    </row>
    <row r="518" ht="14.25" customHeight="1">
      <c r="A518" s="59"/>
      <c r="B518" s="59"/>
      <c r="C518" s="59"/>
      <c r="D518" s="59"/>
      <c r="E518" s="59"/>
      <c r="F518" s="59"/>
      <c r="G518" s="59"/>
      <c r="H518" s="59"/>
      <c r="I518" s="59"/>
      <c r="J518" s="59"/>
      <c r="K518" s="59"/>
      <c r="L518" s="59"/>
      <c r="M518" s="59"/>
      <c r="N518" s="59"/>
      <c r="O518" s="100"/>
      <c r="P518" s="100"/>
      <c r="Q518" s="100"/>
      <c r="R518" s="100"/>
      <c r="S518" s="100"/>
      <c r="T518" s="100"/>
      <c r="U518" s="100"/>
      <c r="V518" s="100"/>
      <c r="W518" s="100"/>
      <c r="X518" s="100"/>
      <c r="Y518" s="100"/>
      <c r="Z518" s="100"/>
    </row>
    <row r="519" ht="14.25" customHeight="1">
      <c r="A519" s="59"/>
      <c r="B519" s="59"/>
      <c r="C519" s="59"/>
      <c r="D519" s="59"/>
      <c r="E519" s="59"/>
      <c r="F519" s="59"/>
      <c r="G519" s="59"/>
      <c r="H519" s="59"/>
      <c r="I519" s="59"/>
      <c r="J519" s="59"/>
      <c r="K519" s="59"/>
      <c r="L519" s="59"/>
      <c r="M519" s="59"/>
      <c r="N519" s="59"/>
      <c r="O519" s="100"/>
      <c r="P519" s="100"/>
      <c r="Q519" s="100"/>
      <c r="R519" s="100"/>
      <c r="S519" s="100"/>
      <c r="T519" s="100"/>
      <c r="U519" s="100"/>
      <c r="V519" s="100"/>
      <c r="W519" s="100"/>
      <c r="X519" s="100"/>
      <c r="Y519" s="100"/>
      <c r="Z519" s="100"/>
    </row>
    <row r="520" ht="14.25" customHeight="1">
      <c r="A520" s="59"/>
      <c r="B520" s="59"/>
      <c r="C520" s="59"/>
      <c r="D520" s="59"/>
      <c r="E520" s="59"/>
      <c r="F520" s="59"/>
      <c r="G520" s="59"/>
      <c r="H520" s="59"/>
      <c r="I520" s="59"/>
      <c r="J520" s="59"/>
      <c r="K520" s="59"/>
      <c r="L520" s="59"/>
      <c r="M520" s="59"/>
      <c r="N520" s="59"/>
      <c r="O520" s="100"/>
      <c r="P520" s="100"/>
      <c r="Q520" s="100"/>
      <c r="R520" s="100"/>
      <c r="S520" s="100"/>
      <c r="T520" s="100"/>
      <c r="U520" s="100"/>
      <c r="V520" s="100"/>
      <c r="W520" s="100"/>
      <c r="X520" s="100"/>
      <c r="Y520" s="100"/>
      <c r="Z520" s="100"/>
    </row>
    <row r="521" ht="14.25" customHeight="1">
      <c r="A521" s="59"/>
      <c r="B521" s="59"/>
      <c r="C521" s="59"/>
      <c r="D521" s="59"/>
      <c r="E521" s="59"/>
      <c r="F521" s="59"/>
      <c r="G521" s="59"/>
      <c r="H521" s="59"/>
      <c r="I521" s="59"/>
      <c r="J521" s="59"/>
      <c r="K521" s="59"/>
      <c r="L521" s="59"/>
      <c r="M521" s="59"/>
      <c r="N521" s="59"/>
      <c r="O521" s="100"/>
      <c r="P521" s="100"/>
      <c r="Q521" s="100"/>
      <c r="R521" s="100"/>
      <c r="S521" s="100"/>
      <c r="T521" s="100"/>
      <c r="U521" s="100"/>
      <c r="V521" s="100"/>
      <c r="W521" s="100"/>
      <c r="X521" s="100"/>
      <c r="Y521" s="100"/>
      <c r="Z521" s="100"/>
    </row>
    <row r="522" ht="14.25" customHeight="1">
      <c r="A522" s="59"/>
      <c r="B522" s="59"/>
      <c r="C522" s="59"/>
      <c r="D522" s="59"/>
      <c r="E522" s="59"/>
      <c r="F522" s="59"/>
      <c r="G522" s="59"/>
      <c r="H522" s="59"/>
      <c r="I522" s="59"/>
      <c r="J522" s="59"/>
      <c r="K522" s="59"/>
      <c r="L522" s="59"/>
      <c r="M522" s="59"/>
      <c r="N522" s="59"/>
      <c r="O522" s="100"/>
      <c r="P522" s="100"/>
      <c r="Q522" s="100"/>
      <c r="R522" s="100"/>
      <c r="S522" s="100"/>
      <c r="T522" s="100"/>
      <c r="U522" s="100"/>
      <c r="V522" s="100"/>
      <c r="W522" s="100"/>
      <c r="X522" s="100"/>
      <c r="Y522" s="100"/>
      <c r="Z522" s="100"/>
    </row>
    <row r="523" ht="14.25" customHeight="1">
      <c r="A523" s="59"/>
      <c r="B523" s="59"/>
      <c r="C523" s="59"/>
      <c r="D523" s="59"/>
      <c r="E523" s="59"/>
      <c r="F523" s="59"/>
      <c r="G523" s="59"/>
      <c r="H523" s="59"/>
      <c r="I523" s="59"/>
      <c r="J523" s="59"/>
      <c r="K523" s="59"/>
      <c r="L523" s="59"/>
      <c r="M523" s="59"/>
      <c r="N523" s="59"/>
      <c r="O523" s="100"/>
      <c r="P523" s="100"/>
      <c r="Q523" s="100"/>
      <c r="R523" s="100"/>
      <c r="S523" s="100"/>
      <c r="T523" s="100"/>
      <c r="U523" s="100"/>
      <c r="V523" s="100"/>
      <c r="W523" s="100"/>
      <c r="X523" s="100"/>
      <c r="Y523" s="100"/>
      <c r="Z523" s="100"/>
    </row>
    <row r="524" ht="14.25" customHeight="1">
      <c r="A524" s="59"/>
      <c r="B524" s="59"/>
      <c r="C524" s="59"/>
      <c r="D524" s="59"/>
      <c r="E524" s="59"/>
      <c r="F524" s="59"/>
      <c r="G524" s="59"/>
      <c r="H524" s="59"/>
      <c r="I524" s="59"/>
      <c r="J524" s="59"/>
      <c r="K524" s="59"/>
      <c r="L524" s="59"/>
      <c r="M524" s="59"/>
      <c r="N524" s="59"/>
      <c r="O524" s="100"/>
      <c r="P524" s="100"/>
      <c r="Q524" s="100"/>
      <c r="R524" s="100"/>
      <c r="S524" s="100"/>
      <c r="T524" s="100"/>
      <c r="U524" s="100"/>
      <c r="V524" s="100"/>
      <c r="W524" s="100"/>
      <c r="X524" s="100"/>
      <c r="Y524" s="100"/>
      <c r="Z524" s="100"/>
    </row>
    <row r="525" ht="14.25" customHeight="1">
      <c r="A525" s="59"/>
      <c r="B525" s="59"/>
      <c r="C525" s="59"/>
      <c r="D525" s="59"/>
      <c r="E525" s="59"/>
      <c r="F525" s="59"/>
      <c r="G525" s="59"/>
      <c r="H525" s="59"/>
      <c r="I525" s="59"/>
      <c r="J525" s="59"/>
      <c r="K525" s="59"/>
      <c r="L525" s="59"/>
      <c r="M525" s="59"/>
      <c r="N525" s="59"/>
      <c r="O525" s="100"/>
      <c r="P525" s="100"/>
      <c r="Q525" s="100"/>
      <c r="R525" s="100"/>
      <c r="S525" s="100"/>
      <c r="T525" s="100"/>
      <c r="U525" s="100"/>
      <c r="V525" s="100"/>
      <c r="W525" s="100"/>
      <c r="X525" s="100"/>
      <c r="Y525" s="100"/>
      <c r="Z525" s="100"/>
    </row>
    <row r="526" ht="14.25" customHeight="1">
      <c r="A526" s="59"/>
      <c r="B526" s="59"/>
      <c r="C526" s="59"/>
      <c r="D526" s="59"/>
      <c r="E526" s="59"/>
      <c r="F526" s="59"/>
      <c r="G526" s="59"/>
      <c r="H526" s="59"/>
      <c r="I526" s="59"/>
      <c r="J526" s="59"/>
      <c r="K526" s="59"/>
      <c r="L526" s="59"/>
      <c r="M526" s="59"/>
      <c r="N526" s="59"/>
      <c r="O526" s="100"/>
      <c r="P526" s="100"/>
      <c r="Q526" s="100"/>
      <c r="R526" s="100"/>
      <c r="S526" s="100"/>
      <c r="T526" s="100"/>
      <c r="U526" s="100"/>
      <c r="V526" s="100"/>
      <c r="W526" s="100"/>
      <c r="X526" s="100"/>
      <c r="Y526" s="100"/>
      <c r="Z526" s="100"/>
    </row>
    <row r="527" ht="14.25" customHeight="1">
      <c r="A527" s="59"/>
      <c r="B527" s="59"/>
      <c r="C527" s="59"/>
      <c r="D527" s="59"/>
      <c r="E527" s="59"/>
      <c r="F527" s="59"/>
      <c r="G527" s="59"/>
      <c r="H527" s="59"/>
      <c r="I527" s="59"/>
      <c r="J527" s="59"/>
      <c r="K527" s="59"/>
      <c r="L527" s="59"/>
      <c r="M527" s="59"/>
      <c r="N527" s="59"/>
      <c r="O527" s="100"/>
      <c r="P527" s="100"/>
      <c r="Q527" s="100"/>
      <c r="R527" s="100"/>
      <c r="S527" s="100"/>
      <c r="T527" s="100"/>
      <c r="U527" s="100"/>
      <c r="V527" s="100"/>
      <c r="W527" s="100"/>
      <c r="X527" s="100"/>
      <c r="Y527" s="100"/>
      <c r="Z527" s="100"/>
    </row>
    <row r="528" ht="14.25" customHeight="1">
      <c r="A528" s="59"/>
      <c r="B528" s="59"/>
      <c r="C528" s="59"/>
      <c r="D528" s="59"/>
      <c r="E528" s="59"/>
      <c r="F528" s="59"/>
      <c r="G528" s="59"/>
      <c r="H528" s="59"/>
      <c r="I528" s="59"/>
      <c r="J528" s="59"/>
      <c r="K528" s="59"/>
      <c r="L528" s="59"/>
      <c r="M528" s="59"/>
      <c r="N528" s="59"/>
      <c r="O528" s="100"/>
      <c r="P528" s="100"/>
      <c r="Q528" s="100"/>
      <c r="R528" s="100"/>
      <c r="S528" s="100"/>
      <c r="T528" s="100"/>
      <c r="U528" s="100"/>
      <c r="V528" s="100"/>
      <c r="W528" s="100"/>
      <c r="X528" s="100"/>
      <c r="Y528" s="100"/>
      <c r="Z528" s="100"/>
    </row>
    <row r="529" ht="14.25" customHeight="1">
      <c r="A529" s="59"/>
      <c r="B529" s="59"/>
      <c r="C529" s="59"/>
      <c r="D529" s="59"/>
      <c r="E529" s="59"/>
      <c r="F529" s="59"/>
      <c r="G529" s="59"/>
      <c r="H529" s="59"/>
      <c r="I529" s="59"/>
      <c r="J529" s="59"/>
      <c r="K529" s="59"/>
      <c r="L529" s="59"/>
      <c r="M529" s="59"/>
      <c r="N529" s="59"/>
      <c r="O529" s="100"/>
      <c r="P529" s="100"/>
      <c r="Q529" s="100"/>
      <c r="R529" s="100"/>
      <c r="S529" s="100"/>
      <c r="T529" s="100"/>
      <c r="U529" s="100"/>
      <c r="V529" s="100"/>
      <c r="W529" s="100"/>
      <c r="X529" s="100"/>
      <c r="Y529" s="100"/>
      <c r="Z529" s="100"/>
    </row>
    <row r="530" ht="14.25" customHeight="1">
      <c r="A530" s="59"/>
      <c r="B530" s="59"/>
      <c r="C530" s="59"/>
      <c r="D530" s="59"/>
      <c r="E530" s="59"/>
      <c r="F530" s="59"/>
      <c r="G530" s="59"/>
      <c r="H530" s="59"/>
      <c r="I530" s="59"/>
      <c r="J530" s="59"/>
      <c r="K530" s="59"/>
      <c r="L530" s="59"/>
      <c r="M530" s="59"/>
      <c r="N530" s="59"/>
      <c r="O530" s="100"/>
      <c r="P530" s="100"/>
      <c r="Q530" s="100"/>
      <c r="R530" s="100"/>
      <c r="S530" s="100"/>
      <c r="T530" s="100"/>
      <c r="U530" s="100"/>
      <c r="V530" s="100"/>
      <c r="W530" s="100"/>
      <c r="X530" s="100"/>
      <c r="Y530" s="100"/>
      <c r="Z530" s="100"/>
    </row>
    <row r="531" ht="14.25" customHeight="1">
      <c r="A531" s="59"/>
      <c r="B531" s="59"/>
      <c r="C531" s="59"/>
      <c r="D531" s="59"/>
      <c r="E531" s="59"/>
      <c r="F531" s="59"/>
      <c r="G531" s="59"/>
      <c r="H531" s="59"/>
      <c r="I531" s="59"/>
      <c r="J531" s="59"/>
      <c r="K531" s="59"/>
      <c r="L531" s="59"/>
      <c r="M531" s="59"/>
      <c r="N531" s="59"/>
      <c r="O531" s="100"/>
      <c r="P531" s="100"/>
      <c r="Q531" s="100"/>
      <c r="R531" s="100"/>
      <c r="S531" s="100"/>
      <c r="T531" s="100"/>
      <c r="U531" s="100"/>
      <c r="V531" s="100"/>
      <c r="W531" s="100"/>
      <c r="X531" s="100"/>
      <c r="Y531" s="100"/>
      <c r="Z531" s="100"/>
    </row>
    <row r="532" ht="14.25" customHeight="1">
      <c r="A532" s="59"/>
      <c r="B532" s="59"/>
      <c r="C532" s="59"/>
      <c r="D532" s="59"/>
      <c r="E532" s="59"/>
      <c r="F532" s="59"/>
      <c r="G532" s="59"/>
      <c r="H532" s="59"/>
      <c r="I532" s="59"/>
      <c r="J532" s="59"/>
      <c r="K532" s="59"/>
      <c r="L532" s="59"/>
      <c r="M532" s="59"/>
      <c r="N532" s="59"/>
      <c r="O532" s="100"/>
      <c r="P532" s="100"/>
      <c r="Q532" s="100"/>
      <c r="R532" s="100"/>
      <c r="S532" s="100"/>
      <c r="T532" s="100"/>
      <c r="U532" s="100"/>
      <c r="V532" s="100"/>
      <c r="W532" s="100"/>
      <c r="X532" s="100"/>
      <c r="Y532" s="100"/>
      <c r="Z532" s="100"/>
    </row>
    <row r="533" ht="14.25" customHeight="1">
      <c r="A533" s="59"/>
      <c r="B533" s="59"/>
      <c r="C533" s="59"/>
      <c r="D533" s="59"/>
      <c r="E533" s="59"/>
      <c r="F533" s="59"/>
      <c r="G533" s="59"/>
      <c r="H533" s="59"/>
      <c r="I533" s="59"/>
      <c r="J533" s="59"/>
      <c r="K533" s="59"/>
      <c r="L533" s="59"/>
      <c r="M533" s="59"/>
      <c r="N533" s="59"/>
      <c r="O533" s="100"/>
      <c r="P533" s="100"/>
      <c r="Q533" s="100"/>
      <c r="R533" s="100"/>
      <c r="S533" s="100"/>
      <c r="T533" s="100"/>
      <c r="U533" s="100"/>
      <c r="V533" s="100"/>
      <c r="W533" s="100"/>
      <c r="X533" s="100"/>
      <c r="Y533" s="100"/>
      <c r="Z533" s="100"/>
    </row>
    <row r="534" ht="14.25" customHeight="1">
      <c r="A534" s="59"/>
      <c r="B534" s="59"/>
      <c r="C534" s="59"/>
      <c r="D534" s="59"/>
      <c r="E534" s="59"/>
      <c r="F534" s="59"/>
      <c r="G534" s="59"/>
      <c r="H534" s="59"/>
      <c r="I534" s="59"/>
      <c r="J534" s="59"/>
      <c r="K534" s="59"/>
      <c r="L534" s="59"/>
      <c r="M534" s="59"/>
      <c r="N534" s="59"/>
      <c r="O534" s="100"/>
      <c r="P534" s="100"/>
      <c r="Q534" s="100"/>
      <c r="R534" s="100"/>
      <c r="S534" s="100"/>
      <c r="T534" s="100"/>
      <c r="U534" s="100"/>
      <c r="V534" s="100"/>
      <c r="W534" s="100"/>
      <c r="X534" s="100"/>
      <c r="Y534" s="100"/>
      <c r="Z534" s="100"/>
    </row>
    <row r="535" ht="14.25" customHeight="1">
      <c r="A535" s="59"/>
      <c r="B535" s="59"/>
      <c r="C535" s="59"/>
      <c r="D535" s="59"/>
      <c r="E535" s="59"/>
      <c r="F535" s="59"/>
      <c r="G535" s="59"/>
      <c r="H535" s="59"/>
      <c r="I535" s="59"/>
      <c r="J535" s="59"/>
      <c r="K535" s="59"/>
      <c r="L535" s="59"/>
      <c r="M535" s="59"/>
      <c r="N535" s="59"/>
      <c r="O535" s="100"/>
      <c r="P535" s="100"/>
      <c r="Q535" s="100"/>
      <c r="R535" s="100"/>
      <c r="S535" s="100"/>
      <c r="T535" s="100"/>
      <c r="U535" s="100"/>
      <c r="V535" s="100"/>
      <c r="W535" s="100"/>
      <c r="X535" s="100"/>
      <c r="Y535" s="100"/>
      <c r="Z535" s="100"/>
    </row>
    <row r="536" ht="14.25" customHeight="1">
      <c r="A536" s="59"/>
      <c r="B536" s="59"/>
      <c r="C536" s="59"/>
      <c r="D536" s="59"/>
      <c r="E536" s="59"/>
      <c r="F536" s="59"/>
      <c r="G536" s="59"/>
      <c r="H536" s="59"/>
      <c r="I536" s="59"/>
      <c r="J536" s="59"/>
      <c r="K536" s="59"/>
      <c r="L536" s="59"/>
      <c r="M536" s="59"/>
      <c r="N536" s="59"/>
      <c r="O536" s="100"/>
      <c r="P536" s="100"/>
      <c r="Q536" s="100"/>
      <c r="R536" s="100"/>
      <c r="S536" s="100"/>
      <c r="T536" s="100"/>
      <c r="U536" s="100"/>
      <c r="V536" s="100"/>
      <c r="W536" s="100"/>
      <c r="X536" s="100"/>
      <c r="Y536" s="100"/>
      <c r="Z536" s="100"/>
    </row>
    <row r="537" ht="14.25" customHeight="1">
      <c r="A537" s="59"/>
      <c r="B537" s="59"/>
      <c r="C537" s="59"/>
      <c r="D537" s="59"/>
      <c r="E537" s="59"/>
      <c r="F537" s="59"/>
      <c r="G537" s="59"/>
      <c r="H537" s="59"/>
      <c r="I537" s="59"/>
      <c r="J537" s="59"/>
      <c r="K537" s="59"/>
      <c r="L537" s="59"/>
      <c r="M537" s="59"/>
      <c r="N537" s="59"/>
      <c r="O537" s="100"/>
      <c r="P537" s="100"/>
      <c r="Q537" s="100"/>
      <c r="R537" s="100"/>
      <c r="S537" s="100"/>
      <c r="T537" s="100"/>
      <c r="U537" s="100"/>
      <c r="V537" s="100"/>
      <c r="W537" s="100"/>
      <c r="X537" s="100"/>
      <c r="Y537" s="100"/>
      <c r="Z537" s="100"/>
    </row>
    <row r="538" ht="14.25" customHeight="1">
      <c r="A538" s="59"/>
      <c r="B538" s="59"/>
      <c r="C538" s="59"/>
      <c r="D538" s="59"/>
      <c r="E538" s="59"/>
      <c r="F538" s="59"/>
      <c r="G538" s="59"/>
      <c r="H538" s="59"/>
      <c r="I538" s="59"/>
      <c r="J538" s="59"/>
      <c r="K538" s="59"/>
      <c r="L538" s="59"/>
      <c r="M538" s="59"/>
      <c r="N538" s="59"/>
      <c r="O538" s="100"/>
      <c r="P538" s="100"/>
      <c r="Q538" s="100"/>
      <c r="R538" s="100"/>
      <c r="S538" s="100"/>
      <c r="T538" s="100"/>
      <c r="U538" s="100"/>
      <c r="V538" s="100"/>
      <c r="W538" s="100"/>
      <c r="X538" s="100"/>
      <c r="Y538" s="100"/>
      <c r="Z538" s="100"/>
    </row>
    <row r="539" ht="14.25" customHeight="1">
      <c r="A539" s="59"/>
      <c r="B539" s="59"/>
      <c r="C539" s="59"/>
      <c r="D539" s="59"/>
      <c r="E539" s="59"/>
      <c r="F539" s="59"/>
      <c r="G539" s="59"/>
      <c r="H539" s="59"/>
      <c r="I539" s="59"/>
      <c r="J539" s="59"/>
      <c r="K539" s="59"/>
      <c r="L539" s="59"/>
      <c r="M539" s="59"/>
      <c r="N539" s="59"/>
      <c r="O539" s="100"/>
      <c r="P539" s="100"/>
      <c r="Q539" s="100"/>
      <c r="R539" s="100"/>
      <c r="S539" s="100"/>
      <c r="T539" s="100"/>
      <c r="U539" s="100"/>
      <c r="V539" s="100"/>
      <c r="W539" s="100"/>
      <c r="X539" s="100"/>
      <c r="Y539" s="100"/>
      <c r="Z539" s="100"/>
    </row>
    <row r="540" ht="14.25" customHeight="1">
      <c r="A540" s="59"/>
      <c r="B540" s="59"/>
      <c r="C540" s="59"/>
      <c r="D540" s="59"/>
      <c r="E540" s="59"/>
      <c r="F540" s="59"/>
      <c r="G540" s="59"/>
      <c r="H540" s="59"/>
      <c r="I540" s="59"/>
      <c r="J540" s="59"/>
      <c r="K540" s="59"/>
      <c r="L540" s="59"/>
      <c r="M540" s="59"/>
      <c r="N540" s="59"/>
      <c r="O540" s="100"/>
      <c r="P540" s="100"/>
      <c r="Q540" s="100"/>
      <c r="R540" s="100"/>
      <c r="S540" s="100"/>
      <c r="T540" s="100"/>
      <c r="U540" s="100"/>
      <c r="V540" s="100"/>
      <c r="W540" s="100"/>
      <c r="X540" s="100"/>
      <c r="Y540" s="100"/>
      <c r="Z540" s="100"/>
    </row>
    <row r="541" ht="14.25" customHeight="1">
      <c r="A541" s="59"/>
      <c r="B541" s="59"/>
      <c r="C541" s="59"/>
      <c r="D541" s="59"/>
      <c r="E541" s="59"/>
      <c r="F541" s="59"/>
      <c r="G541" s="59"/>
      <c r="H541" s="59"/>
      <c r="I541" s="59"/>
      <c r="J541" s="59"/>
      <c r="K541" s="59"/>
      <c r="L541" s="59"/>
      <c r="M541" s="59"/>
      <c r="N541" s="59"/>
      <c r="O541" s="100"/>
      <c r="P541" s="100"/>
      <c r="Q541" s="100"/>
      <c r="R541" s="100"/>
      <c r="S541" s="100"/>
      <c r="T541" s="100"/>
      <c r="U541" s="100"/>
      <c r="V541" s="100"/>
      <c r="W541" s="100"/>
      <c r="X541" s="100"/>
      <c r="Y541" s="100"/>
      <c r="Z541" s="100"/>
    </row>
    <row r="542" ht="14.25" customHeight="1">
      <c r="A542" s="59"/>
      <c r="B542" s="59"/>
      <c r="C542" s="59"/>
      <c r="D542" s="59"/>
      <c r="E542" s="59"/>
      <c r="F542" s="59"/>
      <c r="G542" s="59"/>
      <c r="H542" s="59"/>
      <c r="I542" s="59"/>
      <c r="J542" s="59"/>
      <c r="K542" s="59"/>
      <c r="L542" s="59"/>
      <c r="M542" s="59"/>
      <c r="N542" s="59"/>
      <c r="O542" s="100"/>
      <c r="P542" s="100"/>
      <c r="Q542" s="100"/>
      <c r="R542" s="100"/>
      <c r="S542" s="100"/>
      <c r="T542" s="100"/>
      <c r="U542" s="100"/>
      <c r="V542" s="100"/>
      <c r="W542" s="100"/>
      <c r="X542" s="100"/>
      <c r="Y542" s="100"/>
      <c r="Z542" s="100"/>
    </row>
    <row r="543" ht="14.25" customHeight="1">
      <c r="A543" s="59"/>
      <c r="B543" s="59"/>
      <c r="C543" s="59"/>
      <c r="D543" s="59"/>
      <c r="E543" s="59"/>
      <c r="F543" s="59"/>
      <c r="G543" s="59"/>
      <c r="H543" s="59"/>
      <c r="I543" s="59"/>
      <c r="J543" s="59"/>
      <c r="K543" s="59"/>
      <c r="L543" s="59"/>
      <c r="M543" s="59"/>
      <c r="N543" s="59"/>
      <c r="O543" s="100"/>
      <c r="P543" s="100"/>
      <c r="Q543" s="100"/>
      <c r="R543" s="100"/>
      <c r="S543" s="100"/>
      <c r="T543" s="100"/>
      <c r="U543" s="100"/>
      <c r="V543" s="100"/>
      <c r="W543" s="100"/>
      <c r="X543" s="100"/>
      <c r="Y543" s="100"/>
      <c r="Z543" s="100"/>
    </row>
    <row r="544" ht="14.25" customHeight="1">
      <c r="A544" s="59"/>
      <c r="B544" s="59"/>
      <c r="C544" s="59"/>
      <c r="D544" s="59"/>
      <c r="E544" s="59"/>
      <c r="F544" s="59"/>
      <c r="G544" s="59"/>
      <c r="H544" s="59"/>
      <c r="I544" s="59"/>
      <c r="J544" s="59"/>
      <c r="K544" s="59"/>
      <c r="L544" s="59"/>
      <c r="M544" s="59"/>
      <c r="N544" s="59"/>
      <c r="O544" s="100"/>
      <c r="P544" s="100"/>
      <c r="Q544" s="100"/>
      <c r="R544" s="100"/>
      <c r="S544" s="100"/>
      <c r="T544" s="100"/>
      <c r="U544" s="100"/>
      <c r="V544" s="100"/>
      <c r="W544" s="100"/>
      <c r="X544" s="100"/>
      <c r="Y544" s="100"/>
      <c r="Z544" s="100"/>
    </row>
    <row r="545" ht="14.25" customHeight="1">
      <c r="A545" s="59"/>
      <c r="B545" s="59"/>
      <c r="C545" s="59"/>
      <c r="D545" s="59"/>
      <c r="E545" s="59"/>
      <c r="F545" s="59"/>
      <c r="G545" s="59"/>
      <c r="H545" s="59"/>
      <c r="I545" s="59"/>
      <c r="J545" s="59"/>
      <c r="K545" s="59"/>
      <c r="L545" s="59"/>
      <c r="M545" s="59"/>
      <c r="N545" s="59"/>
      <c r="O545" s="100"/>
      <c r="P545" s="100"/>
      <c r="Q545" s="100"/>
      <c r="R545" s="100"/>
      <c r="S545" s="100"/>
      <c r="T545" s="100"/>
      <c r="U545" s="100"/>
      <c r="V545" s="100"/>
      <c r="W545" s="100"/>
      <c r="X545" s="100"/>
      <c r="Y545" s="100"/>
      <c r="Z545" s="100"/>
    </row>
    <row r="546" ht="14.25" customHeight="1">
      <c r="A546" s="59"/>
      <c r="B546" s="59"/>
      <c r="C546" s="59"/>
      <c r="D546" s="59"/>
      <c r="E546" s="59"/>
      <c r="F546" s="59"/>
      <c r="G546" s="59"/>
      <c r="H546" s="59"/>
      <c r="I546" s="59"/>
      <c r="J546" s="59"/>
      <c r="K546" s="59"/>
      <c r="L546" s="59"/>
      <c r="M546" s="59"/>
      <c r="N546" s="59"/>
      <c r="O546" s="100"/>
      <c r="P546" s="100"/>
      <c r="Q546" s="100"/>
      <c r="R546" s="100"/>
      <c r="S546" s="100"/>
      <c r="T546" s="100"/>
      <c r="U546" s="100"/>
      <c r="V546" s="100"/>
      <c r="W546" s="100"/>
      <c r="X546" s="100"/>
      <c r="Y546" s="100"/>
      <c r="Z546" s="100"/>
    </row>
    <row r="547" ht="14.25" customHeight="1">
      <c r="A547" s="59"/>
      <c r="B547" s="59"/>
      <c r="C547" s="59"/>
      <c r="D547" s="59"/>
      <c r="E547" s="59"/>
      <c r="F547" s="59"/>
      <c r="G547" s="59"/>
      <c r="H547" s="59"/>
      <c r="I547" s="59"/>
      <c r="J547" s="59"/>
      <c r="K547" s="59"/>
      <c r="L547" s="59"/>
      <c r="M547" s="59"/>
      <c r="N547" s="59"/>
      <c r="O547" s="100"/>
      <c r="P547" s="100"/>
      <c r="Q547" s="100"/>
      <c r="R547" s="100"/>
      <c r="S547" s="100"/>
      <c r="T547" s="100"/>
      <c r="U547" s="100"/>
      <c r="V547" s="100"/>
      <c r="W547" s="100"/>
      <c r="X547" s="100"/>
      <c r="Y547" s="100"/>
      <c r="Z547" s="100"/>
    </row>
    <row r="548" ht="14.25" customHeight="1">
      <c r="A548" s="59"/>
      <c r="B548" s="59"/>
      <c r="C548" s="59"/>
      <c r="D548" s="59"/>
      <c r="E548" s="59"/>
      <c r="F548" s="59"/>
      <c r="G548" s="59"/>
      <c r="H548" s="59"/>
      <c r="I548" s="59"/>
      <c r="J548" s="59"/>
      <c r="K548" s="59"/>
      <c r="L548" s="59"/>
      <c r="M548" s="59"/>
      <c r="N548" s="59"/>
      <c r="O548" s="100"/>
      <c r="P548" s="100"/>
      <c r="Q548" s="100"/>
      <c r="R548" s="100"/>
      <c r="S548" s="100"/>
      <c r="T548" s="100"/>
      <c r="U548" s="100"/>
      <c r="V548" s="100"/>
      <c r="W548" s="100"/>
      <c r="X548" s="100"/>
      <c r="Y548" s="100"/>
      <c r="Z548" s="100"/>
    </row>
    <row r="549" ht="14.25" customHeight="1">
      <c r="A549" s="59"/>
      <c r="B549" s="59"/>
      <c r="C549" s="59"/>
      <c r="D549" s="59"/>
      <c r="E549" s="59"/>
      <c r="F549" s="59"/>
      <c r="G549" s="59"/>
      <c r="H549" s="59"/>
      <c r="I549" s="59"/>
      <c r="J549" s="59"/>
      <c r="K549" s="59"/>
      <c r="L549" s="59"/>
      <c r="M549" s="59"/>
      <c r="N549" s="59"/>
      <c r="O549" s="100"/>
      <c r="P549" s="100"/>
      <c r="Q549" s="100"/>
      <c r="R549" s="100"/>
      <c r="S549" s="100"/>
      <c r="T549" s="100"/>
      <c r="U549" s="100"/>
      <c r="V549" s="100"/>
      <c r="W549" s="100"/>
      <c r="X549" s="100"/>
      <c r="Y549" s="100"/>
      <c r="Z549" s="100"/>
    </row>
    <row r="550" ht="14.25" customHeight="1">
      <c r="A550" s="59"/>
      <c r="B550" s="59"/>
      <c r="C550" s="59"/>
      <c r="D550" s="59"/>
      <c r="E550" s="59"/>
      <c r="F550" s="59"/>
      <c r="G550" s="59"/>
      <c r="H550" s="59"/>
      <c r="I550" s="59"/>
      <c r="J550" s="59"/>
      <c r="K550" s="59"/>
      <c r="L550" s="59"/>
      <c r="M550" s="59"/>
      <c r="N550" s="59"/>
      <c r="O550" s="100"/>
      <c r="P550" s="100"/>
      <c r="Q550" s="100"/>
      <c r="R550" s="100"/>
      <c r="S550" s="100"/>
      <c r="T550" s="100"/>
      <c r="U550" s="100"/>
      <c r="V550" s="100"/>
      <c r="W550" s="100"/>
      <c r="X550" s="100"/>
      <c r="Y550" s="100"/>
      <c r="Z550" s="100"/>
    </row>
    <row r="551" ht="14.25" customHeight="1">
      <c r="A551" s="59"/>
      <c r="B551" s="59"/>
      <c r="C551" s="59"/>
      <c r="D551" s="59"/>
      <c r="E551" s="59"/>
      <c r="F551" s="59"/>
      <c r="G551" s="59"/>
      <c r="H551" s="59"/>
      <c r="I551" s="59"/>
      <c r="J551" s="59"/>
      <c r="K551" s="59"/>
      <c r="L551" s="59"/>
      <c r="M551" s="59"/>
      <c r="N551" s="59"/>
      <c r="O551" s="100"/>
      <c r="P551" s="100"/>
      <c r="Q551" s="100"/>
      <c r="R551" s="100"/>
      <c r="S551" s="100"/>
      <c r="T551" s="100"/>
      <c r="U551" s="100"/>
      <c r="V551" s="100"/>
      <c r="W551" s="100"/>
      <c r="X551" s="100"/>
      <c r="Y551" s="100"/>
      <c r="Z551" s="100"/>
    </row>
    <row r="552" ht="14.25" customHeight="1">
      <c r="A552" s="59"/>
      <c r="B552" s="59"/>
      <c r="C552" s="59"/>
      <c r="D552" s="59"/>
      <c r="E552" s="59"/>
      <c r="F552" s="59"/>
      <c r="G552" s="59"/>
      <c r="H552" s="59"/>
      <c r="I552" s="59"/>
      <c r="J552" s="59"/>
      <c r="K552" s="59"/>
      <c r="L552" s="59"/>
      <c r="M552" s="59"/>
      <c r="N552" s="59"/>
      <c r="O552" s="100"/>
      <c r="P552" s="100"/>
      <c r="Q552" s="100"/>
      <c r="R552" s="100"/>
      <c r="S552" s="100"/>
      <c r="T552" s="100"/>
      <c r="U552" s="100"/>
      <c r="V552" s="100"/>
      <c r="W552" s="100"/>
      <c r="X552" s="100"/>
      <c r="Y552" s="100"/>
      <c r="Z552" s="100"/>
    </row>
    <row r="553" ht="14.25" customHeight="1">
      <c r="A553" s="59"/>
      <c r="B553" s="59"/>
      <c r="C553" s="59"/>
      <c r="D553" s="59"/>
      <c r="E553" s="59"/>
      <c r="F553" s="59"/>
      <c r="G553" s="59"/>
      <c r="H553" s="59"/>
      <c r="I553" s="59"/>
      <c r="J553" s="59"/>
      <c r="K553" s="59"/>
      <c r="L553" s="59"/>
      <c r="M553" s="59"/>
      <c r="N553" s="59"/>
      <c r="O553" s="100"/>
      <c r="P553" s="100"/>
      <c r="Q553" s="100"/>
      <c r="R553" s="100"/>
      <c r="S553" s="100"/>
      <c r="T553" s="100"/>
      <c r="U553" s="100"/>
      <c r="V553" s="100"/>
      <c r="W553" s="100"/>
      <c r="X553" s="100"/>
      <c r="Y553" s="100"/>
      <c r="Z553" s="100"/>
    </row>
    <row r="554" ht="14.25" customHeight="1">
      <c r="A554" s="59"/>
      <c r="B554" s="59"/>
      <c r="C554" s="59"/>
      <c r="D554" s="59"/>
      <c r="E554" s="59"/>
      <c r="F554" s="59"/>
      <c r="G554" s="59"/>
      <c r="H554" s="59"/>
      <c r="I554" s="59"/>
      <c r="J554" s="59"/>
      <c r="K554" s="59"/>
      <c r="L554" s="59"/>
      <c r="M554" s="59"/>
      <c r="N554" s="59"/>
      <c r="O554" s="100"/>
      <c r="P554" s="100"/>
      <c r="Q554" s="100"/>
      <c r="R554" s="100"/>
      <c r="S554" s="100"/>
      <c r="T554" s="100"/>
      <c r="U554" s="100"/>
      <c r="V554" s="100"/>
      <c r="W554" s="100"/>
      <c r="X554" s="100"/>
      <c r="Y554" s="100"/>
      <c r="Z554" s="100"/>
    </row>
    <row r="555" ht="14.25" customHeight="1">
      <c r="A555" s="59"/>
      <c r="B555" s="59"/>
      <c r="C555" s="59"/>
      <c r="D555" s="59"/>
      <c r="E555" s="59"/>
      <c r="F555" s="59"/>
      <c r="G555" s="59"/>
      <c r="H555" s="59"/>
      <c r="I555" s="59"/>
      <c r="J555" s="59"/>
      <c r="K555" s="59"/>
      <c r="L555" s="59"/>
      <c r="M555" s="59"/>
      <c r="N555" s="59"/>
      <c r="O555" s="100"/>
      <c r="P555" s="100"/>
      <c r="Q555" s="100"/>
      <c r="R555" s="100"/>
      <c r="S555" s="100"/>
      <c r="T555" s="100"/>
      <c r="U555" s="100"/>
      <c r="V555" s="100"/>
      <c r="W555" s="100"/>
      <c r="X555" s="100"/>
      <c r="Y555" s="100"/>
      <c r="Z555" s="100"/>
    </row>
    <row r="556" ht="14.25" customHeight="1">
      <c r="A556" s="59"/>
      <c r="B556" s="59"/>
      <c r="C556" s="59"/>
      <c r="D556" s="59"/>
      <c r="E556" s="59"/>
      <c r="F556" s="59"/>
      <c r="G556" s="59"/>
      <c r="H556" s="59"/>
      <c r="I556" s="59"/>
      <c r="J556" s="59"/>
      <c r="K556" s="59"/>
      <c r="L556" s="59"/>
      <c r="M556" s="59"/>
      <c r="N556" s="59"/>
      <c r="O556" s="100"/>
      <c r="P556" s="100"/>
      <c r="Q556" s="100"/>
      <c r="R556" s="100"/>
      <c r="S556" s="100"/>
      <c r="T556" s="100"/>
      <c r="U556" s="100"/>
      <c r="V556" s="100"/>
      <c r="W556" s="100"/>
      <c r="X556" s="100"/>
      <c r="Y556" s="100"/>
      <c r="Z556" s="100"/>
    </row>
    <row r="557" ht="14.25" customHeight="1">
      <c r="A557" s="59"/>
      <c r="B557" s="59"/>
      <c r="C557" s="59"/>
      <c r="D557" s="59"/>
      <c r="E557" s="59"/>
      <c r="F557" s="59"/>
      <c r="G557" s="59"/>
      <c r="H557" s="59"/>
      <c r="I557" s="59"/>
      <c r="J557" s="59"/>
      <c r="K557" s="59"/>
      <c r="L557" s="59"/>
      <c r="M557" s="59"/>
      <c r="N557" s="59"/>
      <c r="O557" s="100"/>
      <c r="P557" s="100"/>
      <c r="Q557" s="100"/>
      <c r="R557" s="100"/>
      <c r="S557" s="100"/>
      <c r="T557" s="100"/>
      <c r="U557" s="100"/>
      <c r="V557" s="100"/>
      <c r="W557" s="100"/>
      <c r="X557" s="100"/>
      <c r="Y557" s="100"/>
      <c r="Z557" s="100"/>
    </row>
    <row r="558" ht="14.25" customHeight="1">
      <c r="A558" s="59"/>
      <c r="B558" s="59"/>
      <c r="C558" s="59"/>
      <c r="D558" s="59"/>
      <c r="E558" s="59"/>
      <c r="F558" s="59"/>
      <c r="G558" s="59"/>
      <c r="H558" s="59"/>
      <c r="I558" s="59"/>
      <c r="J558" s="59"/>
      <c r="K558" s="59"/>
      <c r="L558" s="59"/>
      <c r="M558" s="59"/>
      <c r="N558" s="59"/>
      <c r="O558" s="100"/>
      <c r="P558" s="100"/>
      <c r="Q558" s="100"/>
      <c r="R558" s="100"/>
      <c r="S558" s="100"/>
      <c r="T558" s="100"/>
      <c r="U558" s="100"/>
      <c r="V558" s="100"/>
      <c r="W558" s="100"/>
      <c r="X558" s="100"/>
      <c r="Y558" s="100"/>
      <c r="Z558" s="100"/>
    </row>
    <row r="559" ht="14.25" customHeight="1">
      <c r="A559" s="59"/>
      <c r="B559" s="59"/>
      <c r="C559" s="59"/>
      <c r="D559" s="59"/>
      <c r="E559" s="59"/>
      <c r="F559" s="59"/>
      <c r="G559" s="59"/>
      <c r="H559" s="59"/>
      <c r="I559" s="59"/>
      <c r="J559" s="59"/>
      <c r="K559" s="59"/>
      <c r="L559" s="59"/>
      <c r="M559" s="59"/>
      <c r="N559" s="59"/>
      <c r="O559" s="100"/>
      <c r="P559" s="100"/>
      <c r="Q559" s="100"/>
      <c r="R559" s="100"/>
      <c r="S559" s="100"/>
      <c r="T559" s="100"/>
      <c r="U559" s="100"/>
      <c r="V559" s="100"/>
      <c r="W559" s="100"/>
      <c r="X559" s="100"/>
      <c r="Y559" s="100"/>
      <c r="Z559" s="100"/>
    </row>
    <row r="560" ht="14.25" customHeight="1">
      <c r="A560" s="59"/>
      <c r="B560" s="59"/>
      <c r="C560" s="59"/>
      <c r="D560" s="59"/>
      <c r="E560" s="59"/>
      <c r="F560" s="59"/>
      <c r="G560" s="59"/>
      <c r="H560" s="59"/>
      <c r="I560" s="59"/>
      <c r="J560" s="59"/>
      <c r="K560" s="59"/>
      <c r="L560" s="59"/>
      <c r="M560" s="59"/>
      <c r="N560" s="59"/>
      <c r="O560" s="100"/>
      <c r="P560" s="100"/>
      <c r="Q560" s="100"/>
      <c r="R560" s="100"/>
      <c r="S560" s="100"/>
      <c r="T560" s="100"/>
      <c r="U560" s="100"/>
      <c r="V560" s="100"/>
      <c r="W560" s="100"/>
      <c r="X560" s="100"/>
      <c r="Y560" s="100"/>
      <c r="Z560" s="100"/>
    </row>
    <row r="561" ht="14.25" customHeight="1">
      <c r="A561" s="59"/>
      <c r="B561" s="59"/>
      <c r="C561" s="59"/>
      <c r="D561" s="59"/>
      <c r="E561" s="59"/>
      <c r="F561" s="59"/>
      <c r="G561" s="59"/>
      <c r="H561" s="59"/>
      <c r="I561" s="59"/>
      <c r="J561" s="59"/>
      <c r="K561" s="59"/>
      <c r="L561" s="59"/>
      <c r="M561" s="59"/>
      <c r="N561" s="59"/>
      <c r="O561" s="100"/>
      <c r="P561" s="100"/>
      <c r="Q561" s="100"/>
      <c r="R561" s="100"/>
      <c r="S561" s="100"/>
      <c r="T561" s="100"/>
      <c r="U561" s="100"/>
      <c r="V561" s="100"/>
      <c r="W561" s="100"/>
      <c r="X561" s="100"/>
      <c r="Y561" s="100"/>
      <c r="Z561" s="100"/>
    </row>
    <row r="562" ht="14.25" customHeight="1">
      <c r="A562" s="59"/>
      <c r="B562" s="59"/>
      <c r="C562" s="59"/>
      <c r="D562" s="59"/>
      <c r="E562" s="59"/>
      <c r="F562" s="59"/>
      <c r="G562" s="59"/>
      <c r="H562" s="59"/>
      <c r="I562" s="59"/>
      <c r="J562" s="59"/>
      <c r="K562" s="59"/>
      <c r="L562" s="59"/>
      <c r="M562" s="59"/>
      <c r="N562" s="59"/>
      <c r="O562" s="100"/>
      <c r="P562" s="100"/>
      <c r="Q562" s="100"/>
      <c r="R562" s="100"/>
      <c r="S562" s="100"/>
      <c r="T562" s="100"/>
      <c r="U562" s="100"/>
      <c r="V562" s="100"/>
      <c r="W562" s="100"/>
      <c r="X562" s="100"/>
      <c r="Y562" s="100"/>
      <c r="Z562" s="100"/>
    </row>
    <row r="563" ht="14.25" customHeight="1">
      <c r="A563" s="59"/>
      <c r="B563" s="59"/>
      <c r="C563" s="59"/>
      <c r="D563" s="59"/>
      <c r="E563" s="59"/>
      <c r="F563" s="59"/>
      <c r="G563" s="59"/>
      <c r="H563" s="59"/>
      <c r="I563" s="59"/>
      <c r="J563" s="59"/>
      <c r="K563" s="59"/>
      <c r="L563" s="59"/>
      <c r="M563" s="59"/>
      <c r="N563" s="59"/>
      <c r="O563" s="100"/>
      <c r="P563" s="100"/>
      <c r="Q563" s="100"/>
      <c r="R563" s="100"/>
      <c r="S563" s="100"/>
      <c r="T563" s="100"/>
      <c r="U563" s="100"/>
      <c r="V563" s="100"/>
      <c r="W563" s="100"/>
      <c r="X563" s="100"/>
      <c r="Y563" s="100"/>
      <c r="Z563" s="100"/>
    </row>
    <row r="564" ht="14.25" customHeight="1">
      <c r="A564" s="59"/>
      <c r="B564" s="59"/>
      <c r="C564" s="59"/>
      <c r="D564" s="59"/>
      <c r="E564" s="59"/>
      <c r="F564" s="59"/>
      <c r="G564" s="59"/>
      <c r="H564" s="59"/>
      <c r="I564" s="59"/>
      <c r="J564" s="59"/>
      <c r="K564" s="59"/>
      <c r="L564" s="59"/>
      <c r="M564" s="59"/>
      <c r="N564" s="59"/>
      <c r="O564" s="100"/>
      <c r="P564" s="100"/>
      <c r="Q564" s="100"/>
      <c r="R564" s="100"/>
      <c r="S564" s="100"/>
      <c r="T564" s="100"/>
      <c r="U564" s="100"/>
      <c r="V564" s="100"/>
      <c r="W564" s="100"/>
      <c r="X564" s="100"/>
      <c r="Y564" s="100"/>
      <c r="Z564" s="100"/>
    </row>
    <row r="565" ht="14.25" customHeight="1">
      <c r="A565" s="59"/>
      <c r="B565" s="59"/>
      <c r="C565" s="59"/>
      <c r="D565" s="59"/>
      <c r="E565" s="59"/>
      <c r="F565" s="59"/>
      <c r="G565" s="59"/>
      <c r="H565" s="59"/>
      <c r="I565" s="59"/>
      <c r="J565" s="59"/>
      <c r="K565" s="59"/>
      <c r="L565" s="59"/>
      <c r="M565" s="59"/>
      <c r="N565" s="59"/>
      <c r="O565" s="100"/>
      <c r="P565" s="100"/>
      <c r="Q565" s="100"/>
      <c r="R565" s="100"/>
      <c r="S565" s="100"/>
      <c r="T565" s="100"/>
      <c r="U565" s="100"/>
      <c r="V565" s="100"/>
      <c r="W565" s="100"/>
      <c r="X565" s="100"/>
      <c r="Y565" s="100"/>
      <c r="Z565" s="100"/>
    </row>
    <row r="566" ht="14.25" customHeight="1">
      <c r="A566" s="59"/>
      <c r="B566" s="59"/>
      <c r="C566" s="59"/>
      <c r="D566" s="59"/>
      <c r="E566" s="59"/>
      <c r="F566" s="59"/>
      <c r="G566" s="59"/>
      <c r="H566" s="59"/>
      <c r="I566" s="59"/>
      <c r="J566" s="59"/>
      <c r="K566" s="59"/>
      <c r="L566" s="59"/>
      <c r="M566" s="59"/>
      <c r="N566" s="59"/>
      <c r="O566" s="100"/>
      <c r="P566" s="100"/>
      <c r="Q566" s="100"/>
      <c r="R566" s="100"/>
      <c r="S566" s="100"/>
      <c r="T566" s="100"/>
      <c r="U566" s="100"/>
      <c r="V566" s="100"/>
      <c r="W566" s="100"/>
      <c r="X566" s="100"/>
      <c r="Y566" s="100"/>
      <c r="Z566" s="100"/>
    </row>
    <row r="567" ht="14.25" customHeight="1">
      <c r="A567" s="59"/>
      <c r="B567" s="59"/>
      <c r="C567" s="59"/>
      <c r="D567" s="59"/>
      <c r="E567" s="59"/>
      <c r="F567" s="59"/>
      <c r="G567" s="59"/>
      <c r="H567" s="59"/>
      <c r="I567" s="59"/>
      <c r="J567" s="59"/>
      <c r="K567" s="59"/>
      <c r="L567" s="59"/>
      <c r="M567" s="59"/>
      <c r="N567" s="59"/>
      <c r="O567" s="100"/>
      <c r="P567" s="100"/>
      <c r="Q567" s="100"/>
      <c r="R567" s="100"/>
      <c r="S567" s="100"/>
      <c r="T567" s="100"/>
      <c r="U567" s="100"/>
      <c r="V567" s="100"/>
      <c r="W567" s="100"/>
      <c r="X567" s="100"/>
      <c r="Y567" s="100"/>
      <c r="Z567" s="100"/>
    </row>
    <row r="568" ht="14.25" customHeight="1">
      <c r="A568" s="59"/>
      <c r="B568" s="59"/>
      <c r="C568" s="59"/>
      <c r="D568" s="59"/>
      <c r="E568" s="59"/>
      <c r="F568" s="59"/>
      <c r="G568" s="59"/>
      <c r="H568" s="59"/>
      <c r="I568" s="59"/>
      <c r="J568" s="59"/>
      <c r="K568" s="59"/>
      <c r="L568" s="59"/>
      <c r="M568" s="59"/>
      <c r="N568" s="59"/>
      <c r="O568" s="100"/>
      <c r="P568" s="100"/>
      <c r="Q568" s="100"/>
      <c r="R568" s="100"/>
      <c r="S568" s="100"/>
      <c r="T568" s="100"/>
      <c r="U568" s="100"/>
      <c r="V568" s="100"/>
      <c r="W568" s="100"/>
      <c r="X568" s="100"/>
      <c r="Y568" s="100"/>
      <c r="Z568" s="100"/>
    </row>
    <row r="569" ht="14.25" customHeight="1">
      <c r="A569" s="59"/>
      <c r="B569" s="59"/>
      <c r="C569" s="59"/>
      <c r="D569" s="59"/>
      <c r="E569" s="59"/>
      <c r="F569" s="59"/>
      <c r="G569" s="59"/>
      <c r="H569" s="59"/>
      <c r="I569" s="59"/>
      <c r="J569" s="59"/>
      <c r="K569" s="59"/>
      <c r="L569" s="59"/>
      <c r="M569" s="59"/>
      <c r="N569" s="59"/>
      <c r="O569" s="100"/>
      <c r="P569" s="100"/>
      <c r="Q569" s="100"/>
      <c r="R569" s="100"/>
      <c r="S569" s="100"/>
      <c r="T569" s="100"/>
      <c r="U569" s="100"/>
      <c r="V569" s="100"/>
      <c r="W569" s="100"/>
      <c r="X569" s="100"/>
      <c r="Y569" s="100"/>
      <c r="Z569" s="100"/>
    </row>
    <row r="570" ht="14.25" customHeight="1">
      <c r="A570" s="59"/>
      <c r="B570" s="59"/>
      <c r="C570" s="59"/>
      <c r="D570" s="59"/>
      <c r="E570" s="59"/>
      <c r="F570" s="59"/>
      <c r="G570" s="59"/>
      <c r="H570" s="59"/>
      <c r="I570" s="59"/>
      <c r="J570" s="59"/>
      <c r="K570" s="59"/>
      <c r="L570" s="59"/>
      <c r="M570" s="59"/>
      <c r="N570" s="59"/>
      <c r="O570" s="100"/>
      <c r="P570" s="100"/>
      <c r="Q570" s="100"/>
      <c r="R570" s="100"/>
      <c r="S570" s="100"/>
      <c r="T570" s="100"/>
      <c r="U570" s="100"/>
      <c r="V570" s="100"/>
      <c r="W570" s="100"/>
      <c r="X570" s="100"/>
      <c r="Y570" s="100"/>
      <c r="Z570" s="100"/>
    </row>
    <row r="571" ht="14.25" customHeight="1">
      <c r="A571" s="59"/>
      <c r="B571" s="59"/>
      <c r="C571" s="59"/>
      <c r="D571" s="59"/>
      <c r="E571" s="59"/>
      <c r="F571" s="59"/>
      <c r="G571" s="59"/>
      <c r="H571" s="59"/>
      <c r="I571" s="59"/>
      <c r="J571" s="59"/>
      <c r="K571" s="59"/>
      <c r="L571" s="59"/>
      <c r="M571" s="59"/>
      <c r="N571" s="59"/>
      <c r="O571" s="100"/>
      <c r="P571" s="100"/>
      <c r="Q571" s="100"/>
      <c r="R571" s="100"/>
      <c r="S571" s="100"/>
      <c r="T571" s="100"/>
      <c r="U571" s="100"/>
      <c r="V571" s="100"/>
      <c r="W571" s="100"/>
      <c r="X571" s="100"/>
      <c r="Y571" s="100"/>
      <c r="Z571" s="100"/>
    </row>
    <row r="572" ht="14.25" customHeight="1">
      <c r="A572" s="59"/>
      <c r="B572" s="59"/>
      <c r="C572" s="59"/>
      <c r="D572" s="59"/>
      <c r="E572" s="59"/>
      <c r="F572" s="59"/>
      <c r="G572" s="59"/>
      <c r="H572" s="59"/>
      <c r="I572" s="59"/>
      <c r="J572" s="59"/>
      <c r="K572" s="59"/>
      <c r="L572" s="59"/>
      <c r="M572" s="59"/>
      <c r="N572" s="59"/>
      <c r="O572" s="100"/>
      <c r="P572" s="100"/>
      <c r="Q572" s="100"/>
      <c r="R572" s="100"/>
      <c r="S572" s="100"/>
      <c r="T572" s="100"/>
      <c r="U572" s="100"/>
      <c r="V572" s="100"/>
      <c r="W572" s="100"/>
      <c r="X572" s="100"/>
      <c r="Y572" s="100"/>
      <c r="Z572" s="100"/>
    </row>
    <row r="573" ht="14.25" customHeight="1">
      <c r="A573" s="59"/>
      <c r="B573" s="59"/>
      <c r="C573" s="59"/>
      <c r="D573" s="59"/>
      <c r="E573" s="59"/>
      <c r="F573" s="59"/>
      <c r="G573" s="59"/>
      <c r="H573" s="59"/>
      <c r="I573" s="59"/>
      <c r="J573" s="59"/>
      <c r="K573" s="59"/>
      <c r="L573" s="59"/>
      <c r="M573" s="59"/>
      <c r="N573" s="59"/>
      <c r="O573" s="100"/>
      <c r="P573" s="100"/>
      <c r="Q573" s="100"/>
      <c r="R573" s="100"/>
      <c r="S573" s="100"/>
      <c r="T573" s="100"/>
      <c r="U573" s="100"/>
      <c r="V573" s="100"/>
      <c r="W573" s="100"/>
      <c r="X573" s="100"/>
      <c r="Y573" s="100"/>
      <c r="Z573" s="100"/>
    </row>
    <row r="574" ht="14.25" customHeight="1">
      <c r="A574" s="59"/>
      <c r="B574" s="59"/>
      <c r="C574" s="59"/>
      <c r="D574" s="59"/>
      <c r="E574" s="59"/>
      <c r="F574" s="59"/>
      <c r="G574" s="59"/>
      <c r="H574" s="59"/>
      <c r="I574" s="59"/>
      <c r="J574" s="59"/>
      <c r="K574" s="59"/>
      <c r="L574" s="59"/>
      <c r="M574" s="59"/>
      <c r="N574" s="59"/>
      <c r="O574" s="100"/>
      <c r="P574" s="100"/>
      <c r="Q574" s="100"/>
      <c r="R574" s="100"/>
      <c r="S574" s="100"/>
      <c r="T574" s="100"/>
      <c r="U574" s="100"/>
      <c r="V574" s="100"/>
      <c r="W574" s="100"/>
      <c r="X574" s="100"/>
      <c r="Y574" s="100"/>
      <c r="Z574" s="100"/>
    </row>
    <row r="575" ht="14.25" customHeight="1">
      <c r="A575" s="59"/>
      <c r="B575" s="59"/>
      <c r="C575" s="59"/>
      <c r="D575" s="59"/>
      <c r="E575" s="59"/>
      <c r="F575" s="59"/>
      <c r="G575" s="59"/>
      <c r="H575" s="59"/>
      <c r="I575" s="59"/>
      <c r="J575" s="59"/>
      <c r="K575" s="59"/>
      <c r="L575" s="59"/>
      <c r="M575" s="59"/>
      <c r="N575" s="59"/>
      <c r="O575" s="100"/>
      <c r="P575" s="100"/>
      <c r="Q575" s="100"/>
      <c r="R575" s="100"/>
      <c r="S575" s="100"/>
      <c r="T575" s="100"/>
      <c r="U575" s="100"/>
      <c r="V575" s="100"/>
      <c r="W575" s="100"/>
      <c r="X575" s="100"/>
      <c r="Y575" s="100"/>
      <c r="Z575" s="100"/>
    </row>
    <row r="576" ht="14.25" customHeight="1">
      <c r="A576" s="59"/>
      <c r="B576" s="59"/>
      <c r="C576" s="59"/>
      <c r="D576" s="59"/>
      <c r="E576" s="59"/>
      <c r="F576" s="59"/>
      <c r="G576" s="59"/>
      <c r="H576" s="59"/>
      <c r="I576" s="59"/>
      <c r="J576" s="59"/>
      <c r="K576" s="59"/>
      <c r="L576" s="59"/>
      <c r="M576" s="59"/>
      <c r="N576" s="59"/>
      <c r="O576" s="100"/>
      <c r="P576" s="100"/>
      <c r="Q576" s="100"/>
      <c r="R576" s="100"/>
      <c r="S576" s="100"/>
      <c r="T576" s="100"/>
      <c r="U576" s="100"/>
      <c r="V576" s="100"/>
      <c r="W576" s="100"/>
      <c r="X576" s="100"/>
      <c r="Y576" s="100"/>
      <c r="Z576" s="100"/>
    </row>
    <row r="577" ht="14.25" customHeight="1">
      <c r="A577" s="59"/>
      <c r="B577" s="59"/>
      <c r="C577" s="59"/>
      <c r="D577" s="59"/>
      <c r="E577" s="59"/>
      <c r="F577" s="59"/>
      <c r="G577" s="59"/>
      <c r="H577" s="59"/>
      <c r="I577" s="59"/>
      <c r="J577" s="59"/>
      <c r="K577" s="59"/>
      <c r="L577" s="59"/>
      <c r="M577" s="59"/>
      <c r="N577" s="59"/>
      <c r="O577" s="100"/>
      <c r="P577" s="100"/>
      <c r="Q577" s="100"/>
      <c r="R577" s="100"/>
      <c r="S577" s="100"/>
      <c r="T577" s="100"/>
      <c r="U577" s="100"/>
      <c r="V577" s="100"/>
      <c r="W577" s="100"/>
      <c r="X577" s="100"/>
      <c r="Y577" s="100"/>
      <c r="Z577" s="100"/>
    </row>
    <row r="578" ht="14.25" customHeight="1">
      <c r="A578" s="59"/>
      <c r="B578" s="59"/>
      <c r="C578" s="59"/>
      <c r="D578" s="59"/>
      <c r="E578" s="59"/>
      <c r="F578" s="59"/>
      <c r="G578" s="59"/>
      <c r="H578" s="59"/>
      <c r="I578" s="59"/>
      <c r="J578" s="59"/>
      <c r="K578" s="59"/>
      <c r="L578" s="59"/>
      <c r="M578" s="59"/>
      <c r="N578" s="59"/>
      <c r="O578" s="100"/>
      <c r="P578" s="100"/>
      <c r="Q578" s="100"/>
      <c r="R578" s="100"/>
      <c r="S578" s="100"/>
      <c r="T578" s="100"/>
      <c r="U578" s="100"/>
      <c r="V578" s="100"/>
      <c r="W578" s="100"/>
      <c r="X578" s="100"/>
      <c r="Y578" s="100"/>
      <c r="Z578" s="100"/>
    </row>
    <row r="579" ht="14.25" customHeight="1">
      <c r="A579" s="59"/>
      <c r="B579" s="59"/>
      <c r="C579" s="59"/>
      <c r="D579" s="59"/>
      <c r="E579" s="59"/>
      <c r="F579" s="59"/>
      <c r="G579" s="59"/>
      <c r="H579" s="59"/>
      <c r="I579" s="59"/>
      <c r="J579" s="59"/>
      <c r="K579" s="59"/>
      <c r="L579" s="59"/>
      <c r="M579" s="59"/>
      <c r="N579" s="59"/>
      <c r="O579" s="100"/>
      <c r="P579" s="100"/>
      <c r="Q579" s="100"/>
      <c r="R579" s="100"/>
      <c r="S579" s="100"/>
      <c r="T579" s="100"/>
      <c r="U579" s="100"/>
      <c r="V579" s="100"/>
      <c r="W579" s="100"/>
      <c r="X579" s="100"/>
      <c r="Y579" s="100"/>
      <c r="Z579" s="100"/>
    </row>
    <row r="580" ht="14.25" customHeight="1">
      <c r="A580" s="59"/>
      <c r="B580" s="59"/>
      <c r="C580" s="59"/>
      <c r="D580" s="59"/>
      <c r="E580" s="59"/>
      <c r="F580" s="59"/>
      <c r="G580" s="59"/>
      <c r="H580" s="59"/>
      <c r="I580" s="59"/>
      <c r="J580" s="59"/>
      <c r="K580" s="59"/>
      <c r="L580" s="59"/>
      <c r="M580" s="59"/>
      <c r="N580" s="59"/>
      <c r="O580" s="100"/>
      <c r="P580" s="100"/>
      <c r="Q580" s="100"/>
      <c r="R580" s="100"/>
      <c r="S580" s="100"/>
      <c r="T580" s="100"/>
      <c r="U580" s="100"/>
      <c r="V580" s="100"/>
      <c r="W580" s="100"/>
      <c r="X580" s="100"/>
      <c r="Y580" s="100"/>
      <c r="Z580" s="100"/>
    </row>
    <row r="581" ht="14.25" customHeight="1">
      <c r="A581" s="59"/>
      <c r="B581" s="59"/>
      <c r="C581" s="59"/>
      <c r="D581" s="59"/>
      <c r="E581" s="59"/>
      <c r="F581" s="59"/>
      <c r="G581" s="59"/>
      <c r="H581" s="59"/>
      <c r="I581" s="59"/>
      <c r="J581" s="59"/>
      <c r="K581" s="59"/>
      <c r="L581" s="59"/>
      <c r="M581" s="59"/>
      <c r="N581" s="59"/>
      <c r="O581" s="100"/>
      <c r="P581" s="100"/>
      <c r="Q581" s="100"/>
      <c r="R581" s="100"/>
      <c r="S581" s="100"/>
      <c r="T581" s="100"/>
      <c r="U581" s="100"/>
      <c r="V581" s="100"/>
      <c r="W581" s="100"/>
      <c r="X581" s="100"/>
      <c r="Y581" s="100"/>
      <c r="Z581" s="100"/>
    </row>
    <row r="582" ht="14.25" customHeight="1">
      <c r="A582" s="59"/>
      <c r="B582" s="59"/>
      <c r="C582" s="59"/>
      <c r="D582" s="59"/>
      <c r="E582" s="59"/>
      <c r="F582" s="59"/>
      <c r="G582" s="59"/>
      <c r="H582" s="59"/>
      <c r="I582" s="59"/>
      <c r="J582" s="59"/>
      <c r="K582" s="59"/>
      <c r="L582" s="59"/>
      <c r="M582" s="59"/>
      <c r="N582" s="59"/>
      <c r="O582" s="100"/>
      <c r="P582" s="100"/>
      <c r="Q582" s="100"/>
      <c r="R582" s="100"/>
      <c r="S582" s="100"/>
      <c r="T582" s="100"/>
      <c r="U582" s="100"/>
      <c r="V582" s="100"/>
      <c r="W582" s="100"/>
      <c r="X582" s="100"/>
      <c r="Y582" s="100"/>
      <c r="Z582" s="100"/>
    </row>
    <row r="583" ht="14.25" customHeight="1">
      <c r="A583" s="59"/>
      <c r="B583" s="59"/>
      <c r="C583" s="59"/>
      <c r="D583" s="59"/>
      <c r="E583" s="59"/>
      <c r="F583" s="59"/>
      <c r="G583" s="59"/>
      <c r="H583" s="59"/>
      <c r="I583" s="59"/>
      <c r="J583" s="59"/>
      <c r="K583" s="59"/>
      <c r="L583" s="59"/>
      <c r="M583" s="59"/>
      <c r="N583" s="59"/>
      <c r="O583" s="100"/>
      <c r="P583" s="100"/>
      <c r="Q583" s="100"/>
      <c r="R583" s="100"/>
      <c r="S583" s="100"/>
      <c r="T583" s="100"/>
      <c r="U583" s="100"/>
      <c r="V583" s="100"/>
      <c r="W583" s="100"/>
      <c r="X583" s="100"/>
      <c r="Y583" s="100"/>
      <c r="Z583" s="100"/>
    </row>
    <row r="584" ht="14.25" customHeight="1">
      <c r="A584" s="59"/>
      <c r="B584" s="59"/>
      <c r="C584" s="59"/>
      <c r="D584" s="59"/>
      <c r="E584" s="59"/>
      <c r="F584" s="59"/>
      <c r="G584" s="59"/>
      <c r="H584" s="59"/>
      <c r="I584" s="59"/>
      <c r="J584" s="59"/>
      <c r="K584" s="59"/>
      <c r="L584" s="59"/>
      <c r="M584" s="59"/>
      <c r="N584" s="59"/>
      <c r="O584" s="100"/>
      <c r="P584" s="100"/>
      <c r="Q584" s="100"/>
      <c r="R584" s="100"/>
      <c r="S584" s="100"/>
      <c r="T584" s="100"/>
      <c r="U584" s="100"/>
      <c r="V584" s="100"/>
      <c r="W584" s="100"/>
      <c r="X584" s="100"/>
      <c r="Y584" s="100"/>
      <c r="Z584" s="100"/>
    </row>
    <row r="585" ht="14.25" customHeight="1">
      <c r="A585" s="59"/>
      <c r="B585" s="59"/>
      <c r="C585" s="59"/>
      <c r="D585" s="59"/>
      <c r="E585" s="59"/>
      <c r="F585" s="59"/>
      <c r="G585" s="59"/>
      <c r="H585" s="59"/>
      <c r="I585" s="59"/>
      <c r="J585" s="59"/>
      <c r="K585" s="59"/>
      <c r="L585" s="59"/>
      <c r="M585" s="59"/>
      <c r="N585" s="59"/>
      <c r="O585" s="100"/>
      <c r="P585" s="100"/>
      <c r="Q585" s="100"/>
      <c r="R585" s="100"/>
      <c r="S585" s="100"/>
      <c r="T585" s="100"/>
      <c r="U585" s="100"/>
      <c r="V585" s="100"/>
      <c r="W585" s="100"/>
      <c r="X585" s="100"/>
      <c r="Y585" s="100"/>
      <c r="Z585" s="100"/>
    </row>
    <row r="586" ht="14.25" customHeight="1">
      <c r="A586" s="59"/>
      <c r="B586" s="59"/>
      <c r="C586" s="59"/>
      <c r="D586" s="59"/>
      <c r="E586" s="59"/>
      <c r="F586" s="59"/>
      <c r="G586" s="59"/>
      <c r="H586" s="59"/>
      <c r="I586" s="59"/>
      <c r="J586" s="59"/>
      <c r="K586" s="59"/>
      <c r="L586" s="59"/>
      <c r="M586" s="59"/>
      <c r="N586" s="59"/>
      <c r="O586" s="100"/>
      <c r="P586" s="100"/>
      <c r="Q586" s="100"/>
      <c r="R586" s="100"/>
      <c r="S586" s="100"/>
      <c r="T586" s="100"/>
      <c r="U586" s="100"/>
      <c r="V586" s="100"/>
      <c r="W586" s="100"/>
      <c r="X586" s="100"/>
      <c r="Y586" s="100"/>
      <c r="Z586" s="100"/>
    </row>
    <row r="587" ht="14.25" customHeight="1">
      <c r="A587" s="59"/>
      <c r="B587" s="59"/>
      <c r="C587" s="59"/>
      <c r="D587" s="59"/>
      <c r="E587" s="59"/>
      <c r="F587" s="59"/>
      <c r="G587" s="59"/>
      <c r="H587" s="59"/>
      <c r="I587" s="59"/>
      <c r="J587" s="59"/>
      <c r="K587" s="59"/>
      <c r="L587" s="59"/>
      <c r="M587" s="59"/>
      <c r="N587" s="59"/>
      <c r="O587" s="100"/>
      <c r="P587" s="100"/>
      <c r="Q587" s="100"/>
      <c r="R587" s="100"/>
      <c r="S587" s="100"/>
      <c r="T587" s="100"/>
      <c r="U587" s="100"/>
      <c r="V587" s="100"/>
      <c r="W587" s="100"/>
      <c r="X587" s="100"/>
      <c r="Y587" s="100"/>
      <c r="Z587" s="100"/>
    </row>
    <row r="588" ht="14.25" customHeight="1">
      <c r="A588" s="59"/>
      <c r="B588" s="59"/>
      <c r="C588" s="59"/>
      <c r="D588" s="59"/>
      <c r="E588" s="59"/>
      <c r="F588" s="59"/>
      <c r="G588" s="59"/>
      <c r="H588" s="59"/>
      <c r="I588" s="59"/>
      <c r="J588" s="59"/>
      <c r="K588" s="59"/>
      <c r="L588" s="59"/>
      <c r="M588" s="59"/>
      <c r="N588" s="59"/>
      <c r="O588" s="100"/>
      <c r="P588" s="100"/>
      <c r="Q588" s="100"/>
      <c r="R588" s="100"/>
      <c r="S588" s="100"/>
      <c r="T588" s="100"/>
      <c r="U588" s="100"/>
      <c r="V588" s="100"/>
      <c r="W588" s="100"/>
      <c r="X588" s="100"/>
      <c r="Y588" s="100"/>
      <c r="Z588" s="100"/>
    </row>
    <row r="589" ht="14.25" customHeight="1">
      <c r="A589" s="59"/>
      <c r="B589" s="59"/>
      <c r="C589" s="59"/>
      <c r="D589" s="59"/>
      <c r="E589" s="59"/>
      <c r="F589" s="59"/>
      <c r="G589" s="59"/>
      <c r="H589" s="59"/>
      <c r="I589" s="59"/>
      <c r="J589" s="59"/>
      <c r="K589" s="59"/>
      <c r="L589" s="59"/>
      <c r="M589" s="59"/>
      <c r="N589" s="59"/>
      <c r="O589" s="100"/>
      <c r="P589" s="100"/>
      <c r="Q589" s="100"/>
      <c r="R589" s="100"/>
      <c r="S589" s="100"/>
      <c r="T589" s="100"/>
      <c r="U589" s="100"/>
      <c r="V589" s="100"/>
      <c r="W589" s="100"/>
      <c r="X589" s="100"/>
      <c r="Y589" s="100"/>
      <c r="Z589" s="100"/>
    </row>
    <row r="590" ht="14.25" customHeight="1">
      <c r="A590" s="59"/>
      <c r="B590" s="59"/>
      <c r="C590" s="59"/>
      <c r="D590" s="59"/>
      <c r="E590" s="59"/>
      <c r="F590" s="59"/>
      <c r="G590" s="59"/>
      <c r="H590" s="59"/>
      <c r="I590" s="59"/>
      <c r="J590" s="59"/>
      <c r="K590" s="59"/>
      <c r="L590" s="59"/>
      <c r="M590" s="59"/>
      <c r="N590" s="59"/>
      <c r="O590" s="100"/>
      <c r="P590" s="100"/>
      <c r="Q590" s="100"/>
      <c r="R590" s="100"/>
      <c r="S590" s="100"/>
      <c r="T590" s="100"/>
      <c r="U590" s="100"/>
      <c r="V590" s="100"/>
      <c r="W590" s="100"/>
      <c r="X590" s="100"/>
      <c r="Y590" s="100"/>
      <c r="Z590" s="100"/>
    </row>
    <row r="591" ht="14.25" customHeight="1">
      <c r="A591" s="59"/>
      <c r="B591" s="59"/>
      <c r="C591" s="59"/>
      <c r="D591" s="59"/>
      <c r="E591" s="59"/>
      <c r="F591" s="59"/>
      <c r="G591" s="59"/>
      <c r="H591" s="59"/>
      <c r="I591" s="59"/>
      <c r="J591" s="59"/>
      <c r="K591" s="59"/>
      <c r="L591" s="59"/>
      <c r="M591" s="59"/>
      <c r="N591" s="59"/>
      <c r="O591" s="100"/>
      <c r="P591" s="100"/>
      <c r="Q591" s="100"/>
      <c r="R591" s="100"/>
      <c r="S591" s="100"/>
      <c r="T591" s="100"/>
      <c r="U591" s="100"/>
      <c r="V591" s="100"/>
      <c r="W591" s="100"/>
      <c r="X591" s="100"/>
      <c r="Y591" s="100"/>
      <c r="Z591" s="100"/>
    </row>
    <row r="592" ht="14.25" customHeight="1">
      <c r="A592" s="59"/>
      <c r="B592" s="59"/>
      <c r="C592" s="59"/>
      <c r="D592" s="59"/>
      <c r="E592" s="59"/>
      <c r="F592" s="59"/>
      <c r="G592" s="59"/>
      <c r="H592" s="59"/>
      <c r="I592" s="59"/>
      <c r="J592" s="59"/>
      <c r="K592" s="59"/>
      <c r="L592" s="59"/>
      <c r="M592" s="59"/>
      <c r="N592" s="59"/>
      <c r="O592" s="100"/>
      <c r="P592" s="100"/>
      <c r="Q592" s="100"/>
      <c r="R592" s="100"/>
      <c r="S592" s="100"/>
      <c r="T592" s="100"/>
      <c r="U592" s="100"/>
      <c r="V592" s="100"/>
      <c r="W592" s="100"/>
      <c r="X592" s="100"/>
      <c r="Y592" s="100"/>
      <c r="Z592" s="100"/>
    </row>
    <row r="593" ht="14.25" customHeight="1">
      <c r="A593" s="59"/>
      <c r="B593" s="59"/>
      <c r="C593" s="59"/>
      <c r="D593" s="59"/>
      <c r="E593" s="59"/>
      <c r="F593" s="59"/>
      <c r="G593" s="59"/>
      <c r="H593" s="59"/>
      <c r="I593" s="59"/>
      <c r="J593" s="59"/>
      <c r="K593" s="59"/>
      <c r="L593" s="59"/>
      <c r="M593" s="59"/>
      <c r="N593" s="59"/>
      <c r="O593" s="100"/>
      <c r="P593" s="100"/>
      <c r="Q593" s="100"/>
      <c r="R593" s="100"/>
      <c r="S593" s="100"/>
      <c r="T593" s="100"/>
      <c r="U593" s="100"/>
      <c r="V593" s="100"/>
      <c r="W593" s="100"/>
      <c r="X593" s="100"/>
      <c r="Y593" s="100"/>
      <c r="Z593" s="100"/>
    </row>
    <row r="594" ht="14.25" customHeight="1">
      <c r="A594" s="59"/>
      <c r="B594" s="59"/>
      <c r="C594" s="59"/>
      <c r="D594" s="59"/>
      <c r="E594" s="59"/>
      <c r="F594" s="59"/>
      <c r="G594" s="59"/>
      <c r="H594" s="59"/>
      <c r="I594" s="59"/>
      <c r="J594" s="59"/>
      <c r="K594" s="59"/>
      <c r="L594" s="59"/>
      <c r="M594" s="59"/>
      <c r="N594" s="59"/>
      <c r="O594" s="100"/>
      <c r="P594" s="100"/>
      <c r="Q594" s="100"/>
      <c r="R594" s="100"/>
      <c r="S594" s="100"/>
      <c r="T594" s="100"/>
      <c r="U594" s="100"/>
      <c r="V594" s="100"/>
      <c r="W594" s="100"/>
      <c r="X594" s="100"/>
      <c r="Y594" s="100"/>
      <c r="Z594" s="100"/>
    </row>
    <row r="595" ht="14.25" customHeight="1">
      <c r="A595" s="59"/>
      <c r="B595" s="59"/>
      <c r="C595" s="59"/>
      <c r="D595" s="59"/>
      <c r="E595" s="59"/>
      <c r="F595" s="59"/>
      <c r="G595" s="59"/>
      <c r="H595" s="59"/>
      <c r="I595" s="59"/>
      <c r="J595" s="59"/>
      <c r="K595" s="59"/>
      <c r="L595" s="59"/>
      <c r="M595" s="59"/>
      <c r="N595" s="59"/>
      <c r="O595" s="100"/>
      <c r="P595" s="100"/>
      <c r="Q595" s="100"/>
      <c r="R595" s="100"/>
      <c r="S595" s="100"/>
      <c r="T595" s="100"/>
      <c r="U595" s="100"/>
      <c r="V595" s="100"/>
      <c r="W595" s="100"/>
      <c r="X595" s="100"/>
      <c r="Y595" s="100"/>
      <c r="Z595" s="100"/>
    </row>
    <row r="596" ht="14.25" customHeight="1">
      <c r="A596" s="59"/>
      <c r="B596" s="59"/>
      <c r="C596" s="59"/>
      <c r="D596" s="59"/>
      <c r="E596" s="59"/>
      <c r="F596" s="59"/>
      <c r="G596" s="59"/>
      <c r="H596" s="59"/>
      <c r="I596" s="59"/>
      <c r="J596" s="59"/>
      <c r="K596" s="59"/>
      <c r="L596" s="59"/>
      <c r="M596" s="59"/>
      <c r="N596" s="59"/>
      <c r="O596" s="100"/>
      <c r="P596" s="100"/>
      <c r="Q596" s="100"/>
      <c r="R596" s="100"/>
      <c r="S596" s="100"/>
      <c r="T596" s="100"/>
      <c r="U596" s="100"/>
      <c r="V596" s="100"/>
      <c r="W596" s="100"/>
      <c r="X596" s="100"/>
      <c r="Y596" s="100"/>
      <c r="Z596" s="100"/>
    </row>
    <row r="597" ht="14.25" customHeight="1">
      <c r="A597" s="59"/>
      <c r="B597" s="59"/>
      <c r="C597" s="59"/>
      <c r="D597" s="59"/>
      <c r="E597" s="59"/>
      <c r="F597" s="59"/>
      <c r="G597" s="59"/>
      <c r="H597" s="59"/>
      <c r="I597" s="59"/>
      <c r="J597" s="59"/>
      <c r="K597" s="59"/>
      <c r="L597" s="59"/>
      <c r="M597" s="59"/>
      <c r="N597" s="59"/>
      <c r="O597" s="100"/>
      <c r="P597" s="100"/>
      <c r="Q597" s="100"/>
      <c r="R597" s="100"/>
      <c r="S597" s="100"/>
      <c r="T597" s="100"/>
      <c r="U597" s="100"/>
      <c r="V597" s="100"/>
      <c r="W597" s="100"/>
      <c r="X597" s="100"/>
      <c r="Y597" s="100"/>
      <c r="Z597" s="100"/>
    </row>
    <row r="598" ht="14.25" customHeight="1">
      <c r="A598" s="59"/>
      <c r="B598" s="59"/>
      <c r="C598" s="59"/>
      <c r="D598" s="59"/>
      <c r="E598" s="59"/>
      <c r="F598" s="59"/>
      <c r="G598" s="59"/>
      <c r="H598" s="59"/>
      <c r="I598" s="59"/>
      <c r="J598" s="59"/>
      <c r="K598" s="59"/>
      <c r="L598" s="59"/>
      <c r="M598" s="59"/>
      <c r="N598" s="59"/>
      <c r="O598" s="100"/>
      <c r="P598" s="100"/>
      <c r="Q598" s="100"/>
      <c r="R598" s="100"/>
      <c r="S598" s="100"/>
      <c r="T598" s="100"/>
      <c r="U598" s="100"/>
      <c r="V598" s="100"/>
      <c r="W598" s="100"/>
      <c r="X598" s="100"/>
      <c r="Y598" s="100"/>
      <c r="Z598" s="100"/>
    </row>
    <row r="599" ht="14.25" customHeight="1">
      <c r="A599" s="59"/>
      <c r="B599" s="59"/>
      <c r="C599" s="59"/>
      <c r="D599" s="59"/>
      <c r="E599" s="59"/>
      <c r="F599" s="59"/>
      <c r="G599" s="59"/>
      <c r="H599" s="59"/>
      <c r="I599" s="59"/>
      <c r="J599" s="59"/>
      <c r="K599" s="59"/>
      <c r="L599" s="59"/>
      <c r="M599" s="59"/>
      <c r="N599" s="59"/>
      <c r="O599" s="100"/>
      <c r="P599" s="100"/>
      <c r="Q599" s="100"/>
      <c r="R599" s="100"/>
      <c r="S599" s="100"/>
      <c r="T599" s="100"/>
      <c r="U599" s="100"/>
      <c r="V599" s="100"/>
      <c r="W599" s="100"/>
      <c r="X599" s="100"/>
      <c r="Y599" s="100"/>
      <c r="Z599" s="100"/>
    </row>
    <row r="600" ht="14.25" customHeight="1">
      <c r="A600" s="59"/>
      <c r="B600" s="59"/>
      <c r="C600" s="59"/>
      <c r="D600" s="59"/>
      <c r="E600" s="59"/>
      <c r="F600" s="59"/>
      <c r="G600" s="59"/>
      <c r="H600" s="59"/>
      <c r="I600" s="59"/>
      <c r="J600" s="59"/>
      <c r="K600" s="59"/>
      <c r="L600" s="59"/>
      <c r="M600" s="59"/>
      <c r="N600" s="59"/>
      <c r="O600" s="100"/>
      <c r="P600" s="100"/>
      <c r="Q600" s="100"/>
      <c r="R600" s="100"/>
      <c r="S600" s="100"/>
      <c r="T600" s="100"/>
      <c r="U600" s="100"/>
      <c r="V600" s="100"/>
      <c r="W600" s="100"/>
      <c r="X600" s="100"/>
      <c r="Y600" s="100"/>
      <c r="Z600" s="100"/>
    </row>
    <row r="601" ht="14.25" customHeight="1">
      <c r="A601" s="59"/>
      <c r="B601" s="59"/>
      <c r="C601" s="59"/>
      <c r="D601" s="59"/>
      <c r="E601" s="59"/>
      <c r="F601" s="59"/>
      <c r="G601" s="59"/>
      <c r="H601" s="59"/>
      <c r="I601" s="59"/>
      <c r="J601" s="59"/>
      <c r="K601" s="59"/>
      <c r="L601" s="59"/>
      <c r="M601" s="59"/>
      <c r="N601" s="59"/>
      <c r="O601" s="100"/>
      <c r="P601" s="100"/>
      <c r="Q601" s="100"/>
      <c r="R601" s="100"/>
      <c r="S601" s="100"/>
      <c r="T601" s="100"/>
      <c r="U601" s="100"/>
      <c r="V601" s="100"/>
      <c r="W601" s="100"/>
      <c r="X601" s="100"/>
      <c r="Y601" s="100"/>
      <c r="Z601" s="100"/>
    </row>
    <row r="602" ht="14.25" customHeight="1">
      <c r="A602" s="59"/>
      <c r="B602" s="59"/>
      <c r="C602" s="59"/>
      <c r="D602" s="59"/>
      <c r="E602" s="59"/>
      <c r="F602" s="59"/>
      <c r="G602" s="59"/>
      <c r="H602" s="59"/>
      <c r="I602" s="59"/>
      <c r="J602" s="59"/>
      <c r="K602" s="59"/>
      <c r="L602" s="59"/>
      <c r="M602" s="59"/>
      <c r="N602" s="59"/>
      <c r="O602" s="100"/>
      <c r="P602" s="100"/>
      <c r="Q602" s="100"/>
      <c r="R602" s="100"/>
      <c r="S602" s="100"/>
      <c r="T602" s="100"/>
      <c r="U602" s="100"/>
      <c r="V602" s="100"/>
      <c r="W602" s="100"/>
      <c r="X602" s="100"/>
      <c r="Y602" s="100"/>
      <c r="Z602" s="100"/>
    </row>
    <row r="603" ht="14.25" customHeight="1">
      <c r="A603" s="59"/>
      <c r="B603" s="59"/>
      <c r="C603" s="59"/>
      <c r="D603" s="59"/>
      <c r="E603" s="59"/>
      <c r="F603" s="59"/>
      <c r="G603" s="59"/>
      <c r="H603" s="59"/>
      <c r="I603" s="59"/>
      <c r="J603" s="59"/>
      <c r="K603" s="59"/>
      <c r="L603" s="59"/>
      <c r="M603" s="59"/>
      <c r="N603" s="59"/>
      <c r="O603" s="100"/>
      <c r="P603" s="100"/>
      <c r="Q603" s="100"/>
      <c r="R603" s="100"/>
      <c r="S603" s="100"/>
      <c r="T603" s="100"/>
      <c r="U603" s="100"/>
      <c r="V603" s="100"/>
      <c r="W603" s="100"/>
      <c r="X603" s="100"/>
      <c r="Y603" s="100"/>
      <c r="Z603" s="100"/>
    </row>
    <row r="604" ht="14.25" customHeight="1">
      <c r="A604" s="59"/>
      <c r="B604" s="59"/>
      <c r="C604" s="59"/>
      <c r="D604" s="59"/>
      <c r="E604" s="59"/>
      <c r="F604" s="59"/>
      <c r="G604" s="59"/>
      <c r="H604" s="59"/>
      <c r="I604" s="59"/>
      <c r="J604" s="59"/>
      <c r="K604" s="59"/>
      <c r="L604" s="59"/>
      <c r="M604" s="59"/>
      <c r="N604" s="59"/>
      <c r="O604" s="100"/>
      <c r="P604" s="100"/>
      <c r="Q604" s="100"/>
      <c r="R604" s="100"/>
      <c r="S604" s="100"/>
      <c r="T604" s="100"/>
      <c r="U604" s="100"/>
      <c r="V604" s="100"/>
      <c r="W604" s="100"/>
      <c r="X604" s="100"/>
      <c r="Y604" s="100"/>
      <c r="Z604" s="100"/>
    </row>
    <row r="605" ht="14.25" customHeight="1">
      <c r="A605" s="59"/>
      <c r="B605" s="59"/>
      <c r="C605" s="59"/>
      <c r="D605" s="59"/>
      <c r="E605" s="59"/>
      <c r="F605" s="59"/>
      <c r="G605" s="59"/>
      <c r="H605" s="59"/>
      <c r="I605" s="59"/>
      <c r="J605" s="59"/>
      <c r="K605" s="59"/>
      <c r="L605" s="59"/>
      <c r="M605" s="59"/>
      <c r="N605" s="59"/>
      <c r="O605" s="100"/>
      <c r="P605" s="100"/>
      <c r="Q605" s="100"/>
      <c r="R605" s="100"/>
      <c r="S605" s="100"/>
      <c r="T605" s="100"/>
      <c r="U605" s="100"/>
      <c r="V605" s="100"/>
      <c r="W605" s="100"/>
      <c r="X605" s="100"/>
      <c r="Y605" s="100"/>
      <c r="Z605" s="100"/>
    </row>
    <row r="606" ht="14.25" customHeight="1">
      <c r="A606" s="59"/>
      <c r="B606" s="59"/>
      <c r="C606" s="59"/>
      <c r="D606" s="59"/>
      <c r="E606" s="59"/>
      <c r="F606" s="59"/>
      <c r="G606" s="59"/>
      <c r="H606" s="59"/>
      <c r="I606" s="59"/>
      <c r="J606" s="59"/>
      <c r="K606" s="59"/>
      <c r="L606" s="59"/>
      <c r="M606" s="59"/>
      <c r="N606" s="59"/>
      <c r="O606" s="100"/>
      <c r="P606" s="100"/>
      <c r="Q606" s="100"/>
      <c r="R606" s="100"/>
      <c r="S606" s="100"/>
      <c r="T606" s="100"/>
      <c r="U606" s="100"/>
      <c r="V606" s="100"/>
      <c r="W606" s="100"/>
      <c r="X606" s="100"/>
      <c r="Y606" s="100"/>
      <c r="Z606" s="100"/>
    </row>
    <row r="607" ht="14.25" customHeight="1">
      <c r="A607" s="59"/>
      <c r="B607" s="59"/>
      <c r="C607" s="59"/>
      <c r="D607" s="59"/>
      <c r="E607" s="59"/>
      <c r="F607" s="59"/>
      <c r="G607" s="59"/>
      <c r="H607" s="59"/>
      <c r="I607" s="59"/>
      <c r="J607" s="59"/>
      <c r="K607" s="59"/>
      <c r="L607" s="59"/>
      <c r="M607" s="59"/>
      <c r="N607" s="59"/>
      <c r="O607" s="100"/>
      <c r="P607" s="100"/>
      <c r="Q607" s="100"/>
      <c r="R607" s="100"/>
      <c r="S607" s="100"/>
      <c r="T607" s="100"/>
      <c r="U607" s="100"/>
      <c r="V607" s="100"/>
      <c r="W607" s="100"/>
      <c r="X607" s="100"/>
      <c r="Y607" s="100"/>
      <c r="Z607" s="100"/>
    </row>
    <row r="608" ht="14.25" customHeight="1">
      <c r="A608" s="59"/>
      <c r="B608" s="59"/>
      <c r="C608" s="59"/>
      <c r="D608" s="59"/>
      <c r="E608" s="59"/>
      <c r="F608" s="59"/>
      <c r="G608" s="59"/>
      <c r="H608" s="59"/>
      <c r="I608" s="59"/>
      <c r="J608" s="59"/>
      <c r="K608" s="59"/>
      <c r="L608" s="59"/>
      <c r="M608" s="59"/>
      <c r="N608" s="59"/>
      <c r="O608" s="100"/>
      <c r="P608" s="100"/>
      <c r="Q608" s="100"/>
      <c r="R608" s="100"/>
      <c r="S608" s="100"/>
      <c r="T608" s="100"/>
      <c r="U608" s="100"/>
      <c r="V608" s="100"/>
      <c r="W608" s="100"/>
      <c r="X608" s="100"/>
      <c r="Y608" s="100"/>
      <c r="Z608" s="100"/>
    </row>
    <row r="609" ht="14.25" customHeight="1">
      <c r="A609" s="59"/>
      <c r="B609" s="59"/>
      <c r="C609" s="59"/>
      <c r="D609" s="59"/>
      <c r="E609" s="59"/>
      <c r="F609" s="59"/>
      <c r="G609" s="59"/>
      <c r="H609" s="59"/>
      <c r="I609" s="59"/>
      <c r="J609" s="59"/>
      <c r="K609" s="59"/>
      <c r="L609" s="59"/>
      <c r="M609" s="59"/>
      <c r="N609" s="59"/>
      <c r="O609" s="100"/>
      <c r="P609" s="100"/>
      <c r="Q609" s="100"/>
      <c r="R609" s="100"/>
      <c r="S609" s="100"/>
      <c r="T609" s="100"/>
      <c r="U609" s="100"/>
      <c r="V609" s="100"/>
      <c r="W609" s="100"/>
      <c r="X609" s="100"/>
      <c r="Y609" s="100"/>
      <c r="Z609" s="100"/>
    </row>
    <row r="610" ht="14.25" customHeight="1">
      <c r="A610" s="59"/>
      <c r="B610" s="59"/>
      <c r="C610" s="59"/>
      <c r="D610" s="59"/>
      <c r="E610" s="59"/>
      <c r="F610" s="59"/>
      <c r="G610" s="59"/>
      <c r="H610" s="59"/>
      <c r="I610" s="59"/>
      <c r="J610" s="59"/>
      <c r="K610" s="59"/>
      <c r="L610" s="59"/>
      <c r="M610" s="59"/>
      <c r="N610" s="59"/>
      <c r="O610" s="100"/>
      <c r="P610" s="100"/>
      <c r="Q610" s="100"/>
      <c r="R610" s="100"/>
      <c r="S610" s="100"/>
      <c r="T610" s="100"/>
      <c r="U610" s="100"/>
      <c r="V610" s="100"/>
      <c r="W610" s="100"/>
      <c r="X610" s="100"/>
      <c r="Y610" s="100"/>
      <c r="Z610" s="100"/>
    </row>
    <row r="611" ht="14.25" customHeight="1">
      <c r="A611" s="59"/>
      <c r="B611" s="59"/>
      <c r="C611" s="59"/>
      <c r="D611" s="59"/>
      <c r="E611" s="59"/>
      <c r="F611" s="59"/>
      <c r="G611" s="59"/>
      <c r="H611" s="59"/>
      <c r="I611" s="59"/>
      <c r="J611" s="59"/>
      <c r="K611" s="59"/>
      <c r="L611" s="59"/>
      <c r="M611" s="59"/>
      <c r="N611" s="59"/>
      <c r="O611" s="100"/>
      <c r="P611" s="100"/>
      <c r="Q611" s="100"/>
      <c r="R611" s="100"/>
      <c r="S611" s="100"/>
      <c r="T611" s="100"/>
      <c r="U611" s="100"/>
      <c r="V611" s="100"/>
      <c r="W611" s="100"/>
      <c r="X611" s="100"/>
      <c r="Y611" s="100"/>
      <c r="Z611" s="100"/>
    </row>
    <row r="612" ht="14.25" customHeight="1">
      <c r="A612" s="59"/>
      <c r="B612" s="59"/>
      <c r="C612" s="59"/>
      <c r="D612" s="59"/>
      <c r="E612" s="59"/>
      <c r="F612" s="59"/>
      <c r="G612" s="59"/>
      <c r="H612" s="59"/>
      <c r="I612" s="59"/>
      <c r="J612" s="59"/>
      <c r="K612" s="59"/>
      <c r="L612" s="59"/>
      <c r="M612" s="59"/>
      <c r="N612" s="59"/>
      <c r="O612" s="100"/>
      <c r="P612" s="100"/>
      <c r="Q612" s="100"/>
      <c r="R612" s="100"/>
      <c r="S612" s="100"/>
      <c r="T612" s="100"/>
      <c r="U612" s="100"/>
      <c r="V612" s="100"/>
      <c r="W612" s="100"/>
      <c r="X612" s="100"/>
      <c r="Y612" s="100"/>
      <c r="Z612" s="100"/>
    </row>
    <row r="613" ht="14.25" customHeight="1">
      <c r="A613" s="59"/>
      <c r="B613" s="59"/>
      <c r="C613" s="59"/>
      <c r="D613" s="59"/>
      <c r="E613" s="59"/>
      <c r="F613" s="59"/>
      <c r="G613" s="59"/>
      <c r="H613" s="59"/>
      <c r="I613" s="59"/>
      <c r="J613" s="59"/>
      <c r="K613" s="59"/>
      <c r="L613" s="59"/>
      <c r="M613" s="59"/>
      <c r="N613" s="59"/>
      <c r="O613" s="100"/>
      <c r="P613" s="100"/>
      <c r="Q613" s="100"/>
      <c r="R613" s="100"/>
      <c r="S613" s="100"/>
      <c r="T613" s="100"/>
      <c r="U613" s="100"/>
      <c r="V613" s="100"/>
      <c r="W613" s="100"/>
      <c r="X613" s="100"/>
      <c r="Y613" s="100"/>
      <c r="Z613" s="100"/>
    </row>
    <row r="614" ht="14.25" customHeight="1">
      <c r="A614" s="59"/>
      <c r="B614" s="59"/>
      <c r="C614" s="59"/>
      <c r="D614" s="59"/>
      <c r="E614" s="59"/>
      <c r="F614" s="59"/>
      <c r="G614" s="59"/>
      <c r="H614" s="59"/>
      <c r="I614" s="59"/>
      <c r="J614" s="59"/>
      <c r="K614" s="59"/>
      <c r="L614" s="59"/>
      <c r="M614" s="59"/>
      <c r="N614" s="59"/>
      <c r="O614" s="100"/>
      <c r="P614" s="100"/>
      <c r="Q614" s="100"/>
      <c r="R614" s="100"/>
      <c r="S614" s="100"/>
      <c r="T614" s="100"/>
      <c r="U614" s="100"/>
      <c r="V614" s="100"/>
      <c r="W614" s="100"/>
      <c r="X614" s="100"/>
      <c r="Y614" s="100"/>
      <c r="Z614" s="100"/>
    </row>
    <row r="615" ht="14.25" customHeight="1">
      <c r="A615" s="59"/>
      <c r="B615" s="59"/>
      <c r="C615" s="59"/>
      <c r="D615" s="59"/>
      <c r="E615" s="59"/>
      <c r="F615" s="59"/>
      <c r="G615" s="59"/>
      <c r="H615" s="59"/>
      <c r="I615" s="59"/>
      <c r="J615" s="59"/>
      <c r="K615" s="59"/>
      <c r="L615" s="59"/>
      <c r="M615" s="59"/>
      <c r="N615" s="59"/>
      <c r="O615" s="100"/>
      <c r="P615" s="100"/>
      <c r="Q615" s="100"/>
      <c r="R615" s="100"/>
      <c r="S615" s="100"/>
      <c r="T615" s="100"/>
      <c r="U615" s="100"/>
      <c r="V615" s="100"/>
      <c r="W615" s="100"/>
      <c r="X615" s="100"/>
      <c r="Y615" s="100"/>
      <c r="Z615" s="100"/>
    </row>
    <row r="616" ht="14.25" customHeight="1">
      <c r="A616" s="59"/>
      <c r="B616" s="59"/>
      <c r="C616" s="59"/>
      <c r="D616" s="59"/>
      <c r="E616" s="59"/>
      <c r="F616" s="59"/>
      <c r="G616" s="59"/>
      <c r="H616" s="59"/>
      <c r="I616" s="59"/>
      <c r="J616" s="59"/>
      <c r="K616" s="59"/>
      <c r="L616" s="59"/>
      <c r="M616" s="59"/>
      <c r="N616" s="59"/>
      <c r="O616" s="100"/>
      <c r="P616" s="100"/>
      <c r="Q616" s="100"/>
      <c r="R616" s="100"/>
      <c r="S616" s="100"/>
      <c r="T616" s="100"/>
      <c r="U616" s="100"/>
      <c r="V616" s="100"/>
      <c r="W616" s="100"/>
      <c r="X616" s="100"/>
      <c r="Y616" s="100"/>
      <c r="Z616" s="100"/>
    </row>
    <row r="617" ht="14.25" customHeight="1">
      <c r="A617" s="59"/>
      <c r="B617" s="59"/>
      <c r="C617" s="59"/>
      <c r="D617" s="59"/>
      <c r="E617" s="59"/>
      <c r="F617" s="59"/>
      <c r="G617" s="59"/>
      <c r="H617" s="59"/>
      <c r="I617" s="59"/>
      <c r="J617" s="59"/>
      <c r="K617" s="59"/>
      <c r="L617" s="59"/>
      <c r="M617" s="59"/>
      <c r="N617" s="59"/>
      <c r="O617" s="100"/>
      <c r="P617" s="100"/>
      <c r="Q617" s="100"/>
      <c r="R617" s="100"/>
      <c r="S617" s="100"/>
      <c r="T617" s="100"/>
      <c r="U617" s="100"/>
      <c r="V617" s="100"/>
      <c r="W617" s="100"/>
      <c r="X617" s="100"/>
      <c r="Y617" s="100"/>
      <c r="Z617" s="100"/>
    </row>
    <row r="618" ht="14.25" customHeight="1">
      <c r="A618" s="59"/>
      <c r="B618" s="59"/>
      <c r="C618" s="59"/>
      <c r="D618" s="59"/>
      <c r="E618" s="59"/>
      <c r="F618" s="59"/>
      <c r="G618" s="59"/>
      <c r="H618" s="59"/>
      <c r="I618" s="59"/>
      <c r="J618" s="59"/>
      <c r="K618" s="59"/>
      <c r="L618" s="59"/>
      <c r="M618" s="59"/>
      <c r="N618" s="59"/>
      <c r="O618" s="100"/>
      <c r="P618" s="100"/>
      <c r="Q618" s="100"/>
      <c r="R618" s="100"/>
      <c r="S618" s="100"/>
      <c r="T618" s="100"/>
      <c r="U618" s="100"/>
      <c r="V618" s="100"/>
      <c r="W618" s="100"/>
      <c r="X618" s="100"/>
      <c r="Y618" s="100"/>
      <c r="Z618" s="100"/>
    </row>
    <row r="619" ht="14.25" customHeight="1">
      <c r="A619" s="59"/>
      <c r="B619" s="59"/>
      <c r="C619" s="59"/>
      <c r="D619" s="59"/>
      <c r="E619" s="59"/>
      <c r="F619" s="59"/>
      <c r="G619" s="59"/>
      <c r="H619" s="59"/>
      <c r="I619" s="59"/>
      <c r="J619" s="59"/>
      <c r="K619" s="59"/>
      <c r="L619" s="59"/>
      <c r="M619" s="59"/>
      <c r="N619" s="59"/>
      <c r="O619" s="100"/>
      <c r="P619" s="100"/>
      <c r="Q619" s="100"/>
      <c r="R619" s="100"/>
      <c r="S619" s="100"/>
      <c r="T619" s="100"/>
      <c r="U619" s="100"/>
      <c r="V619" s="100"/>
      <c r="W619" s="100"/>
      <c r="X619" s="100"/>
      <c r="Y619" s="100"/>
      <c r="Z619" s="100"/>
    </row>
    <row r="620" ht="14.25" customHeight="1">
      <c r="A620" s="59"/>
      <c r="B620" s="59"/>
      <c r="C620" s="59"/>
      <c r="D620" s="59"/>
      <c r="E620" s="59"/>
      <c r="F620" s="59"/>
      <c r="G620" s="59"/>
      <c r="H620" s="59"/>
      <c r="I620" s="59"/>
      <c r="J620" s="59"/>
      <c r="K620" s="59"/>
      <c r="L620" s="59"/>
      <c r="M620" s="59"/>
      <c r="N620" s="59"/>
      <c r="O620" s="100"/>
      <c r="P620" s="100"/>
      <c r="Q620" s="100"/>
      <c r="R620" s="100"/>
      <c r="S620" s="100"/>
      <c r="T620" s="100"/>
      <c r="U620" s="100"/>
      <c r="V620" s="100"/>
      <c r="W620" s="100"/>
      <c r="X620" s="100"/>
      <c r="Y620" s="100"/>
      <c r="Z620" s="100"/>
    </row>
    <row r="621" ht="14.25" customHeight="1">
      <c r="A621" s="59"/>
      <c r="B621" s="59"/>
      <c r="C621" s="59"/>
      <c r="D621" s="59"/>
      <c r="E621" s="59"/>
      <c r="F621" s="59"/>
      <c r="G621" s="59"/>
      <c r="H621" s="59"/>
      <c r="I621" s="59"/>
      <c r="J621" s="59"/>
      <c r="K621" s="59"/>
      <c r="L621" s="59"/>
      <c r="M621" s="59"/>
      <c r="N621" s="59"/>
      <c r="O621" s="100"/>
      <c r="P621" s="100"/>
      <c r="Q621" s="100"/>
      <c r="R621" s="100"/>
      <c r="S621" s="100"/>
      <c r="T621" s="100"/>
      <c r="U621" s="100"/>
      <c r="V621" s="100"/>
      <c r="W621" s="100"/>
      <c r="X621" s="100"/>
      <c r="Y621" s="100"/>
      <c r="Z621" s="100"/>
    </row>
    <row r="622" ht="14.25" customHeight="1">
      <c r="A622" s="59"/>
      <c r="B622" s="59"/>
      <c r="C622" s="59"/>
      <c r="D622" s="59"/>
      <c r="E622" s="59"/>
      <c r="F622" s="59"/>
      <c r="G622" s="59"/>
      <c r="H622" s="59"/>
      <c r="I622" s="59"/>
      <c r="J622" s="59"/>
      <c r="K622" s="59"/>
      <c r="L622" s="59"/>
      <c r="M622" s="59"/>
      <c r="N622" s="59"/>
      <c r="O622" s="100"/>
      <c r="P622" s="100"/>
      <c r="Q622" s="100"/>
      <c r="R622" s="100"/>
      <c r="S622" s="100"/>
      <c r="T622" s="100"/>
      <c r="U622" s="100"/>
      <c r="V622" s="100"/>
      <c r="W622" s="100"/>
      <c r="X622" s="100"/>
      <c r="Y622" s="100"/>
      <c r="Z622" s="100"/>
    </row>
    <row r="623" ht="14.25" customHeight="1">
      <c r="A623" s="59"/>
      <c r="B623" s="59"/>
      <c r="C623" s="59"/>
      <c r="D623" s="59"/>
      <c r="E623" s="59"/>
      <c r="F623" s="59"/>
      <c r="G623" s="59"/>
      <c r="H623" s="59"/>
      <c r="I623" s="59"/>
      <c r="J623" s="59"/>
      <c r="K623" s="59"/>
      <c r="L623" s="59"/>
      <c r="M623" s="59"/>
      <c r="N623" s="59"/>
      <c r="O623" s="100"/>
      <c r="P623" s="100"/>
      <c r="Q623" s="100"/>
      <c r="R623" s="100"/>
      <c r="S623" s="100"/>
      <c r="T623" s="100"/>
      <c r="U623" s="100"/>
      <c r="V623" s="100"/>
      <c r="W623" s="100"/>
      <c r="X623" s="100"/>
      <c r="Y623" s="100"/>
      <c r="Z623" s="100"/>
    </row>
    <row r="624" ht="14.25" customHeight="1">
      <c r="A624" s="59"/>
      <c r="B624" s="59"/>
      <c r="C624" s="59"/>
      <c r="D624" s="59"/>
      <c r="E624" s="59"/>
      <c r="F624" s="59"/>
      <c r="G624" s="59"/>
      <c r="H624" s="59"/>
      <c r="I624" s="59"/>
      <c r="J624" s="59"/>
      <c r="K624" s="59"/>
      <c r="L624" s="59"/>
      <c r="M624" s="59"/>
      <c r="N624" s="59"/>
      <c r="O624" s="100"/>
      <c r="P624" s="100"/>
      <c r="Q624" s="100"/>
      <c r="R624" s="100"/>
      <c r="S624" s="100"/>
      <c r="T624" s="100"/>
      <c r="U624" s="100"/>
      <c r="V624" s="100"/>
      <c r="W624" s="100"/>
      <c r="X624" s="100"/>
      <c r="Y624" s="100"/>
      <c r="Z624" s="100"/>
    </row>
    <row r="625" ht="14.25" customHeight="1">
      <c r="A625" s="59"/>
      <c r="B625" s="59"/>
      <c r="C625" s="59"/>
      <c r="D625" s="59"/>
      <c r="E625" s="59"/>
      <c r="F625" s="59"/>
      <c r="G625" s="59"/>
      <c r="H625" s="59"/>
      <c r="I625" s="59"/>
      <c r="J625" s="59"/>
      <c r="K625" s="59"/>
      <c r="L625" s="59"/>
      <c r="M625" s="59"/>
      <c r="N625" s="59"/>
      <c r="O625" s="100"/>
      <c r="P625" s="100"/>
      <c r="Q625" s="100"/>
      <c r="R625" s="100"/>
      <c r="S625" s="100"/>
      <c r="T625" s="100"/>
      <c r="U625" s="100"/>
      <c r="V625" s="100"/>
      <c r="W625" s="100"/>
      <c r="X625" s="100"/>
      <c r="Y625" s="100"/>
      <c r="Z625" s="100"/>
    </row>
    <row r="626" ht="14.25" customHeight="1">
      <c r="A626" s="59"/>
      <c r="B626" s="59"/>
      <c r="C626" s="59"/>
      <c r="D626" s="59"/>
      <c r="E626" s="59"/>
      <c r="F626" s="59"/>
      <c r="G626" s="59"/>
      <c r="H626" s="59"/>
      <c r="I626" s="59"/>
      <c r="J626" s="59"/>
      <c r="K626" s="59"/>
      <c r="L626" s="59"/>
      <c r="M626" s="59"/>
      <c r="N626" s="59"/>
      <c r="O626" s="100"/>
      <c r="P626" s="100"/>
      <c r="Q626" s="100"/>
      <c r="R626" s="100"/>
      <c r="S626" s="100"/>
      <c r="T626" s="100"/>
      <c r="U626" s="100"/>
      <c r="V626" s="100"/>
      <c r="W626" s="100"/>
      <c r="X626" s="100"/>
      <c r="Y626" s="100"/>
      <c r="Z626" s="100"/>
    </row>
    <row r="627" ht="14.25" customHeight="1">
      <c r="A627" s="59"/>
      <c r="B627" s="59"/>
      <c r="C627" s="59"/>
      <c r="D627" s="59"/>
      <c r="E627" s="59"/>
      <c r="F627" s="59"/>
      <c r="G627" s="59"/>
      <c r="H627" s="59"/>
      <c r="I627" s="59"/>
      <c r="J627" s="59"/>
      <c r="K627" s="59"/>
      <c r="L627" s="59"/>
      <c r="M627" s="59"/>
      <c r="N627" s="59"/>
      <c r="O627" s="100"/>
      <c r="P627" s="100"/>
      <c r="Q627" s="100"/>
      <c r="R627" s="100"/>
      <c r="S627" s="100"/>
      <c r="T627" s="100"/>
      <c r="U627" s="100"/>
      <c r="V627" s="100"/>
      <c r="W627" s="100"/>
      <c r="X627" s="100"/>
      <c r="Y627" s="100"/>
      <c r="Z627" s="100"/>
    </row>
    <row r="628" ht="14.25" customHeight="1">
      <c r="A628" s="59"/>
      <c r="B628" s="59"/>
      <c r="C628" s="59"/>
      <c r="D628" s="59"/>
      <c r="E628" s="59"/>
      <c r="F628" s="59"/>
      <c r="G628" s="59"/>
      <c r="H628" s="59"/>
      <c r="I628" s="59"/>
      <c r="J628" s="59"/>
      <c r="K628" s="59"/>
      <c r="L628" s="59"/>
      <c r="M628" s="59"/>
      <c r="N628" s="59"/>
      <c r="O628" s="100"/>
      <c r="P628" s="100"/>
      <c r="Q628" s="100"/>
      <c r="R628" s="100"/>
      <c r="S628" s="100"/>
      <c r="T628" s="100"/>
      <c r="U628" s="100"/>
      <c r="V628" s="100"/>
      <c r="W628" s="100"/>
      <c r="X628" s="100"/>
      <c r="Y628" s="100"/>
      <c r="Z628" s="100"/>
    </row>
    <row r="629" ht="14.25" customHeight="1">
      <c r="A629" s="59"/>
      <c r="B629" s="59"/>
      <c r="C629" s="59"/>
      <c r="D629" s="59"/>
      <c r="E629" s="59"/>
      <c r="F629" s="59"/>
      <c r="G629" s="59"/>
      <c r="H629" s="59"/>
      <c r="I629" s="59"/>
      <c r="J629" s="59"/>
      <c r="K629" s="59"/>
      <c r="L629" s="59"/>
      <c r="M629" s="59"/>
      <c r="N629" s="59"/>
      <c r="O629" s="100"/>
      <c r="P629" s="100"/>
      <c r="Q629" s="100"/>
      <c r="R629" s="100"/>
      <c r="S629" s="100"/>
      <c r="T629" s="100"/>
      <c r="U629" s="100"/>
      <c r="V629" s="100"/>
      <c r="W629" s="100"/>
      <c r="X629" s="100"/>
      <c r="Y629" s="100"/>
      <c r="Z629" s="100"/>
    </row>
    <row r="630" ht="14.25" customHeight="1">
      <c r="A630" s="59"/>
      <c r="B630" s="59"/>
      <c r="C630" s="59"/>
      <c r="D630" s="59"/>
      <c r="E630" s="59"/>
      <c r="F630" s="59"/>
      <c r="G630" s="59"/>
      <c r="H630" s="59"/>
      <c r="I630" s="59"/>
      <c r="J630" s="59"/>
      <c r="K630" s="59"/>
      <c r="L630" s="59"/>
      <c r="M630" s="59"/>
      <c r="N630" s="59"/>
      <c r="O630" s="100"/>
      <c r="P630" s="100"/>
      <c r="Q630" s="100"/>
      <c r="R630" s="100"/>
      <c r="S630" s="100"/>
      <c r="T630" s="100"/>
      <c r="U630" s="100"/>
      <c r="V630" s="100"/>
      <c r="W630" s="100"/>
      <c r="X630" s="100"/>
      <c r="Y630" s="100"/>
      <c r="Z630" s="100"/>
    </row>
    <row r="631" ht="14.25" customHeight="1">
      <c r="A631" s="59"/>
      <c r="B631" s="59"/>
      <c r="C631" s="59"/>
      <c r="D631" s="59"/>
      <c r="E631" s="59"/>
      <c r="F631" s="59"/>
      <c r="G631" s="59"/>
      <c r="H631" s="59"/>
      <c r="I631" s="59"/>
      <c r="J631" s="59"/>
      <c r="K631" s="59"/>
      <c r="L631" s="59"/>
      <c r="M631" s="59"/>
      <c r="N631" s="59"/>
      <c r="O631" s="100"/>
      <c r="P631" s="100"/>
      <c r="Q631" s="100"/>
      <c r="R631" s="100"/>
      <c r="S631" s="100"/>
      <c r="T631" s="100"/>
      <c r="U631" s="100"/>
      <c r="V631" s="100"/>
      <c r="W631" s="100"/>
      <c r="X631" s="100"/>
      <c r="Y631" s="100"/>
      <c r="Z631" s="100"/>
    </row>
    <row r="632" ht="14.25" customHeight="1">
      <c r="A632" s="59"/>
      <c r="B632" s="59"/>
      <c r="C632" s="59"/>
      <c r="D632" s="59"/>
      <c r="E632" s="59"/>
      <c r="F632" s="59"/>
      <c r="G632" s="59"/>
      <c r="H632" s="59"/>
      <c r="I632" s="59"/>
      <c r="J632" s="59"/>
      <c r="K632" s="59"/>
      <c r="L632" s="59"/>
      <c r="M632" s="59"/>
      <c r="N632" s="59"/>
      <c r="O632" s="100"/>
      <c r="P632" s="100"/>
      <c r="Q632" s="100"/>
      <c r="R632" s="100"/>
      <c r="S632" s="100"/>
      <c r="T632" s="100"/>
      <c r="U632" s="100"/>
      <c r="V632" s="100"/>
      <c r="W632" s="100"/>
      <c r="X632" s="100"/>
      <c r="Y632" s="100"/>
      <c r="Z632" s="100"/>
    </row>
    <row r="633" ht="14.25" customHeight="1">
      <c r="A633" s="59"/>
      <c r="B633" s="59"/>
      <c r="C633" s="59"/>
      <c r="D633" s="59"/>
      <c r="E633" s="59"/>
      <c r="F633" s="59"/>
      <c r="G633" s="59"/>
      <c r="H633" s="59"/>
      <c r="I633" s="59"/>
      <c r="J633" s="59"/>
      <c r="K633" s="59"/>
      <c r="L633" s="59"/>
      <c r="M633" s="59"/>
      <c r="N633" s="59"/>
      <c r="O633" s="100"/>
      <c r="P633" s="100"/>
      <c r="Q633" s="100"/>
      <c r="R633" s="100"/>
      <c r="S633" s="100"/>
      <c r="T633" s="100"/>
      <c r="U633" s="100"/>
      <c r="V633" s="100"/>
      <c r="W633" s="100"/>
      <c r="X633" s="100"/>
      <c r="Y633" s="100"/>
      <c r="Z633" s="100"/>
    </row>
    <row r="634" ht="14.25" customHeight="1">
      <c r="A634" s="59"/>
      <c r="B634" s="59"/>
      <c r="C634" s="59"/>
      <c r="D634" s="59"/>
      <c r="E634" s="59"/>
      <c r="F634" s="59"/>
      <c r="G634" s="59"/>
      <c r="H634" s="59"/>
      <c r="I634" s="59"/>
      <c r="J634" s="59"/>
      <c r="K634" s="59"/>
      <c r="L634" s="59"/>
      <c r="M634" s="59"/>
      <c r="N634" s="59"/>
      <c r="O634" s="100"/>
      <c r="P634" s="100"/>
      <c r="Q634" s="100"/>
      <c r="R634" s="100"/>
      <c r="S634" s="100"/>
      <c r="T634" s="100"/>
      <c r="U634" s="100"/>
      <c r="V634" s="100"/>
      <c r="W634" s="100"/>
      <c r="X634" s="100"/>
      <c r="Y634" s="100"/>
      <c r="Z634" s="100"/>
    </row>
    <row r="635" ht="14.25" customHeight="1">
      <c r="A635" s="59"/>
      <c r="B635" s="59"/>
      <c r="C635" s="59"/>
      <c r="D635" s="59"/>
      <c r="E635" s="59"/>
      <c r="F635" s="59"/>
      <c r="G635" s="59"/>
      <c r="H635" s="59"/>
      <c r="I635" s="59"/>
      <c r="J635" s="59"/>
      <c r="K635" s="59"/>
      <c r="L635" s="59"/>
      <c r="M635" s="59"/>
      <c r="N635" s="59"/>
      <c r="O635" s="100"/>
      <c r="P635" s="100"/>
      <c r="Q635" s="100"/>
      <c r="R635" s="100"/>
      <c r="S635" s="100"/>
      <c r="T635" s="100"/>
      <c r="U635" s="100"/>
      <c r="V635" s="100"/>
      <c r="W635" s="100"/>
      <c r="X635" s="100"/>
      <c r="Y635" s="100"/>
      <c r="Z635" s="100"/>
    </row>
    <row r="636" ht="14.25" customHeight="1">
      <c r="A636" s="59"/>
      <c r="B636" s="59"/>
      <c r="C636" s="59"/>
      <c r="D636" s="59"/>
      <c r="E636" s="59"/>
      <c r="F636" s="59"/>
      <c r="G636" s="59"/>
      <c r="H636" s="59"/>
      <c r="I636" s="59"/>
      <c r="J636" s="59"/>
      <c r="K636" s="59"/>
      <c r="L636" s="59"/>
      <c r="M636" s="59"/>
      <c r="N636" s="59"/>
      <c r="O636" s="100"/>
      <c r="P636" s="100"/>
      <c r="Q636" s="100"/>
      <c r="R636" s="100"/>
      <c r="S636" s="100"/>
      <c r="T636" s="100"/>
      <c r="U636" s="100"/>
      <c r="V636" s="100"/>
      <c r="W636" s="100"/>
      <c r="X636" s="100"/>
      <c r="Y636" s="100"/>
      <c r="Z636" s="100"/>
    </row>
    <row r="637" ht="14.25" customHeight="1">
      <c r="A637" s="59"/>
      <c r="B637" s="59"/>
      <c r="C637" s="59"/>
      <c r="D637" s="59"/>
      <c r="E637" s="59"/>
      <c r="F637" s="59"/>
      <c r="G637" s="59"/>
      <c r="H637" s="59"/>
      <c r="I637" s="59"/>
      <c r="J637" s="59"/>
      <c r="K637" s="59"/>
      <c r="L637" s="59"/>
      <c r="M637" s="59"/>
      <c r="N637" s="59"/>
      <c r="O637" s="100"/>
      <c r="P637" s="100"/>
      <c r="Q637" s="100"/>
      <c r="R637" s="100"/>
      <c r="S637" s="100"/>
      <c r="T637" s="100"/>
      <c r="U637" s="100"/>
      <c r="V637" s="100"/>
      <c r="W637" s="100"/>
      <c r="X637" s="100"/>
      <c r="Y637" s="100"/>
      <c r="Z637" s="100"/>
    </row>
    <row r="638" ht="14.25" customHeight="1">
      <c r="A638" s="59"/>
      <c r="B638" s="59"/>
      <c r="C638" s="59"/>
      <c r="D638" s="59"/>
      <c r="E638" s="59"/>
      <c r="F638" s="59"/>
      <c r="G638" s="59"/>
      <c r="H638" s="59"/>
      <c r="I638" s="59"/>
      <c r="J638" s="59"/>
      <c r="K638" s="59"/>
      <c r="L638" s="59"/>
      <c r="M638" s="59"/>
      <c r="N638" s="59"/>
      <c r="O638" s="100"/>
      <c r="P638" s="100"/>
      <c r="Q638" s="100"/>
      <c r="R638" s="100"/>
      <c r="S638" s="100"/>
      <c r="T638" s="100"/>
      <c r="U638" s="100"/>
      <c r="V638" s="100"/>
      <c r="W638" s="100"/>
      <c r="X638" s="100"/>
      <c r="Y638" s="100"/>
      <c r="Z638" s="100"/>
    </row>
    <row r="639" ht="14.25" customHeight="1">
      <c r="A639" s="59"/>
      <c r="B639" s="59"/>
      <c r="C639" s="59"/>
      <c r="D639" s="59"/>
      <c r="E639" s="59"/>
      <c r="F639" s="59"/>
      <c r="G639" s="59"/>
      <c r="H639" s="59"/>
      <c r="I639" s="59"/>
      <c r="J639" s="59"/>
      <c r="K639" s="59"/>
      <c r="L639" s="59"/>
      <c r="M639" s="59"/>
      <c r="N639" s="59"/>
      <c r="O639" s="100"/>
      <c r="P639" s="100"/>
      <c r="Q639" s="100"/>
      <c r="R639" s="100"/>
      <c r="S639" s="100"/>
      <c r="T639" s="100"/>
      <c r="U639" s="100"/>
      <c r="V639" s="100"/>
      <c r="W639" s="100"/>
      <c r="X639" s="100"/>
      <c r="Y639" s="100"/>
      <c r="Z639" s="100"/>
    </row>
    <row r="640" ht="14.25" customHeight="1">
      <c r="A640" s="59"/>
      <c r="B640" s="59"/>
      <c r="C640" s="59"/>
      <c r="D640" s="59"/>
      <c r="E640" s="59"/>
      <c r="F640" s="59"/>
      <c r="G640" s="59"/>
      <c r="H640" s="59"/>
      <c r="I640" s="59"/>
      <c r="J640" s="59"/>
      <c r="K640" s="59"/>
      <c r="L640" s="59"/>
      <c r="M640" s="59"/>
      <c r="N640" s="59"/>
      <c r="O640" s="100"/>
      <c r="P640" s="100"/>
      <c r="Q640" s="100"/>
      <c r="R640" s="100"/>
      <c r="S640" s="100"/>
      <c r="T640" s="100"/>
      <c r="U640" s="100"/>
      <c r="V640" s="100"/>
      <c r="W640" s="100"/>
      <c r="X640" s="100"/>
      <c r="Y640" s="100"/>
      <c r="Z640" s="100"/>
    </row>
    <row r="641" ht="14.25" customHeight="1">
      <c r="A641" s="59"/>
      <c r="B641" s="59"/>
      <c r="C641" s="59"/>
      <c r="D641" s="59"/>
      <c r="E641" s="59"/>
      <c r="F641" s="59"/>
      <c r="G641" s="59"/>
      <c r="H641" s="59"/>
      <c r="I641" s="59"/>
      <c r="J641" s="59"/>
      <c r="K641" s="59"/>
      <c r="L641" s="59"/>
      <c r="M641" s="59"/>
      <c r="N641" s="59"/>
      <c r="O641" s="100"/>
      <c r="P641" s="100"/>
      <c r="Q641" s="100"/>
      <c r="R641" s="100"/>
      <c r="S641" s="100"/>
      <c r="T641" s="100"/>
      <c r="U641" s="100"/>
      <c r="V641" s="100"/>
      <c r="W641" s="100"/>
      <c r="X641" s="100"/>
      <c r="Y641" s="100"/>
      <c r="Z641" s="100"/>
    </row>
    <row r="642" ht="14.25" customHeight="1">
      <c r="A642" s="59"/>
      <c r="B642" s="59"/>
      <c r="C642" s="59"/>
      <c r="D642" s="59"/>
      <c r="E642" s="59"/>
      <c r="F642" s="59"/>
      <c r="G642" s="59"/>
      <c r="H642" s="59"/>
      <c r="I642" s="59"/>
      <c r="J642" s="59"/>
      <c r="K642" s="59"/>
      <c r="L642" s="59"/>
      <c r="M642" s="59"/>
      <c r="N642" s="59"/>
      <c r="O642" s="100"/>
      <c r="P642" s="100"/>
      <c r="Q642" s="100"/>
      <c r="R642" s="100"/>
      <c r="S642" s="100"/>
      <c r="T642" s="100"/>
      <c r="U642" s="100"/>
      <c r="V642" s="100"/>
      <c r="W642" s="100"/>
      <c r="X642" s="100"/>
      <c r="Y642" s="100"/>
      <c r="Z642" s="100"/>
    </row>
    <row r="643" ht="14.25" customHeight="1">
      <c r="A643" s="59"/>
      <c r="B643" s="59"/>
      <c r="C643" s="59"/>
      <c r="D643" s="59"/>
      <c r="E643" s="59"/>
      <c r="F643" s="59"/>
      <c r="G643" s="59"/>
      <c r="H643" s="59"/>
      <c r="I643" s="59"/>
      <c r="J643" s="59"/>
      <c r="K643" s="59"/>
      <c r="L643" s="59"/>
      <c r="M643" s="59"/>
      <c r="N643" s="59"/>
      <c r="O643" s="100"/>
      <c r="P643" s="100"/>
      <c r="Q643" s="100"/>
      <c r="R643" s="100"/>
      <c r="S643" s="100"/>
      <c r="T643" s="100"/>
      <c r="U643" s="100"/>
      <c r="V643" s="100"/>
      <c r="W643" s="100"/>
      <c r="X643" s="100"/>
      <c r="Y643" s="100"/>
      <c r="Z643" s="100"/>
    </row>
    <row r="644" ht="14.25" customHeight="1">
      <c r="A644" s="59"/>
      <c r="B644" s="59"/>
      <c r="C644" s="59"/>
      <c r="D644" s="59"/>
      <c r="E644" s="59"/>
      <c r="F644" s="59"/>
      <c r="G644" s="59"/>
      <c r="H644" s="59"/>
      <c r="I644" s="59"/>
      <c r="J644" s="59"/>
      <c r="K644" s="59"/>
      <c r="L644" s="59"/>
      <c r="M644" s="59"/>
      <c r="N644" s="59"/>
      <c r="O644" s="100"/>
      <c r="P644" s="100"/>
      <c r="Q644" s="100"/>
      <c r="R644" s="100"/>
      <c r="S644" s="100"/>
      <c r="T644" s="100"/>
      <c r="U644" s="100"/>
      <c r="V644" s="100"/>
      <c r="W644" s="100"/>
      <c r="X644" s="100"/>
      <c r="Y644" s="100"/>
      <c r="Z644" s="100"/>
    </row>
    <row r="645" ht="14.25" customHeight="1">
      <c r="A645" s="59"/>
      <c r="B645" s="59"/>
      <c r="C645" s="59"/>
      <c r="D645" s="59"/>
      <c r="E645" s="59"/>
      <c r="F645" s="59"/>
      <c r="G645" s="59"/>
      <c r="H645" s="59"/>
      <c r="I645" s="59"/>
      <c r="J645" s="59"/>
      <c r="K645" s="59"/>
      <c r="L645" s="59"/>
      <c r="M645" s="59"/>
      <c r="N645" s="59"/>
      <c r="O645" s="100"/>
      <c r="P645" s="100"/>
      <c r="Q645" s="100"/>
      <c r="R645" s="100"/>
      <c r="S645" s="100"/>
      <c r="T645" s="100"/>
      <c r="U645" s="100"/>
      <c r="V645" s="100"/>
      <c r="W645" s="100"/>
      <c r="X645" s="100"/>
      <c r="Y645" s="100"/>
      <c r="Z645" s="100"/>
    </row>
    <row r="646" ht="14.25" customHeight="1">
      <c r="A646" s="59"/>
      <c r="B646" s="59"/>
      <c r="C646" s="59"/>
      <c r="D646" s="59"/>
      <c r="E646" s="59"/>
      <c r="F646" s="59"/>
      <c r="G646" s="59"/>
      <c r="H646" s="59"/>
      <c r="I646" s="59"/>
      <c r="J646" s="59"/>
      <c r="K646" s="59"/>
      <c r="L646" s="59"/>
      <c r="M646" s="59"/>
      <c r="N646" s="59"/>
      <c r="O646" s="100"/>
      <c r="P646" s="100"/>
      <c r="Q646" s="100"/>
      <c r="R646" s="100"/>
      <c r="S646" s="100"/>
      <c r="T646" s="100"/>
      <c r="U646" s="100"/>
      <c r="V646" s="100"/>
      <c r="W646" s="100"/>
      <c r="X646" s="100"/>
      <c r="Y646" s="100"/>
      <c r="Z646" s="100"/>
    </row>
    <row r="647" ht="14.25" customHeight="1">
      <c r="A647" s="59"/>
      <c r="B647" s="59"/>
      <c r="C647" s="59"/>
      <c r="D647" s="59"/>
      <c r="E647" s="59"/>
      <c r="F647" s="59"/>
      <c r="G647" s="59"/>
      <c r="H647" s="59"/>
      <c r="I647" s="59"/>
      <c r="J647" s="59"/>
      <c r="K647" s="59"/>
      <c r="L647" s="59"/>
      <c r="M647" s="59"/>
      <c r="N647" s="59"/>
      <c r="O647" s="100"/>
      <c r="P647" s="100"/>
      <c r="Q647" s="100"/>
      <c r="R647" s="100"/>
      <c r="S647" s="100"/>
      <c r="T647" s="100"/>
      <c r="U647" s="100"/>
      <c r="V647" s="100"/>
      <c r="W647" s="100"/>
      <c r="X647" s="100"/>
      <c r="Y647" s="100"/>
      <c r="Z647" s="100"/>
    </row>
    <row r="648" ht="14.25" customHeight="1">
      <c r="A648" s="59"/>
      <c r="B648" s="59"/>
      <c r="C648" s="59"/>
      <c r="D648" s="59"/>
      <c r="E648" s="59"/>
      <c r="F648" s="59"/>
      <c r="G648" s="59"/>
      <c r="H648" s="59"/>
      <c r="I648" s="59"/>
      <c r="J648" s="59"/>
      <c r="K648" s="59"/>
      <c r="L648" s="59"/>
      <c r="M648" s="59"/>
      <c r="N648" s="59"/>
      <c r="O648" s="100"/>
      <c r="P648" s="100"/>
      <c r="Q648" s="100"/>
      <c r="R648" s="100"/>
      <c r="S648" s="100"/>
      <c r="T648" s="100"/>
      <c r="U648" s="100"/>
      <c r="V648" s="100"/>
      <c r="W648" s="100"/>
      <c r="X648" s="100"/>
      <c r="Y648" s="100"/>
      <c r="Z648" s="100"/>
    </row>
    <row r="649" ht="14.25" customHeight="1">
      <c r="A649" s="59"/>
      <c r="B649" s="59"/>
      <c r="C649" s="59"/>
      <c r="D649" s="59"/>
      <c r="E649" s="59"/>
      <c r="F649" s="59"/>
      <c r="G649" s="59"/>
      <c r="H649" s="59"/>
      <c r="I649" s="59"/>
      <c r="J649" s="59"/>
      <c r="K649" s="59"/>
      <c r="L649" s="59"/>
      <c r="M649" s="59"/>
      <c r="N649" s="59"/>
      <c r="O649" s="100"/>
      <c r="P649" s="100"/>
      <c r="Q649" s="100"/>
      <c r="R649" s="100"/>
      <c r="S649" s="100"/>
      <c r="T649" s="100"/>
      <c r="U649" s="100"/>
      <c r="V649" s="100"/>
      <c r="W649" s="100"/>
      <c r="X649" s="100"/>
      <c r="Y649" s="100"/>
      <c r="Z649" s="100"/>
    </row>
    <row r="650" ht="14.25" customHeight="1">
      <c r="A650" s="59"/>
      <c r="B650" s="59"/>
      <c r="C650" s="59"/>
      <c r="D650" s="59"/>
      <c r="E650" s="59"/>
      <c r="F650" s="59"/>
      <c r="G650" s="59"/>
      <c r="H650" s="59"/>
      <c r="I650" s="59"/>
      <c r="J650" s="59"/>
      <c r="K650" s="59"/>
      <c r="L650" s="59"/>
      <c r="M650" s="59"/>
      <c r="N650" s="59"/>
      <c r="O650" s="100"/>
      <c r="P650" s="100"/>
      <c r="Q650" s="100"/>
      <c r="R650" s="100"/>
      <c r="S650" s="100"/>
      <c r="T650" s="100"/>
      <c r="U650" s="100"/>
      <c r="V650" s="100"/>
      <c r="W650" s="100"/>
      <c r="X650" s="100"/>
      <c r="Y650" s="100"/>
      <c r="Z650" s="100"/>
    </row>
    <row r="651" ht="14.25" customHeight="1">
      <c r="A651" s="59"/>
      <c r="B651" s="59"/>
      <c r="C651" s="59"/>
      <c r="D651" s="59"/>
      <c r="E651" s="59"/>
      <c r="F651" s="59"/>
      <c r="G651" s="59"/>
      <c r="H651" s="59"/>
      <c r="I651" s="59"/>
      <c r="J651" s="59"/>
      <c r="K651" s="59"/>
      <c r="L651" s="59"/>
      <c r="M651" s="59"/>
      <c r="N651" s="59"/>
      <c r="O651" s="100"/>
      <c r="P651" s="100"/>
      <c r="Q651" s="100"/>
      <c r="R651" s="100"/>
      <c r="S651" s="100"/>
      <c r="T651" s="100"/>
      <c r="U651" s="100"/>
      <c r="V651" s="100"/>
      <c r="W651" s="100"/>
      <c r="X651" s="100"/>
      <c r="Y651" s="100"/>
      <c r="Z651" s="100"/>
    </row>
    <row r="652" ht="14.25" customHeight="1">
      <c r="A652" s="59"/>
      <c r="B652" s="59"/>
      <c r="C652" s="59"/>
      <c r="D652" s="59"/>
      <c r="E652" s="59"/>
      <c r="F652" s="59"/>
      <c r="G652" s="59"/>
      <c r="H652" s="59"/>
      <c r="I652" s="59"/>
      <c r="J652" s="59"/>
      <c r="K652" s="59"/>
      <c r="L652" s="59"/>
      <c r="M652" s="59"/>
      <c r="N652" s="59"/>
      <c r="O652" s="100"/>
      <c r="P652" s="100"/>
      <c r="Q652" s="100"/>
      <c r="R652" s="100"/>
      <c r="S652" s="100"/>
      <c r="T652" s="100"/>
      <c r="U652" s="100"/>
      <c r="V652" s="100"/>
      <c r="W652" s="100"/>
      <c r="X652" s="100"/>
      <c r="Y652" s="100"/>
      <c r="Z652" s="100"/>
    </row>
    <row r="653" ht="14.25" customHeight="1">
      <c r="A653" s="59"/>
      <c r="B653" s="59"/>
      <c r="C653" s="59"/>
      <c r="D653" s="59"/>
      <c r="E653" s="59"/>
      <c r="F653" s="59"/>
      <c r="G653" s="59"/>
      <c r="H653" s="59"/>
      <c r="I653" s="59"/>
      <c r="J653" s="59"/>
      <c r="K653" s="59"/>
      <c r="L653" s="59"/>
      <c r="M653" s="59"/>
      <c r="N653" s="59"/>
      <c r="O653" s="100"/>
      <c r="P653" s="100"/>
      <c r="Q653" s="100"/>
      <c r="R653" s="100"/>
      <c r="S653" s="100"/>
      <c r="T653" s="100"/>
      <c r="U653" s="100"/>
      <c r="V653" s="100"/>
      <c r="W653" s="100"/>
      <c r="X653" s="100"/>
      <c r="Y653" s="100"/>
      <c r="Z653" s="100"/>
    </row>
    <row r="654" ht="14.25" customHeight="1">
      <c r="A654" s="59"/>
      <c r="B654" s="59"/>
      <c r="C654" s="59"/>
      <c r="D654" s="59"/>
      <c r="E654" s="59"/>
      <c r="F654" s="59"/>
      <c r="G654" s="59"/>
      <c r="H654" s="59"/>
      <c r="I654" s="59"/>
      <c r="J654" s="59"/>
      <c r="K654" s="59"/>
      <c r="L654" s="59"/>
      <c r="M654" s="59"/>
      <c r="N654" s="59"/>
      <c r="O654" s="100"/>
      <c r="P654" s="100"/>
      <c r="Q654" s="100"/>
      <c r="R654" s="100"/>
      <c r="S654" s="100"/>
      <c r="T654" s="100"/>
      <c r="U654" s="100"/>
      <c r="V654" s="100"/>
      <c r="W654" s="100"/>
      <c r="X654" s="100"/>
      <c r="Y654" s="100"/>
      <c r="Z654" s="100"/>
    </row>
    <row r="655" ht="14.25" customHeight="1">
      <c r="A655" s="59"/>
      <c r="B655" s="59"/>
      <c r="C655" s="59"/>
      <c r="D655" s="59"/>
      <c r="E655" s="59"/>
      <c r="F655" s="59"/>
      <c r="G655" s="59"/>
      <c r="H655" s="59"/>
      <c r="I655" s="59"/>
      <c r="J655" s="59"/>
      <c r="K655" s="59"/>
      <c r="L655" s="59"/>
      <c r="M655" s="59"/>
      <c r="N655" s="59"/>
      <c r="O655" s="100"/>
      <c r="P655" s="100"/>
      <c r="Q655" s="100"/>
      <c r="R655" s="100"/>
      <c r="S655" s="100"/>
      <c r="T655" s="100"/>
      <c r="U655" s="100"/>
      <c r="V655" s="100"/>
      <c r="W655" s="100"/>
      <c r="X655" s="100"/>
      <c r="Y655" s="100"/>
      <c r="Z655" s="100"/>
    </row>
    <row r="656" ht="14.25" customHeight="1">
      <c r="A656" s="59"/>
      <c r="B656" s="59"/>
      <c r="C656" s="59"/>
      <c r="D656" s="59"/>
      <c r="E656" s="59"/>
      <c r="F656" s="59"/>
      <c r="G656" s="59"/>
      <c r="H656" s="59"/>
      <c r="I656" s="59"/>
      <c r="J656" s="59"/>
      <c r="K656" s="59"/>
      <c r="L656" s="59"/>
      <c r="M656" s="59"/>
      <c r="N656" s="59"/>
      <c r="O656" s="100"/>
      <c r="P656" s="100"/>
      <c r="Q656" s="100"/>
      <c r="R656" s="100"/>
      <c r="S656" s="100"/>
      <c r="T656" s="100"/>
      <c r="U656" s="100"/>
      <c r="V656" s="100"/>
      <c r="W656" s="100"/>
      <c r="X656" s="100"/>
      <c r="Y656" s="100"/>
      <c r="Z656" s="100"/>
    </row>
    <row r="657" ht="14.25" customHeight="1">
      <c r="A657" s="59"/>
      <c r="B657" s="59"/>
      <c r="C657" s="59"/>
      <c r="D657" s="59"/>
      <c r="E657" s="59"/>
      <c r="F657" s="59"/>
      <c r="G657" s="59"/>
      <c r="H657" s="59"/>
      <c r="I657" s="59"/>
      <c r="J657" s="59"/>
      <c r="K657" s="59"/>
      <c r="L657" s="59"/>
      <c r="M657" s="59"/>
      <c r="N657" s="59"/>
      <c r="O657" s="100"/>
      <c r="P657" s="100"/>
      <c r="Q657" s="100"/>
      <c r="R657" s="100"/>
      <c r="S657" s="100"/>
      <c r="T657" s="100"/>
      <c r="U657" s="100"/>
      <c r="V657" s="100"/>
      <c r="W657" s="100"/>
      <c r="X657" s="100"/>
      <c r="Y657" s="100"/>
      <c r="Z657" s="100"/>
    </row>
    <row r="658" ht="14.25" customHeight="1">
      <c r="A658" s="59"/>
      <c r="B658" s="59"/>
      <c r="C658" s="59"/>
      <c r="D658" s="59"/>
      <c r="E658" s="59"/>
      <c r="F658" s="59"/>
      <c r="G658" s="59"/>
      <c r="H658" s="59"/>
      <c r="I658" s="59"/>
      <c r="J658" s="59"/>
      <c r="K658" s="59"/>
      <c r="L658" s="59"/>
      <c r="M658" s="59"/>
      <c r="N658" s="59"/>
      <c r="O658" s="100"/>
      <c r="P658" s="100"/>
      <c r="Q658" s="100"/>
      <c r="R658" s="100"/>
      <c r="S658" s="100"/>
      <c r="T658" s="100"/>
      <c r="U658" s="100"/>
      <c r="V658" s="100"/>
      <c r="W658" s="100"/>
      <c r="X658" s="100"/>
      <c r="Y658" s="100"/>
      <c r="Z658" s="100"/>
    </row>
    <row r="659" ht="14.25" customHeight="1">
      <c r="A659" s="59"/>
      <c r="B659" s="59"/>
      <c r="C659" s="59"/>
      <c r="D659" s="59"/>
      <c r="E659" s="59"/>
      <c r="F659" s="59"/>
      <c r="G659" s="59"/>
      <c r="H659" s="59"/>
      <c r="I659" s="59"/>
      <c r="J659" s="59"/>
      <c r="K659" s="59"/>
      <c r="L659" s="59"/>
      <c r="M659" s="59"/>
      <c r="N659" s="59"/>
      <c r="O659" s="100"/>
      <c r="P659" s="100"/>
      <c r="Q659" s="100"/>
      <c r="R659" s="100"/>
      <c r="S659" s="100"/>
      <c r="T659" s="100"/>
      <c r="U659" s="100"/>
      <c r="V659" s="100"/>
      <c r="W659" s="100"/>
      <c r="X659" s="100"/>
      <c r="Y659" s="100"/>
      <c r="Z659" s="100"/>
    </row>
    <row r="660" ht="14.25" customHeight="1">
      <c r="A660" s="59"/>
      <c r="B660" s="59"/>
      <c r="C660" s="59"/>
      <c r="D660" s="59"/>
      <c r="E660" s="59"/>
      <c r="F660" s="59"/>
      <c r="G660" s="59"/>
      <c r="H660" s="59"/>
      <c r="I660" s="59"/>
      <c r="J660" s="59"/>
      <c r="K660" s="59"/>
      <c r="L660" s="59"/>
      <c r="M660" s="59"/>
      <c r="N660" s="59"/>
      <c r="O660" s="100"/>
      <c r="P660" s="100"/>
      <c r="Q660" s="100"/>
      <c r="R660" s="100"/>
      <c r="S660" s="100"/>
      <c r="T660" s="100"/>
      <c r="U660" s="100"/>
      <c r="V660" s="100"/>
      <c r="W660" s="100"/>
      <c r="X660" s="100"/>
      <c r="Y660" s="100"/>
      <c r="Z660" s="100"/>
    </row>
    <row r="661" ht="14.25" customHeight="1">
      <c r="A661" s="59"/>
      <c r="B661" s="59"/>
      <c r="C661" s="59"/>
      <c r="D661" s="59"/>
      <c r="E661" s="59"/>
      <c r="F661" s="59"/>
      <c r="G661" s="59"/>
      <c r="H661" s="59"/>
      <c r="I661" s="59"/>
      <c r="J661" s="59"/>
      <c r="K661" s="59"/>
      <c r="L661" s="59"/>
      <c r="M661" s="59"/>
      <c r="N661" s="59"/>
      <c r="O661" s="100"/>
      <c r="P661" s="100"/>
      <c r="Q661" s="100"/>
      <c r="R661" s="100"/>
      <c r="S661" s="100"/>
      <c r="T661" s="100"/>
      <c r="U661" s="100"/>
      <c r="V661" s="100"/>
      <c r="W661" s="100"/>
      <c r="X661" s="100"/>
      <c r="Y661" s="100"/>
      <c r="Z661" s="100"/>
    </row>
    <row r="662" ht="14.25" customHeight="1">
      <c r="A662" s="59"/>
      <c r="B662" s="59"/>
      <c r="C662" s="59"/>
      <c r="D662" s="59"/>
      <c r="E662" s="59"/>
      <c r="F662" s="59"/>
      <c r="G662" s="59"/>
      <c r="H662" s="59"/>
      <c r="I662" s="59"/>
      <c r="J662" s="59"/>
      <c r="K662" s="59"/>
      <c r="L662" s="59"/>
      <c r="M662" s="59"/>
      <c r="N662" s="59"/>
      <c r="O662" s="100"/>
      <c r="P662" s="100"/>
      <c r="Q662" s="100"/>
      <c r="R662" s="100"/>
      <c r="S662" s="100"/>
      <c r="T662" s="100"/>
      <c r="U662" s="100"/>
      <c r="V662" s="100"/>
      <c r="W662" s="100"/>
      <c r="X662" s="100"/>
      <c r="Y662" s="100"/>
      <c r="Z662" s="100"/>
    </row>
    <row r="663" ht="14.25" customHeight="1">
      <c r="A663" s="59"/>
      <c r="B663" s="59"/>
      <c r="C663" s="59"/>
      <c r="D663" s="59"/>
      <c r="E663" s="59"/>
      <c r="F663" s="59"/>
      <c r="G663" s="59"/>
      <c r="H663" s="59"/>
      <c r="I663" s="59"/>
      <c r="J663" s="59"/>
      <c r="K663" s="59"/>
      <c r="L663" s="59"/>
      <c r="M663" s="59"/>
      <c r="N663" s="59"/>
      <c r="O663" s="100"/>
      <c r="P663" s="100"/>
      <c r="Q663" s="100"/>
      <c r="R663" s="100"/>
      <c r="S663" s="100"/>
      <c r="T663" s="100"/>
      <c r="U663" s="100"/>
      <c r="V663" s="100"/>
      <c r="W663" s="100"/>
      <c r="X663" s="100"/>
      <c r="Y663" s="100"/>
      <c r="Z663" s="100"/>
    </row>
    <row r="664" ht="14.25" customHeight="1">
      <c r="A664" s="59"/>
      <c r="B664" s="59"/>
      <c r="C664" s="59"/>
      <c r="D664" s="59"/>
      <c r="E664" s="59"/>
      <c r="F664" s="59"/>
      <c r="G664" s="59"/>
      <c r="H664" s="59"/>
      <c r="I664" s="59"/>
      <c r="J664" s="59"/>
      <c r="K664" s="59"/>
      <c r="L664" s="59"/>
      <c r="M664" s="59"/>
      <c r="N664" s="59"/>
      <c r="O664" s="100"/>
      <c r="P664" s="100"/>
      <c r="Q664" s="100"/>
      <c r="R664" s="100"/>
      <c r="S664" s="100"/>
      <c r="T664" s="100"/>
      <c r="U664" s="100"/>
      <c r="V664" s="100"/>
      <c r="W664" s="100"/>
      <c r="X664" s="100"/>
      <c r="Y664" s="100"/>
      <c r="Z664" s="100"/>
    </row>
    <row r="665" ht="14.25" customHeight="1">
      <c r="A665" s="59"/>
      <c r="B665" s="59"/>
      <c r="C665" s="59"/>
      <c r="D665" s="59"/>
      <c r="E665" s="59"/>
      <c r="F665" s="59"/>
      <c r="G665" s="59"/>
      <c r="H665" s="59"/>
      <c r="I665" s="59"/>
      <c r="J665" s="59"/>
      <c r="K665" s="59"/>
      <c r="L665" s="59"/>
      <c r="M665" s="59"/>
      <c r="N665" s="59"/>
      <c r="O665" s="100"/>
      <c r="P665" s="100"/>
      <c r="Q665" s="100"/>
      <c r="R665" s="100"/>
      <c r="S665" s="100"/>
      <c r="T665" s="100"/>
      <c r="U665" s="100"/>
      <c r="V665" s="100"/>
      <c r="W665" s="100"/>
      <c r="X665" s="100"/>
      <c r="Y665" s="100"/>
      <c r="Z665" s="100"/>
    </row>
    <row r="666" ht="14.25" customHeight="1">
      <c r="A666" s="59"/>
      <c r="B666" s="59"/>
      <c r="C666" s="59"/>
      <c r="D666" s="59"/>
      <c r="E666" s="59"/>
      <c r="F666" s="59"/>
      <c r="G666" s="59"/>
      <c r="H666" s="59"/>
      <c r="I666" s="59"/>
      <c r="J666" s="59"/>
      <c r="K666" s="59"/>
      <c r="L666" s="59"/>
      <c r="M666" s="59"/>
      <c r="N666" s="59"/>
      <c r="O666" s="100"/>
      <c r="P666" s="100"/>
      <c r="Q666" s="100"/>
      <c r="R666" s="100"/>
      <c r="S666" s="100"/>
      <c r="T666" s="100"/>
      <c r="U666" s="100"/>
      <c r="V666" s="100"/>
      <c r="W666" s="100"/>
      <c r="X666" s="100"/>
      <c r="Y666" s="100"/>
      <c r="Z666" s="100"/>
    </row>
    <row r="667" ht="14.25" customHeight="1">
      <c r="A667" s="59"/>
      <c r="B667" s="59"/>
      <c r="C667" s="59"/>
      <c r="D667" s="59"/>
      <c r="E667" s="59"/>
      <c r="F667" s="59"/>
      <c r="G667" s="59"/>
      <c r="H667" s="59"/>
      <c r="I667" s="59"/>
      <c r="J667" s="59"/>
      <c r="K667" s="59"/>
      <c r="L667" s="59"/>
      <c r="M667" s="59"/>
      <c r="N667" s="59"/>
      <c r="O667" s="100"/>
      <c r="P667" s="100"/>
      <c r="Q667" s="100"/>
      <c r="R667" s="100"/>
      <c r="S667" s="100"/>
      <c r="T667" s="100"/>
      <c r="U667" s="100"/>
      <c r="V667" s="100"/>
      <c r="W667" s="100"/>
      <c r="X667" s="100"/>
      <c r="Y667" s="100"/>
      <c r="Z667" s="100"/>
    </row>
    <row r="668" ht="14.25" customHeight="1">
      <c r="A668" s="59"/>
      <c r="B668" s="59"/>
      <c r="C668" s="59"/>
      <c r="D668" s="59"/>
      <c r="E668" s="59"/>
      <c r="F668" s="59"/>
      <c r="G668" s="59"/>
      <c r="H668" s="59"/>
      <c r="I668" s="59"/>
      <c r="J668" s="59"/>
      <c r="K668" s="59"/>
      <c r="L668" s="59"/>
      <c r="M668" s="59"/>
      <c r="N668" s="59"/>
      <c r="O668" s="100"/>
      <c r="P668" s="100"/>
      <c r="Q668" s="100"/>
      <c r="R668" s="100"/>
      <c r="S668" s="100"/>
      <c r="T668" s="100"/>
      <c r="U668" s="100"/>
      <c r="V668" s="100"/>
      <c r="W668" s="100"/>
      <c r="X668" s="100"/>
      <c r="Y668" s="100"/>
      <c r="Z668" s="100"/>
    </row>
    <row r="669" ht="14.25" customHeight="1">
      <c r="A669" s="59"/>
      <c r="B669" s="59"/>
      <c r="C669" s="59"/>
      <c r="D669" s="59"/>
      <c r="E669" s="59"/>
      <c r="F669" s="59"/>
      <c r="G669" s="59"/>
      <c r="H669" s="59"/>
      <c r="I669" s="59"/>
      <c r="J669" s="59"/>
      <c r="K669" s="59"/>
      <c r="L669" s="59"/>
      <c r="M669" s="59"/>
      <c r="N669" s="59"/>
      <c r="O669" s="100"/>
      <c r="P669" s="100"/>
      <c r="Q669" s="100"/>
      <c r="R669" s="100"/>
      <c r="S669" s="100"/>
      <c r="T669" s="100"/>
      <c r="U669" s="100"/>
      <c r="V669" s="100"/>
      <c r="W669" s="100"/>
      <c r="X669" s="100"/>
      <c r="Y669" s="100"/>
      <c r="Z669" s="100"/>
    </row>
    <row r="670" ht="14.25" customHeight="1">
      <c r="A670" s="59"/>
      <c r="B670" s="59"/>
      <c r="C670" s="59"/>
      <c r="D670" s="59"/>
      <c r="E670" s="59"/>
      <c r="F670" s="59"/>
      <c r="G670" s="59"/>
      <c r="H670" s="59"/>
      <c r="I670" s="59"/>
      <c r="J670" s="59"/>
      <c r="K670" s="59"/>
      <c r="L670" s="59"/>
      <c r="M670" s="59"/>
      <c r="N670" s="59"/>
      <c r="O670" s="100"/>
      <c r="P670" s="100"/>
      <c r="Q670" s="100"/>
      <c r="R670" s="100"/>
      <c r="S670" s="100"/>
      <c r="T670" s="100"/>
      <c r="U670" s="100"/>
      <c r="V670" s="100"/>
      <c r="W670" s="100"/>
      <c r="X670" s="100"/>
      <c r="Y670" s="100"/>
      <c r="Z670" s="100"/>
    </row>
    <row r="671" ht="14.25" customHeight="1">
      <c r="A671" s="59"/>
      <c r="B671" s="59"/>
      <c r="C671" s="59"/>
      <c r="D671" s="59"/>
      <c r="E671" s="59"/>
      <c r="F671" s="59"/>
      <c r="G671" s="59"/>
      <c r="H671" s="59"/>
      <c r="I671" s="59"/>
      <c r="J671" s="59"/>
      <c r="K671" s="59"/>
      <c r="L671" s="59"/>
      <c r="M671" s="59"/>
      <c r="N671" s="59"/>
      <c r="O671" s="100"/>
      <c r="P671" s="100"/>
      <c r="Q671" s="100"/>
      <c r="R671" s="100"/>
      <c r="S671" s="100"/>
      <c r="T671" s="100"/>
      <c r="U671" s="100"/>
      <c r="V671" s="100"/>
      <c r="W671" s="100"/>
      <c r="X671" s="100"/>
      <c r="Y671" s="100"/>
      <c r="Z671" s="100"/>
    </row>
    <row r="672" ht="14.25" customHeight="1">
      <c r="A672" s="59"/>
      <c r="B672" s="59"/>
      <c r="C672" s="59"/>
      <c r="D672" s="59"/>
      <c r="E672" s="59"/>
      <c r="F672" s="59"/>
      <c r="G672" s="59"/>
      <c r="H672" s="59"/>
      <c r="I672" s="59"/>
      <c r="J672" s="59"/>
      <c r="K672" s="59"/>
      <c r="L672" s="59"/>
      <c r="M672" s="59"/>
      <c r="N672" s="59"/>
      <c r="O672" s="100"/>
      <c r="P672" s="100"/>
      <c r="Q672" s="100"/>
      <c r="R672" s="100"/>
      <c r="S672" s="100"/>
      <c r="T672" s="100"/>
      <c r="U672" s="100"/>
      <c r="V672" s="100"/>
      <c r="W672" s="100"/>
      <c r="X672" s="100"/>
      <c r="Y672" s="100"/>
      <c r="Z672" s="100"/>
    </row>
    <row r="673" ht="14.25" customHeight="1">
      <c r="A673" s="59"/>
      <c r="B673" s="59"/>
      <c r="C673" s="59"/>
      <c r="D673" s="59"/>
      <c r="E673" s="59"/>
      <c r="F673" s="59"/>
      <c r="G673" s="59"/>
      <c r="H673" s="59"/>
      <c r="I673" s="59"/>
      <c r="J673" s="59"/>
      <c r="K673" s="59"/>
      <c r="L673" s="59"/>
      <c r="M673" s="59"/>
      <c r="N673" s="59"/>
      <c r="O673" s="100"/>
      <c r="P673" s="100"/>
      <c r="Q673" s="100"/>
      <c r="R673" s="100"/>
      <c r="S673" s="100"/>
      <c r="T673" s="100"/>
      <c r="U673" s="100"/>
      <c r="V673" s="100"/>
      <c r="W673" s="100"/>
      <c r="X673" s="100"/>
      <c r="Y673" s="100"/>
      <c r="Z673" s="100"/>
    </row>
    <row r="674" ht="14.25" customHeight="1">
      <c r="A674" s="59"/>
      <c r="B674" s="59"/>
      <c r="C674" s="59"/>
      <c r="D674" s="59"/>
      <c r="E674" s="59"/>
      <c r="F674" s="59"/>
      <c r="G674" s="59"/>
      <c r="H674" s="59"/>
      <c r="I674" s="59"/>
      <c r="J674" s="59"/>
      <c r="K674" s="59"/>
      <c r="L674" s="59"/>
      <c r="M674" s="59"/>
      <c r="N674" s="59"/>
      <c r="O674" s="100"/>
      <c r="P674" s="100"/>
      <c r="Q674" s="100"/>
      <c r="R674" s="100"/>
      <c r="S674" s="100"/>
      <c r="T674" s="100"/>
      <c r="U674" s="100"/>
      <c r="V674" s="100"/>
      <c r="W674" s="100"/>
      <c r="X674" s="100"/>
      <c r="Y674" s="100"/>
      <c r="Z674" s="100"/>
    </row>
    <row r="675" ht="14.25" customHeight="1">
      <c r="A675" s="59"/>
      <c r="B675" s="59"/>
      <c r="C675" s="59"/>
      <c r="D675" s="59"/>
      <c r="E675" s="59"/>
      <c r="F675" s="59"/>
      <c r="G675" s="59"/>
      <c r="H675" s="59"/>
      <c r="I675" s="59"/>
      <c r="J675" s="59"/>
      <c r="K675" s="59"/>
      <c r="L675" s="59"/>
      <c r="M675" s="59"/>
      <c r="N675" s="59"/>
      <c r="O675" s="100"/>
      <c r="P675" s="100"/>
      <c r="Q675" s="100"/>
      <c r="R675" s="100"/>
      <c r="S675" s="100"/>
      <c r="T675" s="100"/>
      <c r="U675" s="100"/>
      <c r="V675" s="100"/>
      <c r="W675" s="100"/>
      <c r="X675" s="100"/>
      <c r="Y675" s="100"/>
      <c r="Z675" s="100"/>
    </row>
    <row r="676" ht="14.25" customHeight="1">
      <c r="A676" s="59"/>
      <c r="B676" s="59"/>
      <c r="C676" s="59"/>
      <c r="D676" s="59"/>
      <c r="E676" s="59"/>
      <c r="F676" s="59"/>
      <c r="G676" s="59"/>
      <c r="H676" s="59"/>
      <c r="I676" s="59"/>
      <c r="J676" s="59"/>
      <c r="K676" s="59"/>
      <c r="L676" s="59"/>
      <c r="M676" s="59"/>
      <c r="N676" s="59"/>
      <c r="O676" s="100"/>
      <c r="P676" s="100"/>
      <c r="Q676" s="100"/>
      <c r="R676" s="100"/>
      <c r="S676" s="100"/>
      <c r="T676" s="100"/>
      <c r="U676" s="100"/>
      <c r="V676" s="100"/>
      <c r="W676" s="100"/>
      <c r="X676" s="100"/>
      <c r="Y676" s="100"/>
      <c r="Z676" s="100"/>
    </row>
    <row r="677" ht="14.25" customHeight="1">
      <c r="A677" s="59"/>
      <c r="B677" s="59"/>
      <c r="C677" s="59"/>
      <c r="D677" s="59"/>
      <c r="E677" s="59"/>
      <c r="F677" s="59"/>
      <c r="G677" s="59"/>
      <c r="H677" s="59"/>
      <c r="I677" s="59"/>
      <c r="J677" s="59"/>
      <c r="K677" s="59"/>
      <c r="L677" s="59"/>
      <c r="M677" s="59"/>
      <c r="N677" s="59"/>
      <c r="O677" s="100"/>
      <c r="P677" s="100"/>
      <c r="Q677" s="100"/>
      <c r="R677" s="100"/>
      <c r="S677" s="100"/>
      <c r="T677" s="100"/>
      <c r="U677" s="100"/>
      <c r="V677" s="100"/>
      <c r="W677" s="100"/>
      <c r="X677" s="100"/>
      <c r="Y677" s="100"/>
      <c r="Z677" s="100"/>
    </row>
    <row r="678" ht="14.25" customHeight="1">
      <c r="A678" s="59"/>
      <c r="B678" s="59"/>
      <c r="C678" s="59"/>
      <c r="D678" s="59"/>
      <c r="E678" s="59"/>
      <c r="F678" s="59"/>
      <c r="G678" s="59"/>
      <c r="H678" s="59"/>
      <c r="I678" s="59"/>
      <c r="J678" s="59"/>
      <c r="K678" s="59"/>
      <c r="L678" s="59"/>
      <c r="M678" s="59"/>
      <c r="N678" s="59"/>
      <c r="O678" s="100"/>
      <c r="P678" s="100"/>
      <c r="Q678" s="100"/>
      <c r="R678" s="100"/>
      <c r="S678" s="100"/>
      <c r="T678" s="100"/>
      <c r="U678" s="100"/>
      <c r="V678" s="100"/>
      <c r="W678" s="100"/>
      <c r="X678" s="100"/>
      <c r="Y678" s="100"/>
      <c r="Z678" s="100"/>
    </row>
    <row r="679" ht="14.25" customHeight="1">
      <c r="A679" s="59"/>
      <c r="B679" s="59"/>
      <c r="C679" s="59"/>
      <c r="D679" s="59"/>
      <c r="E679" s="59"/>
      <c r="F679" s="59"/>
      <c r="G679" s="59"/>
      <c r="H679" s="59"/>
      <c r="I679" s="59"/>
      <c r="J679" s="59"/>
      <c r="K679" s="59"/>
      <c r="L679" s="59"/>
      <c r="M679" s="59"/>
      <c r="N679" s="59"/>
      <c r="O679" s="100"/>
      <c r="P679" s="100"/>
      <c r="Q679" s="100"/>
      <c r="R679" s="100"/>
      <c r="S679" s="100"/>
      <c r="T679" s="100"/>
      <c r="U679" s="100"/>
      <c r="V679" s="100"/>
      <c r="W679" s="100"/>
      <c r="X679" s="100"/>
      <c r="Y679" s="100"/>
      <c r="Z679" s="100"/>
    </row>
    <row r="680" ht="14.25" customHeight="1">
      <c r="A680" s="59"/>
      <c r="B680" s="59"/>
      <c r="C680" s="59"/>
      <c r="D680" s="59"/>
      <c r="E680" s="59"/>
      <c r="F680" s="59"/>
      <c r="G680" s="59"/>
      <c r="H680" s="59"/>
      <c r="I680" s="59"/>
      <c r="J680" s="59"/>
      <c r="K680" s="59"/>
      <c r="L680" s="59"/>
      <c r="M680" s="59"/>
      <c r="N680" s="59"/>
      <c r="O680" s="100"/>
      <c r="P680" s="100"/>
      <c r="Q680" s="100"/>
      <c r="R680" s="100"/>
      <c r="S680" s="100"/>
      <c r="T680" s="100"/>
      <c r="U680" s="100"/>
      <c r="V680" s="100"/>
      <c r="W680" s="100"/>
      <c r="X680" s="100"/>
      <c r="Y680" s="100"/>
      <c r="Z680" s="100"/>
    </row>
    <row r="681" ht="14.25" customHeight="1">
      <c r="A681" s="59"/>
      <c r="B681" s="59"/>
      <c r="C681" s="59"/>
      <c r="D681" s="59"/>
      <c r="E681" s="59"/>
      <c r="F681" s="59"/>
      <c r="G681" s="59"/>
      <c r="H681" s="59"/>
      <c r="I681" s="59"/>
      <c r="J681" s="59"/>
      <c r="K681" s="59"/>
      <c r="L681" s="59"/>
      <c r="M681" s="59"/>
      <c r="N681" s="59"/>
      <c r="O681" s="100"/>
      <c r="P681" s="100"/>
      <c r="Q681" s="100"/>
      <c r="R681" s="100"/>
      <c r="S681" s="100"/>
      <c r="T681" s="100"/>
      <c r="U681" s="100"/>
      <c r="V681" s="100"/>
      <c r="W681" s="100"/>
      <c r="X681" s="100"/>
      <c r="Y681" s="100"/>
      <c r="Z681" s="100"/>
    </row>
    <row r="682" ht="14.25" customHeight="1">
      <c r="A682" s="59"/>
      <c r="B682" s="59"/>
      <c r="C682" s="59"/>
      <c r="D682" s="59"/>
      <c r="E682" s="59"/>
      <c r="F682" s="59"/>
      <c r="G682" s="59"/>
      <c r="H682" s="59"/>
      <c r="I682" s="59"/>
      <c r="J682" s="59"/>
      <c r="K682" s="59"/>
      <c r="L682" s="59"/>
      <c r="M682" s="59"/>
      <c r="N682" s="59"/>
      <c r="O682" s="100"/>
      <c r="P682" s="100"/>
      <c r="Q682" s="100"/>
      <c r="R682" s="100"/>
      <c r="S682" s="100"/>
      <c r="T682" s="100"/>
      <c r="U682" s="100"/>
      <c r="V682" s="100"/>
      <c r="W682" s="100"/>
      <c r="X682" s="100"/>
      <c r="Y682" s="100"/>
      <c r="Z682" s="100"/>
    </row>
    <row r="683" ht="14.25" customHeight="1">
      <c r="A683" s="59"/>
      <c r="B683" s="59"/>
      <c r="C683" s="59"/>
      <c r="D683" s="59"/>
      <c r="E683" s="59"/>
      <c r="F683" s="59"/>
      <c r="G683" s="59"/>
      <c r="H683" s="59"/>
      <c r="I683" s="59"/>
      <c r="J683" s="59"/>
      <c r="K683" s="59"/>
      <c r="L683" s="59"/>
      <c r="M683" s="59"/>
      <c r="N683" s="59"/>
      <c r="O683" s="100"/>
      <c r="P683" s="100"/>
      <c r="Q683" s="100"/>
      <c r="R683" s="100"/>
      <c r="S683" s="100"/>
      <c r="T683" s="100"/>
      <c r="U683" s="100"/>
      <c r="V683" s="100"/>
      <c r="W683" s="100"/>
      <c r="X683" s="100"/>
      <c r="Y683" s="100"/>
      <c r="Z683" s="100"/>
    </row>
    <row r="684" ht="14.25" customHeight="1">
      <c r="A684" s="59"/>
      <c r="B684" s="59"/>
      <c r="C684" s="59"/>
      <c r="D684" s="59"/>
      <c r="E684" s="59"/>
      <c r="F684" s="59"/>
      <c r="G684" s="59"/>
      <c r="H684" s="59"/>
      <c r="I684" s="59"/>
      <c r="J684" s="59"/>
      <c r="K684" s="59"/>
      <c r="L684" s="59"/>
      <c r="M684" s="59"/>
      <c r="N684" s="59"/>
      <c r="O684" s="100"/>
      <c r="P684" s="100"/>
      <c r="Q684" s="100"/>
      <c r="R684" s="100"/>
      <c r="S684" s="100"/>
      <c r="T684" s="100"/>
      <c r="U684" s="100"/>
      <c r="V684" s="100"/>
      <c r="W684" s="100"/>
      <c r="X684" s="100"/>
      <c r="Y684" s="100"/>
      <c r="Z684" s="100"/>
    </row>
    <row r="685" ht="14.25" customHeight="1">
      <c r="A685" s="59"/>
      <c r="B685" s="59"/>
      <c r="C685" s="59"/>
      <c r="D685" s="59"/>
      <c r="E685" s="59"/>
      <c r="F685" s="59"/>
      <c r="G685" s="59"/>
      <c r="H685" s="59"/>
      <c r="I685" s="59"/>
      <c r="J685" s="59"/>
      <c r="K685" s="59"/>
      <c r="L685" s="59"/>
      <c r="M685" s="59"/>
      <c r="N685" s="59"/>
      <c r="O685" s="100"/>
      <c r="P685" s="100"/>
      <c r="Q685" s="100"/>
      <c r="R685" s="100"/>
      <c r="S685" s="100"/>
      <c r="T685" s="100"/>
      <c r="U685" s="100"/>
      <c r="V685" s="100"/>
      <c r="W685" s="100"/>
      <c r="X685" s="100"/>
      <c r="Y685" s="100"/>
      <c r="Z685" s="100"/>
    </row>
    <row r="686" ht="14.25" customHeight="1">
      <c r="A686" s="59"/>
      <c r="B686" s="59"/>
      <c r="C686" s="59"/>
      <c r="D686" s="59"/>
      <c r="E686" s="59"/>
      <c r="F686" s="59"/>
      <c r="G686" s="59"/>
      <c r="H686" s="59"/>
      <c r="I686" s="59"/>
      <c r="J686" s="59"/>
      <c r="K686" s="59"/>
      <c r="L686" s="59"/>
      <c r="M686" s="59"/>
      <c r="N686" s="59"/>
      <c r="O686" s="100"/>
      <c r="P686" s="100"/>
      <c r="Q686" s="100"/>
      <c r="R686" s="100"/>
      <c r="S686" s="100"/>
      <c r="T686" s="100"/>
      <c r="U686" s="100"/>
      <c r="V686" s="100"/>
      <c r="W686" s="100"/>
      <c r="X686" s="100"/>
      <c r="Y686" s="100"/>
      <c r="Z686" s="100"/>
    </row>
    <row r="687" ht="14.25" customHeight="1">
      <c r="A687" s="59"/>
      <c r="B687" s="59"/>
      <c r="C687" s="59"/>
      <c r="D687" s="59"/>
      <c r="E687" s="59"/>
      <c r="F687" s="59"/>
      <c r="G687" s="59"/>
      <c r="H687" s="59"/>
      <c r="I687" s="59"/>
      <c r="J687" s="59"/>
      <c r="K687" s="59"/>
      <c r="L687" s="59"/>
      <c r="M687" s="59"/>
      <c r="N687" s="59"/>
      <c r="O687" s="100"/>
      <c r="P687" s="100"/>
      <c r="Q687" s="100"/>
      <c r="R687" s="100"/>
      <c r="S687" s="100"/>
      <c r="T687" s="100"/>
      <c r="U687" s="100"/>
      <c r="V687" s="100"/>
      <c r="W687" s="100"/>
      <c r="X687" s="100"/>
      <c r="Y687" s="100"/>
      <c r="Z687" s="100"/>
    </row>
    <row r="688" ht="14.25" customHeight="1">
      <c r="A688" s="59"/>
      <c r="B688" s="59"/>
      <c r="C688" s="59"/>
      <c r="D688" s="59"/>
      <c r="E688" s="59"/>
      <c r="F688" s="59"/>
      <c r="G688" s="59"/>
      <c r="H688" s="59"/>
      <c r="I688" s="59"/>
      <c r="J688" s="59"/>
      <c r="K688" s="59"/>
      <c r="L688" s="59"/>
      <c r="M688" s="59"/>
      <c r="N688" s="59"/>
      <c r="O688" s="100"/>
      <c r="P688" s="100"/>
      <c r="Q688" s="100"/>
      <c r="R688" s="100"/>
      <c r="S688" s="100"/>
      <c r="T688" s="100"/>
      <c r="U688" s="100"/>
      <c r="V688" s="100"/>
      <c r="W688" s="100"/>
      <c r="X688" s="100"/>
      <c r="Y688" s="100"/>
      <c r="Z688" s="100"/>
    </row>
    <row r="689" ht="14.25" customHeight="1">
      <c r="A689" s="59"/>
      <c r="B689" s="59"/>
      <c r="C689" s="59"/>
      <c r="D689" s="59"/>
      <c r="E689" s="59"/>
      <c r="F689" s="59"/>
      <c r="G689" s="59"/>
      <c r="H689" s="59"/>
      <c r="I689" s="59"/>
      <c r="J689" s="59"/>
      <c r="K689" s="59"/>
      <c r="L689" s="59"/>
      <c r="M689" s="59"/>
      <c r="N689" s="59"/>
      <c r="O689" s="100"/>
      <c r="P689" s="100"/>
      <c r="Q689" s="100"/>
      <c r="R689" s="100"/>
      <c r="S689" s="100"/>
      <c r="T689" s="100"/>
      <c r="U689" s="100"/>
      <c r="V689" s="100"/>
      <c r="W689" s="100"/>
      <c r="X689" s="100"/>
      <c r="Y689" s="100"/>
      <c r="Z689" s="100"/>
    </row>
    <row r="690" ht="14.25" customHeight="1">
      <c r="A690" s="59"/>
      <c r="B690" s="59"/>
      <c r="C690" s="59"/>
      <c r="D690" s="59"/>
      <c r="E690" s="59"/>
      <c r="F690" s="59"/>
      <c r="G690" s="59"/>
      <c r="H690" s="59"/>
      <c r="I690" s="59"/>
      <c r="J690" s="59"/>
      <c r="K690" s="59"/>
      <c r="L690" s="59"/>
      <c r="M690" s="59"/>
      <c r="N690" s="59"/>
      <c r="O690" s="100"/>
      <c r="P690" s="100"/>
      <c r="Q690" s="100"/>
      <c r="R690" s="100"/>
      <c r="S690" s="100"/>
      <c r="T690" s="100"/>
      <c r="U690" s="100"/>
      <c r="V690" s="100"/>
      <c r="W690" s="100"/>
      <c r="X690" s="100"/>
      <c r="Y690" s="100"/>
      <c r="Z690" s="100"/>
    </row>
    <row r="691" ht="14.25" customHeight="1">
      <c r="A691" s="59"/>
      <c r="B691" s="59"/>
      <c r="C691" s="59"/>
      <c r="D691" s="59"/>
      <c r="E691" s="59"/>
      <c r="F691" s="59"/>
      <c r="G691" s="59"/>
      <c r="H691" s="59"/>
      <c r="I691" s="59"/>
      <c r="J691" s="59"/>
      <c r="K691" s="59"/>
      <c r="L691" s="59"/>
      <c r="M691" s="59"/>
      <c r="N691" s="59"/>
      <c r="O691" s="100"/>
      <c r="P691" s="100"/>
      <c r="Q691" s="100"/>
      <c r="R691" s="100"/>
      <c r="S691" s="100"/>
      <c r="T691" s="100"/>
      <c r="U691" s="100"/>
      <c r="V691" s="100"/>
      <c r="W691" s="100"/>
      <c r="X691" s="100"/>
      <c r="Y691" s="100"/>
      <c r="Z691" s="100"/>
    </row>
    <row r="692" ht="14.25" customHeight="1">
      <c r="A692" s="59"/>
      <c r="B692" s="59"/>
      <c r="C692" s="59"/>
      <c r="D692" s="59"/>
      <c r="E692" s="59"/>
      <c r="F692" s="59"/>
      <c r="G692" s="59"/>
      <c r="H692" s="59"/>
      <c r="I692" s="59"/>
      <c r="J692" s="59"/>
      <c r="K692" s="59"/>
      <c r="L692" s="59"/>
      <c r="M692" s="59"/>
      <c r="N692" s="59"/>
      <c r="O692" s="100"/>
      <c r="P692" s="100"/>
      <c r="Q692" s="100"/>
      <c r="R692" s="100"/>
      <c r="S692" s="100"/>
      <c r="T692" s="100"/>
      <c r="U692" s="100"/>
      <c r="V692" s="100"/>
      <c r="W692" s="100"/>
      <c r="X692" s="100"/>
      <c r="Y692" s="100"/>
      <c r="Z692" s="100"/>
    </row>
    <row r="693" ht="14.25" customHeight="1">
      <c r="A693" s="59"/>
      <c r="B693" s="59"/>
      <c r="C693" s="59"/>
      <c r="D693" s="59"/>
      <c r="E693" s="59"/>
      <c r="F693" s="59"/>
      <c r="G693" s="59"/>
      <c r="H693" s="59"/>
      <c r="I693" s="59"/>
      <c r="J693" s="59"/>
      <c r="K693" s="59"/>
      <c r="L693" s="59"/>
      <c r="M693" s="59"/>
      <c r="N693" s="59"/>
      <c r="O693" s="100"/>
      <c r="P693" s="100"/>
      <c r="Q693" s="100"/>
      <c r="R693" s="100"/>
      <c r="S693" s="100"/>
      <c r="T693" s="100"/>
      <c r="U693" s="100"/>
      <c r="V693" s="100"/>
      <c r="W693" s="100"/>
      <c r="X693" s="100"/>
      <c r="Y693" s="100"/>
      <c r="Z693" s="100"/>
    </row>
    <row r="694" ht="14.25" customHeight="1">
      <c r="A694" s="59"/>
      <c r="B694" s="59"/>
      <c r="C694" s="59"/>
      <c r="D694" s="59"/>
      <c r="E694" s="59"/>
      <c r="F694" s="59"/>
      <c r="G694" s="59"/>
      <c r="H694" s="59"/>
      <c r="I694" s="59"/>
      <c r="J694" s="59"/>
      <c r="K694" s="59"/>
      <c r="L694" s="59"/>
      <c r="M694" s="59"/>
      <c r="N694" s="59"/>
      <c r="O694" s="100"/>
      <c r="P694" s="100"/>
      <c r="Q694" s="100"/>
      <c r="R694" s="100"/>
      <c r="S694" s="100"/>
      <c r="T694" s="100"/>
      <c r="U694" s="100"/>
      <c r="V694" s="100"/>
      <c r="W694" s="100"/>
      <c r="X694" s="100"/>
      <c r="Y694" s="100"/>
      <c r="Z694" s="100"/>
    </row>
    <row r="695" ht="14.25" customHeight="1">
      <c r="A695" s="59"/>
      <c r="B695" s="59"/>
      <c r="C695" s="59"/>
      <c r="D695" s="59"/>
      <c r="E695" s="59"/>
      <c r="F695" s="59"/>
      <c r="G695" s="59"/>
      <c r="H695" s="59"/>
      <c r="I695" s="59"/>
      <c r="J695" s="59"/>
      <c r="K695" s="59"/>
      <c r="L695" s="59"/>
      <c r="M695" s="59"/>
      <c r="N695" s="59"/>
      <c r="O695" s="100"/>
      <c r="P695" s="100"/>
      <c r="Q695" s="100"/>
      <c r="R695" s="100"/>
      <c r="S695" s="100"/>
      <c r="T695" s="100"/>
      <c r="U695" s="100"/>
      <c r="V695" s="100"/>
      <c r="W695" s="100"/>
      <c r="X695" s="100"/>
      <c r="Y695" s="100"/>
      <c r="Z695" s="100"/>
    </row>
    <row r="696" ht="14.25" customHeight="1">
      <c r="A696" s="59"/>
      <c r="B696" s="59"/>
      <c r="C696" s="59"/>
      <c r="D696" s="59"/>
      <c r="E696" s="59"/>
      <c r="F696" s="59"/>
      <c r="G696" s="59"/>
      <c r="H696" s="59"/>
      <c r="I696" s="59"/>
      <c r="J696" s="59"/>
      <c r="K696" s="59"/>
      <c r="L696" s="59"/>
      <c r="M696" s="59"/>
      <c r="N696" s="59"/>
      <c r="O696" s="100"/>
      <c r="P696" s="100"/>
      <c r="Q696" s="100"/>
      <c r="R696" s="100"/>
      <c r="S696" s="100"/>
      <c r="T696" s="100"/>
      <c r="U696" s="100"/>
      <c r="V696" s="100"/>
      <c r="W696" s="100"/>
      <c r="X696" s="100"/>
      <c r="Y696" s="100"/>
      <c r="Z696" s="100"/>
    </row>
    <row r="697" ht="14.25" customHeight="1">
      <c r="A697" s="59"/>
      <c r="B697" s="59"/>
      <c r="C697" s="59"/>
      <c r="D697" s="59"/>
      <c r="E697" s="59"/>
      <c r="F697" s="59"/>
      <c r="G697" s="59"/>
      <c r="H697" s="59"/>
      <c r="I697" s="59"/>
      <c r="J697" s="59"/>
      <c r="K697" s="59"/>
      <c r="L697" s="59"/>
      <c r="M697" s="59"/>
      <c r="N697" s="59"/>
      <c r="O697" s="100"/>
      <c r="P697" s="100"/>
      <c r="Q697" s="100"/>
      <c r="R697" s="100"/>
      <c r="S697" s="100"/>
      <c r="T697" s="100"/>
      <c r="U697" s="100"/>
      <c r="V697" s="100"/>
      <c r="W697" s="100"/>
      <c r="X697" s="100"/>
      <c r="Y697" s="100"/>
      <c r="Z697" s="100"/>
    </row>
    <row r="698" ht="14.25" customHeight="1">
      <c r="A698" s="59"/>
      <c r="B698" s="59"/>
      <c r="C698" s="59"/>
      <c r="D698" s="59"/>
      <c r="E698" s="59"/>
      <c r="F698" s="59"/>
      <c r="G698" s="59"/>
      <c r="H698" s="59"/>
      <c r="I698" s="59"/>
      <c r="J698" s="59"/>
      <c r="K698" s="59"/>
      <c r="L698" s="59"/>
      <c r="M698" s="59"/>
      <c r="N698" s="59"/>
      <c r="O698" s="100"/>
      <c r="P698" s="100"/>
      <c r="Q698" s="100"/>
      <c r="R698" s="100"/>
      <c r="S698" s="100"/>
      <c r="T698" s="100"/>
      <c r="U698" s="100"/>
      <c r="V698" s="100"/>
      <c r="W698" s="100"/>
      <c r="X698" s="100"/>
      <c r="Y698" s="100"/>
      <c r="Z698" s="100"/>
    </row>
    <row r="699" ht="14.25" customHeight="1">
      <c r="A699" s="59"/>
      <c r="B699" s="59"/>
      <c r="C699" s="59"/>
      <c r="D699" s="59"/>
      <c r="E699" s="59"/>
      <c r="F699" s="59"/>
      <c r="G699" s="59"/>
      <c r="H699" s="59"/>
      <c r="I699" s="59"/>
      <c r="J699" s="59"/>
      <c r="K699" s="59"/>
      <c r="L699" s="59"/>
      <c r="M699" s="59"/>
      <c r="N699" s="59"/>
      <c r="O699" s="100"/>
      <c r="P699" s="100"/>
      <c r="Q699" s="100"/>
      <c r="R699" s="100"/>
      <c r="S699" s="100"/>
      <c r="T699" s="100"/>
      <c r="U699" s="100"/>
      <c r="V699" s="100"/>
      <c r="W699" s="100"/>
      <c r="X699" s="100"/>
      <c r="Y699" s="100"/>
      <c r="Z699" s="100"/>
    </row>
    <row r="700" ht="14.25" customHeight="1">
      <c r="A700" s="59"/>
      <c r="B700" s="59"/>
      <c r="C700" s="59"/>
      <c r="D700" s="59"/>
      <c r="E700" s="59"/>
      <c r="F700" s="59"/>
      <c r="G700" s="59"/>
      <c r="H700" s="59"/>
      <c r="I700" s="59"/>
      <c r="J700" s="59"/>
      <c r="K700" s="59"/>
      <c r="L700" s="59"/>
      <c r="M700" s="59"/>
      <c r="N700" s="59"/>
      <c r="O700" s="100"/>
      <c r="P700" s="100"/>
      <c r="Q700" s="100"/>
      <c r="R700" s="100"/>
      <c r="S700" s="100"/>
      <c r="T700" s="100"/>
      <c r="U700" s="100"/>
      <c r="V700" s="100"/>
      <c r="W700" s="100"/>
      <c r="X700" s="100"/>
      <c r="Y700" s="100"/>
      <c r="Z700" s="100"/>
    </row>
    <row r="701" ht="14.25" customHeight="1">
      <c r="A701" s="59"/>
      <c r="B701" s="59"/>
      <c r="C701" s="59"/>
      <c r="D701" s="59"/>
      <c r="E701" s="59"/>
      <c r="F701" s="59"/>
      <c r="G701" s="59"/>
      <c r="H701" s="59"/>
      <c r="I701" s="59"/>
      <c r="J701" s="59"/>
      <c r="K701" s="59"/>
      <c r="L701" s="59"/>
      <c r="M701" s="59"/>
      <c r="N701" s="59"/>
      <c r="O701" s="100"/>
      <c r="P701" s="100"/>
      <c r="Q701" s="100"/>
      <c r="R701" s="100"/>
      <c r="S701" s="100"/>
      <c r="T701" s="100"/>
      <c r="U701" s="100"/>
      <c r="V701" s="100"/>
      <c r="W701" s="100"/>
      <c r="X701" s="100"/>
      <c r="Y701" s="100"/>
      <c r="Z701" s="100"/>
    </row>
    <row r="702" ht="14.25" customHeight="1">
      <c r="A702" s="59"/>
      <c r="B702" s="59"/>
      <c r="C702" s="59"/>
      <c r="D702" s="59"/>
      <c r="E702" s="59"/>
      <c r="F702" s="59"/>
      <c r="G702" s="59"/>
      <c r="H702" s="59"/>
      <c r="I702" s="59"/>
      <c r="J702" s="59"/>
      <c r="K702" s="59"/>
      <c r="L702" s="59"/>
      <c r="M702" s="59"/>
      <c r="N702" s="59"/>
      <c r="O702" s="100"/>
      <c r="P702" s="100"/>
      <c r="Q702" s="100"/>
      <c r="R702" s="100"/>
      <c r="S702" s="100"/>
      <c r="T702" s="100"/>
      <c r="U702" s="100"/>
      <c r="V702" s="100"/>
      <c r="W702" s="100"/>
      <c r="X702" s="100"/>
      <c r="Y702" s="100"/>
      <c r="Z702" s="100"/>
    </row>
    <row r="703" ht="14.25" customHeight="1">
      <c r="A703" s="59"/>
      <c r="B703" s="59"/>
      <c r="C703" s="59"/>
      <c r="D703" s="59"/>
      <c r="E703" s="59"/>
      <c r="F703" s="59"/>
      <c r="G703" s="59"/>
      <c r="H703" s="59"/>
      <c r="I703" s="59"/>
      <c r="J703" s="59"/>
      <c r="K703" s="59"/>
      <c r="L703" s="59"/>
      <c r="M703" s="59"/>
      <c r="N703" s="59"/>
      <c r="O703" s="100"/>
      <c r="P703" s="100"/>
      <c r="Q703" s="100"/>
      <c r="R703" s="100"/>
      <c r="S703" s="100"/>
      <c r="T703" s="100"/>
      <c r="U703" s="100"/>
      <c r="V703" s="100"/>
      <c r="W703" s="100"/>
      <c r="X703" s="100"/>
      <c r="Y703" s="100"/>
      <c r="Z703" s="100"/>
    </row>
    <row r="704" ht="14.25" customHeight="1">
      <c r="A704" s="59"/>
      <c r="B704" s="59"/>
      <c r="C704" s="59"/>
      <c r="D704" s="59"/>
      <c r="E704" s="59"/>
      <c r="F704" s="59"/>
      <c r="G704" s="59"/>
      <c r="H704" s="59"/>
      <c r="I704" s="59"/>
      <c r="J704" s="59"/>
      <c r="K704" s="59"/>
      <c r="L704" s="59"/>
      <c r="M704" s="59"/>
      <c r="N704" s="59"/>
      <c r="O704" s="100"/>
      <c r="P704" s="100"/>
      <c r="Q704" s="100"/>
      <c r="R704" s="100"/>
      <c r="S704" s="100"/>
      <c r="T704" s="100"/>
      <c r="U704" s="100"/>
      <c r="V704" s="100"/>
      <c r="W704" s="100"/>
      <c r="X704" s="100"/>
      <c r="Y704" s="100"/>
      <c r="Z704" s="100"/>
    </row>
    <row r="705" ht="14.25" customHeight="1">
      <c r="A705" s="59"/>
      <c r="B705" s="59"/>
      <c r="C705" s="59"/>
      <c r="D705" s="59"/>
      <c r="E705" s="59"/>
      <c r="F705" s="59"/>
      <c r="G705" s="59"/>
      <c r="H705" s="59"/>
      <c r="I705" s="59"/>
      <c r="J705" s="59"/>
      <c r="K705" s="59"/>
      <c r="L705" s="59"/>
      <c r="M705" s="59"/>
      <c r="N705" s="59"/>
      <c r="O705" s="100"/>
      <c r="P705" s="100"/>
      <c r="Q705" s="100"/>
      <c r="R705" s="100"/>
      <c r="S705" s="100"/>
      <c r="T705" s="100"/>
      <c r="U705" s="100"/>
      <c r="V705" s="100"/>
      <c r="W705" s="100"/>
      <c r="X705" s="100"/>
      <c r="Y705" s="100"/>
      <c r="Z705" s="100"/>
    </row>
    <row r="706" ht="14.25" customHeight="1">
      <c r="A706" s="59"/>
      <c r="B706" s="59"/>
      <c r="C706" s="59"/>
      <c r="D706" s="59"/>
      <c r="E706" s="59"/>
      <c r="F706" s="59"/>
      <c r="G706" s="59"/>
      <c r="H706" s="59"/>
      <c r="I706" s="59"/>
      <c r="J706" s="59"/>
      <c r="K706" s="59"/>
      <c r="L706" s="59"/>
      <c r="M706" s="59"/>
      <c r="N706" s="59"/>
      <c r="O706" s="100"/>
      <c r="P706" s="100"/>
      <c r="Q706" s="100"/>
      <c r="R706" s="100"/>
      <c r="S706" s="100"/>
      <c r="T706" s="100"/>
      <c r="U706" s="100"/>
      <c r="V706" s="100"/>
      <c r="W706" s="100"/>
      <c r="X706" s="100"/>
      <c r="Y706" s="100"/>
      <c r="Z706" s="100"/>
    </row>
    <row r="707" ht="14.25" customHeight="1">
      <c r="A707" s="59"/>
      <c r="B707" s="59"/>
      <c r="C707" s="59"/>
      <c r="D707" s="59"/>
      <c r="E707" s="59"/>
      <c r="F707" s="59"/>
      <c r="G707" s="59"/>
      <c r="H707" s="59"/>
      <c r="I707" s="59"/>
      <c r="J707" s="59"/>
      <c r="K707" s="59"/>
      <c r="L707" s="59"/>
      <c r="M707" s="59"/>
      <c r="N707" s="59"/>
      <c r="O707" s="100"/>
      <c r="P707" s="100"/>
      <c r="Q707" s="100"/>
      <c r="R707" s="100"/>
      <c r="S707" s="100"/>
      <c r="T707" s="100"/>
      <c r="U707" s="100"/>
      <c r="V707" s="100"/>
      <c r="W707" s="100"/>
      <c r="X707" s="100"/>
      <c r="Y707" s="100"/>
      <c r="Z707" s="100"/>
    </row>
    <row r="708" ht="14.25" customHeight="1">
      <c r="A708" s="59"/>
      <c r="B708" s="59"/>
      <c r="C708" s="59"/>
      <c r="D708" s="59"/>
      <c r="E708" s="59"/>
      <c r="F708" s="59"/>
      <c r="G708" s="59"/>
      <c r="H708" s="59"/>
      <c r="I708" s="59"/>
      <c r="J708" s="59"/>
      <c r="K708" s="59"/>
      <c r="L708" s="59"/>
      <c r="M708" s="59"/>
      <c r="N708" s="59"/>
      <c r="O708" s="100"/>
      <c r="P708" s="100"/>
      <c r="Q708" s="100"/>
      <c r="R708" s="100"/>
      <c r="S708" s="100"/>
      <c r="T708" s="100"/>
      <c r="U708" s="100"/>
      <c r="V708" s="100"/>
      <c r="W708" s="100"/>
      <c r="X708" s="100"/>
      <c r="Y708" s="100"/>
      <c r="Z708" s="100"/>
    </row>
    <row r="709" ht="14.25" customHeight="1">
      <c r="A709" s="59"/>
      <c r="B709" s="59"/>
      <c r="C709" s="59"/>
      <c r="D709" s="59"/>
      <c r="E709" s="59"/>
      <c r="F709" s="59"/>
      <c r="G709" s="59"/>
      <c r="H709" s="59"/>
      <c r="I709" s="59"/>
      <c r="J709" s="59"/>
      <c r="K709" s="59"/>
      <c r="L709" s="59"/>
      <c r="M709" s="59"/>
      <c r="N709" s="59"/>
      <c r="O709" s="100"/>
      <c r="P709" s="100"/>
      <c r="Q709" s="100"/>
      <c r="R709" s="100"/>
      <c r="S709" s="100"/>
      <c r="T709" s="100"/>
      <c r="U709" s="100"/>
      <c r="V709" s="100"/>
      <c r="W709" s="100"/>
      <c r="X709" s="100"/>
      <c r="Y709" s="100"/>
      <c r="Z709" s="100"/>
    </row>
    <row r="710" ht="14.25" customHeight="1">
      <c r="A710" s="59"/>
      <c r="B710" s="59"/>
      <c r="C710" s="59"/>
      <c r="D710" s="59"/>
      <c r="E710" s="59"/>
      <c r="F710" s="59"/>
      <c r="G710" s="59"/>
      <c r="H710" s="59"/>
      <c r="I710" s="59"/>
      <c r="J710" s="59"/>
      <c r="K710" s="59"/>
      <c r="L710" s="59"/>
      <c r="M710" s="59"/>
      <c r="N710" s="59"/>
      <c r="O710" s="100"/>
      <c r="P710" s="100"/>
      <c r="Q710" s="100"/>
      <c r="R710" s="100"/>
      <c r="S710" s="100"/>
      <c r="T710" s="100"/>
      <c r="U710" s="100"/>
      <c r="V710" s="100"/>
      <c r="W710" s="100"/>
      <c r="X710" s="100"/>
      <c r="Y710" s="100"/>
      <c r="Z710" s="100"/>
    </row>
    <row r="711" ht="14.25" customHeight="1">
      <c r="A711" s="59"/>
      <c r="B711" s="59"/>
      <c r="C711" s="59"/>
      <c r="D711" s="59"/>
      <c r="E711" s="59"/>
      <c r="F711" s="59"/>
      <c r="G711" s="59"/>
      <c r="H711" s="59"/>
      <c r="I711" s="59"/>
      <c r="J711" s="59"/>
      <c r="K711" s="59"/>
      <c r="L711" s="59"/>
      <c r="M711" s="59"/>
      <c r="N711" s="59"/>
      <c r="O711" s="100"/>
      <c r="P711" s="100"/>
      <c r="Q711" s="100"/>
      <c r="R711" s="100"/>
      <c r="S711" s="100"/>
      <c r="T711" s="100"/>
      <c r="U711" s="100"/>
      <c r="V711" s="100"/>
      <c r="W711" s="100"/>
      <c r="X711" s="100"/>
      <c r="Y711" s="100"/>
      <c r="Z711" s="100"/>
    </row>
    <row r="712" ht="14.25" customHeight="1">
      <c r="A712" s="59"/>
      <c r="B712" s="59"/>
      <c r="C712" s="59"/>
      <c r="D712" s="59"/>
      <c r="E712" s="59"/>
      <c r="F712" s="59"/>
      <c r="G712" s="59"/>
      <c r="H712" s="59"/>
      <c r="I712" s="59"/>
      <c r="J712" s="59"/>
      <c r="K712" s="59"/>
      <c r="L712" s="59"/>
      <c r="M712" s="59"/>
      <c r="N712" s="59"/>
      <c r="O712" s="100"/>
      <c r="P712" s="100"/>
      <c r="Q712" s="100"/>
      <c r="R712" s="100"/>
      <c r="S712" s="100"/>
      <c r="T712" s="100"/>
      <c r="U712" s="100"/>
      <c r="V712" s="100"/>
      <c r="W712" s="100"/>
      <c r="X712" s="100"/>
      <c r="Y712" s="100"/>
      <c r="Z712" s="100"/>
    </row>
    <row r="713" ht="14.25" customHeight="1">
      <c r="A713" s="59"/>
      <c r="B713" s="59"/>
      <c r="C713" s="59"/>
      <c r="D713" s="59"/>
      <c r="E713" s="59"/>
      <c r="F713" s="59"/>
      <c r="G713" s="59"/>
      <c r="H713" s="59"/>
      <c r="I713" s="59"/>
      <c r="J713" s="59"/>
      <c r="K713" s="59"/>
      <c r="L713" s="59"/>
      <c r="M713" s="59"/>
      <c r="N713" s="59"/>
      <c r="O713" s="100"/>
      <c r="P713" s="100"/>
      <c r="Q713" s="100"/>
      <c r="R713" s="100"/>
      <c r="S713" s="100"/>
      <c r="T713" s="100"/>
      <c r="U713" s="100"/>
      <c r="V713" s="100"/>
      <c r="W713" s="100"/>
      <c r="X713" s="100"/>
      <c r="Y713" s="100"/>
      <c r="Z713" s="100"/>
    </row>
    <row r="714" ht="14.25" customHeight="1">
      <c r="A714" s="59"/>
      <c r="B714" s="59"/>
      <c r="C714" s="59"/>
      <c r="D714" s="59"/>
      <c r="E714" s="59"/>
      <c r="F714" s="59"/>
      <c r="G714" s="59"/>
      <c r="H714" s="59"/>
      <c r="I714" s="59"/>
      <c r="J714" s="59"/>
      <c r="K714" s="59"/>
      <c r="L714" s="59"/>
      <c r="M714" s="59"/>
      <c r="N714" s="59"/>
      <c r="O714" s="100"/>
      <c r="P714" s="100"/>
      <c r="Q714" s="100"/>
      <c r="R714" s="100"/>
      <c r="S714" s="100"/>
      <c r="T714" s="100"/>
      <c r="U714" s="100"/>
      <c r="V714" s="100"/>
      <c r="W714" s="100"/>
      <c r="X714" s="100"/>
      <c r="Y714" s="100"/>
      <c r="Z714" s="100"/>
    </row>
    <row r="715" ht="14.25" customHeight="1">
      <c r="A715" s="59"/>
      <c r="B715" s="59"/>
      <c r="C715" s="59"/>
      <c r="D715" s="59"/>
      <c r="E715" s="59"/>
      <c r="F715" s="59"/>
      <c r="G715" s="59"/>
      <c r="H715" s="59"/>
      <c r="I715" s="59"/>
      <c r="J715" s="59"/>
      <c r="K715" s="59"/>
      <c r="L715" s="59"/>
      <c r="M715" s="59"/>
      <c r="N715" s="59"/>
      <c r="O715" s="100"/>
      <c r="P715" s="100"/>
      <c r="Q715" s="100"/>
      <c r="R715" s="100"/>
      <c r="S715" s="100"/>
      <c r="T715" s="100"/>
      <c r="U715" s="100"/>
      <c r="V715" s="100"/>
      <c r="W715" s="100"/>
      <c r="X715" s="100"/>
      <c r="Y715" s="100"/>
      <c r="Z715" s="100"/>
    </row>
    <row r="716" ht="14.25" customHeight="1">
      <c r="A716" s="59"/>
      <c r="B716" s="59"/>
      <c r="C716" s="59"/>
      <c r="D716" s="59"/>
      <c r="E716" s="59"/>
      <c r="F716" s="59"/>
      <c r="G716" s="59"/>
      <c r="H716" s="59"/>
      <c r="I716" s="59"/>
      <c r="J716" s="59"/>
      <c r="K716" s="59"/>
      <c r="L716" s="59"/>
      <c r="M716" s="59"/>
      <c r="N716" s="59"/>
      <c r="O716" s="100"/>
      <c r="P716" s="100"/>
      <c r="Q716" s="100"/>
      <c r="R716" s="100"/>
      <c r="S716" s="100"/>
      <c r="T716" s="100"/>
      <c r="U716" s="100"/>
      <c r="V716" s="100"/>
      <c r="W716" s="100"/>
      <c r="X716" s="100"/>
      <c r="Y716" s="100"/>
      <c r="Z716" s="100"/>
    </row>
    <row r="717" ht="14.25" customHeight="1">
      <c r="A717" s="59"/>
      <c r="B717" s="59"/>
      <c r="C717" s="59"/>
      <c r="D717" s="59"/>
      <c r="E717" s="59"/>
      <c r="F717" s="59"/>
      <c r="G717" s="59"/>
      <c r="H717" s="59"/>
      <c r="I717" s="59"/>
      <c r="J717" s="59"/>
      <c r="K717" s="59"/>
      <c r="L717" s="59"/>
      <c r="M717" s="59"/>
      <c r="N717" s="59"/>
      <c r="O717" s="100"/>
      <c r="P717" s="100"/>
      <c r="Q717" s="100"/>
      <c r="R717" s="100"/>
      <c r="S717" s="100"/>
      <c r="T717" s="100"/>
      <c r="U717" s="100"/>
      <c r="V717" s="100"/>
      <c r="W717" s="100"/>
      <c r="X717" s="100"/>
      <c r="Y717" s="100"/>
      <c r="Z717" s="100"/>
    </row>
    <row r="718" ht="14.25" customHeight="1">
      <c r="A718" s="59"/>
      <c r="B718" s="59"/>
      <c r="C718" s="59"/>
      <c r="D718" s="59"/>
      <c r="E718" s="59"/>
      <c r="F718" s="59"/>
      <c r="G718" s="59"/>
      <c r="H718" s="59"/>
      <c r="I718" s="59"/>
      <c r="J718" s="59"/>
      <c r="K718" s="59"/>
      <c r="L718" s="59"/>
      <c r="M718" s="59"/>
      <c r="N718" s="59"/>
      <c r="O718" s="100"/>
      <c r="P718" s="100"/>
      <c r="Q718" s="100"/>
      <c r="R718" s="100"/>
      <c r="S718" s="100"/>
      <c r="T718" s="100"/>
      <c r="U718" s="100"/>
      <c r="V718" s="100"/>
      <c r="W718" s="100"/>
      <c r="X718" s="100"/>
      <c r="Y718" s="100"/>
      <c r="Z718" s="100"/>
    </row>
    <row r="719" ht="14.25" customHeight="1">
      <c r="A719" s="59"/>
      <c r="B719" s="59"/>
      <c r="C719" s="59"/>
      <c r="D719" s="59"/>
      <c r="E719" s="59"/>
      <c r="F719" s="59"/>
      <c r="G719" s="59"/>
      <c r="H719" s="59"/>
      <c r="I719" s="59"/>
      <c r="J719" s="59"/>
      <c r="K719" s="59"/>
      <c r="L719" s="59"/>
      <c r="M719" s="59"/>
      <c r="N719" s="59"/>
      <c r="O719" s="100"/>
      <c r="P719" s="100"/>
      <c r="Q719" s="100"/>
      <c r="R719" s="100"/>
      <c r="S719" s="100"/>
      <c r="T719" s="100"/>
      <c r="U719" s="100"/>
      <c r="V719" s="100"/>
      <c r="W719" s="100"/>
      <c r="X719" s="100"/>
      <c r="Y719" s="100"/>
      <c r="Z719" s="100"/>
    </row>
    <row r="720" ht="14.25" customHeight="1">
      <c r="A720" s="59"/>
      <c r="B720" s="59"/>
      <c r="C720" s="59"/>
      <c r="D720" s="59"/>
      <c r="E720" s="59"/>
      <c r="F720" s="59"/>
      <c r="G720" s="59"/>
      <c r="H720" s="59"/>
      <c r="I720" s="59"/>
      <c r="J720" s="59"/>
      <c r="K720" s="59"/>
      <c r="L720" s="59"/>
      <c r="M720" s="59"/>
      <c r="N720" s="59"/>
      <c r="O720" s="100"/>
      <c r="P720" s="100"/>
      <c r="Q720" s="100"/>
      <c r="R720" s="100"/>
      <c r="S720" s="100"/>
      <c r="T720" s="100"/>
      <c r="U720" s="100"/>
      <c r="V720" s="100"/>
      <c r="W720" s="100"/>
      <c r="X720" s="100"/>
      <c r="Y720" s="100"/>
      <c r="Z720" s="100"/>
    </row>
    <row r="721" ht="14.25" customHeight="1">
      <c r="A721" s="59"/>
      <c r="B721" s="59"/>
      <c r="C721" s="59"/>
      <c r="D721" s="59"/>
      <c r="E721" s="59"/>
      <c r="F721" s="59"/>
      <c r="G721" s="59"/>
      <c r="H721" s="59"/>
      <c r="I721" s="59"/>
      <c r="J721" s="59"/>
      <c r="K721" s="59"/>
      <c r="L721" s="59"/>
      <c r="M721" s="59"/>
      <c r="N721" s="59"/>
      <c r="O721" s="100"/>
      <c r="P721" s="100"/>
      <c r="Q721" s="100"/>
      <c r="R721" s="100"/>
      <c r="S721" s="100"/>
      <c r="T721" s="100"/>
      <c r="U721" s="100"/>
      <c r="V721" s="100"/>
      <c r="W721" s="100"/>
      <c r="X721" s="100"/>
      <c r="Y721" s="100"/>
      <c r="Z721" s="100"/>
    </row>
    <row r="722" ht="14.25" customHeight="1">
      <c r="A722" s="59"/>
      <c r="B722" s="59"/>
      <c r="C722" s="59"/>
      <c r="D722" s="59"/>
      <c r="E722" s="59"/>
      <c r="F722" s="59"/>
      <c r="G722" s="59"/>
      <c r="H722" s="59"/>
      <c r="I722" s="59"/>
      <c r="J722" s="59"/>
      <c r="K722" s="59"/>
      <c r="L722" s="59"/>
      <c r="M722" s="59"/>
      <c r="N722" s="59"/>
      <c r="O722" s="100"/>
      <c r="P722" s="100"/>
      <c r="Q722" s="100"/>
      <c r="R722" s="100"/>
      <c r="S722" s="100"/>
      <c r="T722" s="100"/>
      <c r="U722" s="100"/>
      <c r="V722" s="100"/>
      <c r="W722" s="100"/>
      <c r="X722" s="100"/>
      <c r="Y722" s="100"/>
      <c r="Z722" s="100"/>
    </row>
    <row r="723" ht="14.25" customHeight="1">
      <c r="A723" s="59"/>
      <c r="B723" s="59"/>
      <c r="C723" s="59"/>
      <c r="D723" s="59"/>
      <c r="E723" s="59"/>
      <c r="F723" s="59"/>
      <c r="G723" s="59"/>
      <c r="H723" s="59"/>
      <c r="I723" s="59"/>
      <c r="J723" s="59"/>
      <c r="K723" s="59"/>
      <c r="L723" s="59"/>
      <c r="M723" s="59"/>
      <c r="N723" s="59"/>
      <c r="O723" s="100"/>
      <c r="P723" s="100"/>
      <c r="Q723" s="100"/>
      <c r="R723" s="100"/>
      <c r="S723" s="100"/>
      <c r="T723" s="100"/>
      <c r="U723" s="100"/>
      <c r="V723" s="100"/>
      <c r="W723" s="100"/>
      <c r="X723" s="100"/>
      <c r="Y723" s="100"/>
      <c r="Z723" s="100"/>
    </row>
    <row r="724" ht="14.25" customHeight="1">
      <c r="A724" s="59"/>
      <c r="B724" s="59"/>
      <c r="C724" s="59"/>
      <c r="D724" s="59"/>
      <c r="E724" s="59"/>
      <c r="F724" s="59"/>
      <c r="G724" s="59"/>
      <c r="H724" s="59"/>
      <c r="I724" s="59"/>
      <c r="J724" s="59"/>
      <c r="K724" s="59"/>
      <c r="L724" s="59"/>
      <c r="M724" s="59"/>
      <c r="N724" s="59"/>
      <c r="O724" s="100"/>
      <c r="P724" s="100"/>
      <c r="Q724" s="100"/>
      <c r="R724" s="100"/>
      <c r="S724" s="100"/>
      <c r="T724" s="100"/>
      <c r="U724" s="100"/>
      <c r="V724" s="100"/>
      <c r="W724" s="100"/>
      <c r="X724" s="100"/>
      <c r="Y724" s="100"/>
      <c r="Z724" s="100"/>
    </row>
    <row r="725" ht="14.25" customHeight="1">
      <c r="A725" s="59"/>
      <c r="B725" s="59"/>
      <c r="C725" s="59"/>
      <c r="D725" s="59"/>
      <c r="E725" s="59"/>
      <c r="F725" s="59"/>
      <c r="G725" s="59"/>
      <c r="H725" s="59"/>
      <c r="I725" s="59"/>
      <c r="J725" s="59"/>
      <c r="K725" s="59"/>
      <c r="L725" s="59"/>
      <c r="M725" s="59"/>
      <c r="N725" s="59"/>
      <c r="O725" s="100"/>
      <c r="P725" s="100"/>
      <c r="Q725" s="100"/>
      <c r="R725" s="100"/>
      <c r="S725" s="100"/>
      <c r="T725" s="100"/>
      <c r="U725" s="100"/>
      <c r="V725" s="100"/>
      <c r="W725" s="100"/>
      <c r="X725" s="100"/>
      <c r="Y725" s="100"/>
      <c r="Z725" s="100"/>
    </row>
    <row r="726" ht="14.25" customHeight="1">
      <c r="A726" s="59"/>
      <c r="B726" s="59"/>
      <c r="C726" s="59"/>
      <c r="D726" s="59"/>
      <c r="E726" s="59"/>
      <c r="F726" s="59"/>
      <c r="G726" s="59"/>
      <c r="H726" s="59"/>
      <c r="I726" s="59"/>
      <c r="J726" s="59"/>
      <c r="K726" s="59"/>
      <c r="L726" s="59"/>
      <c r="M726" s="59"/>
      <c r="N726" s="59"/>
      <c r="O726" s="100"/>
      <c r="P726" s="100"/>
      <c r="Q726" s="100"/>
      <c r="R726" s="100"/>
      <c r="S726" s="100"/>
      <c r="T726" s="100"/>
      <c r="U726" s="100"/>
      <c r="V726" s="100"/>
      <c r="W726" s="100"/>
      <c r="X726" s="100"/>
      <c r="Y726" s="100"/>
      <c r="Z726" s="100"/>
    </row>
    <row r="727" ht="14.25" customHeight="1">
      <c r="A727" s="59"/>
      <c r="B727" s="59"/>
      <c r="C727" s="59"/>
      <c r="D727" s="59"/>
      <c r="E727" s="59"/>
      <c r="F727" s="59"/>
      <c r="G727" s="59"/>
      <c r="H727" s="59"/>
      <c r="I727" s="59"/>
      <c r="J727" s="59"/>
      <c r="K727" s="59"/>
      <c r="L727" s="59"/>
      <c r="M727" s="59"/>
      <c r="N727" s="59"/>
      <c r="O727" s="100"/>
      <c r="P727" s="100"/>
      <c r="Q727" s="100"/>
      <c r="R727" s="100"/>
      <c r="S727" s="100"/>
      <c r="T727" s="100"/>
      <c r="U727" s="100"/>
      <c r="V727" s="100"/>
      <c r="W727" s="100"/>
      <c r="X727" s="100"/>
      <c r="Y727" s="100"/>
      <c r="Z727" s="100"/>
    </row>
    <row r="728" ht="14.25" customHeight="1">
      <c r="A728" s="59"/>
      <c r="B728" s="59"/>
      <c r="C728" s="59"/>
      <c r="D728" s="59"/>
      <c r="E728" s="59"/>
      <c r="F728" s="59"/>
      <c r="G728" s="59"/>
      <c r="H728" s="59"/>
      <c r="I728" s="59"/>
      <c r="J728" s="59"/>
      <c r="K728" s="59"/>
      <c r="L728" s="59"/>
      <c r="M728" s="59"/>
      <c r="N728" s="59"/>
      <c r="O728" s="100"/>
      <c r="P728" s="100"/>
      <c r="Q728" s="100"/>
      <c r="R728" s="100"/>
      <c r="S728" s="100"/>
      <c r="T728" s="100"/>
      <c r="U728" s="100"/>
      <c r="V728" s="100"/>
      <c r="W728" s="100"/>
      <c r="X728" s="100"/>
      <c r="Y728" s="100"/>
      <c r="Z728" s="100"/>
    </row>
    <row r="729" ht="14.25" customHeight="1">
      <c r="A729" s="59"/>
      <c r="B729" s="59"/>
      <c r="C729" s="59"/>
      <c r="D729" s="59"/>
      <c r="E729" s="59"/>
      <c r="F729" s="59"/>
      <c r="G729" s="59"/>
      <c r="H729" s="59"/>
      <c r="I729" s="59"/>
      <c r="J729" s="59"/>
      <c r="K729" s="59"/>
      <c r="L729" s="59"/>
      <c r="M729" s="59"/>
      <c r="N729" s="59"/>
      <c r="O729" s="100"/>
      <c r="P729" s="100"/>
      <c r="Q729" s="100"/>
      <c r="R729" s="100"/>
      <c r="S729" s="100"/>
      <c r="T729" s="100"/>
      <c r="U729" s="100"/>
      <c r="V729" s="100"/>
      <c r="W729" s="100"/>
      <c r="X729" s="100"/>
      <c r="Y729" s="100"/>
      <c r="Z729" s="100"/>
    </row>
    <row r="730" ht="14.25" customHeight="1">
      <c r="A730" s="59"/>
      <c r="B730" s="59"/>
      <c r="C730" s="59"/>
      <c r="D730" s="59"/>
      <c r="E730" s="59"/>
      <c r="F730" s="59"/>
      <c r="G730" s="59"/>
      <c r="H730" s="59"/>
      <c r="I730" s="59"/>
      <c r="J730" s="59"/>
      <c r="K730" s="59"/>
      <c r="L730" s="59"/>
      <c r="M730" s="59"/>
      <c r="N730" s="59"/>
      <c r="O730" s="100"/>
      <c r="P730" s="100"/>
      <c r="Q730" s="100"/>
      <c r="R730" s="100"/>
      <c r="S730" s="100"/>
      <c r="T730" s="100"/>
      <c r="U730" s="100"/>
      <c r="V730" s="100"/>
      <c r="W730" s="100"/>
      <c r="X730" s="100"/>
      <c r="Y730" s="100"/>
      <c r="Z730" s="100"/>
    </row>
    <row r="731" ht="14.25" customHeight="1">
      <c r="A731" s="59"/>
      <c r="B731" s="59"/>
      <c r="C731" s="59"/>
      <c r="D731" s="59"/>
      <c r="E731" s="59"/>
      <c r="F731" s="59"/>
      <c r="G731" s="59"/>
      <c r="H731" s="59"/>
      <c r="I731" s="59"/>
      <c r="J731" s="59"/>
      <c r="K731" s="59"/>
      <c r="L731" s="59"/>
      <c r="M731" s="59"/>
      <c r="N731" s="59"/>
      <c r="O731" s="100"/>
      <c r="P731" s="100"/>
      <c r="Q731" s="100"/>
      <c r="R731" s="100"/>
      <c r="S731" s="100"/>
      <c r="T731" s="100"/>
      <c r="U731" s="100"/>
      <c r="V731" s="100"/>
      <c r="W731" s="100"/>
      <c r="X731" s="100"/>
      <c r="Y731" s="100"/>
      <c r="Z731" s="100"/>
    </row>
    <row r="732" ht="14.25" customHeight="1">
      <c r="A732" s="59"/>
      <c r="B732" s="59"/>
      <c r="C732" s="59"/>
      <c r="D732" s="59"/>
      <c r="E732" s="59"/>
      <c r="F732" s="59"/>
      <c r="G732" s="59"/>
      <c r="H732" s="59"/>
      <c r="I732" s="59"/>
      <c r="J732" s="59"/>
      <c r="K732" s="59"/>
      <c r="L732" s="59"/>
      <c r="M732" s="59"/>
      <c r="N732" s="59"/>
      <c r="O732" s="100"/>
      <c r="P732" s="100"/>
      <c r="Q732" s="100"/>
      <c r="R732" s="100"/>
      <c r="S732" s="100"/>
      <c r="T732" s="100"/>
      <c r="U732" s="100"/>
      <c r="V732" s="100"/>
      <c r="W732" s="100"/>
      <c r="X732" s="100"/>
      <c r="Y732" s="100"/>
      <c r="Z732" s="100"/>
    </row>
    <row r="733" ht="14.25" customHeight="1">
      <c r="A733" s="59"/>
      <c r="B733" s="59"/>
      <c r="C733" s="59"/>
      <c r="D733" s="59"/>
      <c r="E733" s="59"/>
      <c r="F733" s="59"/>
      <c r="G733" s="59"/>
      <c r="H733" s="59"/>
      <c r="I733" s="59"/>
      <c r="J733" s="59"/>
      <c r="K733" s="59"/>
      <c r="L733" s="59"/>
      <c r="M733" s="59"/>
      <c r="N733" s="59"/>
      <c r="O733" s="100"/>
      <c r="P733" s="100"/>
      <c r="Q733" s="100"/>
      <c r="R733" s="100"/>
      <c r="S733" s="100"/>
      <c r="T733" s="100"/>
      <c r="U733" s="100"/>
      <c r="V733" s="100"/>
      <c r="W733" s="100"/>
      <c r="X733" s="100"/>
      <c r="Y733" s="100"/>
      <c r="Z733" s="100"/>
    </row>
    <row r="734" ht="14.25" customHeight="1">
      <c r="A734" s="59"/>
      <c r="B734" s="59"/>
      <c r="C734" s="59"/>
      <c r="D734" s="59"/>
      <c r="E734" s="59"/>
      <c r="F734" s="59"/>
      <c r="G734" s="59"/>
      <c r="H734" s="59"/>
      <c r="I734" s="59"/>
      <c r="J734" s="59"/>
      <c r="K734" s="59"/>
      <c r="L734" s="59"/>
      <c r="M734" s="59"/>
      <c r="N734" s="59"/>
      <c r="O734" s="100"/>
      <c r="P734" s="100"/>
      <c r="Q734" s="100"/>
      <c r="R734" s="100"/>
      <c r="S734" s="100"/>
      <c r="T734" s="100"/>
      <c r="U734" s="100"/>
      <c r="V734" s="100"/>
      <c r="W734" s="100"/>
      <c r="X734" s="100"/>
      <c r="Y734" s="100"/>
      <c r="Z734" s="100"/>
    </row>
    <row r="735" ht="14.25" customHeight="1">
      <c r="A735" s="59"/>
      <c r="B735" s="59"/>
      <c r="C735" s="59"/>
      <c r="D735" s="59"/>
      <c r="E735" s="59"/>
      <c r="F735" s="59"/>
      <c r="G735" s="59"/>
      <c r="H735" s="59"/>
      <c r="I735" s="59"/>
      <c r="J735" s="59"/>
      <c r="K735" s="59"/>
      <c r="L735" s="59"/>
      <c r="M735" s="59"/>
      <c r="N735" s="59"/>
      <c r="O735" s="100"/>
      <c r="P735" s="100"/>
      <c r="Q735" s="100"/>
      <c r="R735" s="100"/>
      <c r="S735" s="100"/>
      <c r="T735" s="100"/>
      <c r="U735" s="100"/>
      <c r="V735" s="100"/>
      <c r="W735" s="100"/>
      <c r="X735" s="100"/>
      <c r="Y735" s="100"/>
      <c r="Z735" s="100"/>
    </row>
    <row r="736" ht="14.25" customHeight="1">
      <c r="A736" s="59"/>
      <c r="B736" s="59"/>
      <c r="C736" s="59"/>
      <c r="D736" s="59"/>
      <c r="E736" s="59"/>
      <c r="F736" s="59"/>
      <c r="G736" s="59"/>
      <c r="H736" s="59"/>
      <c r="I736" s="59"/>
      <c r="J736" s="59"/>
      <c r="K736" s="59"/>
      <c r="L736" s="59"/>
      <c r="M736" s="59"/>
      <c r="N736" s="59"/>
      <c r="O736" s="100"/>
      <c r="P736" s="100"/>
      <c r="Q736" s="100"/>
      <c r="R736" s="100"/>
      <c r="S736" s="100"/>
      <c r="T736" s="100"/>
      <c r="U736" s="100"/>
      <c r="V736" s="100"/>
      <c r="W736" s="100"/>
      <c r="X736" s="100"/>
      <c r="Y736" s="100"/>
      <c r="Z736" s="100"/>
    </row>
    <row r="737" ht="14.25" customHeight="1">
      <c r="A737" s="59"/>
      <c r="B737" s="59"/>
      <c r="C737" s="59"/>
      <c r="D737" s="59"/>
      <c r="E737" s="59"/>
      <c r="F737" s="59"/>
      <c r="G737" s="59"/>
      <c r="H737" s="59"/>
      <c r="I737" s="59"/>
      <c r="J737" s="59"/>
      <c r="K737" s="59"/>
      <c r="L737" s="59"/>
      <c r="M737" s="59"/>
      <c r="N737" s="59"/>
      <c r="O737" s="100"/>
      <c r="P737" s="100"/>
      <c r="Q737" s="100"/>
      <c r="R737" s="100"/>
      <c r="S737" s="100"/>
      <c r="T737" s="100"/>
      <c r="U737" s="100"/>
      <c r="V737" s="100"/>
      <c r="W737" s="100"/>
      <c r="X737" s="100"/>
      <c r="Y737" s="100"/>
      <c r="Z737" s="100"/>
    </row>
    <row r="738" ht="14.25" customHeight="1">
      <c r="A738" s="59"/>
      <c r="B738" s="59"/>
      <c r="C738" s="59"/>
      <c r="D738" s="59"/>
      <c r="E738" s="59"/>
      <c r="F738" s="59"/>
      <c r="G738" s="59"/>
      <c r="H738" s="59"/>
      <c r="I738" s="59"/>
      <c r="J738" s="59"/>
      <c r="K738" s="59"/>
      <c r="L738" s="59"/>
      <c r="M738" s="59"/>
      <c r="N738" s="59"/>
      <c r="O738" s="100"/>
      <c r="P738" s="100"/>
      <c r="Q738" s="100"/>
      <c r="R738" s="100"/>
      <c r="S738" s="100"/>
      <c r="T738" s="100"/>
      <c r="U738" s="100"/>
      <c r="V738" s="100"/>
      <c r="W738" s="100"/>
      <c r="X738" s="100"/>
      <c r="Y738" s="100"/>
      <c r="Z738" s="100"/>
    </row>
    <row r="739" ht="14.25" customHeight="1">
      <c r="A739" s="59"/>
      <c r="B739" s="59"/>
      <c r="C739" s="59"/>
      <c r="D739" s="59"/>
      <c r="E739" s="59"/>
      <c r="F739" s="59"/>
      <c r="G739" s="59"/>
      <c r="H739" s="59"/>
      <c r="I739" s="59"/>
      <c r="J739" s="59"/>
      <c r="K739" s="59"/>
      <c r="L739" s="59"/>
      <c r="M739" s="59"/>
      <c r="N739" s="59"/>
      <c r="O739" s="100"/>
      <c r="P739" s="100"/>
      <c r="Q739" s="100"/>
      <c r="R739" s="100"/>
      <c r="S739" s="100"/>
      <c r="T739" s="100"/>
      <c r="U739" s="100"/>
      <c r="V739" s="100"/>
      <c r="W739" s="100"/>
      <c r="X739" s="100"/>
      <c r="Y739" s="100"/>
      <c r="Z739" s="100"/>
    </row>
    <row r="740" ht="14.25" customHeight="1">
      <c r="A740" s="59"/>
      <c r="B740" s="59"/>
      <c r="C740" s="59"/>
      <c r="D740" s="59"/>
      <c r="E740" s="59"/>
      <c r="F740" s="59"/>
      <c r="G740" s="59"/>
      <c r="H740" s="59"/>
      <c r="I740" s="59"/>
      <c r="J740" s="59"/>
      <c r="K740" s="59"/>
      <c r="L740" s="59"/>
      <c r="M740" s="59"/>
      <c r="N740" s="59"/>
      <c r="O740" s="100"/>
      <c r="P740" s="100"/>
      <c r="Q740" s="100"/>
      <c r="R740" s="100"/>
      <c r="S740" s="100"/>
      <c r="T740" s="100"/>
      <c r="U740" s="100"/>
      <c r="V740" s="100"/>
      <c r="W740" s="100"/>
      <c r="X740" s="100"/>
      <c r="Y740" s="100"/>
      <c r="Z740" s="100"/>
    </row>
    <row r="741" ht="14.25" customHeight="1">
      <c r="A741" s="59"/>
      <c r="B741" s="59"/>
      <c r="C741" s="59"/>
      <c r="D741" s="59"/>
      <c r="E741" s="59"/>
      <c r="F741" s="59"/>
      <c r="G741" s="59"/>
      <c r="H741" s="59"/>
      <c r="I741" s="59"/>
      <c r="J741" s="59"/>
      <c r="K741" s="59"/>
      <c r="L741" s="59"/>
      <c r="M741" s="59"/>
      <c r="N741" s="59"/>
      <c r="O741" s="100"/>
      <c r="P741" s="100"/>
      <c r="Q741" s="100"/>
      <c r="R741" s="100"/>
      <c r="S741" s="100"/>
      <c r="T741" s="100"/>
      <c r="U741" s="100"/>
      <c r="V741" s="100"/>
      <c r="W741" s="100"/>
      <c r="X741" s="100"/>
      <c r="Y741" s="100"/>
      <c r="Z741" s="100"/>
    </row>
    <row r="742" ht="14.25" customHeight="1">
      <c r="A742" s="59"/>
      <c r="B742" s="59"/>
      <c r="C742" s="59"/>
      <c r="D742" s="59"/>
      <c r="E742" s="59"/>
      <c r="F742" s="59"/>
      <c r="G742" s="59"/>
      <c r="H742" s="59"/>
      <c r="I742" s="59"/>
      <c r="J742" s="59"/>
      <c r="K742" s="59"/>
      <c r="L742" s="59"/>
      <c r="M742" s="59"/>
      <c r="N742" s="59"/>
      <c r="O742" s="100"/>
      <c r="P742" s="100"/>
      <c r="Q742" s="100"/>
      <c r="R742" s="100"/>
      <c r="S742" s="100"/>
      <c r="T742" s="100"/>
      <c r="U742" s="100"/>
      <c r="V742" s="100"/>
      <c r="W742" s="100"/>
      <c r="X742" s="100"/>
      <c r="Y742" s="100"/>
      <c r="Z742" s="100"/>
    </row>
    <row r="743" ht="14.25" customHeight="1">
      <c r="A743" s="59"/>
      <c r="B743" s="59"/>
      <c r="C743" s="59"/>
      <c r="D743" s="59"/>
      <c r="E743" s="59"/>
      <c r="F743" s="59"/>
      <c r="G743" s="59"/>
      <c r="H743" s="59"/>
      <c r="I743" s="59"/>
      <c r="J743" s="59"/>
      <c r="K743" s="59"/>
      <c r="L743" s="59"/>
      <c r="M743" s="59"/>
      <c r="N743" s="59"/>
      <c r="O743" s="100"/>
      <c r="P743" s="100"/>
      <c r="Q743" s="100"/>
      <c r="R743" s="100"/>
      <c r="S743" s="100"/>
      <c r="T743" s="100"/>
      <c r="U743" s="100"/>
      <c r="V743" s="100"/>
      <c r="W743" s="100"/>
      <c r="X743" s="100"/>
      <c r="Y743" s="100"/>
      <c r="Z743" s="100"/>
    </row>
    <row r="744" ht="14.25" customHeight="1">
      <c r="A744" s="59"/>
      <c r="B744" s="59"/>
      <c r="C744" s="59"/>
      <c r="D744" s="59"/>
      <c r="E744" s="59"/>
      <c r="F744" s="59"/>
      <c r="G744" s="59"/>
      <c r="H744" s="59"/>
      <c r="I744" s="59"/>
      <c r="J744" s="59"/>
      <c r="K744" s="59"/>
      <c r="L744" s="59"/>
      <c r="M744" s="59"/>
      <c r="N744" s="59"/>
      <c r="O744" s="100"/>
      <c r="P744" s="100"/>
      <c r="Q744" s="100"/>
      <c r="R744" s="100"/>
      <c r="S744" s="100"/>
      <c r="T744" s="100"/>
      <c r="U744" s="100"/>
      <c r="V744" s="100"/>
      <c r="W744" s="100"/>
      <c r="X744" s="100"/>
      <c r="Y744" s="100"/>
      <c r="Z744" s="100"/>
    </row>
    <row r="745" ht="14.25" customHeight="1">
      <c r="A745" s="59"/>
      <c r="B745" s="59"/>
      <c r="C745" s="59"/>
      <c r="D745" s="59"/>
      <c r="E745" s="59"/>
      <c r="F745" s="59"/>
      <c r="G745" s="59"/>
      <c r="H745" s="59"/>
      <c r="I745" s="59"/>
      <c r="J745" s="59"/>
      <c r="K745" s="59"/>
      <c r="L745" s="59"/>
      <c r="M745" s="59"/>
      <c r="N745" s="59"/>
      <c r="O745" s="100"/>
      <c r="P745" s="100"/>
      <c r="Q745" s="100"/>
      <c r="R745" s="100"/>
      <c r="S745" s="100"/>
      <c r="T745" s="100"/>
      <c r="U745" s="100"/>
      <c r="V745" s="100"/>
      <c r="W745" s="100"/>
      <c r="X745" s="100"/>
      <c r="Y745" s="100"/>
      <c r="Z745" s="100"/>
    </row>
    <row r="746" ht="14.25" customHeight="1">
      <c r="A746" s="59"/>
      <c r="B746" s="59"/>
      <c r="C746" s="59"/>
      <c r="D746" s="59"/>
      <c r="E746" s="59"/>
      <c r="F746" s="59"/>
      <c r="G746" s="59"/>
      <c r="H746" s="59"/>
      <c r="I746" s="59"/>
      <c r="J746" s="59"/>
      <c r="K746" s="59"/>
      <c r="L746" s="59"/>
      <c r="M746" s="59"/>
      <c r="N746" s="59"/>
      <c r="O746" s="100"/>
      <c r="P746" s="100"/>
      <c r="Q746" s="100"/>
      <c r="R746" s="100"/>
      <c r="S746" s="100"/>
      <c r="T746" s="100"/>
      <c r="U746" s="100"/>
      <c r="V746" s="100"/>
      <c r="W746" s="100"/>
      <c r="X746" s="100"/>
      <c r="Y746" s="100"/>
      <c r="Z746" s="100"/>
    </row>
    <row r="747" ht="14.25" customHeight="1">
      <c r="A747" s="59"/>
      <c r="B747" s="59"/>
      <c r="C747" s="59"/>
      <c r="D747" s="59"/>
      <c r="E747" s="59"/>
      <c r="F747" s="59"/>
      <c r="G747" s="59"/>
      <c r="H747" s="59"/>
      <c r="I747" s="59"/>
      <c r="J747" s="59"/>
      <c r="K747" s="59"/>
      <c r="L747" s="59"/>
      <c r="M747" s="59"/>
      <c r="N747" s="59"/>
      <c r="O747" s="100"/>
      <c r="P747" s="100"/>
      <c r="Q747" s="100"/>
      <c r="R747" s="100"/>
      <c r="S747" s="100"/>
      <c r="T747" s="100"/>
      <c r="U747" s="100"/>
      <c r="V747" s="100"/>
      <c r="W747" s="100"/>
      <c r="X747" s="100"/>
      <c r="Y747" s="100"/>
      <c r="Z747" s="100"/>
    </row>
    <row r="748" ht="14.25" customHeight="1">
      <c r="A748" s="59"/>
      <c r="B748" s="59"/>
      <c r="C748" s="59"/>
      <c r="D748" s="59"/>
      <c r="E748" s="59"/>
      <c r="F748" s="59"/>
      <c r="G748" s="59"/>
      <c r="H748" s="59"/>
      <c r="I748" s="59"/>
      <c r="J748" s="59"/>
      <c r="K748" s="59"/>
      <c r="L748" s="59"/>
      <c r="M748" s="59"/>
      <c r="N748" s="59"/>
      <c r="O748" s="100"/>
      <c r="P748" s="100"/>
      <c r="Q748" s="100"/>
      <c r="R748" s="100"/>
      <c r="S748" s="100"/>
      <c r="T748" s="100"/>
      <c r="U748" s="100"/>
      <c r="V748" s="100"/>
      <c r="W748" s="100"/>
      <c r="X748" s="100"/>
      <c r="Y748" s="100"/>
      <c r="Z748" s="100"/>
    </row>
    <row r="749" ht="14.25" customHeight="1">
      <c r="A749" s="59"/>
      <c r="B749" s="59"/>
      <c r="C749" s="59"/>
      <c r="D749" s="59"/>
      <c r="E749" s="59"/>
      <c r="F749" s="59"/>
      <c r="G749" s="59"/>
      <c r="H749" s="59"/>
      <c r="I749" s="59"/>
      <c r="J749" s="59"/>
      <c r="K749" s="59"/>
      <c r="L749" s="59"/>
      <c r="M749" s="59"/>
      <c r="N749" s="59"/>
      <c r="O749" s="100"/>
      <c r="P749" s="100"/>
      <c r="Q749" s="100"/>
      <c r="R749" s="100"/>
      <c r="S749" s="100"/>
      <c r="T749" s="100"/>
      <c r="U749" s="100"/>
      <c r="V749" s="100"/>
      <c r="W749" s="100"/>
      <c r="X749" s="100"/>
      <c r="Y749" s="100"/>
      <c r="Z749" s="100"/>
    </row>
    <row r="750" ht="14.25" customHeight="1">
      <c r="A750" s="59"/>
      <c r="B750" s="59"/>
      <c r="C750" s="59"/>
      <c r="D750" s="59"/>
      <c r="E750" s="59"/>
      <c r="F750" s="59"/>
      <c r="G750" s="59"/>
      <c r="H750" s="59"/>
      <c r="I750" s="59"/>
      <c r="J750" s="59"/>
      <c r="K750" s="59"/>
      <c r="L750" s="59"/>
      <c r="M750" s="59"/>
      <c r="N750" s="59"/>
      <c r="O750" s="100"/>
      <c r="P750" s="100"/>
      <c r="Q750" s="100"/>
      <c r="R750" s="100"/>
      <c r="S750" s="100"/>
      <c r="T750" s="100"/>
      <c r="U750" s="100"/>
      <c r="V750" s="100"/>
      <c r="W750" s="100"/>
      <c r="X750" s="100"/>
      <c r="Y750" s="100"/>
      <c r="Z750" s="100"/>
    </row>
    <row r="751" ht="14.25" customHeight="1">
      <c r="A751" s="59"/>
      <c r="B751" s="59"/>
      <c r="C751" s="59"/>
      <c r="D751" s="59"/>
      <c r="E751" s="59"/>
      <c r="F751" s="59"/>
      <c r="G751" s="59"/>
      <c r="H751" s="59"/>
      <c r="I751" s="59"/>
      <c r="J751" s="59"/>
      <c r="K751" s="59"/>
      <c r="L751" s="59"/>
      <c r="M751" s="59"/>
      <c r="N751" s="59"/>
      <c r="O751" s="100"/>
      <c r="P751" s="100"/>
      <c r="Q751" s="100"/>
      <c r="R751" s="100"/>
      <c r="S751" s="100"/>
      <c r="T751" s="100"/>
      <c r="U751" s="100"/>
      <c r="V751" s="100"/>
      <c r="W751" s="100"/>
      <c r="X751" s="100"/>
      <c r="Y751" s="100"/>
      <c r="Z751" s="100"/>
    </row>
    <row r="752" ht="14.25" customHeight="1">
      <c r="A752" s="59"/>
      <c r="B752" s="59"/>
      <c r="C752" s="59"/>
      <c r="D752" s="59"/>
      <c r="E752" s="59"/>
      <c r="F752" s="59"/>
      <c r="G752" s="59"/>
      <c r="H752" s="59"/>
      <c r="I752" s="59"/>
      <c r="J752" s="59"/>
      <c r="K752" s="59"/>
      <c r="L752" s="59"/>
      <c r="M752" s="59"/>
      <c r="N752" s="59"/>
      <c r="O752" s="100"/>
      <c r="P752" s="100"/>
      <c r="Q752" s="100"/>
      <c r="R752" s="100"/>
      <c r="S752" s="100"/>
      <c r="T752" s="100"/>
      <c r="U752" s="100"/>
      <c r="V752" s="100"/>
      <c r="W752" s="100"/>
      <c r="X752" s="100"/>
      <c r="Y752" s="100"/>
      <c r="Z752" s="100"/>
    </row>
    <row r="753" ht="14.25" customHeight="1">
      <c r="A753" s="59"/>
      <c r="B753" s="59"/>
      <c r="C753" s="59"/>
      <c r="D753" s="59"/>
      <c r="E753" s="59"/>
      <c r="F753" s="59"/>
      <c r="G753" s="59"/>
      <c r="H753" s="59"/>
      <c r="I753" s="59"/>
      <c r="J753" s="59"/>
      <c r="K753" s="59"/>
      <c r="L753" s="59"/>
      <c r="M753" s="59"/>
      <c r="N753" s="59"/>
      <c r="O753" s="100"/>
      <c r="P753" s="100"/>
      <c r="Q753" s="100"/>
      <c r="R753" s="100"/>
      <c r="S753" s="100"/>
      <c r="T753" s="100"/>
      <c r="U753" s="100"/>
      <c r="V753" s="100"/>
      <c r="W753" s="100"/>
      <c r="X753" s="100"/>
      <c r="Y753" s="100"/>
      <c r="Z753" s="100"/>
    </row>
    <row r="754" ht="14.25" customHeight="1">
      <c r="A754" s="59"/>
      <c r="B754" s="59"/>
      <c r="C754" s="59"/>
      <c r="D754" s="59"/>
      <c r="E754" s="59"/>
      <c r="F754" s="59"/>
      <c r="G754" s="59"/>
      <c r="H754" s="59"/>
      <c r="I754" s="59"/>
      <c r="J754" s="59"/>
      <c r="K754" s="59"/>
      <c r="L754" s="59"/>
      <c r="M754" s="59"/>
      <c r="N754" s="59"/>
      <c r="O754" s="100"/>
      <c r="P754" s="100"/>
      <c r="Q754" s="100"/>
      <c r="R754" s="100"/>
      <c r="S754" s="100"/>
      <c r="T754" s="100"/>
      <c r="U754" s="100"/>
      <c r="V754" s="100"/>
      <c r="W754" s="100"/>
      <c r="X754" s="100"/>
      <c r="Y754" s="100"/>
      <c r="Z754" s="100"/>
    </row>
    <row r="755" ht="14.25" customHeight="1">
      <c r="A755" s="59"/>
      <c r="B755" s="59"/>
      <c r="C755" s="59"/>
      <c r="D755" s="59"/>
      <c r="E755" s="59"/>
      <c r="F755" s="59"/>
      <c r="G755" s="59"/>
      <c r="H755" s="59"/>
      <c r="I755" s="59"/>
      <c r="J755" s="59"/>
      <c r="K755" s="59"/>
      <c r="L755" s="59"/>
      <c r="M755" s="59"/>
      <c r="N755" s="59"/>
      <c r="O755" s="100"/>
      <c r="P755" s="100"/>
      <c r="Q755" s="100"/>
      <c r="R755" s="100"/>
      <c r="S755" s="100"/>
      <c r="T755" s="100"/>
      <c r="U755" s="100"/>
      <c r="V755" s="100"/>
      <c r="W755" s="100"/>
      <c r="X755" s="100"/>
      <c r="Y755" s="100"/>
      <c r="Z755" s="100"/>
    </row>
    <row r="756" ht="14.25" customHeight="1">
      <c r="A756" s="59"/>
      <c r="B756" s="59"/>
      <c r="C756" s="59"/>
      <c r="D756" s="59"/>
      <c r="E756" s="59"/>
      <c r="F756" s="59"/>
      <c r="G756" s="59"/>
      <c r="H756" s="59"/>
      <c r="I756" s="59"/>
      <c r="J756" s="59"/>
      <c r="K756" s="59"/>
      <c r="L756" s="59"/>
      <c r="M756" s="59"/>
      <c r="N756" s="59"/>
      <c r="O756" s="100"/>
      <c r="P756" s="100"/>
      <c r="Q756" s="100"/>
      <c r="R756" s="100"/>
      <c r="S756" s="100"/>
      <c r="T756" s="100"/>
      <c r="U756" s="100"/>
      <c r="V756" s="100"/>
      <c r="W756" s="100"/>
      <c r="X756" s="100"/>
      <c r="Y756" s="100"/>
      <c r="Z756" s="100"/>
    </row>
    <row r="757" ht="14.25" customHeight="1">
      <c r="A757" s="59"/>
      <c r="B757" s="59"/>
      <c r="C757" s="59"/>
      <c r="D757" s="59"/>
      <c r="E757" s="59"/>
      <c r="F757" s="59"/>
      <c r="G757" s="59"/>
      <c r="H757" s="59"/>
      <c r="I757" s="59"/>
      <c r="J757" s="59"/>
      <c r="K757" s="59"/>
      <c r="L757" s="59"/>
      <c r="M757" s="59"/>
      <c r="N757" s="59"/>
      <c r="O757" s="100"/>
      <c r="P757" s="100"/>
      <c r="Q757" s="100"/>
      <c r="R757" s="100"/>
      <c r="S757" s="100"/>
      <c r="T757" s="100"/>
      <c r="U757" s="100"/>
      <c r="V757" s="100"/>
      <c r="W757" s="100"/>
      <c r="X757" s="100"/>
      <c r="Y757" s="100"/>
      <c r="Z757" s="100"/>
    </row>
    <row r="758" ht="14.25" customHeight="1">
      <c r="A758" s="59"/>
      <c r="B758" s="59"/>
      <c r="C758" s="59"/>
      <c r="D758" s="59"/>
      <c r="E758" s="59"/>
      <c r="F758" s="59"/>
      <c r="G758" s="59"/>
      <c r="H758" s="59"/>
      <c r="I758" s="59"/>
      <c r="J758" s="59"/>
      <c r="K758" s="59"/>
      <c r="L758" s="59"/>
      <c r="M758" s="59"/>
      <c r="N758" s="59"/>
      <c r="O758" s="100"/>
      <c r="P758" s="100"/>
      <c r="Q758" s="100"/>
      <c r="R758" s="100"/>
      <c r="S758" s="100"/>
      <c r="T758" s="100"/>
      <c r="U758" s="100"/>
      <c r="V758" s="100"/>
      <c r="W758" s="100"/>
      <c r="X758" s="100"/>
      <c r="Y758" s="100"/>
      <c r="Z758" s="100"/>
    </row>
    <row r="759" ht="14.25" customHeight="1">
      <c r="A759" s="59"/>
      <c r="B759" s="59"/>
      <c r="C759" s="59"/>
      <c r="D759" s="59"/>
      <c r="E759" s="59"/>
      <c r="F759" s="59"/>
      <c r="G759" s="59"/>
      <c r="H759" s="59"/>
      <c r="I759" s="59"/>
      <c r="J759" s="59"/>
      <c r="K759" s="59"/>
      <c r="L759" s="59"/>
      <c r="M759" s="59"/>
      <c r="N759" s="59"/>
      <c r="O759" s="100"/>
      <c r="P759" s="100"/>
      <c r="Q759" s="100"/>
      <c r="R759" s="100"/>
      <c r="S759" s="100"/>
      <c r="T759" s="100"/>
      <c r="U759" s="100"/>
      <c r="V759" s="100"/>
      <c r="W759" s="100"/>
      <c r="X759" s="100"/>
      <c r="Y759" s="100"/>
      <c r="Z759" s="100"/>
    </row>
    <row r="760" ht="14.25" customHeight="1">
      <c r="A760" s="59"/>
      <c r="B760" s="59"/>
      <c r="C760" s="59"/>
      <c r="D760" s="59"/>
      <c r="E760" s="59"/>
      <c r="F760" s="59"/>
      <c r="G760" s="59"/>
      <c r="H760" s="59"/>
      <c r="I760" s="59"/>
      <c r="J760" s="59"/>
      <c r="K760" s="59"/>
      <c r="L760" s="59"/>
      <c r="M760" s="59"/>
      <c r="N760" s="59"/>
      <c r="O760" s="100"/>
      <c r="P760" s="100"/>
      <c r="Q760" s="100"/>
      <c r="R760" s="100"/>
      <c r="S760" s="100"/>
      <c r="T760" s="100"/>
      <c r="U760" s="100"/>
      <c r="V760" s="100"/>
      <c r="W760" s="100"/>
      <c r="X760" s="100"/>
      <c r="Y760" s="100"/>
      <c r="Z760" s="100"/>
    </row>
    <row r="761" ht="14.25" customHeight="1">
      <c r="A761" s="59"/>
      <c r="B761" s="59"/>
      <c r="C761" s="59"/>
      <c r="D761" s="59"/>
      <c r="E761" s="59"/>
      <c r="F761" s="59"/>
      <c r="G761" s="59"/>
      <c r="H761" s="59"/>
      <c r="I761" s="59"/>
      <c r="J761" s="59"/>
      <c r="K761" s="59"/>
      <c r="L761" s="59"/>
      <c r="M761" s="59"/>
      <c r="N761" s="59"/>
      <c r="O761" s="100"/>
      <c r="P761" s="100"/>
      <c r="Q761" s="100"/>
      <c r="R761" s="100"/>
      <c r="S761" s="100"/>
      <c r="T761" s="100"/>
      <c r="U761" s="100"/>
      <c r="V761" s="100"/>
      <c r="W761" s="100"/>
      <c r="X761" s="100"/>
      <c r="Y761" s="100"/>
      <c r="Z761" s="100"/>
    </row>
    <row r="762" ht="14.25" customHeight="1">
      <c r="A762" s="59"/>
      <c r="B762" s="59"/>
      <c r="C762" s="59"/>
      <c r="D762" s="59"/>
      <c r="E762" s="59"/>
      <c r="F762" s="59"/>
      <c r="G762" s="59"/>
      <c r="H762" s="59"/>
      <c r="I762" s="59"/>
      <c r="J762" s="59"/>
      <c r="K762" s="59"/>
      <c r="L762" s="59"/>
      <c r="M762" s="59"/>
      <c r="N762" s="59"/>
      <c r="O762" s="100"/>
      <c r="P762" s="100"/>
      <c r="Q762" s="100"/>
      <c r="R762" s="100"/>
      <c r="S762" s="100"/>
      <c r="T762" s="100"/>
      <c r="U762" s="100"/>
      <c r="V762" s="100"/>
      <c r="W762" s="100"/>
      <c r="X762" s="100"/>
      <c r="Y762" s="100"/>
      <c r="Z762" s="100"/>
    </row>
    <row r="763" ht="14.25" customHeight="1">
      <c r="A763" s="59"/>
      <c r="B763" s="59"/>
      <c r="C763" s="59"/>
      <c r="D763" s="59"/>
      <c r="E763" s="59"/>
      <c r="F763" s="59"/>
      <c r="G763" s="59"/>
      <c r="H763" s="59"/>
      <c r="I763" s="59"/>
      <c r="J763" s="59"/>
      <c r="K763" s="59"/>
      <c r="L763" s="59"/>
      <c r="M763" s="59"/>
      <c r="N763" s="59"/>
      <c r="O763" s="100"/>
      <c r="P763" s="100"/>
      <c r="Q763" s="100"/>
      <c r="R763" s="100"/>
      <c r="S763" s="100"/>
      <c r="T763" s="100"/>
      <c r="U763" s="100"/>
      <c r="V763" s="100"/>
      <c r="W763" s="100"/>
      <c r="X763" s="100"/>
      <c r="Y763" s="100"/>
      <c r="Z763" s="100"/>
    </row>
    <row r="764" ht="14.25" customHeight="1">
      <c r="A764" s="59"/>
      <c r="B764" s="59"/>
      <c r="C764" s="59"/>
      <c r="D764" s="59"/>
      <c r="E764" s="59"/>
      <c r="F764" s="59"/>
      <c r="G764" s="59"/>
      <c r="H764" s="59"/>
      <c r="I764" s="59"/>
      <c r="J764" s="59"/>
      <c r="K764" s="59"/>
      <c r="L764" s="59"/>
      <c r="M764" s="59"/>
      <c r="N764" s="59"/>
      <c r="O764" s="100"/>
      <c r="P764" s="100"/>
      <c r="Q764" s="100"/>
      <c r="R764" s="100"/>
      <c r="S764" s="100"/>
      <c r="T764" s="100"/>
      <c r="U764" s="100"/>
      <c r="V764" s="100"/>
      <c r="W764" s="100"/>
      <c r="X764" s="100"/>
      <c r="Y764" s="100"/>
      <c r="Z764" s="100"/>
    </row>
    <row r="765" ht="14.25" customHeight="1">
      <c r="A765" s="59"/>
      <c r="B765" s="59"/>
      <c r="C765" s="59"/>
      <c r="D765" s="59"/>
      <c r="E765" s="59"/>
      <c r="F765" s="59"/>
      <c r="G765" s="59"/>
      <c r="H765" s="59"/>
      <c r="I765" s="59"/>
      <c r="J765" s="59"/>
      <c r="K765" s="59"/>
      <c r="L765" s="59"/>
      <c r="M765" s="59"/>
      <c r="N765" s="59"/>
      <c r="O765" s="100"/>
      <c r="P765" s="100"/>
      <c r="Q765" s="100"/>
      <c r="R765" s="100"/>
      <c r="S765" s="100"/>
      <c r="T765" s="100"/>
      <c r="U765" s="100"/>
      <c r="V765" s="100"/>
      <c r="W765" s="100"/>
      <c r="X765" s="100"/>
      <c r="Y765" s="100"/>
      <c r="Z765" s="100"/>
    </row>
    <row r="766" ht="14.25" customHeight="1">
      <c r="A766" s="59"/>
      <c r="B766" s="59"/>
      <c r="C766" s="59"/>
      <c r="D766" s="59"/>
      <c r="E766" s="59"/>
      <c r="F766" s="59"/>
      <c r="G766" s="59"/>
      <c r="H766" s="59"/>
      <c r="I766" s="59"/>
      <c r="J766" s="59"/>
      <c r="K766" s="59"/>
      <c r="L766" s="59"/>
      <c r="M766" s="59"/>
      <c r="N766" s="59"/>
      <c r="O766" s="100"/>
      <c r="P766" s="100"/>
      <c r="Q766" s="100"/>
      <c r="R766" s="100"/>
      <c r="S766" s="100"/>
      <c r="T766" s="100"/>
      <c r="U766" s="100"/>
      <c r="V766" s="100"/>
      <c r="W766" s="100"/>
      <c r="X766" s="100"/>
      <c r="Y766" s="100"/>
      <c r="Z766" s="100"/>
    </row>
    <row r="767" ht="14.25" customHeight="1">
      <c r="A767" s="59"/>
      <c r="B767" s="59"/>
      <c r="C767" s="59"/>
      <c r="D767" s="59"/>
      <c r="E767" s="59"/>
      <c r="F767" s="59"/>
      <c r="G767" s="59"/>
      <c r="H767" s="59"/>
      <c r="I767" s="59"/>
      <c r="J767" s="59"/>
      <c r="K767" s="59"/>
      <c r="L767" s="59"/>
      <c r="M767" s="59"/>
      <c r="N767" s="59"/>
      <c r="O767" s="100"/>
      <c r="P767" s="100"/>
      <c r="Q767" s="100"/>
      <c r="R767" s="100"/>
      <c r="S767" s="100"/>
      <c r="T767" s="100"/>
      <c r="U767" s="100"/>
      <c r="V767" s="100"/>
      <c r="W767" s="100"/>
      <c r="X767" s="100"/>
      <c r="Y767" s="100"/>
      <c r="Z767" s="100"/>
    </row>
    <row r="768" ht="14.25" customHeight="1">
      <c r="A768" s="59"/>
      <c r="B768" s="59"/>
      <c r="C768" s="59"/>
      <c r="D768" s="59"/>
      <c r="E768" s="59"/>
      <c r="F768" s="59"/>
      <c r="G768" s="59"/>
      <c r="H768" s="59"/>
      <c r="I768" s="59"/>
      <c r="J768" s="59"/>
      <c r="K768" s="59"/>
      <c r="L768" s="59"/>
      <c r="M768" s="59"/>
      <c r="N768" s="59"/>
      <c r="O768" s="100"/>
      <c r="P768" s="100"/>
      <c r="Q768" s="100"/>
      <c r="R768" s="100"/>
      <c r="S768" s="100"/>
      <c r="T768" s="100"/>
      <c r="U768" s="100"/>
      <c r="V768" s="100"/>
      <c r="W768" s="100"/>
      <c r="X768" s="100"/>
      <c r="Y768" s="100"/>
      <c r="Z768" s="100"/>
    </row>
    <row r="769" ht="14.25" customHeight="1">
      <c r="A769" s="59"/>
      <c r="B769" s="59"/>
      <c r="C769" s="59"/>
      <c r="D769" s="59"/>
      <c r="E769" s="59"/>
      <c r="F769" s="59"/>
      <c r="G769" s="59"/>
      <c r="H769" s="59"/>
      <c r="I769" s="59"/>
      <c r="J769" s="59"/>
      <c r="K769" s="59"/>
      <c r="L769" s="59"/>
      <c r="M769" s="59"/>
      <c r="N769" s="59"/>
      <c r="O769" s="100"/>
      <c r="P769" s="100"/>
      <c r="Q769" s="100"/>
      <c r="R769" s="100"/>
      <c r="S769" s="100"/>
      <c r="T769" s="100"/>
      <c r="U769" s="100"/>
      <c r="V769" s="100"/>
      <c r="W769" s="100"/>
      <c r="X769" s="100"/>
      <c r="Y769" s="100"/>
      <c r="Z769" s="100"/>
    </row>
    <row r="770" ht="14.25" customHeight="1">
      <c r="A770" s="59"/>
      <c r="B770" s="59"/>
      <c r="C770" s="59"/>
      <c r="D770" s="59"/>
      <c r="E770" s="59"/>
      <c r="F770" s="59"/>
      <c r="G770" s="59"/>
      <c r="H770" s="59"/>
      <c r="I770" s="59"/>
      <c r="J770" s="59"/>
      <c r="K770" s="59"/>
      <c r="L770" s="59"/>
      <c r="M770" s="59"/>
      <c r="N770" s="59"/>
      <c r="O770" s="100"/>
      <c r="P770" s="100"/>
      <c r="Q770" s="100"/>
      <c r="R770" s="100"/>
      <c r="S770" s="100"/>
      <c r="T770" s="100"/>
      <c r="U770" s="100"/>
      <c r="V770" s="100"/>
      <c r="W770" s="100"/>
      <c r="X770" s="100"/>
      <c r="Y770" s="100"/>
      <c r="Z770" s="100"/>
    </row>
    <row r="771" ht="14.25" customHeight="1">
      <c r="A771" s="59"/>
      <c r="B771" s="59"/>
      <c r="C771" s="59"/>
      <c r="D771" s="59"/>
      <c r="E771" s="59"/>
      <c r="F771" s="59"/>
      <c r="G771" s="59"/>
      <c r="H771" s="59"/>
      <c r="I771" s="59"/>
      <c r="J771" s="59"/>
      <c r="K771" s="59"/>
      <c r="L771" s="59"/>
      <c r="M771" s="59"/>
      <c r="N771" s="59"/>
      <c r="O771" s="100"/>
      <c r="P771" s="100"/>
      <c r="Q771" s="100"/>
      <c r="R771" s="100"/>
      <c r="S771" s="100"/>
      <c r="T771" s="100"/>
      <c r="U771" s="100"/>
      <c r="V771" s="100"/>
      <c r="W771" s="100"/>
      <c r="X771" s="100"/>
      <c r="Y771" s="100"/>
      <c r="Z771" s="100"/>
    </row>
    <row r="772" ht="14.25" customHeight="1">
      <c r="A772" s="59"/>
      <c r="B772" s="59"/>
      <c r="C772" s="59"/>
      <c r="D772" s="59"/>
      <c r="E772" s="59"/>
      <c r="F772" s="59"/>
      <c r="G772" s="59"/>
      <c r="H772" s="59"/>
      <c r="I772" s="59"/>
      <c r="J772" s="59"/>
      <c r="K772" s="59"/>
      <c r="L772" s="59"/>
      <c r="M772" s="59"/>
      <c r="N772" s="59"/>
      <c r="O772" s="100"/>
      <c r="P772" s="100"/>
      <c r="Q772" s="100"/>
      <c r="R772" s="100"/>
      <c r="S772" s="100"/>
      <c r="T772" s="100"/>
      <c r="U772" s="100"/>
      <c r="V772" s="100"/>
      <c r="W772" s="100"/>
      <c r="X772" s="100"/>
      <c r="Y772" s="100"/>
      <c r="Z772" s="100"/>
    </row>
    <row r="773" ht="14.25" customHeight="1">
      <c r="A773" s="59"/>
      <c r="B773" s="59"/>
      <c r="C773" s="59"/>
      <c r="D773" s="59"/>
      <c r="E773" s="59"/>
      <c r="F773" s="59"/>
      <c r="G773" s="59"/>
      <c r="H773" s="59"/>
      <c r="I773" s="59"/>
      <c r="J773" s="59"/>
      <c r="K773" s="59"/>
      <c r="L773" s="59"/>
      <c r="M773" s="59"/>
      <c r="N773" s="59"/>
      <c r="O773" s="100"/>
      <c r="P773" s="100"/>
      <c r="Q773" s="100"/>
      <c r="R773" s="100"/>
      <c r="S773" s="100"/>
      <c r="T773" s="100"/>
      <c r="U773" s="100"/>
      <c r="V773" s="100"/>
      <c r="W773" s="100"/>
      <c r="X773" s="100"/>
      <c r="Y773" s="100"/>
      <c r="Z773" s="100"/>
    </row>
    <row r="774" ht="14.25" customHeight="1">
      <c r="A774" s="59"/>
      <c r="B774" s="59"/>
      <c r="C774" s="59"/>
      <c r="D774" s="59"/>
      <c r="E774" s="59"/>
      <c r="F774" s="59"/>
      <c r="G774" s="59"/>
      <c r="H774" s="59"/>
      <c r="I774" s="59"/>
      <c r="J774" s="59"/>
      <c r="K774" s="59"/>
      <c r="L774" s="59"/>
      <c r="M774" s="59"/>
      <c r="N774" s="59"/>
      <c r="O774" s="100"/>
      <c r="P774" s="100"/>
      <c r="Q774" s="100"/>
      <c r="R774" s="100"/>
      <c r="S774" s="100"/>
      <c r="T774" s="100"/>
      <c r="U774" s="100"/>
      <c r="V774" s="100"/>
      <c r="W774" s="100"/>
      <c r="X774" s="100"/>
      <c r="Y774" s="100"/>
      <c r="Z774" s="100"/>
    </row>
    <row r="775" ht="14.25" customHeight="1">
      <c r="A775" s="59"/>
      <c r="B775" s="59"/>
      <c r="C775" s="59"/>
      <c r="D775" s="59"/>
      <c r="E775" s="59"/>
      <c r="F775" s="59"/>
      <c r="G775" s="59"/>
      <c r="H775" s="59"/>
      <c r="I775" s="59"/>
      <c r="J775" s="59"/>
      <c r="K775" s="59"/>
      <c r="L775" s="59"/>
      <c r="M775" s="59"/>
      <c r="N775" s="59"/>
      <c r="O775" s="100"/>
      <c r="P775" s="100"/>
      <c r="Q775" s="100"/>
      <c r="R775" s="100"/>
      <c r="S775" s="100"/>
      <c r="T775" s="100"/>
      <c r="U775" s="100"/>
      <c r="V775" s="100"/>
      <c r="W775" s="100"/>
      <c r="X775" s="100"/>
      <c r="Y775" s="100"/>
      <c r="Z775" s="100"/>
    </row>
    <row r="776" ht="14.25" customHeight="1">
      <c r="A776" s="59"/>
      <c r="B776" s="59"/>
      <c r="C776" s="59"/>
      <c r="D776" s="59"/>
      <c r="E776" s="59"/>
      <c r="F776" s="59"/>
      <c r="G776" s="59"/>
      <c r="H776" s="59"/>
      <c r="I776" s="59"/>
      <c r="J776" s="59"/>
      <c r="K776" s="59"/>
      <c r="L776" s="59"/>
      <c r="M776" s="59"/>
      <c r="N776" s="59"/>
      <c r="O776" s="100"/>
      <c r="P776" s="100"/>
      <c r="Q776" s="100"/>
      <c r="R776" s="100"/>
      <c r="S776" s="100"/>
      <c r="T776" s="100"/>
      <c r="U776" s="100"/>
      <c r="V776" s="100"/>
      <c r="W776" s="100"/>
      <c r="X776" s="100"/>
      <c r="Y776" s="100"/>
      <c r="Z776" s="100"/>
    </row>
    <row r="777" ht="14.25" customHeight="1">
      <c r="A777" s="59"/>
      <c r="B777" s="59"/>
      <c r="C777" s="59"/>
      <c r="D777" s="59"/>
      <c r="E777" s="59"/>
      <c r="F777" s="59"/>
      <c r="G777" s="59"/>
      <c r="H777" s="59"/>
      <c r="I777" s="59"/>
      <c r="J777" s="59"/>
      <c r="K777" s="59"/>
      <c r="L777" s="59"/>
      <c r="M777" s="59"/>
      <c r="N777" s="59"/>
      <c r="O777" s="100"/>
      <c r="P777" s="100"/>
      <c r="Q777" s="100"/>
      <c r="R777" s="100"/>
      <c r="S777" s="100"/>
      <c r="T777" s="100"/>
      <c r="U777" s="100"/>
      <c r="V777" s="100"/>
      <c r="W777" s="100"/>
      <c r="X777" s="100"/>
      <c r="Y777" s="100"/>
      <c r="Z777" s="100"/>
    </row>
    <row r="778" ht="14.25" customHeight="1">
      <c r="A778" s="59"/>
      <c r="B778" s="59"/>
      <c r="C778" s="59"/>
      <c r="D778" s="59"/>
      <c r="E778" s="59"/>
      <c r="F778" s="59"/>
      <c r="G778" s="59"/>
      <c r="H778" s="59"/>
      <c r="I778" s="59"/>
      <c r="J778" s="59"/>
      <c r="K778" s="59"/>
      <c r="L778" s="59"/>
      <c r="M778" s="59"/>
      <c r="N778" s="59"/>
      <c r="O778" s="100"/>
      <c r="P778" s="100"/>
      <c r="Q778" s="100"/>
      <c r="R778" s="100"/>
      <c r="S778" s="100"/>
      <c r="T778" s="100"/>
      <c r="U778" s="100"/>
      <c r="V778" s="100"/>
      <c r="W778" s="100"/>
      <c r="X778" s="100"/>
      <c r="Y778" s="100"/>
      <c r="Z778" s="100"/>
    </row>
    <row r="779" ht="14.25" customHeight="1">
      <c r="A779" s="59"/>
      <c r="B779" s="59"/>
      <c r="C779" s="59"/>
      <c r="D779" s="59"/>
      <c r="E779" s="59"/>
      <c r="F779" s="59"/>
      <c r="G779" s="59"/>
      <c r="H779" s="59"/>
      <c r="I779" s="59"/>
      <c r="J779" s="59"/>
      <c r="K779" s="59"/>
      <c r="L779" s="59"/>
      <c r="M779" s="59"/>
      <c r="N779" s="59"/>
      <c r="O779" s="100"/>
      <c r="P779" s="100"/>
      <c r="Q779" s="100"/>
      <c r="R779" s="100"/>
      <c r="S779" s="100"/>
      <c r="T779" s="100"/>
      <c r="U779" s="100"/>
      <c r="V779" s="100"/>
      <c r="W779" s="100"/>
      <c r="X779" s="100"/>
      <c r="Y779" s="100"/>
      <c r="Z779" s="100"/>
    </row>
    <row r="780" ht="14.25" customHeight="1">
      <c r="A780" s="59"/>
      <c r="B780" s="59"/>
      <c r="C780" s="59"/>
      <c r="D780" s="59"/>
      <c r="E780" s="59"/>
      <c r="F780" s="59"/>
      <c r="G780" s="59"/>
      <c r="H780" s="59"/>
      <c r="I780" s="59"/>
      <c r="J780" s="59"/>
      <c r="K780" s="59"/>
      <c r="L780" s="59"/>
      <c r="M780" s="59"/>
      <c r="N780" s="59"/>
      <c r="O780" s="100"/>
      <c r="P780" s="100"/>
      <c r="Q780" s="100"/>
      <c r="R780" s="100"/>
      <c r="S780" s="100"/>
      <c r="T780" s="100"/>
      <c r="U780" s="100"/>
      <c r="V780" s="100"/>
      <c r="W780" s="100"/>
      <c r="X780" s="100"/>
      <c r="Y780" s="100"/>
      <c r="Z780" s="100"/>
    </row>
    <row r="781" ht="14.25" customHeight="1">
      <c r="A781" s="59"/>
      <c r="B781" s="59"/>
      <c r="C781" s="59"/>
      <c r="D781" s="59"/>
      <c r="E781" s="59"/>
      <c r="F781" s="59"/>
      <c r="G781" s="59"/>
      <c r="H781" s="59"/>
      <c r="I781" s="59"/>
      <c r="J781" s="59"/>
      <c r="K781" s="59"/>
      <c r="L781" s="59"/>
      <c r="M781" s="59"/>
      <c r="N781" s="59"/>
      <c r="O781" s="100"/>
      <c r="P781" s="100"/>
      <c r="Q781" s="100"/>
      <c r="R781" s="100"/>
      <c r="S781" s="100"/>
      <c r="T781" s="100"/>
      <c r="U781" s="100"/>
      <c r="V781" s="100"/>
      <c r="W781" s="100"/>
      <c r="X781" s="100"/>
      <c r="Y781" s="100"/>
      <c r="Z781" s="100"/>
    </row>
    <row r="782" ht="14.25" customHeight="1">
      <c r="A782" s="59"/>
      <c r="B782" s="59"/>
      <c r="C782" s="59"/>
      <c r="D782" s="59"/>
      <c r="E782" s="59"/>
      <c r="F782" s="59"/>
      <c r="G782" s="59"/>
      <c r="H782" s="59"/>
      <c r="I782" s="59"/>
      <c r="J782" s="59"/>
      <c r="K782" s="59"/>
      <c r="L782" s="59"/>
      <c r="M782" s="59"/>
      <c r="N782" s="59"/>
      <c r="O782" s="100"/>
      <c r="P782" s="100"/>
      <c r="Q782" s="100"/>
      <c r="R782" s="100"/>
      <c r="S782" s="100"/>
      <c r="T782" s="100"/>
      <c r="U782" s="100"/>
      <c r="V782" s="100"/>
      <c r="W782" s="100"/>
      <c r="X782" s="100"/>
      <c r="Y782" s="100"/>
      <c r="Z782" s="100"/>
    </row>
    <row r="783" ht="14.25" customHeight="1">
      <c r="A783" s="59"/>
      <c r="B783" s="59"/>
      <c r="C783" s="59"/>
      <c r="D783" s="59"/>
      <c r="E783" s="59"/>
      <c r="F783" s="59"/>
      <c r="G783" s="59"/>
      <c r="H783" s="59"/>
      <c r="I783" s="59"/>
      <c r="J783" s="59"/>
      <c r="K783" s="59"/>
      <c r="L783" s="59"/>
      <c r="M783" s="59"/>
      <c r="N783" s="59"/>
      <c r="O783" s="100"/>
      <c r="P783" s="100"/>
      <c r="Q783" s="100"/>
      <c r="R783" s="100"/>
      <c r="S783" s="100"/>
      <c r="T783" s="100"/>
      <c r="U783" s="100"/>
      <c r="V783" s="100"/>
      <c r="W783" s="100"/>
      <c r="X783" s="100"/>
      <c r="Y783" s="100"/>
      <c r="Z783" s="100"/>
    </row>
    <row r="784" ht="14.25" customHeight="1">
      <c r="A784" s="59"/>
      <c r="B784" s="59"/>
      <c r="C784" s="59"/>
      <c r="D784" s="59"/>
      <c r="E784" s="59"/>
      <c r="F784" s="59"/>
      <c r="G784" s="59"/>
      <c r="H784" s="59"/>
      <c r="I784" s="59"/>
      <c r="J784" s="59"/>
      <c r="K784" s="59"/>
      <c r="L784" s="59"/>
      <c r="M784" s="59"/>
      <c r="N784" s="59"/>
      <c r="O784" s="100"/>
      <c r="P784" s="100"/>
      <c r="Q784" s="100"/>
      <c r="R784" s="100"/>
      <c r="S784" s="100"/>
      <c r="T784" s="100"/>
      <c r="U784" s="100"/>
      <c r="V784" s="100"/>
      <c r="W784" s="100"/>
      <c r="X784" s="100"/>
      <c r="Y784" s="100"/>
      <c r="Z784" s="100"/>
    </row>
    <row r="785" ht="14.25" customHeight="1">
      <c r="A785" s="59"/>
      <c r="B785" s="59"/>
      <c r="C785" s="59"/>
      <c r="D785" s="59"/>
      <c r="E785" s="59"/>
      <c r="F785" s="59"/>
      <c r="G785" s="59"/>
      <c r="H785" s="59"/>
      <c r="I785" s="59"/>
      <c r="J785" s="59"/>
      <c r="K785" s="59"/>
      <c r="L785" s="59"/>
      <c r="M785" s="59"/>
      <c r="N785" s="59"/>
      <c r="O785" s="100"/>
      <c r="P785" s="100"/>
      <c r="Q785" s="100"/>
      <c r="R785" s="100"/>
      <c r="S785" s="100"/>
      <c r="T785" s="100"/>
      <c r="U785" s="100"/>
      <c r="V785" s="100"/>
      <c r="W785" s="100"/>
      <c r="X785" s="100"/>
      <c r="Y785" s="100"/>
      <c r="Z785" s="100"/>
    </row>
    <row r="786" ht="14.25" customHeight="1">
      <c r="A786" s="59"/>
      <c r="B786" s="59"/>
      <c r="C786" s="59"/>
      <c r="D786" s="59"/>
      <c r="E786" s="59"/>
      <c r="F786" s="59"/>
      <c r="G786" s="59"/>
      <c r="H786" s="59"/>
      <c r="I786" s="59"/>
      <c r="J786" s="59"/>
      <c r="K786" s="59"/>
      <c r="L786" s="59"/>
      <c r="M786" s="59"/>
      <c r="N786" s="59"/>
      <c r="O786" s="100"/>
      <c r="P786" s="100"/>
      <c r="Q786" s="100"/>
      <c r="R786" s="100"/>
      <c r="S786" s="100"/>
      <c r="T786" s="100"/>
      <c r="U786" s="100"/>
      <c r="V786" s="100"/>
      <c r="W786" s="100"/>
      <c r="X786" s="100"/>
      <c r="Y786" s="100"/>
      <c r="Z786" s="100"/>
    </row>
    <row r="787" ht="14.25" customHeight="1">
      <c r="A787" s="59"/>
      <c r="B787" s="59"/>
      <c r="C787" s="59"/>
      <c r="D787" s="59"/>
      <c r="E787" s="59"/>
      <c r="F787" s="59"/>
      <c r="G787" s="59"/>
      <c r="H787" s="59"/>
      <c r="I787" s="59"/>
      <c r="J787" s="59"/>
      <c r="K787" s="59"/>
      <c r="L787" s="59"/>
      <c r="M787" s="59"/>
      <c r="N787" s="59"/>
      <c r="O787" s="100"/>
      <c r="P787" s="100"/>
      <c r="Q787" s="100"/>
      <c r="R787" s="100"/>
      <c r="S787" s="100"/>
      <c r="T787" s="100"/>
      <c r="U787" s="100"/>
      <c r="V787" s="100"/>
      <c r="W787" s="100"/>
      <c r="X787" s="100"/>
      <c r="Y787" s="100"/>
      <c r="Z787" s="100"/>
    </row>
    <row r="788" ht="14.25" customHeight="1">
      <c r="A788" s="59"/>
      <c r="B788" s="59"/>
      <c r="C788" s="59"/>
      <c r="D788" s="59"/>
      <c r="E788" s="59"/>
      <c r="F788" s="59"/>
      <c r="G788" s="59"/>
      <c r="H788" s="59"/>
      <c r="I788" s="59"/>
      <c r="J788" s="59"/>
      <c r="K788" s="59"/>
      <c r="L788" s="59"/>
      <c r="M788" s="59"/>
      <c r="N788" s="59"/>
      <c r="O788" s="100"/>
      <c r="P788" s="100"/>
      <c r="Q788" s="100"/>
      <c r="R788" s="100"/>
      <c r="S788" s="100"/>
      <c r="T788" s="100"/>
      <c r="U788" s="100"/>
      <c r="V788" s="100"/>
      <c r="W788" s="100"/>
      <c r="X788" s="100"/>
      <c r="Y788" s="100"/>
      <c r="Z788" s="100"/>
    </row>
    <row r="789" ht="14.25" customHeight="1">
      <c r="A789" s="59"/>
      <c r="B789" s="59"/>
      <c r="C789" s="59"/>
      <c r="D789" s="59"/>
      <c r="E789" s="59"/>
      <c r="F789" s="59"/>
      <c r="G789" s="59"/>
      <c r="H789" s="59"/>
      <c r="I789" s="59"/>
      <c r="J789" s="59"/>
      <c r="K789" s="59"/>
      <c r="L789" s="59"/>
      <c r="M789" s="59"/>
      <c r="N789" s="59"/>
      <c r="O789" s="100"/>
      <c r="P789" s="100"/>
      <c r="Q789" s="100"/>
      <c r="R789" s="100"/>
      <c r="S789" s="100"/>
      <c r="T789" s="100"/>
      <c r="U789" s="100"/>
      <c r="V789" s="100"/>
      <c r="W789" s="100"/>
      <c r="X789" s="100"/>
      <c r="Y789" s="100"/>
      <c r="Z789" s="100"/>
    </row>
    <row r="790" ht="14.25" customHeight="1">
      <c r="A790" s="59"/>
      <c r="B790" s="59"/>
      <c r="C790" s="59"/>
      <c r="D790" s="59"/>
      <c r="E790" s="59"/>
      <c r="F790" s="59"/>
      <c r="G790" s="59"/>
      <c r="H790" s="59"/>
      <c r="I790" s="59"/>
      <c r="J790" s="59"/>
      <c r="K790" s="59"/>
      <c r="L790" s="59"/>
      <c r="M790" s="59"/>
      <c r="N790" s="59"/>
      <c r="O790" s="100"/>
      <c r="P790" s="100"/>
      <c r="Q790" s="100"/>
      <c r="R790" s="100"/>
      <c r="S790" s="100"/>
      <c r="T790" s="100"/>
      <c r="U790" s="100"/>
      <c r="V790" s="100"/>
      <c r="W790" s="100"/>
      <c r="X790" s="100"/>
      <c r="Y790" s="100"/>
      <c r="Z790" s="100"/>
    </row>
    <row r="791" ht="14.25" customHeight="1">
      <c r="A791" s="59"/>
      <c r="B791" s="59"/>
      <c r="C791" s="59"/>
      <c r="D791" s="59"/>
      <c r="E791" s="59"/>
      <c r="F791" s="59"/>
      <c r="G791" s="59"/>
      <c r="H791" s="59"/>
      <c r="I791" s="59"/>
      <c r="J791" s="59"/>
      <c r="K791" s="59"/>
      <c r="L791" s="59"/>
      <c r="M791" s="59"/>
      <c r="N791" s="59"/>
      <c r="O791" s="100"/>
      <c r="P791" s="100"/>
      <c r="Q791" s="100"/>
      <c r="R791" s="100"/>
      <c r="S791" s="100"/>
      <c r="T791" s="100"/>
      <c r="U791" s="100"/>
      <c r="V791" s="100"/>
      <c r="W791" s="100"/>
      <c r="X791" s="100"/>
      <c r="Y791" s="100"/>
      <c r="Z791" s="100"/>
    </row>
    <row r="792" ht="14.25" customHeight="1">
      <c r="A792" s="59"/>
      <c r="B792" s="59"/>
      <c r="C792" s="59"/>
      <c r="D792" s="59"/>
      <c r="E792" s="59"/>
      <c r="F792" s="59"/>
      <c r="G792" s="59"/>
      <c r="H792" s="59"/>
      <c r="I792" s="59"/>
      <c r="J792" s="59"/>
      <c r="K792" s="59"/>
      <c r="L792" s="59"/>
      <c r="M792" s="59"/>
      <c r="N792" s="59"/>
      <c r="O792" s="100"/>
      <c r="P792" s="100"/>
      <c r="Q792" s="100"/>
      <c r="R792" s="100"/>
      <c r="S792" s="100"/>
      <c r="T792" s="100"/>
      <c r="U792" s="100"/>
      <c r="V792" s="100"/>
      <c r="W792" s="100"/>
      <c r="X792" s="100"/>
      <c r="Y792" s="100"/>
      <c r="Z792" s="100"/>
    </row>
    <row r="793" ht="14.25" customHeight="1">
      <c r="A793" s="59"/>
      <c r="B793" s="59"/>
      <c r="C793" s="59"/>
      <c r="D793" s="59"/>
      <c r="E793" s="59"/>
      <c r="F793" s="59"/>
      <c r="G793" s="59"/>
      <c r="H793" s="59"/>
      <c r="I793" s="59"/>
      <c r="J793" s="59"/>
      <c r="K793" s="59"/>
      <c r="L793" s="59"/>
      <c r="M793" s="59"/>
      <c r="N793" s="59"/>
      <c r="O793" s="100"/>
      <c r="P793" s="100"/>
      <c r="Q793" s="100"/>
      <c r="R793" s="100"/>
      <c r="S793" s="100"/>
      <c r="T793" s="100"/>
      <c r="U793" s="100"/>
      <c r="V793" s="100"/>
      <c r="W793" s="100"/>
      <c r="X793" s="100"/>
      <c r="Y793" s="100"/>
      <c r="Z793" s="100"/>
    </row>
    <row r="794" ht="14.25" customHeight="1">
      <c r="A794" s="59"/>
      <c r="B794" s="59"/>
      <c r="C794" s="59"/>
      <c r="D794" s="59"/>
      <c r="E794" s="59"/>
      <c r="F794" s="59"/>
      <c r="G794" s="59"/>
      <c r="H794" s="59"/>
      <c r="I794" s="59"/>
      <c r="J794" s="59"/>
      <c r="K794" s="59"/>
      <c r="L794" s="59"/>
      <c r="M794" s="59"/>
      <c r="N794" s="59"/>
      <c r="O794" s="100"/>
      <c r="P794" s="100"/>
      <c r="Q794" s="100"/>
      <c r="R794" s="100"/>
      <c r="S794" s="100"/>
      <c r="T794" s="100"/>
      <c r="U794" s="100"/>
      <c r="V794" s="100"/>
      <c r="W794" s="100"/>
      <c r="X794" s="100"/>
      <c r="Y794" s="100"/>
      <c r="Z794" s="100"/>
    </row>
    <row r="795" ht="14.25" customHeight="1">
      <c r="A795" s="59"/>
      <c r="B795" s="59"/>
      <c r="C795" s="59"/>
      <c r="D795" s="59"/>
      <c r="E795" s="59"/>
      <c r="F795" s="59"/>
      <c r="G795" s="59"/>
      <c r="H795" s="59"/>
      <c r="I795" s="59"/>
      <c r="J795" s="59"/>
      <c r="K795" s="59"/>
      <c r="L795" s="59"/>
      <c r="M795" s="59"/>
      <c r="N795" s="59"/>
      <c r="O795" s="100"/>
      <c r="P795" s="100"/>
      <c r="Q795" s="100"/>
      <c r="R795" s="100"/>
      <c r="S795" s="100"/>
      <c r="T795" s="100"/>
      <c r="U795" s="100"/>
      <c r="V795" s="100"/>
      <c r="W795" s="100"/>
      <c r="X795" s="100"/>
      <c r="Y795" s="100"/>
      <c r="Z795" s="100"/>
    </row>
    <row r="796" ht="14.25" customHeight="1">
      <c r="A796" s="59"/>
      <c r="B796" s="59"/>
      <c r="C796" s="59"/>
      <c r="D796" s="59"/>
      <c r="E796" s="59"/>
      <c r="F796" s="59"/>
      <c r="G796" s="59"/>
      <c r="H796" s="59"/>
      <c r="I796" s="59"/>
      <c r="J796" s="59"/>
      <c r="K796" s="59"/>
      <c r="L796" s="59"/>
      <c r="M796" s="59"/>
      <c r="N796" s="59"/>
      <c r="O796" s="100"/>
      <c r="P796" s="100"/>
      <c r="Q796" s="100"/>
      <c r="R796" s="100"/>
      <c r="S796" s="100"/>
      <c r="T796" s="100"/>
      <c r="U796" s="100"/>
      <c r="V796" s="100"/>
      <c r="W796" s="100"/>
      <c r="X796" s="100"/>
      <c r="Y796" s="100"/>
      <c r="Z796" s="100"/>
    </row>
    <row r="797" ht="14.25" customHeight="1">
      <c r="A797" s="59"/>
      <c r="B797" s="59"/>
      <c r="C797" s="59"/>
      <c r="D797" s="59"/>
      <c r="E797" s="59"/>
      <c r="F797" s="59"/>
      <c r="G797" s="59"/>
      <c r="H797" s="59"/>
      <c r="I797" s="59"/>
      <c r="J797" s="59"/>
      <c r="K797" s="59"/>
      <c r="L797" s="59"/>
      <c r="M797" s="59"/>
      <c r="N797" s="59"/>
      <c r="O797" s="100"/>
      <c r="P797" s="100"/>
      <c r="Q797" s="100"/>
      <c r="R797" s="100"/>
      <c r="S797" s="100"/>
      <c r="T797" s="100"/>
      <c r="U797" s="100"/>
      <c r="V797" s="100"/>
      <c r="W797" s="100"/>
      <c r="X797" s="100"/>
      <c r="Y797" s="100"/>
      <c r="Z797" s="100"/>
    </row>
    <row r="798" ht="14.25" customHeight="1">
      <c r="A798" s="59"/>
      <c r="B798" s="59"/>
      <c r="C798" s="59"/>
      <c r="D798" s="59"/>
      <c r="E798" s="59"/>
      <c r="F798" s="59"/>
      <c r="G798" s="59"/>
      <c r="H798" s="59"/>
      <c r="I798" s="59"/>
      <c r="J798" s="59"/>
      <c r="K798" s="59"/>
      <c r="L798" s="59"/>
      <c r="M798" s="59"/>
      <c r="N798" s="59"/>
      <c r="O798" s="100"/>
      <c r="P798" s="100"/>
      <c r="Q798" s="100"/>
      <c r="R798" s="100"/>
      <c r="S798" s="100"/>
      <c r="T798" s="100"/>
      <c r="U798" s="100"/>
      <c r="V798" s="100"/>
      <c r="W798" s="100"/>
      <c r="X798" s="100"/>
      <c r="Y798" s="100"/>
      <c r="Z798" s="100"/>
    </row>
    <row r="799" ht="14.25" customHeight="1">
      <c r="A799" s="59"/>
      <c r="B799" s="59"/>
      <c r="C799" s="59"/>
      <c r="D799" s="59"/>
      <c r="E799" s="59"/>
      <c r="F799" s="59"/>
      <c r="G799" s="59"/>
      <c r="H799" s="59"/>
      <c r="I799" s="59"/>
      <c r="J799" s="59"/>
      <c r="K799" s="59"/>
      <c r="L799" s="59"/>
      <c r="M799" s="59"/>
      <c r="N799" s="59"/>
      <c r="O799" s="100"/>
      <c r="P799" s="100"/>
      <c r="Q799" s="100"/>
      <c r="R799" s="100"/>
      <c r="S799" s="100"/>
      <c r="T799" s="100"/>
      <c r="U799" s="100"/>
      <c r="V799" s="100"/>
      <c r="W799" s="100"/>
      <c r="X799" s="100"/>
      <c r="Y799" s="100"/>
      <c r="Z799" s="100"/>
    </row>
    <row r="800" ht="14.25" customHeight="1">
      <c r="A800" s="59"/>
      <c r="B800" s="59"/>
      <c r="C800" s="59"/>
      <c r="D800" s="59"/>
      <c r="E800" s="59"/>
      <c r="F800" s="59"/>
      <c r="G800" s="59"/>
      <c r="H800" s="59"/>
      <c r="I800" s="59"/>
      <c r="J800" s="59"/>
      <c r="K800" s="59"/>
      <c r="L800" s="59"/>
      <c r="M800" s="59"/>
      <c r="N800" s="59"/>
      <c r="O800" s="100"/>
      <c r="P800" s="100"/>
      <c r="Q800" s="100"/>
      <c r="R800" s="100"/>
      <c r="S800" s="100"/>
      <c r="T800" s="100"/>
      <c r="U800" s="100"/>
      <c r="V800" s="100"/>
      <c r="W800" s="100"/>
      <c r="X800" s="100"/>
      <c r="Y800" s="100"/>
      <c r="Z800" s="100"/>
    </row>
    <row r="801" ht="14.25" customHeight="1">
      <c r="A801" s="59"/>
      <c r="B801" s="59"/>
      <c r="C801" s="59"/>
      <c r="D801" s="59"/>
      <c r="E801" s="59"/>
      <c r="F801" s="59"/>
      <c r="G801" s="59"/>
      <c r="H801" s="59"/>
      <c r="I801" s="59"/>
      <c r="J801" s="59"/>
      <c r="K801" s="59"/>
      <c r="L801" s="59"/>
      <c r="M801" s="59"/>
      <c r="N801" s="59"/>
      <c r="O801" s="100"/>
      <c r="P801" s="100"/>
      <c r="Q801" s="100"/>
      <c r="R801" s="100"/>
      <c r="S801" s="100"/>
      <c r="T801" s="100"/>
      <c r="U801" s="100"/>
      <c r="V801" s="100"/>
      <c r="W801" s="100"/>
      <c r="X801" s="100"/>
      <c r="Y801" s="100"/>
      <c r="Z801" s="100"/>
    </row>
    <row r="802" ht="14.25" customHeight="1">
      <c r="A802" s="59"/>
      <c r="B802" s="59"/>
      <c r="C802" s="59"/>
      <c r="D802" s="59"/>
      <c r="E802" s="59"/>
      <c r="F802" s="59"/>
      <c r="G802" s="59"/>
      <c r="H802" s="59"/>
      <c r="I802" s="59"/>
      <c r="J802" s="59"/>
      <c r="K802" s="59"/>
      <c r="L802" s="59"/>
      <c r="M802" s="59"/>
      <c r="N802" s="59"/>
      <c r="O802" s="100"/>
      <c r="P802" s="100"/>
      <c r="Q802" s="100"/>
      <c r="R802" s="100"/>
      <c r="S802" s="100"/>
      <c r="T802" s="100"/>
      <c r="U802" s="100"/>
      <c r="V802" s="100"/>
      <c r="W802" s="100"/>
      <c r="X802" s="100"/>
      <c r="Y802" s="100"/>
      <c r="Z802" s="100"/>
    </row>
    <row r="803" ht="14.25" customHeight="1">
      <c r="A803" s="59"/>
      <c r="B803" s="59"/>
      <c r="C803" s="59"/>
      <c r="D803" s="59"/>
      <c r="E803" s="59"/>
      <c r="F803" s="59"/>
      <c r="G803" s="59"/>
      <c r="H803" s="59"/>
      <c r="I803" s="59"/>
      <c r="J803" s="59"/>
      <c r="K803" s="59"/>
      <c r="L803" s="59"/>
      <c r="M803" s="59"/>
      <c r="N803" s="59"/>
      <c r="O803" s="100"/>
      <c r="P803" s="100"/>
      <c r="Q803" s="100"/>
      <c r="R803" s="100"/>
      <c r="S803" s="100"/>
      <c r="T803" s="100"/>
      <c r="U803" s="100"/>
      <c r="V803" s="100"/>
      <c r="W803" s="100"/>
      <c r="X803" s="100"/>
      <c r="Y803" s="100"/>
      <c r="Z803" s="100"/>
    </row>
    <row r="804" ht="14.25" customHeight="1">
      <c r="A804" s="59"/>
      <c r="B804" s="59"/>
      <c r="C804" s="59"/>
      <c r="D804" s="59"/>
      <c r="E804" s="59"/>
      <c r="F804" s="59"/>
      <c r="G804" s="59"/>
      <c r="H804" s="59"/>
      <c r="I804" s="59"/>
      <c r="J804" s="59"/>
      <c r="K804" s="59"/>
      <c r="L804" s="59"/>
      <c r="M804" s="59"/>
      <c r="N804" s="59"/>
      <c r="O804" s="100"/>
      <c r="P804" s="100"/>
      <c r="Q804" s="100"/>
      <c r="R804" s="100"/>
      <c r="S804" s="100"/>
      <c r="T804" s="100"/>
      <c r="U804" s="100"/>
      <c r="V804" s="100"/>
      <c r="W804" s="100"/>
      <c r="X804" s="100"/>
      <c r="Y804" s="100"/>
      <c r="Z804" s="100"/>
    </row>
    <row r="805" ht="14.25" customHeight="1">
      <c r="A805" s="59"/>
      <c r="B805" s="59"/>
      <c r="C805" s="59"/>
      <c r="D805" s="59"/>
      <c r="E805" s="59"/>
      <c r="F805" s="59"/>
      <c r="G805" s="59"/>
      <c r="H805" s="59"/>
      <c r="I805" s="59"/>
      <c r="J805" s="59"/>
      <c r="K805" s="59"/>
      <c r="L805" s="59"/>
      <c r="M805" s="59"/>
      <c r="N805" s="59"/>
      <c r="O805" s="100"/>
      <c r="P805" s="100"/>
      <c r="Q805" s="100"/>
      <c r="R805" s="100"/>
      <c r="S805" s="100"/>
      <c r="T805" s="100"/>
      <c r="U805" s="100"/>
      <c r="V805" s="100"/>
      <c r="W805" s="100"/>
      <c r="X805" s="100"/>
      <c r="Y805" s="100"/>
      <c r="Z805" s="100"/>
    </row>
    <row r="806" ht="14.25" customHeight="1">
      <c r="A806" s="59"/>
      <c r="B806" s="59"/>
      <c r="C806" s="59"/>
      <c r="D806" s="59"/>
      <c r="E806" s="59"/>
      <c r="F806" s="59"/>
      <c r="G806" s="59"/>
      <c r="H806" s="59"/>
      <c r="I806" s="59"/>
      <c r="J806" s="59"/>
      <c r="K806" s="59"/>
      <c r="L806" s="59"/>
      <c r="M806" s="59"/>
      <c r="N806" s="59"/>
      <c r="O806" s="100"/>
      <c r="P806" s="100"/>
      <c r="Q806" s="100"/>
      <c r="R806" s="100"/>
      <c r="S806" s="100"/>
      <c r="T806" s="100"/>
      <c r="U806" s="100"/>
      <c r="V806" s="100"/>
      <c r="W806" s="100"/>
      <c r="X806" s="100"/>
      <c r="Y806" s="100"/>
      <c r="Z806" s="100"/>
    </row>
    <row r="807" ht="14.25" customHeight="1">
      <c r="A807" s="59"/>
      <c r="B807" s="59"/>
      <c r="C807" s="59"/>
      <c r="D807" s="59"/>
      <c r="E807" s="59"/>
      <c r="F807" s="59"/>
      <c r="G807" s="59"/>
      <c r="H807" s="59"/>
      <c r="I807" s="59"/>
      <c r="J807" s="59"/>
      <c r="K807" s="59"/>
      <c r="L807" s="59"/>
      <c r="M807" s="59"/>
      <c r="N807" s="59"/>
      <c r="O807" s="100"/>
      <c r="P807" s="100"/>
      <c r="Q807" s="100"/>
      <c r="R807" s="100"/>
      <c r="S807" s="100"/>
      <c r="T807" s="100"/>
      <c r="U807" s="100"/>
      <c r="V807" s="100"/>
      <c r="W807" s="100"/>
      <c r="X807" s="100"/>
      <c r="Y807" s="100"/>
      <c r="Z807" s="100"/>
    </row>
    <row r="808" ht="14.25" customHeight="1">
      <c r="A808" s="59"/>
      <c r="B808" s="59"/>
      <c r="C808" s="59"/>
      <c r="D808" s="59"/>
      <c r="E808" s="59"/>
      <c r="F808" s="59"/>
      <c r="G808" s="59"/>
      <c r="H808" s="59"/>
      <c r="I808" s="59"/>
      <c r="J808" s="59"/>
      <c r="K808" s="59"/>
      <c r="L808" s="59"/>
      <c r="M808" s="59"/>
      <c r="N808" s="59"/>
      <c r="O808" s="100"/>
      <c r="P808" s="100"/>
      <c r="Q808" s="100"/>
      <c r="R808" s="100"/>
      <c r="S808" s="100"/>
      <c r="T808" s="100"/>
      <c r="U808" s="100"/>
      <c r="V808" s="100"/>
      <c r="W808" s="100"/>
      <c r="X808" s="100"/>
      <c r="Y808" s="100"/>
      <c r="Z808" s="100"/>
    </row>
    <row r="809" ht="14.25" customHeight="1">
      <c r="A809" s="59"/>
      <c r="B809" s="59"/>
      <c r="C809" s="59"/>
      <c r="D809" s="59"/>
      <c r="E809" s="59"/>
      <c r="F809" s="59"/>
      <c r="G809" s="59"/>
      <c r="H809" s="59"/>
      <c r="I809" s="59"/>
      <c r="J809" s="59"/>
      <c r="K809" s="59"/>
      <c r="L809" s="59"/>
      <c r="M809" s="59"/>
      <c r="N809" s="59"/>
      <c r="O809" s="100"/>
      <c r="P809" s="100"/>
      <c r="Q809" s="100"/>
      <c r="R809" s="100"/>
      <c r="S809" s="100"/>
      <c r="T809" s="100"/>
      <c r="U809" s="100"/>
      <c r="V809" s="100"/>
      <c r="W809" s="100"/>
      <c r="X809" s="100"/>
      <c r="Y809" s="100"/>
      <c r="Z809" s="100"/>
    </row>
    <row r="810" ht="14.25" customHeight="1">
      <c r="A810" s="59"/>
      <c r="B810" s="59"/>
      <c r="C810" s="59"/>
      <c r="D810" s="59"/>
      <c r="E810" s="59"/>
      <c r="F810" s="59"/>
      <c r="G810" s="59"/>
      <c r="H810" s="59"/>
      <c r="I810" s="59"/>
      <c r="J810" s="59"/>
      <c r="K810" s="59"/>
      <c r="L810" s="59"/>
      <c r="M810" s="59"/>
      <c r="N810" s="59"/>
      <c r="O810" s="100"/>
      <c r="P810" s="100"/>
      <c r="Q810" s="100"/>
      <c r="R810" s="100"/>
      <c r="S810" s="100"/>
      <c r="T810" s="100"/>
      <c r="U810" s="100"/>
      <c r="V810" s="100"/>
      <c r="W810" s="100"/>
      <c r="X810" s="100"/>
      <c r="Y810" s="100"/>
      <c r="Z810" s="100"/>
    </row>
    <row r="811" ht="14.25" customHeight="1">
      <c r="A811" s="59"/>
      <c r="B811" s="59"/>
      <c r="C811" s="59"/>
      <c r="D811" s="59"/>
      <c r="E811" s="59"/>
      <c r="F811" s="59"/>
      <c r="G811" s="59"/>
      <c r="H811" s="59"/>
      <c r="I811" s="59"/>
      <c r="J811" s="59"/>
      <c r="K811" s="59"/>
      <c r="L811" s="59"/>
      <c r="M811" s="59"/>
      <c r="N811" s="59"/>
      <c r="O811" s="100"/>
      <c r="P811" s="100"/>
      <c r="Q811" s="100"/>
      <c r="R811" s="100"/>
      <c r="S811" s="100"/>
      <c r="T811" s="100"/>
      <c r="U811" s="100"/>
      <c r="V811" s="100"/>
      <c r="W811" s="100"/>
      <c r="X811" s="100"/>
      <c r="Y811" s="100"/>
      <c r="Z811" s="100"/>
    </row>
    <row r="812" ht="14.25" customHeight="1">
      <c r="A812" s="59"/>
      <c r="B812" s="59"/>
      <c r="C812" s="59"/>
      <c r="D812" s="59"/>
      <c r="E812" s="59"/>
      <c r="F812" s="59"/>
      <c r="G812" s="59"/>
      <c r="H812" s="59"/>
      <c r="I812" s="59"/>
      <c r="J812" s="59"/>
      <c r="K812" s="59"/>
      <c r="L812" s="59"/>
      <c r="M812" s="59"/>
      <c r="N812" s="59"/>
      <c r="O812" s="100"/>
      <c r="P812" s="100"/>
      <c r="Q812" s="100"/>
      <c r="R812" s="100"/>
      <c r="S812" s="100"/>
      <c r="T812" s="100"/>
      <c r="U812" s="100"/>
      <c r="V812" s="100"/>
      <c r="W812" s="100"/>
      <c r="X812" s="100"/>
      <c r="Y812" s="100"/>
      <c r="Z812" s="100"/>
    </row>
    <row r="813" ht="14.25" customHeight="1">
      <c r="A813" s="59"/>
      <c r="B813" s="59"/>
      <c r="C813" s="59"/>
      <c r="D813" s="59"/>
      <c r="E813" s="59"/>
      <c r="F813" s="59"/>
      <c r="G813" s="59"/>
      <c r="H813" s="59"/>
      <c r="I813" s="59"/>
      <c r="J813" s="59"/>
      <c r="K813" s="59"/>
      <c r="L813" s="59"/>
      <c r="M813" s="59"/>
      <c r="N813" s="59"/>
      <c r="O813" s="100"/>
      <c r="P813" s="100"/>
      <c r="Q813" s="100"/>
      <c r="R813" s="100"/>
      <c r="S813" s="100"/>
      <c r="T813" s="100"/>
      <c r="U813" s="100"/>
      <c r="V813" s="100"/>
      <c r="W813" s="100"/>
      <c r="X813" s="100"/>
      <c r="Y813" s="100"/>
      <c r="Z813" s="100"/>
    </row>
    <row r="814" ht="14.25" customHeight="1">
      <c r="A814" s="59"/>
      <c r="B814" s="59"/>
      <c r="C814" s="59"/>
      <c r="D814" s="59"/>
      <c r="E814" s="59"/>
      <c r="F814" s="59"/>
      <c r="G814" s="59"/>
      <c r="H814" s="59"/>
      <c r="I814" s="59"/>
      <c r="J814" s="59"/>
      <c r="K814" s="59"/>
      <c r="L814" s="59"/>
      <c r="M814" s="59"/>
      <c r="N814" s="59"/>
      <c r="O814" s="100"/>
      <c r="P814" s="100"/>
      <c r="Q814" s="100"/>
      <c r="R814" s="100"/>
      <c r="S814" s="100"/>
      <c r="T814" s="100"/>
      <c r="U814" s="100"/>
      <c r="V814" s="100"/>
      <c r="W814" s="100"/>
      <c r="X814" s="100"/>
      <c r="Y814" s="100"/>
      <c r="Z814" s="100"/>
    </row>
    <row r="815" ht="14.25" customHeight="1">
      <c r="A815" s="59"/>
      <c r="B815" s="59"/>
      <c r="C815" s="59"/>
      <c r="D815" s="59"/>
      <c r="E815" s="59"/>
      <c r="F815" s="59"/>
      <c r="G815" s="59"/>
      <c r="H815" s="59"/>
      <c r="I815" s="59"/>
      <c r="J815" s="59"/>
      <c r="K815" s="59"/>
      <c r="L815" s="59"/>
      <c r="M815" s="59"/>
      <c r="N815" s="59"/>
      <c r="O815" s="100"/>
      <c r="P815" s="100"/>
      <c r="Q815" s="100"/>
      <c r="R815" s="100"/>
      <c r="S815" s="100"/>
      <c r="T815" s="100"/>
      <c r="U815" s="100"/>
      <c r="V815" s="100"/>
      <c r="W815" s="100"/>
      <c r="X815" s="100"/>
      <c r="Y815" s="100"/>
      <c r="Z815" s="100"/>
    </row>
    <row r="816" ht="14.25" customHeight="1">
      <c r="A816" s="59"/>
      <c r="B816" s="59"/>
      <c r="C816" s="59"/>
      <c r="D816" s="59"/>
      <c r="E816" s="59"/>
      <c r="F816" s="59"/>
      <c r="G816" s="59"/>
      <c r="H816" s="59"/>
      <c r="I816" s="59"/>
      <c r="J816" s="59"/>
      <c r="K816" s="59"/>
      <c r="L816" s="59"/>
      <c r="M816" s="59"/>
      <c r="N816" s="59"/>
      <c r="O816" s="100"/>
      <c r="P816" s="100"/>
      <c r="Q816" s="100"/>
      <c r="R816" s="100"/>
      <c r="S816" s="100"/>
      <c r="T816" s="100"/>
      <c r="U816" s="100"/>
      <c r="V816" s="100"/>
      <c r="W816" s="100"/>
      <c r="X816" s="100"/>
      <c r="Y816" s="100"/>
      <c r="Z816" s="100"/>
    </row>
    <row r="817" ht="14.25" customHeight="1">
      <c r="A817" s="59"/>
      <c r="B817" s="59"/>
      <c r="C817" s="59"/>
      <c r="D817" s="59"/>
      <c r="E817" s="59"/>
      <c r="F817" s="59"/>
      <c r="G817" s="59"/>
      <c r="H817" s="59"/>
      <c r="I817" s="59"/>
      <c r="J817" s="59"/>
      <c r="K817" s="59"/>
      <c r="L817" s="59"/>
      <c r="M817" s="59"/>
      <c r="N817" s="59"/>
      <c r="O817" s="100"/>
      <c r="P817" s="100"/>
      <c r="Q817" s="100"/>
      <c r="R817" s="100"/>
      <c r="S817" s="100"/>
      <c r="T817" s="100"/>
      <c r="U817" s="100"/>
      <c r="V817" s="100"/>
      <c r="W817" s="100"/>
      <c r="X817" s="100"/>
      <c r="Y817" s="100"/>
      <c r="Z817" s="100"/>
    </row>
    <row r="818" ht="14.25" customHeight="1">
      <c r="A818" s="59"/>
      <c r="B818" s="59"/>
      <c r="C818" s="59"/>
      <c r="D818" s="59"/>
      <c r="E818" s="59"/>
      <c r="F818" s="59"/>
      <c r="G818" s="59"/>
      <c r="H818" s="59"/>
      <c r="I818" s="59"/>
      <c r="J818" s="59"/>
      <c r="K818" s="59"/>
      <c r="L818" s="59"/>
      <c r="M818" s="59"/>
      <c r="N818" s="59"/>
      <c r="O818" s="100"/>
      <c r="P818" s="100"/>
      <c r="Q818" s="100"/>
      <c r="R818" s="100"/>
      <c r="S818" s="100"/>
      <c r="T818" s="100"/>
      <c r="U818" s="100"/>
      <c r="V818" s="100"/>
      <c r="W818" s="100"/>
      <c r="X818" s="100"/>
      <c r="Y818" s="100"/>
      <c r="Z818" s="100"/>
    </row>
    <row r="819" ht="14.25" customHeight="1">
      <c r="A819" s="59"/>
      <c r="B819" s="59"/>
      <c r="C819" s="59"/>
      <c r="D819" s="59"/>
      <c r="E819" s="59"/>
      <c r="F819" s="59"/>
      <c r="G819" s="59"/>
      <c r="H819" s="59"/>
      <c r="I819" s="59"/>
      <c r="J819" s="59"/>
      <c r="K819" s="59"/>
      <c r="L819" s="59"/>
      <c r="M819" s="59"/>
      <c r="N819" s="59"/>
      <c r="O819" s="100"/>
      <c r="P819" s="100"/>
      <c r="Q819" s="100"/>
      <c r="R819" s="100"/>
      <c r="S819" s="100"/>
      <c r="T819" s="100"/>
      <c r="U819" s="100"/>
      <c r="V819" s="100"/>
      <c r="W819" s="100"/>
      <c r="X819" s="100"/>
      <c r="Y819" s="100"/>
      <c r="Z819" s="100"/>
    </row>
    <row r="820" ht="14.25" customHeight="1">
      <c r="A820" s="59"/>
      <c r="B820" s="59"/>
      <c r="C820" s="59"/>
      <c r="D820" s="59"/>
      <c r="E820" s="59"/>
      <c r="F820" s="59"/>
      <c r="G820" s="59"/>
      <c r="H820" s="59"/>
      <c r="I820" s="59"/>
      <c r="J820" s="59"/>
      <c r="K820" s="59"/>
      <c r="L820" s="59"/>
      <c r="M820" s="59"/>
      <c r="N820" s="59"/>
      <c r="O820" s="100"/>
      <c r="P820" s="100"/>
      <c r="Q820" s="100"/>
      <c r="R820" s="100"/>
      <c r="S820" s="100"/>
      <c r="T820" s="100"/>
      <c r="U820" s="100"/>
      <c r="V820" s="100"/>
      <c r="W820" s="100"/>
      <c r="X820" s="100"/>
      <c r="Y820" s="100"/>
      <c r="Z820" s="100"/>
    </row>
    <row r="821" ht="14.25" customHeight="1">
      <c r="A821" s="59"/>
      <c r="B821" s="59"/>
      <c r="C821" s="59"/>
      <c r="D821" s="59"/>
      <c r="E821" s="59"/>
      <c r="F821" s="59"/>
      <c r="G821" s="59"/>
      <c r="H821" s="59"/>
      <c r="I821" s="59"/>
      <c r="J821" s="59"/>
      <c r="K821" s="59"/>
      <c r="L821" s="59"/>
      <c r="M821" s="59"/>
      <c r="N821" s="59"/>
      <c r="O821" s="100"/>
      <c r="P821" s="100"/>
      <c r="Q821" s="100"/>
      <c r="R821" s="100"/>
      <c r="S821" s="100"/>
      <c r="T821" s="100"/>
      <c r="U821" s="100"/>
      <c r="V821" s="100"/>
      <c r="W821" s="100"/>
      <c r="X821" s="100"/>
      <c r="Y821" s="100"/>
      <c r="Z821" s="100"/>
    </row>
    <row r="822" ht="14.25" customHeight="1">
      <c r="A822" s="59"/>
      <c r="B822" s="59"/>
      <c r="C822" s="59"/>
      <c r="D822" s="59"/>
      <c r="E822" s="59"/>
      <c r="F822" s="59"/>
      <c r="G822" s="59"/>
      <c r="H822" s="59"/>
      <c r="I822" s="59"/>
      <c r="J822" s="59"/>
      <c r="K822" s="59"/>
      <c r="L822" s="59"/>
      <c r="M822" s="59"/>
      <c r="N822" s="59"/>
      <c r="O822" s="100"/>
      <c r="P822" s="100"/>
      <c r="Q822" s="100"/>
      <c r="R822" s="100"/>
      <c r="S822" s="100"/>
      <c r="T822" s="100"/>
      <c r="U822" s="100"/>
      <c r="V822" s="100"/>
      <c r="W822" s="100"/>
      <c r="X822" s="100"/>
      <c r="Y822" s="100"/>
      <c r="Z822" s="100"/>
    </row>
    <row r="823" ht="14.25" customHeight="1">
      <c r="A823" s="59"/>
      <c r="B823" s="59"/>
      <c r="C823" s="59"/>
      <c r="D823" s="59"/>
      <c r="E823" s="59"/>
      <c r="F823" s="59"/>
      <c r="G823" s="59"/>
      <c r="H823" s="59"/>
      <c r="I823" s="59"/>
      <c r="J823" s="59"/>
      <c r="K823" s="59"/>
      <c r="L823" s="59"/>
      <c r="M823" s="59"/>
      <c r="N823" s="59"/>
      <c r="O823" s="100"/>
      <c r="P823" s="100"/>
      <c r="Q823" s="100"/>
      <c r="R823" s="100"/>
      <c r="S823" s="100"/>
      <c r="T823" s="100"/>
      <c r="U823" s="100"/>
      <c r="V823" s="100"/>
      <c r="W823" s="100"/>
      <c r="X823" s="100"/>
      <c r="Y823" s="100"/>
      <c r="Z823" s="100"/>
    </row>
    <row r="824" ht="14.25" customHeight="1">
      <c r="A824" s="59"/>
      <c r="B824" s="59"/>
      <c r="C824" s="59"/>
      <c r="D824" s="59"/>
      <c r="E824" s="59"/>
      <c r="F824" s="59"/>
      <c r="G824" s="59"/>
      <c r="H824" s="59"/>
      <c r="I824" s="59"/>
      <c r="J824" s="59"/>
      <c r="K824" s="59"/>
      <c r="L824" s="59"/>
      <c r="M824" s="59"/>
      <c r="N824" s="59"/>
      <c r="O824" s="100"/>
      <c r="P824" s="100"/>
      <c r="Q824" s="100"/>
      <c r="R824" s="100"/>
      <c r="S824" s="100"/>
      <c r="T824" s="100"/>
      <c r="U824" s="100"/>
      <c r="V824" s="100"/>
      <c r="W824" s="100"/>
      <c r="X824" s="100"/>
      <c r="Y824" s="100"/>
      <c r="Z824" s="100"/>
    </row>
    <row r="825" ht="14.25" customHeight="1">
      <c r="A825" s="59"/>
      <c r="B825" s="59"/>
      <c r="C825" s="59"/>
      <c r="D825" s="59"/>
      <c r="E825" s="59"/>
      <c r="F825" s="59"/>
      <c r="G825" s="59"/>
      <c r="H825" s="59"/>
      <c r="I825" s="59"/>
      <c r="J825" s="59"/>
      <c r="K825" s="59"/>
      <c r="L825" s="59"/>
      <c r="M825" s="59"/>
      <c r="N825" s="59"/>
      <c r="O825" s="100"/>
      <c r="P825" s="100"/>
      <c r="Q825" s="100"/>
      <c r="R825" s="100"/>
      <c r="S825" s="100"/>
      <c r="T825" s="100"/>
      <c r="U825" s="100"/>
      <c r="V825" s="100"/>
      <c r="W825" s="100"/>
      <c r="X825" s="100"/>
      <c r="Y825" s="100"/>
      <c r="Z825" s="100"/>
    </row>
    <row r="826" ht="14.25" customHeight="1">
      <c r="A826" s="59"/>
      <c r="B826" s="59"/>
      <c r="C826" s="59"/>
      <c r="D826" s="59"/>
      <c r="E826" s="59"/>
      <c r="F826" s="59"/>
      <c r="G826" s="59"/>
      <c r="H826" s="59"/>
      <c r="I826" s="59"/>
      <c r="J826" s="59"/>
      <c r="K826" s="59"/>
      <c r="L826" s="59"/>
      <c r="M826" s="59"/>
      <c r="N826" s="59"/>
      <c r="O826" s="100"/>
      <c r="P826" s="100"/>
      <c r="Q826" s="100"/>
      <c r="R826" s="100"/>
      <c r="S826" s="100"/>
      <c r="T826" s="100"/>
      <c r="U826" s="100"/>
      <c r="V826" s="100"/>
      <c r="W826" s="100"/>
      <c r="X826" s="100"/>
      <c r="Y826" s="100"/>
      <c r="Z826" s="100"/>
    </row>
    <row r="827" ht="14.25" customHeight="1">
      <c r="A827" s="59"/>
      <c r="B827" s="59"/>
      <c r="C827" s="59"/>
      <c r="D827" s="59"/>
      <c r="E827" s="59"/>
      <c r="F827" s="59"/>
      <c r="G827" s="59"/>
      <c r="H827" s="59"/>
      <c r="I827" s="59"/>
      <c r="J827" s="59"/>
      <c r="K827" s="59"/>
      <c r="L827" s="59"/>
      <c r="M827" s="59"/>
      <c r="N827" s="59"/>
      <c r="O827" s="100"/>
      <c r="P827" s="100"/>
      <c r="Q827" s="100"/>
      <c r="R827" s="100"/>
      <c r="S827" s="100"/>
      <c r="T827" s="100"/>
      <c r="U827" s="100"/>
      <c r="V827" s="100"/>
      <c r="W827" s="100"/>
      <c r="X827" s="100"/>
      <c r="Y827" s="100"/>
      <c r="Z827" s="100"/>
    </row>
    <row r="828" ht="14.25" customHeight="1">
      <c r="A828" s="59"/>
      <c r="B828" s="59"/>
      <c r="C828" s="59"/>
      <c r="D828" s="59"/>
      <c r="E828" s="59"/>
      <c r="F828" s="59"/>
      <c r="G828" s="59"/>
      <c r="H828" s="59"/>
      <c r="I828" s="59"/>
      <c r="J828" s="59"/>
      <c r="K828" s="59"/>
      <c r="L828" s="59"/>
      <c r="M828" s="59"/>
      <c r="N828" s="59"/>
      <c r="O828" s="100"/>
      <c r="P828" s="100"/>
      <c r="Q828" s="100"/>
      <c r="R828" s="100"/>
      <c r="S828" s="100"/>
      <c r="T828" s="100"/>
      <c r="U828" s="100"/>
      <c r="V828" s="100"/>
      <c r="W828" s="100"/>
      <c r="X828" s="100"/>
      <c r="Y828" s="100"/>
      <c r="Z828" s="100"/>
    </row>
    <row r="829" ht="14.25" customHeight="1">
      <c r="A829" s="59"/>
      <c r="B829" s="59"/>
      <c r="C829" s="59"/>
      <c r="D829" s="59"/>
      <c r="E829" s="59"/>
      <c r="F829" s="59"/>
      <c r="G829" s="59"/>
      <c r="H829" s="59"/>
      <c r="I829" s="59"/>
      <c r="J829" s="59"/>
      <c r="K829" s="59"/>
      <c r="L829" s="59"/>
      <c r="M829" s="59"/>
      <c r="N829" s="59"/>
      <c r="O829" s="100"/>
      <c r="P829" s="100"/>
      <c r="Q829" s="100"/>
      <c r="R829" s="100"/>
      <c r="S829" s="100"/>
      <c r="T829" s="100"/>
      <c r="U829" s="100"/>
      <c r="V829" s="100"/>
      <c r="W829" s="100"/>
      <c r="X829" s="100"/>
      <c r="Y829" s="100"/>
      <c r="Z829" s="100"/>
    </row>
    <row r="830" ht="14.25" customHeight="1">
      <c r="A830" s="59"/>
      <c r="B830" s="59"/>
      <c r="C830" s="59"/>
      <c r="D830" s="59"/>
      <c r="E830" s="59"/>
      <c r="F830" s="59"/>
      <c r="G830" s="59"/>
      <c r="H830" s="59"/>
      <c r="I830" s="59"/>
      <c r="J830" s="59"/>
      <c r="K830" s="59"/>
      <c r="L830" s="59"/>
      <c r="M830" s="59"/>
      <c r="N830" s="59"/>
      <c r="O830" s="100"/>
      <c r="P830" s="100"/>
      <c r="Q830" s="100"/>
      <c r="R830" s="100"/>
      <c r="S830" s="100"/>
      <c r="T830" s="100"/>
      <c r="U830" s="100"/>
      <c r="V830" s="100"/>
      <c r="W830" s="100"/>
      <c r="X830" s="100"/>
      <c r="Y830" s="100"/>
      <c r="Z830" s="100"/>
    </row>
    <row r="831" ht="14.25" customHeight="1">
      <c r="A831" s="59"/>
      <c r="B831" s="59"/>
      <c r="C831" s="59"/>
      <c r="D831" s="59"/>
      <c r="E831" s="59"/>
      <c r="F831" s="59"/>
      <c r="G831" s="59"/>
      <c r="H831" s="59"/>
      <c r="I831" s="59"/>
      <c r="J831" s="59"/>
      <c r="K831" s="59"/>
      <c r="L831" s="59"/>
      <c r="M831" s="59"/>
      <c r="N831" s="59"/>
      <c r="O831" s="100"/>
      <c r="P831" s="100"/>
      <c r="Q831" s="100"/>
      <c r="R831" s="100"/>
      <c r="S831" s="100"/>
      <c r="T831" s="100"/>
      <c r="U831" s="100"/>
      <c r="V831" s="100"/>
      <c r="W831" s="100"/>
      <c r="X831" s="100"/>
      <c r="Y831" s="100"/>
      <c r="Z831" s="100"/>
    </row>
    <row r="832" ht="14.25" customHeight="1">
      <c r="A832" s="59"/>
      <c r="B832" s="59"/>
      <c r="C832" s="59"/>
      <c r="D832" s="59"/>
      <c r="E832" s="59"/>
      <c r="F832" s="59"/>
      <c r="G832" s="59"/>
      <c r="H832" s="59"/>
      <c r="I832" s="59"/>
      <c r="J832" s="59"/>
      <c r="K832" s="59"/>
      <c r="L832" s="59"/>
      <c r="M832" s="59"/>
      <c r="N832" s="59"/>
      <c r="O832" s="100"/>
      <c r="P832" s="100"/>
      <c r="Q832" s="100"/>
      <c r="R832" s="100"/>
      <c r="S832" s="100"/>
      <c r="T832" s="100"/>
      <c r="U832" s="100"/>
      <c r="V832" s="100"/>
      <c r="W832" s="100"/>
      <c r="X832" s="100"/>
      <c r="Y832" s="100"/>
      <c r="Z832" s="100"/>
    </row>
    <row r="833" ht="14.25" customHeight="1">
      <c r="A833" s="59"/>
      <c r="B833" s="59"/>
      <c r="C833" s="59"/>
      <c r="D833" s="59"/>
      <c r="E833" s="59"/>
      <c r="F833" s="59"/>
      <c r="G833" s="59"/>
      <c r="H833" s="59"/>
      <c r="I833" s="59"/>
      <c r="J833" s="59"/>
      <c r="K833" s="59"/>
      <c r="L833" s="59"/>
      <c r="M833" s="59"/>
      <c r="N833" s="59"/>
      <c r="O833" s="100"/>
      <c r="P833" s="100"/>
      <c r="Q833" s="100"/>
      <c r="R833" s="100"/>
      <c r="S833" s="100"/>
      <c r="T833" s="100"/>
      <c r="U833" s="100"/>
      <c r="V833" s="100"/>
      <c r="W833" s="100"/>
      <c r="X833" s="100"/>
      <c r="Y833" s="100"/>
      <c r="Z833" s="100"/>
    </row>
    <row r="834" ht="14.25" customHeight="1">
      <c r="A834" s="59"/>
      <c r="B834" s="59"/>
      <c r="C834" s="59"/>
      <c r="D834" s="59"/>
      <c r="E834" s="59"/>
      <c r="F834" s="59"/>
      <c r="G834" s="59"/>
      <c r="H834" s="59"/>
      <c r="I834" s="59"/>
      <c r="J834" s="59"/>
      <c r="K834" s="59"/>
      <c r="L834" s="59"/>
      <c r="M834" s="59"/>
      <c r="N834" s="59"/>
      <c r="O834" s="100"/>
      <c r="P834" s="100"/>
      <c r="Q834" s="100"/>
      <c r="R834" s="100"/>
      <c r="S834" s="100"/>
      <c r="T834" s="100"/>
      <c r="U834" s="100"/>
      <c r="V834" s="100"/>
      <c r="W834" s="100"/>
      <c r="X834" s="100"/>
      <c r="Y834" s="100"/>
      <c r="Z834" s="100"/>
    </row>
    <row r="835" ht="14.25" customHeight="1">
      <c r="A835" s="59"/>
      <c r="B835" s="59"/>
      <c r="C835" s="59"/>
      <c r="D835" s="59"/>
      <c r="E835" s="59"/>
      <c r="F835" s="59"/>
      <c r="G835" s="59"/>
      <c r="H835" s="59"/>
      <c r="I835" s="59"/>
      <c r="J835" s="59"/>
      <c r="K835" s="59"/>
      <c r="L835" s="59"/>
      <c r="M835" s="59"/>
      <c r="N835" s="59"/>
      <c r="O835" s="100"/>
      <c r="P835" s="100"/>
      <c r="Q835" s="100"/>
      <c r="R835" s="100"/>
      <c r="S835" s="100"/>
      <c r="T835" s="100"/>
      <c r="U835" s="100"/>
      <c r="V835" s="100"/>
      <c r="W835" s="100"/>
      <c r="X835" s="100"/>
      <c r="Y835" s="100"/>
      <c r="Z835" s="100"/>
    </row>
    <row r="836" ht="14.25" customHeight="1">
      <c r="A836" s="59"/>
      <c r="B836" s="59"/>
      <c r="C836" s="59"/>
      <c r="D836" s="59"/>
      <c r="E836" s="59"/>
      <c r="F836" s="59"/>
      <c r="G836" s="59"/>
      <c r="H836" s="59"/>
      <c r="I836" s="59"/>
      <c r="J836" s="59"/>
      <c r="K836" s="59"/>
      <c r="L836" s="59"/>
      <c r="M836" s="59"/>
      <c r="N836" s="59"/>
      <c r="O836" s="100"/>
      <c r="P836" s="100"/>
      <c r="Q836" s="100"/>
      <c r="R836" s="100"/>
      <c r="S836" s="100"/>
      <c r="T836" s="100"/>
      <c r="U836" s="100"/>
      <c r="V836" s="100"/>
      <c r="W836" s="100"/>
      <c r="X836" s="100"/>
      <c r="Y836" s="100"/>
      <c r="Z836" s="100"/>
    </row>
    <row r="837" ht="14.25" customHeight="1">
      <c r="A837" s="59"/>
      <c r="B837" s="59"/>
      <c r="C837" s="59"/>
      <c r="D837" s="59"/>
      <c r="E837" s="59"/>
      <c r="F837" s="59"/>
      <c r="G837" s="59"/>
      <c r="H837" s="59"/>
      <c r="I837" s="59"/>
      <c r="J837" s="59"/>
      <c r="K837" s="59"/>
      <c r="L837" s="59"/>
      <c r="M837" s="59"/>
      <c r="N837" s="59"/>
      <c r="O837" s="100"/>
      <c r="P837" s="100"/>
      <c r="Q837" s="100"/>
      <c r="R837" s="100"/>
      <c r="S837" s="100"/>
      <c r="T837" s="100"/>
      <c r="U837" s="100"/>
      <c r="V837" s="100"/>
      <c r="W837" s="100"/>
      <c r="X837" s="100"/>
      <c r="Y837" s="100"/>
      <c r="Z837" s="100"/>
    </row>
    <row r="838" ht="14.25" customHeight="1">
      <c r="A838" s="59"/>
      <c r="B838" s="59"/>
      <c r="C838" s="59"/>
      <c r="D838" s="59"/>
      <c r="E838" s="59"/>
      <c r="F838" s="59"/>
      <c r="G838" s="59"/>
      <c r="H838" s="59"/>
      <c r="I838" s="59"/>
      <c r="J838" s="59"/>
      <c r="K838" s="59"/>
      <c r="L838" s="59"/>
      <c r="M838" s="59"/>
      <c r="N838" s="59"/>
      <c r="O838" s="100"/>
      <c r="P838" s="100"/>
      <c r="Q838" s="100"/>
      <c r="R838" s="100"/>
      <c r="S838" s="100"/>
      <c r="T838" s="100"/>
      <c r="U838" s="100"/>
      <c r="V838" s="100"/>
      <c r="W838" s="100"/>
      <c r="X838" s="100"/>
      <c r="Y838" s="100"/>
      <c r="Z838" s="100"/>
    </row>
    <row r="839" ht="14.25" customHeight="1">
      <c r="A839" s="59"/>
      <c r="B839" s="59"/>
      <c r="C839" s="59"/>
      <c r="D839" s="59"/>
      <c r="E839" s="59"/>
      <c r="F839" s="59"/>
      <c r="G839" s="59"/>
      <c r="H839" s="59"/>
      <c r="I839" s="59"/>
      <c r="J839" s="59"/>
      <c r="K839" s="59"/>
      <c r="L839" s="59"/>
      <c r="M839" s="59"/>
      <c r="N839" s="59"/>
      <c r="O839" s="100"/>
      <c r="P839" s="100"/>
      <c r="Q839" s="100"/>
      <c r="R839" s="100"/>
      <c r="S839" s="100"/>
      <c r="T839" s="100"/>
      <c r="U839" s="100"/>
      <c r="V839" s="100"/>
      <c r="W839" s="100"/>
      <c r="X839" s="100"/>
      <c r="Y839" s="100"/>
      <c r="Z839" s="100"/>
    </row>
    <row r="840" ht="14.25" customHeight="1">
      <c r="A840" s="59"/>
      <c r="B840" s="59"/>
      <c r="C840" s="59"/>
      <c r="D840" s="59"/>
      <c r="E840" s="59"/>
      <c r="F840" s="59"/>
      <c r="G840" s="59"/>
      <c r="H840" s="59"/>
      <c r="I840" s="59"/>
      <c r="J840" s="59"/>
      <c r="K840" s="59"/>
      <c r="L840" s="59"/>
      <c r="M840" s="59"/>
      <c r="N840" s="59"/>
      <c r="O840" s="100"/>
      <c r="P840" s="100"/>
      <c r="Q840" s="100"/>
      <c r="R840" s="100"/>
      <c r="S840" s="100"/>
      <c r="T840" s="100"/>
      <c r="U840" s="100"/>
      <c r="V840" s="100"/>
      <c r="W840" s="100"/>
      <c r="X840" s="100"/>
      <c r="Y840" s="100"/>
      <c r="Z840" s="100"/>
    </row>
    <row r="841" ht="14.25" customHeight="1">
      <c r="A841" s="59"/>
      <c r="B841" s="59"/>
      <c r="C841" s="59"/>
      <c r="D841" s="59"/>
      <c r="E841" s="59"/>
      <c r="F841" s="59"/>
      <c r="G841" s="59"/>
      <c r="H841" s="59"/>
      <c r="I841" s="59"/>
      <c r="J841" s="59"/>
      <c r="K841" s="59"/>
      <c r="L841" s="59"/>
      <c r="M841" s="59"/>
      <c r="N841" s="59"/>
      <c r="O841" s="100"/>
      <c r="P841" s="100"/>
      <c r="Q841" s="100"/>
      <c r="R841" s="100"/>
      <c r="S841" s="100"/>
      <c r="T841" s="100"/>
      <c r="U841" s="100"/>
      <c r="V841" s="100"/>
      <c r="W841" s="100"/>
      <c r="X841" s="100"/>
      <c r="Y841" s="100"/>
      <c r="Z841" s="100"/>
    </row>
    <row r="842" ht="14.25" customHeight="1">
      <c r="A842" s="59"/>
      <c r="B842" s="59"/>
      <c r="C842" s="59"/>
      <c r="D842" s="59"/>
      <c r="E842" s="59"/>
      <c r="F842" s="59"/>
      <c r="G842" s="59"/>
      <c r="H842" s="59"/>
      <c r="I842" s="59"/>
      <c r="J842" s="59"/>
      <c r="K842" s="59"/>
      <c r="L842" s="59"/>
      <c r="M842" s="59"/>
      <c r="N842" s="59"/>
      <c r="O842" s="100"/>
      <c r="P842" s="100"/>
      <c r="Q842" s="100"/>
      <c r="R842" s="100"/>
      <c r="S842" s="100"/>
      <c r="T842" s="100"/>
      <c r="U842" s="100"/>
      <c r="V842" s="100"/>
      <c r="W842" s="100"/>
      <c r="X842" s="100"/>
      <c r="Y842" s="100"/>
      <c r="Z842" s="100"/>
    </row>
    <row r="843" ht="14.25" customHeight="1">
      <c r="A843" s="59"/>
      <c r="B843" s="59"/>
      <c r="C843" s="59"/>
      <c r="D843" s="59"/>
      <c r="E843" s="59"/>
      <c r="F843" s="59"/>
      <c r="G843" s="59"/>
      <c r="H843" s="59"/>
      <c r="I843" s="59"/>
      <c r="J843" s="59"/>
      <c r="K843" s="59"/>
      <c r="L843" s="59"/>
      <c r="M843" s="59"/>
      <c r="N843" s="59"/>
      <c r="O843" s="100"/>
      <c r="P843" s="100"/>
      <c r="Q843" s="100"/>
      <c r="R843" s="100"/>
      <c r="S843" s="100"/>
      <c r="T843" s="100"/>
      <c r="U843" s="100"/>
      <c r="V843" s="100"/>
      <c r="W843" s="100"/>
      <c r="X843" s="100"/>
      <c r="Y843" s="100"/>
      <c r="Z843" s="100"/>
    </row>
    <row r="844" ht="14.25" customHeight="1">
      <c r="A844" s="59"/>
      <c r="B844" s="59"/>
      <c r="C844" s="59"/>
      <c r="D844" s="59"/>
      <c r="E844" s="59"/>
      <c r="F844" s="59"/>
      <c r="G844" s="59"/>
      <c r="H844" s="59"/>
      <c r="I844" s="59"/>
      <c r="J844" s="59"/>
      <c r="K844" s="59"/>
      <c r="L844" s="59"/>
      <c r="M844" s="59"/>
      <c r="N844" s="59"/>
      <c r="O844" s="100"/>
      <c r="P844" s="100"/>
      <c r="Q844" s="100"/>
      <c r="R844" s="100"/>
      <c r="S844" s="100"/>
      <c r="T844" s="100"/>
      <c r="U844" s="100"/>
      <c r="V844" s="100"/>
      <c r="W844" s="100"/>
      <c r="X844" s="100"/>
      <c r="Y844" s="100"/>
      <c r="Z844" s="100"/>
    </row>
    <row r="845" ht="14.25" customHeight="1">
      <c r="A845" s="59"/>
      <c r="B845" s="59"/>
      <c r="C845" s="59"/>
      <c r="D845" s="59"/>
      <c r="E845" s="59"/>
      <c r="F845" s="59"/>
      <c r="G845" s="59"/>
      <c r="H845" s="59"/>
      <c r="I845" s="59"/>
      <c r="J845" s="59"/>
      <c r="K845" s="59"/>
      <c r="L845" s="59"/>
      <c r="M845" s="59"/>
      <c r="N845" s="59"/>
      <c r="O845" s="100"/>
      <c r="P845" s="100"/>
      <c r="Q845" s="100"/>
      <c r="R845" s="100"/>
      <c r="S845" s="100"/>
      <c r="T845" s="100"/>
      <c r="U845" s="100"/>
      <c r="V845" s="100"/>
      <c r="W845" s="100"/>
      <c r="X845" s="100"/>
      <c r="Y845" s="100"/>
      <c r="Z845" s="100"/>
    </row>
    <row r="846" ht="14.25" customHeight="1">
      <c r="A846" s="59"/>
      <c r="B846" s="59"/>
      <c r="C846" s="59"/>
      <c r="D846" s="59"/>
      <c r="E846" s="59"/>
      <c r="F846" s="59"/>
      <c r="G846" s="59"/>
      <c r="H846" s="59"/>
      <c r="I846" s="59"/>
      <c r="J846" s="59"/>
      <c r="K846" s="59"/>
      <c r="L846" s="59"/>
      <c r="M846" s="59"/>
      <c r="N846" s="59"/>
      <c r="O846" s="100"/>
      <c r="P846" s="100"/>
      <c r="Q846" s="100"/>
      <c r="R846" s="100"/>
      <c r="S846" s="100"/>
      <c r="T846" s="100"/>
      <c r="U846" s="100"/>
      <c r="V846" s="100"/>
      <c r="W846" s="100"/>
      <c r="X846" s="100"/>
      <c r="Y846" s="100"/>
      <c r="Z846" s="100"/>
    </row>
    <row r="847" ht="14.25" customHeight="1">
      <c r="A847" s="59"/>
      <c r="B847" s="59"/>
      <c r="C847" s="59"/>
      <c r="D847" s="59"/>
      <c r="E847" s="59"/>
      <c r="F847" s="59"/>
      <c r="G847" s="59"/>
      <c r="H847" s="59"/>
      <c r="I847" s="59"/>
      <c r="J847" s="59"/>
      <c r="K847" s="59"/>
      <c r="L847" s="59"/>
      <c r="M847" s="59"/>
      <c r="N847" s="59"/>
      <c r="O847" s="100"/>
      <c r="P847" s="100"/>
      <c r="Q847" s="100"/>
      <c r="R847" s="100"/>
      <c r="S847" s="100"/>
      <c r="T847" s="100"/>
      <c r="U847" s="100"/>
      <c r="V847" s="100"/>
      <c r="W847" s="100"/>
      <c r="X847" s="100"/>
      <c r="Y847" s="100"/>
      <c r="Z847" s="100"/>
    </row>
    <row r="848" ht="14.25" customHeight="1">
      <c r="A848" s="59"/>
      <c r="B848" s="59"/>
      <c r="C848" s="59"/>
      <c r="D848" s="59"/>
      <c r="E848" s="59"/>
      <c r="F848" s="59"/>
      <c r="G848" s="59"/>
      <c r="H848" s="59"/>
      <c r="I848" s="59"/>
      <c r="J848" s="59"/>
      <c r="K848" s="59"/>
      <c r="L848" s="59"/>
      <c r="M848" s="59"/>
      <c r="N848" s="59"/>
      <c r="O848" s="100"/>
      <c r="P848" s="100"/>
      <c r="Q848" s="100"/>
      <c r="R848" s="100"/>
      <c r="S848" s="100"/>
      <c r="T848" s="100"/>
      <c r="U848" s="100"/>
      <c r="V848" s="100"/>
      <c r="W848" s="100"/>
      <c r="X848" s="100"/>
      <c r="Y848" s="100"/>
      <c r="Z848" s="100"/>
    </row>
    <row r="849" ht="14.25" customHeight="1">
      <c r="A849" s="59"/>
      <c r="B849" s="59"/>
      <c r="C849" s="59"/>
      <c r="D849" s="59"/>
      <c r="E849" s="59"/>
      <c r="F849" s="59"/>
      <c r="G849" s="59"/>
      <c r="H849" s="59"/>
      <c r="I849" s="59"/>
      <c r="J849" s="59"/>
      <c r="K849" s="59"/>
      <c r="L849" s="59"/>
      <c r="M849" s="59"/>
      <c r="N849" s="59"/>
      <c r="O849" s="100"/>
      <c r="P849" s="100"/>
      <c r="Q849" s="100"/>
      <c r="R849" s="100"/>
      <c r="S849" s="100"/>
      <c r="T849" s="100"/>
      <c r="U849" s="100"/>
      <c r="V849" s="100"/>
      <c r="W849" s="100"/>
      <c r="X849" s="100"/>
      <c r="Y849" s="100"/>
      <c r="Z849" s="100"/>
    </row>
    <row r="850" ht="14.25" customHeight="1">
      <c r="A850" s="59"/>
      <c r="B850" s="59"/>
      <c r="C850" s="59"/>
      <c r="D850" s="59"/>
      <c r="E850" s="59"/>
      <c r="F850" s="59"/>
      <c r="G850" s="59"/>
      <c r="H850" s="59"/>
      <c r="I850" s="59"/>
      <c r="J850" s="59"/>
      <c r="K850" s="59"/>
      <c r="L850" s="59"/>
      <c r="M850" s="59"/>
      <c r="N850" s="59"/>
      <c r="O850" s="100"/>
      <c r="P850" s="100"/>
      <c r="Q850" s="100"/>
      <c r="R850" s="100"/>
      <c r="S850" s="100"/>
      <c r="T850" s="100"/>
      <c r="U850" s="100"/>
      <c r="V850" s="100"/>
      <c r="W850" s="100"/>
      <c r="X850" s="100"/>
      <c r="Y850" s="100"/>
      <c r="Z850" s="100"/>
    </row>
    <row r="851" ht="14.25" customHeight="1">
      <c r="A851" s="59"/>
      <c r="B851" s="59"/>
      <c r="C851" s="59"/>
      <c r="D851" s="59"/>
      <c r="E851" s="59"/>
      <c r="F851" s="59"/>
      <c r="G851" s="59"/>
      <c r="H851" s="59"/>
      <c r="I851" s="59"/>
      <c r="J851" s="59"/>
      <c r="K851" s="59"/>
      <c r="L851" s="59"/>
      <c r="M851" s="59"/>
      <c r="N851" s="59"/>
      <c r="O851" s="100"/>
      <c r="P851" s="100"/>
      <c r="Q851" s="100"/>
      <c r="R851" s="100"/>
      <c r="S851" s="100"/>
      <c r="T851" s="100"/>
      <c r="U851" s="100"/>
      <c r="V851" s="100"/>
      <c r="W851" s="100"/>
      <c r="X851" s="100"/>
      <c r="Y851" s="100"/>
      <c r="Z851" s="100"/>
    </row>
    <row r="852" ht="14.25" customHeight="1">
      <c r="A852" s="59"/>
      <c r="B852" s="59"/>
      <c r="C852" s="59"/>
      <c r="D852" s="59"/>
      <c r="E852" s="59"/>
      <c r="F852" s="59"/>
      <c r="G852" s="59"/>
      <c r="H852" s="59"/>
      <c r="I852" s="59"/>
      <c r="J852" s="59"/>
      <c r="K852" s="59"/>
      <c r="L852" s="59"/>
      <c r="M852" s="59"/>
      <c r="N852" s="59"/>
      <c r="O852" s="100"/>
      <c r="P852" s="100"/>
      <c r="Q852" s="100"/>
      <c r="R852" s="100"/>
      <c r="S852" s="100"/>
      <c r="T852" s="100"/>
      <c r="U852" s="100"/>
      <c r="V852" s="100"/>
      <c r="W852" s="100"/>
      <c r="X852" s="100"/>
      <c r="Y852" s="100"/>
      <c r="Z852" s="100"/>
    </row>
    <row r="853" ht="14.25" customHeight="1">
      <c r="A853" s="59"/>
      <c r="B853" s="59"/>
      <c r="C853" s="59"/>
      <c r="D853" s="59"/>
      <c r="E853" s="59"/>
      <c r="F853" s="59"/>
      <c r="G853" s="59"/>
      <c r="H853" s="59"/>
      <c r="I853" s="59"/>
      <c r="J853" s="59"/>
      <c r="K853" s="59"/>
      <c r="L853" s="59"/>
      <c r="M853" s="59"/>
      <c r="N853" s="59"/>
      <c r="O853" s="100"/>
      <c r="P853" s="100"/>
      <c r="Q853" s="100"/>
      <c r="R853" s="100"/>
      <c r="S853" s="100"/>
      <c r="T853" s="100"/>
      <c r="U853" s="100"/>
      <c r="V853" s="100"/>
      <c r="W853" s="100"/>
      <c r="X853" s="100"/>
      <c r="Y853" s="100"/>
      <c r="Z853" s="100"/>
    </row>
    <row r="854" ht="14.25" customHeight="1">
      <c r="A854" s="59"/>
      <c r="B854" s="59"/>
      <c r="C854" s="59"/>
      <c r="D854" s="59"/>
      <c r="E854" s="59"/>
      <c r="F854" s="59"/>
      <c r="G854" s="59"/>
      <c r="H854" s="59"/>
      <c r="I854" s="59"/>
      <c r="J854" s="59"/>
      <c r="K854" s="59"/>
      <c r="L854" s="59"/>
      <c r="M854" s="59"/>
      <c r="N854" s="59"/>
      <c r="O854" s="100"/>
      <c r="P854" s="100"/>
      <c r="Q854" s="100"/>
      <c r="R854" s="100"/>
      <c r="S854" s="100"/>
      <c r="T854" s="100"/>
      <c r="U854" s="100"/>
      <c r="V854" s="100"/>
      <c r="W854" s="100"/>
      <c r="X854" s="100"/>
      <c r="Y854" s="100"/>
      <c r="Z854" s="100"/>
    </row>
    <row r="855" ht="14.25" customHeight="1">
      <c r="A855" s="59"/>
      <c r="B855" s="59"/>
      <c r="C855" s="59"/>
      <c r="D855" s="59"/>
      <c r="E855" s="59"/>
      <c r="F855" s="59"/>
      <c r="G855" s="59"/>
      <c r="H855" s="59"/>
      <c r="I855" s="59"/>
      <c r="J855" s="59"/>
      <c r="K855" s="59"/>
      <c r="L855" s="59"/>
      <c r="M855" s="59"/>
      <c r="N855" s="59"/>
      <c r="O855" s="100"/>
      <c r="P855" s="100"/>
      <c r="Q855" s="100"/>
      <c r="R855" s="100"/>
      <c r="S855" s="100"/>
      <c r="T855" s="100"/>
      <c r="U855" s="100"/>
      <c r="V855" s="100"/>
      <c r="W855" s="100"/>
      <c r="X855" s="100"/>
      <c r="Y855" s="100"/>
      <c r="Z855" s="100"/>
    </row>
    <row r="856" ht="14.25" customHeight="1">
      <c r="A856" s="59"/>
      <c r="B856" s="59"/>
      <c r="C856" s="59"/>
      <c r="D856" s="59"/>
      <c r="E856" s="59"/>
      <c r="F856" s="59"/>
      <c r="G856" s="59"/>
      <c r="H856" s="59"/>
      <c r="I856" s="59"/>
      <c r="J856" s="59"/>
      <c r="K856" s="59"/>
      <c r="L856" s="59"/>
      <c r="M856" s="59"/>
      <c r="N856" s="59"/>
      <c r="O856" s="100"/>
      <c r="P856" s="100"/>
      <c r="Q856" s="100"/>
      <c r="R856" s="100"/>
      <c r="S856" s="100"/>
      <c r="T856" s="100"/>
      <c r="U856" s="100"/>
      <c r="V856" s="100"/>
      <c r="W856" s="100"/>
      <c r="X856" s="100"/>
      <c r="Y856" s="100"/>
      <c r="Z856" s="100"/>
    </row>
    <row r="857" ht="14.25" customHeight="1">
      <c r="A857" s="59"/>
      <c r="B857" s="59"/>
      <c r="C857" s="59"/>
      <c r="D857" s="59"/>
      <c r="E857" s="59"/>
      <c r="F857" s="59"/>
      <c r="G857" s="59"/>
      <c r="H857" s="59"/>
      <c r="I857" s="59"/>
      <c r="J857" s="59"/>
      <c r="K857" s="59"/>
      <c r="L857" s="59"/>
      <c r="M857" s="59"/>
      <c r="N857" s="59"/>
      <c r="O857" s="100"/>
      <c r="P857" s="100"/>
      <c r="Q857" s="100"/>
      <c r="R857" s="100"/>
      <c r="S857" s="100"/>
      <c r="T857" s="100"/>
      <c r="U857" s="100"/>
      <c r="V857" s="100"/>
      <c r="W857" s="100"/>
      <c r="X857" s="100"/>
      <c r="Y857" s="100"/>
      <c r="Z857" s="100"/>
    </row>
    <row r="858" ht="14.25" customHeight="1">
      <c r="A858" s="59"/>
      <c r="B858" s="59"/>
      <c r="C858" s="59"/>
      <c r="D858" s="59"/>
      <c r="E858" s="59"/>
      <c r="F858" s="59"/>
      <c r="G858" s="59"/>
      <c r="H858" s="59"/>
      <c r="I858" s="59"/>
      <c r="J858" s="59"/>
      <c r="K858" s="59"/>
      <c r="L858" s="59"/>
      <c r="M858" s="59"/>
      <c r="N858" s="59"/>
      <c r="O858" s="100"/>
      <c r="P858" s="100"/>
      <c r="Q858" s="100"/>
      <c r="R858" s="100"/>
      <c r="S858" s="100"/>
      <c r="T858" s="100"/>
      <c r="U858" s="100"/>
      <c r="V858" s="100"/>
      <c r="W858" s="100"/>
      <c r="X858" s="100"/>
      <c r="Y858" s="100"/>
      <c r="Z858" s="100"/>
    </row>
    <row r="859" ht="14.25" customHeight="1">
      <c r="A859" s="59"/>
      <c r="B859" s="59"/>
      <c r="C859" s="59"/>
      <c r="D859" s="59"/>
      <c r="E859" s="59"/>
      <c r="F859" s="59"/>
      <c r="G859" s="59"/>
      <c r="H859" s="59"/>
      <c r="I859" s="59"/>
      <c r="J859" s="59"/>
      <c r="K859" s="59"/>
      <c r="L859" s="59"/>
      <c r="M859" s="59"/>
      <c r="N859" s="59"/>
      <c r="O859" s="100"/>
      <c r="P859" s="100"/>
      <c r="Q859" s="100"/>
      <c r="R859" s="100"/>
      <c r="S859" s="100"/>
      <c r="T859" s="100"/>
      <c r="U859" s="100"/>
      <c r="V859" s="100"/>
      <c r="W859" s="100"/>
      <c r="X859" s="100"/>
      <c r="Y859" s="100"/>
      <c r="Z859" s="100"/>
    </row>
    <row r="860" ht="14.25" customHeight="1">
      <c r="A860" s="59"/>
      <c r="B860" s="59"/>
      <c r="C860" s="59"/>
      <c r="D860" s="59"/>
      <c r="E860" s="59"/>
      <c r="F860" s="59"/>
      <c r="G860" s="59"/>
      <c r="H860" s="59"/>
      <c r="I860" s="59"/>
      <c r="J860" s="59"/>
      <c r="K860" s="59"/>
      <c r="L860" s="59"/>
      <c r="M860" s="59"/>
      <c r="N860" s="59"/>
      <c r="O860" s="100"/>
      <c r="P860" s="100"/>
      <c r="Q860" s="100"/>
      <c r="R860" s="100"/>
      <c r="S860" s="100"/>
      <c r="T860" s="100"/>
      <c r="U860" s="100"/>
      <c r="V860" s="100"/>
      <c r="W860" s="100"/>
      <c r="X860" s="100"/>
      <c r="Y860" s="100"/>
      <c r="Z860" s="100"/>
    </row>
    <row r="861" ht="14.25" customHeight="1">
      <c r="A861" s="59"/>
      <c r="B861" s="59"/>
      <c r="C861" s="59"/>
      <c r="D861" s="59"/>
      <c r="E861" s="59"/>
      <c r="F861" s="59"/>
      <c r="G861" s="59"/>
      <c r="H861" s="59"/>
      <c r="I861" s="59"/>
      <c r="J861" s="59"/>
      <c r="K861" s="59"/>
      <c r="L861" s="59"/>
      <c r="M861" s="59"/>
      <c r="N861" s="59"/>
      <c r="O861" s="100"/>
      <c r="P861" s="100"/>
      <c r="Q861" s="100"/>
      <c r="R861" s="100"/>
      <c r="S861" s="100"/>
      <c r="T861" s="100"/>
      <c r="U861" s="100"/>
      <c r="V861" s="100"/>
      <c r="W861" s="100"/>
      <c r="X861" s="100"/>
      <c r="Y861" s="100"/>
      <c r="Z861" s="100"/>
    </row>
    <row r="862" ht="14.25" customHeight="1">
      <c r="A862" s="59"/>
      <c r="B862" s="59"/>
      <c r="C862" s="59"/>
      <c r="D862" s="59"/>
      <c r="E862" s="59"/>
      <c r="F862" s="59"/>
      <c r="G862" s="59"/>
      <c r="H862" s="59"/>
      <c r="I862" s="59"/>
      <c r="J862" s="59"/>
      <c r="K862" s="59"/>
      <c r="L862" s="59"/>
      <c r="M862" s="59"/>
      <c r="N862" s="59"/>
      <c r="O862" s="100"/>
      <c r="P862" s="100"/>
      <c r="Q862" s="100"/>
      <c r="R862" s="100"/>
      <c r="S862" s="100"/>
      <c r="T862" s="100"/>
      <c r="U862" s="100"/>
      <c r="V862" s="100"/>
      <c r="W862" s="100"/>
      <c r="X862" s="100"/>
      <c r="Y862" s="100"/>
      <c r="Z862" s="100"/>
    </row>
    <row r="863" ht="14.25" customHeight="1">
      <c r="A863" s="59"/>
      <c r="B863" s="59"/>
      <c r="C863" s="59"/>
      <c r="D863" s="59"/>
      <c r="E863" s="59"/>
      <c r="F863" s="59"/>
      <c r="G863" s="59"/>
      <c r="H863" s="59"/>
      <c r="I863" s="59"/>
      <c r="J863" s="59"/>
      <c r="K863" s="59"/>
      <c r="L863" s="59"/>
      <c r="M863" s="59"/>
      <c r="N863" s="59"/>
      <c r="O863" s="100"/>
      <c r="P863" s="100"/>
      <c r="Q863" s="100"/>
      <c r="R863" s="100"/>
      <c r="S863" s="100"/>
      <c r="T863" s="100"/>
      <c r="U863" s="100"/>
      <c r="V863" s="100"/>
      <c r="W863" s="100"/>
      <c r="X863" s="100"/>
      <c r="Y863" s="100"/>
      <c r="Z863" s="100"/>
    </row>
    <row r="864" ht="14.25" customHeight="1">
      <c r="A864" s="59"/>
      <c r="B864" s="59"/>
      <c r="C864" s="59"/>
      <c r="D864" s="59"/>
      <c r="E864" s="59"/>
      <c r="F864" s="59"/>
      <c r="G864" s="59"/>
      <c r="H864" s="59"/>
      <c r="I864" s="59"/>
      <c r="J864" s="59"/>
      <c r="K864" s="59"/>
      <c r="L864" s="59"/>
      <c r="M864" s="59"/>
      <c r="N864" s="59"/>
      <c r="O864" s="100"/>
      <c r="P864" s="100"/>
      <c r="Q864" s="100"/>
      <c r="R864" s="100"/>
      <c r="S864" s="100"/>
      <c r="T864" s="100"/>
      <c r="U864" s="100"/>
      <c r="V864" s="100"/>
      <c r="W864" s="100"/>
      <c r="X864" s="100"/>
      <c r="Y864" s="100"/>
      <c r="Z864" s="100"/>
    </row>
    <row r="865" ht="14.25" customHeight="1">
      <c r="A865" s="59"/>
      <c r="B865" s="59"/>
      <c r="C865" s="59"/>
      <c r="D865" s="59"/>
      <c r="E865" s="59"/>
      <c r="F865" s="59"/>
      <c r="G865" s="59"/>
      <c r="H865" s="59"/>
      <c r="I865" s="59"/>
      <c r="J865" s="59"/>
      <c r="K865" s="59"/>
      <c r="L865" s="59"/>
      <c r="M865" s="59"/>
      <c r="N865" s="59"/>
      <c r="O865" s="100"/>
      <c r="P865" s="100"/>
      <c r="Q865" s="100"/>
      <c r="R865" s="100"/>
      <c r="S865" s="100"/>
      <c r="T865" s="100"/>
      <c r="U865" s="100"/>
      <c r="V865" s="100"/>
      <c r="W865" s="100"/>
      <c r="X865" s="100"/>
      <c r="Y865" s="100"/>
      <c r="Z865" s="100"/>
    </row>
    <row r="866" ht="14.25" customHeight="1">
      <c r="A866" s="59"/>
      <c r="B866" s="59"/>
      <c r="C866" s="59"/>
      <c r="D866" s="59"/>
      <c r="E866" s="59"/>
      <c r="F866" s="59"/>
      <c r="G866" s="59"/>
      <c r="H866" s="59"/>
      <c r="I866" s="59"/>
      <c r="J866" s="59"/>
      <c r="K866" s="59"/>
      <c r="L866" s="59"/>
      <c r="M866" s="59"/>
      <c r="N866" s="59"/>
      <c r="O866" s="100"/>
      <c r="P866" s="100"/>
      <c r="Q866" s="100"/>
      <c r="R866" s="100"/>
      <c r="S866" s="100"/>
      <c r="T866" s="100"/>
      <c r="U866" s="100"/>
      <c r="V866" s="100"/>
      <c r="W866" s="100"/>
      <c r="X866" s="100"/>
      <c r="Y866" s="100"/>
      <c r="Z866" s="100"/>
    </row>
    <row r="867" ht="14.25" customHeight="1">
      <c r="A867" s="59"/>
      <c r="B867" s="59"/>
      <c r="C867" s="59"/>
      <c r="D867" s="59"/>
      <c r="E867" s="59"/>
      <c r="F867" s="59"/>
      <c r="G867" s="59"/>
      <c r="H867" s="59"/>
      <c r="I867" s="59"/>
      <c r="J867" s="59"/>
      <c r="K867" s="59"/>
      <c r="L867" s="59"/>
      <c r="M867" s="59"/>
      <c r="N867" s="59"/>
      <c r="O867" s="100"/>
      <c r="P867" s="100"/>
      <c r="Q867" s="100"/>
      <c r="R867" s="100"/>
      <c r="S867" s="100"/>
      <c r="T867" s="100"/>
      <c r="U867" s="100"/>
      <c r="V867" s="100"/>
      <c r="W867" s="100"/>
      <c r="X867" s="100"/>
      <c r="Y867" s="100"/>
      <c r="Z867" s="100"/>
    </row>
    <row r="868" ht="14.25" customHeight="1">
      <c r="A868" s="59"/>
      <c r="B868" s="59"/>
      <c r="C868" s="59"/>
      <c r="D868" s="59"/>
      <c r="E868" s="59"/>
      <c r="F868" s="59"/>
      <c r="G868" s="59"/>
      <c r="H868" s="59"/>
      <c r="I868" s="59"/>
      <c r="J868" s="59"/>
      <c r="K868" s="59"/>
      <c r="L868" s="59"/>
      <c r="M868" s="59"/>
      <c r="N868" s="59"/>
      <c r="O868" s="100"/>
      <c r="P868" s="100"/>
      <c r="Q868" s="100"/>
      <c r="R868" s="100"/>
      <c r="S868" s="100"/>
      <c r="T868" s="100"/>
      <c r="U868" s="100"/>
      <c r="V868" s="100"/>
      <c r="W868" s="100"/>
      <c r="X868" s="100"/>
      <c r="Y868" s="100"/>
      <c r="Z868" s="100"/>
    </row>
    <row r="869" ht="14.25" customHeight="1">
      <c r="A869" s="59"/>
      <c r="B869" s="59"/>
      <c r="C869" s="59"/>
      <c r="D869" s="59"/>
      <c r="E869" s="59"/>
      <c r="F869" s="59"/>
      <c r="G869" s="59"/>
      <c r="H869" s="59"/>
      <c r="I869" s="59"/>
      <c r="J869" s="59"/>
      <c r="K869" s="59"/>
      <c r="L869" s="59"/>
      <c r="M869" s="59"/>
      <c r="N869" s="59"/>
      <c r="O869" s="100"/>
      <c r="P869" s="100"/>
      <c r="Q869" s="100"/>
      <c r="R869" s="100"/>
      <c r="S869" s="100"/>
      <c r="T869" s="100"/>
      <c r="U869" s="100"/>
      <c r="V869" s="100"/>
      <c r="W869" s="100"/>
      <c r="X869" s="100"/>
      <c r="Y869" s="100"/>
      <c r="Z869" s="100"/>
    </row>
    <row r="870" ht="14.25" customHeight="1">
      <c r="A870" s="59"/>
      <c r="B870" s="59"/>
      <c r="C870" s="59"/>
      <c r="D870" s="59"/>
      <c r="E870" s="59"/>
      <c r="F870" s="59"/>
      <c r="G870" s="59"/>
      <c r="H870" s="59"/>
      <c r="I870" s="59"/>
      <c r="J870" s="59"/>
      <c r="K870" s="59"/>
      <c r="L870" s="59"/>
      <c r="M870" s="59"/>
      <c r="N870" s="59"/>
      <c r="O870" s="100"/>
      <c r="P870" s="100"/>
      <c r="Q870" s="100"/>
      <c r="R870" s="100"/>
      <c r="S870" s="100"/>
      <c r="T870" s="100"/>
      <c r="U870" s="100"/>
      <c r="V870" s="100"/>
      <c r="W870" s="100"/>
      <c r="X870" s="100"/>
      <c r="Y870" s="100"/>
      <c r="Z870" s="100"/>
    </row>
    <row r="871" ht="14.25" customHeight="1">
      <c r="A871" s="59"/>
      <c r="B871" s="59"/>
      <c r="C871" s="59"/>
      <c r="D871" s="59"/>
      <c r="E871" s="59"/>
      <c r="F871" s="59"/>
      <c r="G871" s="59"/>
      <c r="H871" s="59"/>
      <c r="I871" s="59"/>
      <c r="J871" s="59"/>
      <c r="K871" s="59"/>
      <c r="L871" s="59"/>
      <c r="M871" s="59"/>
      <c r="N871" s="59"/>
      <c r="O871" s="100"/>
      <c r="P871" s="100"/>
      <c r="Q871" s="100"/>
      <c r="R871" s="100"/>
      <c r="S871" s="100"/>
      <c r="T871" s="100"/>
      <c r="U871" s="100"/>
      <c r="V871" s="100"/>
      <c r="W871" s="100"/>
      <c r="X871" s="100"/>
      <c r="Y871" s="100"/>
      <c r="Z871" s="100"/>
    </row>
    <row r="872" ht="14.25" customHeight="1">
      <c r="A872" s="59"/>
      <c r="B872" s="59"/>
      <c r="C872" s="59"/>
      <c r="D872" s="59"/>
      <c r="E872" s="59"/>
      <c r="F872" s="59"/>
      <c r="G872" s="59"/>
      <c r="H872" s="59"/>
      <c r="I872" s="59"/>
      <c r="J872" s="59"/>
      <c r="K872" s="59"/>
      <c r="L872" s="59"/>
      <c r="M872" s="59"/>
      <c r="N872" s="59"/>
      <c r="O872" s="100"/>
      <c r="P872" s="100"/>
      <c r="Q872" s="100"/>
      <c r="R872" s="100"/>
      <c r="S872" s="100"/>
      <c r="T872" s="100"/>
      <c r="U872" s="100"/>
      <c r="V872" s="100"/>
      <c r="W872" s="100"/>
      <c r="X872" s="100"/>
      <c r="Y872" s="100"/>
      <c r="Z872" s="100"/>
    </row>
    <row r="873" ht="14.25" customHeight="1">
      <c r="A873" s="59"/>
      <c r="B873" s="59"/>
      <c r="C873" s="59"/>
      <c r="D873" s="59"/>
      <c r="E873" s="59"/>
      <c r="F873" s="59"/>
      <c r="G873" s="59"/>
      <c r="H873" s="59"/>
      <c r="I873" s="59"/>
      <c r="J873" s="59"/>
      <c r="K873" s="59"/>
      <c r="L873" s="59"/>
      <c r="M873" s="59"/>
      <c r="N873" s="59"/>
      <c r="O873" s="100"/>
      <c r="P873" s="100"/>
      <c r="Q873" s="100"/>
      <c r="R873" s="100"/>
      <c r="S873" s="100"/>
      <c r="T873" s="100"/>
      <c r="U873" s="100"/>
      <c r="V873" s="100"/>
      <c r="W873" s="100"/>
      <c r="X873" s="100"/>
      <c r="Y873" s="100"/>
      <c r="Z873" s="100"/>
    </row>
    <row r="874" ht="14.25" customHeight="1">
      <c r="A874" s="59"/>
      <c r="B874" s="59"/>
      <c r="C874" s="59"/>
      <c r="D874" s="59"/>
      <c r="E874" s="59"/>
      <c r="F874" s="59"/>
      <c r="G874" s="59"/>
      <c r="H874" s="59"/>
      <c r="I874" s="59"/>
      <c r="J874" s="59"/>
      <c r="K874" s="59"/>
      <c r="L874" s="59"/>
      <c r="M874" s="59"/>
      <c r="N874" s="59"/>
      <c r="O874" s="100"/>
      <c r="P874" s="100"/>
      <c r="Q874" s="100"/>
      <c r="R874" s="100"/>
      <c r="S874" s="100"/>
      <c r="T874" s="100"/>
      <c r="U874" s="100"/>
      <c r="V874" s="100"/>
      <c r="W874" s="100"/>
      <c r="X874" s="100"/>
      <c r="Y874" s="100"/>
      <c r="Z874" s="100"/>
    </row>
    <row r="875" ht="14.25" customHeight="1">
      <c r="A875" s="59"/>
      <c r="B875" s="59"/>
      <c r="C875" s="59"/>
      <c r="D875" s="59"/>
      <c r="E875" s="59"/>
      <c r="F875" s="59"/>
      <c r="G875" s="59"/>
      <c r="H875" s="59"/>
      <c r="I875" s="59"/>
      <c r="J875" s="59"/>
      <c r="K875" s="59"/>
      <c r="L875" s="59"/>
      <c r="M875" s="59"/>
      <c r="N875" s="59"/>
      <c r="O875" s="100"/>
      <c r="P875" s="100"/>
      <c r="Q875" s="100"/>
      <c r="R875" s="100"/>
      <c r="S875" s="100"/>
      <c r="T875" s="100"/>
      <c r="U875" s="100"/>
      <c r="V875" s="100"/>
      <c r="W875" s="100"/>
      <c r="X875" s="100"/>
      <c r="Y875" s="100"/>
      <c r="Z875" s="100"/>
    </row>
    <row r="876" ht="14.25" customHeight="1">
      <c r="A876" s="59"/>
      <c r="B876" s="59"/>
      <c r="C876" s="59"/>
      <c r="D876" s="59"/>
      <c r="E876" s="59"/>
      <c r="F876" s="59"/>
      <c r="G876" s="59"/>
      <c r="H876" s="59"/>
      <c r="I876" s="59"/>
      <c r="J876" s="59"/>
      <c r="K876" s="59"/>
      <c r="L876" s="59"/>
      <c r="M876" s="59"/>
      <c r="N876" s="59"/>
      <c r="O876" s="100"/>
      <c r="P876" s="100"/>
      <c r="Q876" s="100"/>
      <c r="R876" s="100"/>
      <c r="S876" s="100"/>
      <c r="T876" s="100"/>
      <c r="U876" s="100"/>
      <c r="V876" s="100"/>
      <c r="W876" s="100"/>
      <c r="X876" s="100"/>
      <c r="Y876" s="100"/>
      <c r="Z876" s="100"/>
    </row>
    <row r="877" ht="14.25" customHeight="1">
      <c r="A877" s="59"/>
      <c r="B877" s="59"/>
      <c r="C877" s="59"/>
      <c r="D877" s="59"/>
      <c r="E877" s="59"/>
      <c r="F877" s="59"/>
      <c r="G877" s="59"/>
      <c r="H877" s="59"/>
      <c r="I877" s="59"/>
      <c r="J877" s="59"/>
      <c r="K877" s="59"/>
      <c r="L877" s="59"/>
      <c r="M877" s="59"/>
      <c r="N877" s="59"/>
      <c r="O877" s="100"/>
      <c r="P877" s="100"/>
      <c r="Q877" s="100"/>
      <c r="R877" s="100"/>
      <c r="S877" s="100"/>
      <c r="T877" s="100"/>
      <c r="U877" s="100"/>
      <c r="V877" s="100"/>
      <c r="W877" s="100"/>
      <c r="X877" s="100"/>
      <c r="Y877" s="100"/>
      <c r="Z877" s="100"/>
    </row>
    <row r="878" ht="14.25" customHeight="1">
      <c r="A878" s="59"/>
      <c r="B878" s="59"/>
      <c r="C878" s="59"/>
      <c r="D878" s="59"/>
      <c r="E878" s="59"/>
      <c r="F878" s="59"/>
      <c r="G878" s="59"/>
      <c r="H878" s="59"/>
      <c r="I878" s="59"/>
      <c r="J878" s="59"/>
      <c r="K878" s="59"/>
      <c r="L878" s="59"/>
      <c r="M878" s="59"/>
      <c r="N878" s="59"/>
      <c r="O878" s="100"/>
      <c r="P878" s="100"/>
      <c r="Q878" s="100"/>
      <c r="R878" s="100"/>
      <c r="S878" s="100"/>
      <c r="T878" s="100"/>
      <c r="U878" s="100"/>
      <c r="V878" s="100"/>
      <c r="W878" s="100"/>
      <c r="X878" s="100"/>
      <c r="Y878" s="100"/>
      <c r="Z878" s="100"/>
    </row>
    <row r="879" ht="14.25" customHeight="1">
      <c r="A879" s="59"/>
      <c r="B879" s="59"/>
      <c r="C879" s="59"/>
      <c r="D879" s="59"/>
      <c r="E879" s="59"/>
      <c r="F879" s="59"/>
      <c r="G879" s="59"/>
      <c r="H879" s="59"/>
      <c r="I879" s="59"/>
      <c r="J879" s="59"/>
      <c r="K879" s="59"/>
      <c r="L879" s="59"/>
      <c r="M879" s="59"/>
      <c r="N879" s="59"/>
      <c r="O879" s="100"/>
      <c r="P879" s="100"/>
      <c r="Q879" s="100"/>
      <c r="R879" s="100"/>
      <c r="S879" s="100"/>
      <c r="T879" s="100"/>
      <c r="U879" s="100"/>
      <c r="V879" s="100"/>
      <c r="W879" s="100"/>
      <c r="X879" s="100"/>
      <c r="Y879" s="100"/>
      <c r="Z879" s="100"/>
    </row>
    <row r="880" ht="14.25" customHeight="1">
      <c r="A880" s="59"/>
      <c r="B880" s="59"/>
      <c r="C880" s="59"/>
      <c r="D880" s="59"/>
      <c r="E880" s="59"/>
      <c r="F880" s="59"/>
      <c r="G880" s="59"/>
      <c r="H880" s="59"/>
      <c r="I880" s="59"/>
      <c r="J880" s="59"/>
      <c r="K880" s="59"/>
      <c r="L880" s="59"/>
      <c r="M880" s="59"/>
      <c r="N880" s="59"/>
      <c r="O880" s="100"/>
      <c r="P880" s="100"/>
      <c r="Q880" s="100"/>
      <c r="R880" s="100"/>
      <c r="S880" s="100"/>
      <c r="T880" s="100"/>
      <c r="U880" s="100"/>
      <c r="V880" s="100"/>
      <c r="W880" s="100"/>
      <c r="X880" s="100"/>
      <c r="Y880" s="100"/>
      <c r="Z880" s="100"/>
    </row>
    <row r="881" ht="14.25" customHeight="1">
      <c r="A881" s="59"/>
      <c r="B881" s="59"/>
      <c r="C881" s="59"/>
      <c r="D881" s="59"/>
      <c r="E881" s="59"/>
      <c r="F881" s="59"/>
      <c r="G881" s="59"/>
      <c r="H881" s="59"/>
      <c r="I881" s="59"/>
      <c r="J881" s="59"/>
      <c r="K881" s="59"/>
      <c r="L881" s="59"/>
      <c r="M881" s="59"/>
      <c r="N881" s="59"/>
      <c r="O881" s="100"/>
      <c r="P881" s="100"/>
      <c r="Q881" s="100"/>
      <c r="R881" s="100"/>
      <c r="S881" s="100"/>
      <c r="T881" s="100"/>
      <c r="U881" s="100"/>
      <c r="V881" s="100"/>
      <c r="W881" s="100"/>
      <c r="X881" s="100"/>
      <c r="Y881" s="100"/>
      <c r="Z881" s="100"/>
    </row>
    <row r="882" ht="14.25" customHeight="1">
      <c r="A882" s="59"/>
      <c r="B882" s="59"/>
      <c r="C882" s="59"/>
      <c r="D882" s="59"/>
      <c r="E882" s="59"/>
      <c r="F882" s="59"/>
      <c r="G882" s="59"/>
      <c r="H882" s="59"/>
      <c r="I882" s="59"/>
      <c r="J882" s="59"/>
      <c r="K882" s="59"/>
      <c r="L882" s="59"/>
      <c r="M882" s="59"/>
      <c r="N882" s="59"/>
      <c r="O882" s="100"/>
      <c r="P882" s="100"/>
      <c r="Q882" s="100"/>
      <c r="R882" s="100"/>
      <c r="S882" s="100"/>
      <c r="T882" s="100"/>
      <c r="U882" s="100"/>
      <c r="V882" s="100"/>
      <c r="W882" s="100"/>
      <c r="X882" s="100"/>
      <c r="Y882" s="100"/>
      <c r="Z882" s="100"/>
    </row>
    <row r="883" ht="14.25" customHeight="1">
      <c r="A883" s="59"/>
      <c r="B883" s="59"/>
      <c r="C883" s="59"/>
      <c r="D883" s="59"/>
      <c r="E883" s="59"/>
      <c r="F883" s="59"/>
      <c r="G883" s="59"/>
      <c r="H883" s="59"/>
      <c r="I883" s="59"/>
      <c r="J883" s="59"/>
      <c r="K883" s="59"/>
      <c r="L883" s="59"/>
      <c r="M883" s="59"/>
      <c r="N883" s="59"/>
      <c r="O883" s="100"/>
      <c r="P883" s="100"/>
      <c r="Q883" s="100"/>
      <c r="R883" s="100"/>
      <c r="S883" s="100"/>
      <c r="T883" s="100"/>
      <c r="U883" s="100"/>
      <c r="V883" s="100"/>
      <c r="W883" s="100"/>
      <c r="X883" s="100"/>
      <c r="Y883" s="100"/>
      <c r="Z883" s="100"/>
    </row>
    <row r="884" ht="14.25" customHeight="1">
      <c r="A884" s="59"/>
      <c r="B884" s="59"/>
      <c r="C884" s="59"/>
      <c r="D884" s="59"/>
      <c r="E884" s="59"/>
      <c r="F884" s="59"/>
      <c r="G884" s="59"/>
      <c r="H884" s="59"/>
      <c r="I884" s="59"/>
      <c r="J884" s="59"/>
      <c r="K884" s="59"/>
      <c r="L884" s="59"/>
      <c r="M884" s="59"/>
      <c r="N884" s="59"/>
      <c r="O884" s="100"/>
      <c r="P884" s="100"/>
      <c r="Q884" s="100"/>
      <c r="R884" s="100"/>
      <c r="S884" s="100"/>
      <c r="T884" s="100"/>
      <c r="U884" s="100"/>
      <c r="V884" s="100"/>
      <c r="W884" s="100"/>
      <c r="X884" s="100"/>
      <c r="Y884" s="100"/>
      <c r="Z884" s="100"/>
    </row>
    <row r="885" ht="14.25" customHeight="1">
      <c r="A885" s="59"/>
      <c r="B885" s="59"/>
      <c r="C885" s="59"/>
      <c r="D885" s="59"/>
      <c r="E885" s="59"/>
      <c r="F885" s="59"/>
      <c r="G885" s="59"/>
      <c r="H885" s="59"/>
      <c r="I885" s="59"/>
      <c r="J885" s="59"/>
      <c r="K885" s="59"/>
      <c r="L885" s="59"/>
      <c r="M885" s="59"/>
      <c r="N885" s="59"/>
      <c r="O885" s="100"/>
      <c r="P885" s="100"/>
      <c r="Q885" s="100"/>
      <c r="R885" s="100"/>
      <c r="S885" s="100"/>
      <c r="T885" s="100"/>
      <c r="U885" s="100"/>
      <c r="V885" s="100"/>
      <c r="W885" s="100"/>
      <c r="X885" s="100"/>
      <c r="Y885" s="100"/>
      <c r="Z885" s="100"/>
    </row>
    <row r="886" ht="14.25" customHeight="1">
      <c r="A886" s="59"/>
      <c r="B886" s="59"/>
      <c r="C886" s="59"/>
      <c r="D886" s="59"/>
      <c r="E886" s="59"/>
      <c r="F886" s="59"/>
      <c r="G886" s="59"/>
      <c r="H886" s="59"/>
      <c r="I886" s="59"/>
      <c r="J886" s="59"/>
      <c r="K886" s="59"/>
      <c r="L886" s="59"/>
      <c r="M886" s="59"/>
      <c r="N886" s="59"/>
      <c r="O886" s="100"/>
      <c r="P886" s="100"/>
      <c r="Q886" s="100"/>
      <c r="R886" s="100"/>
      <c r="S886" s="100"/>
      <c r="T886" s="100"/>
      <c r="U886" s="100"/>
      <c r="V886" s="100"/>
      <c r="W886" s="100"/>
      <c r="X886" s="100"/>
      <c r="Y886" s="100"/>
      <c r="Z886" s="100"/>
    </row>
    <row r="887" ht="14.25" customHeight="1">
      <c r="A887" s="59"/>
      <c r="B887" s="59"/>
      <c r="C887" s="59"/>
      <c r="D887" s="59"/>
      <c r="E887" s="59"/>
      <c r="F887" s="59"/>
      <c r="G887" s="59"/>
      <c r="H887" s="59"/>
      <c r="I887" s="59"/>
      <c r="J887" s="59"/>
      <c r="K887" s="59"/>
      <c r="L887" s="59"/>
      <c r="M887" s="59"/>
      <c r="N887" s="59"/>
      <c r="O887" s="100"/>
      <c r="P887" s="100"/>
      <c r="Q887" s="100"/>
      <c r="R887" s="100"/>
      <c r="S887" s="100"/>
      <c r="T887" s="100"/>
      <c r="U887" s="100"/>
      <c r="V887" s="100"/>
      <c r="W887" s="100"/>
      <c r="X887" s="100"/>
      <c r="Y887" s="100"/>
      <c r="Z887" s="100"/>
    </row>
    <row r="888" ht="14.25" customHeight="1">
      <c r="A888" s="59"/>
      <c r="B888" s="59"/>
      <c r="C888" s="59"/>
      <c r="D888" s="59"/>
      <c r="E888" s="59"/>
      <c r="F888" s="59"/>
      <c r="G888" s="59"/>
      <c r="H888" s="59"/>
      <c r="I888" s="59"/>
      <c r="J888" s="59"/>
      <c r="K888" s="59"/>
      <c r="L888" s="59"/>
      <c r="M888" s="59"/>
      <c r="N888" s="59"/>
      <c r="O888" s="100"/>
      <c r="P888" s="100"/>
      <c r="Q888" s="100"/>
      <c r="R888" s="100"/>
      <c r="S888" s="100"/>
      <c r="T888" s="100"/>
      <c r="U888" s="100"/>
      <c r="V888" s="100"/>
      <c r="W888" s="100"/>
      <c r="X888" s="100"/>
      <c r="Y888" s="100"/>
      <c r="Z888" s="100"/>
    </row>
    <row r="889" ht="14.25" customHeight="1">
      <c r="A889" s="59"/>
      <c r="B889" s="59"/>
      <c r="C889" s="59"/>
      <c r="D889" s="59"/>
      <c r="E889" s="59"/>
      <c r="F889" s="59"/>
      <c r="G889" s="59"/>
      <c r="H889" s="59"/>
      <c r="I889" s="59"/>
      <c r="J889" s="59"/>
      <c r="K889" s="59"/>
      <c r="L889" s="59"/>
      <c r="M889" s="59"/>
      <c r="N889" s="59"/>
      <c r="O889" s="100"/>
      <c r="P889" s="100"/>
      <c r="Q889" s="100"/>
      <c r="R889" s="100"/>
      <c r="S889" s="100"/>
      <c r="T889" s="100"/>
      <c r="U889" s="100"/>
      <c r="V889" s="100"/>
      <c r="W889" s="100"/>
      <c r="X889" s="100"/>
      <c r="Y889" s="100"/>
      <c r="Z889" s="100"/>
    </row>
    <row r="890" ht="14.25" customHeight="1">
      <c r="A890" s="59"/>
      <c r="B890" s="59"/>
      <c r="C890" s="59"/>
      <c r="D890" s="59"/>
      <c r="E890" s="59"/>
      <c r="F890" s="59"/>
      <c r="G890" s="59"/>
      <c r="H890" s="59"/>
      <c r="I890" s="59"/>
      <c r="J890" s="59"/>
      <c r="K890" s="59"/>
      <c r="L890" s="59"/>
      <c r="M890" s="59"/>
      <c r="N890" s="59"/>
      <c r="O890" s="100"/>
      <c r="P890" s="100"/>
      <c r="Q890" s="100"/>
      <c r="R890" s="100"/>
      <c r="S890" s="100"/>
      <c r="T890" s="100"/>
      <c r="U890" s="100"/>
      <c r="V890" s="100"/>
      <c r="W890" s="100"/>
      <c r="X890" s="100"/>
      <c r="Y890" s="100"/>
      <c r="Z890" s="100"/>
    </row>
    <row r="891" ht="14.25" customHeight="1">
      <c r="A891" s="59"/>
      <c r="B891" s="59"/>
      <c r="C891" s="59"/>
      <c r="D891" s="59"/>
      <c r="E891" s="59"/>
      <c r="F891" s="59"/>
      <c r="G891" s="59"/>
      <c r="H891" s="59"/>
      <c r="I891" s="59"/>
      <c r="J891" s="59"/>
      <c r="K891" s="59"/>
      <c r="L891" s="59"/>
      <c r="M891" s="59"/>
      <c r="N891" s="59"/>
      <c r="O891" s="100"/>
      <c r="P891" s="100"/>
      <c r="Q891" s="100"/>
      <c r="R891" s="100"/>
      <c r="S891" s="100"/>
      <c r="T891" s="100"/>
      <c r="U891" s="100"/>
      <c r="V891" s="100"/>
      <c r="W891" s="100"/>
      <c r="X891" s="100"/>
      <c r="Y891" s="100"/>
      <c r="Z891" s="100"/>
    </row>
    <row r="892" ht="14.25" customHeight="1">
      <c r="A892" s="59"/>
      <c r="B892" s="59"/>
      <c r="C892" s="59"/>
      <c r="D892" s="59"/>
      <c r="E892" s="59"/>
      <c r="F892" s="59"/>
      <c r="G892" s="59"/>
      <c r="H892" s="59"/>
      <c r="I892" s="59"/>
      <c r="J892" s="59"/>
      <c r="K892" s="59"/>
      <c r="L892" s="59"/>
      <c r="M892" s="59"/>
      <c r="N892" s="59"/>
      <c r="O892" s="100"/>
      <c r="P892" s="100"/>
      <c r="Q892" s="100"/>
      <c r="R892" s="100"/>
      <c r="S892" s="100"/>
      <c r="T892" s="100"/>
      <c r="U892" s="100"/>
      <c r="V892" s="100"/>
      <c r="W892" s="100"/>
      <c r="X892" s="100"/>
      <c r="Y892" s="100"/>
      <c r="Z892" s="100"/>
    </row>
    <row r="893" ht="14.25" customHeight="1">
      <c r="A893" s="59"/>
      <c r="B893" s="59"/>
      <c r="C893" s="59"/>
      <c r="D893" s="59"/>
      <c r="E893" s="59"/>
      <c r="F893" s="59"/>
      <c r="G893" s="59"/>
      <c r="H893" s="59"/>
      <c r="I893" s="59"/>
      <c r="J893" s="59"/>
      <c r="K893" s="59"/>
      <c r="L893" s="59"/>
      <c r="M893" s="59"/>
      <c r="N893" s="59"/>
      <c r="O893" s="100"/>
      <c r="P893" s="100"/>
      <c r="Q893" s="100"/>
      <c r="R893" s="100"/>
      <c r="S893" s="100"/>
      <c r="T893" s="100"/>
      <c r="U893" s="100"/>
      <c r="V893" s="100"/>
      <c r="W893" s="100"/>
      <c r="X893" s="100"/>
      <c r="Y893" s="100"/>
      <c r="Z893" s="100"/>
    </row>
    <row r="894" ht="14.25" customHeight="1">
      <c r="A894" s="59"/>
      <c r="B894" s="59"/>
      <c r="C894" s="59"/>
      <c r="D894" s="59"/>
      <c r="E894" s="59"/>
      <c r="F894" s="59"/>
      <c r="G894" s="59"/>
      <c r="H894" s="59"/>
      <c r="I894" s="59"/>
      <c r="J894" s="59"/>
      <c r="K894" s="59"/>
      <c r="L894" s="59"/>
      <c r="M894" s="59"/>
      <c r="N894" s="59"/>
      <c r="O894" s="100"/>
      <c r="P894" s="100"/>
      <c r="Q894" s="100"/>
      <c r="R894" s="100"/>
      <c r="S894" s="100"/>
      <c r="T894" s="100"/>
      <c r="U894" s="100"/>
      <c r="V894" s="100"/>
      <c r="W894" s="100"/>
      <c r="X894" s="100"/>
      <c r="Y894" s="100"/>
      <c r="Z894" s="100"/>
    </row>
    <row r="895" ht="14.25" customHeight="1">
      <c r="A895" s="59"/>
      <c r="B895" s="59"/>
      <c r="C895" s="59"/>
      <c r="D895" s="59"/>
      <c r="E895" s="59"/>
      <c r="F895" s="59"/>
      <c r="G895" s="59"/>
      <c r="H895" s="59"/>
      <c r="I895" s="59"/>
      <c r="J895" s="59"/>
      <c r="K895" s="59"/>
      <c r="L895" s="59"/>
      <c r="M895" s="59"/>
      <c r="N895" s="59"/>
      <c r="O895" s="100"/>
      <c r="P895" s="100"/>
      <c r="Q895" s="100"/>
      <c r="R895" s="100"/>
      <c r="S895" s="100"/>
      <c r="T895" s="100"/>
      <c r="U895" s="100"/>
      <c r="V895" s="100"/>
      <c r="W895" s="100"/>
      <c r="X895" s="100"/>
      <c r="Y895" s="100"/>
      <c r="Z895" s="100"/>
    </row>
    <row r="896" ht="14.25" customHeight="1">
      <c r="A896" s="59"/>
      <c r="B896" s="59"/>
      <c r="C896" s="59"/>
      <c r="D896" s="59"/>
      <c r="E896" s="59"/>
      <c r="F896" s="59"/>
      <c r="G896" s="59"/>
      <c r="H896" s="59"/>
      <c r="I896" s="59"/>
      <c r="J896" s="59"/>
      <c r="K896" s="59"/>
      <c r="L896" s="59"/>
      <c r="M896" s="59"/>
      <c r="N896" s="59"/>
      <c r="O896" s="100"/>
      <c r="P896" s="100"/>
      <c r="Q896" s="100"/>
      <c r="R896" s="100"/>
      <c r="S896" s="100"/>
      <c r="T896" s="100"/>
      <c r="U896" s="100"/>
      <c r="V896" s="100"/>
      <c r="W896" s="100"/>
      <c r="X896" s="100"/>
      <c r="Y896" s="100"/>
      <c r="Z896" s="100"/>
    </row>
    <row r="897" ht="14.25" customHeight="1">
      <c r="A897" s="59"/>
      <c r="B897" s="59"/>
      <c r="C897" s="59"/>
      <c r="D897" s="59"/>
      <c r="E897" s="59"/>
      <c r="F897" s="59"/>
      <c r="G897" s="59"/>
      <c r="H897" s="59"/>
      <c r="I897" s="59"/>
      <c r="J897" s="59"/>
      <c r="K897" s="59"/>
      <c r="L897" s="59"/>
      <c r="M897" s="59"/>
      <c r="N897" s="59"/>
      <c r="O897" s="100"/>
      <c r="P897" s="100"/>
      <c r="Q897" s="100"/>
      <c r="R897" s="100"/>
      <c r="S897" s="100"/>
      <c r="T897" s="100"/>
      <c r="U897" s="100"/>
      <c r="V897" s="100"/>
      <c r="W897" s="100"/>
      <c r="X897" s="100"/>
      <c r="Y897" s="100"/>
      <c r="Z897" s="100"/>
    </row>
    <row r="898" ht="14.25" customHeight="1">
      <c r="A898" s="59"/>
      <c r="B898" s="59"/>
      <c r="C898" s="59"/>
      <c r="D898" s="59"/>
      <c r="E898" s="59"/>
      <c r="F898" s="59"/>
      <c r="G898" s="59"/>
      <c r="H898" s="59"/>
      <c r="I898" s="59"/>
      <c r="J898" s="59"/>
      <c r="K898" s="59"/>
      <c r="L898" s="59"/>
      <c r="M898" s="59"/>
      <c r="N898" s="59"/>
      <c r="O898" s="100"/>
      <c r="P898" s="100"/>
      <c r="Q898" s="100"/>
      <c r="R898" s="100"/>
      <c r="S898" s="100"/>
      <c r="T898" s="100"/>
      <c r="U898" s="100"/>
      <c r="V898" s="100"/>
      <c r="W898" s="100"/>
      <c r="X898" s="100"/>
      <c r="Y898" s="100"/>
      <c r="Z898" s="100"/>
    </row>
    <row r="899" ht="14.25" customHeight="1">
      <c r="A899" s="59"/>
      <c r="B899" s="59"/>
      <c r="C899" s="59"/>
      <c r="D899" s="59"/>
      <c r="E899" s="59"/>
      <c r="F899" s="59"/>
      <c r="G899" s="59"/>
      <c r="H899" s="59"/>
      <c r="I899" s="59"/>
      <c r="J899" s="59"/>
      <c r="K899" s="59"/>
      <c r="L899" s="59"/>
      <c r="M899" s="59"/>
      <c r="N899" s="59"/>
      <c r="O899" s="100"/>
      <c r="P899" s="100"/>
      <c r="Q899" s="100"/>
      <c r="R899" s="100"/>
      <c r="S899" s="100"/>
      <c r="T899" s="100"/>
      <c r="U899" s="100"/>
      <c r="V899" s="100"/>
      <c r="W899" s="100"/>
      <c r="X899" s="100"/>
      <c r="Y899" s="100"/>
      <c r="Z899" s="100"/>
    </row>
    <row r="900" ht="14.25" customHeight="1">
      <c r="A900" s="59"/>
      <c r="B900" s="59"/>
      <c r="C900" s="59"/>
      <c r="D900" s="59"/>
      <c r="E900" s="59"/>
      <c r="F900" s="59"/>
      <c r="G900" s="59"/>
      <c r="H900" s="59"/>
      <c r="I900" s="59"/>
      <c r="J900" s="59"/>
      <c r="K900" s="59"/>
      <c r="L900" s="59"/>
      <c r="M900" s="59"/>
      <c r="N900" s="59"/>
      <c r="O900" s="100"/>
      <c r="P900" s="100"/>
      <c r="Q900" s="100"/>
      <c r="R900" s="100"/>
      <c r="S900" s="100"/>
      <c r="T900" s="100"/>
      <c r="U900" s="100"/>
      <c r="V900" s="100"/>
      <c r="W900" s="100"/>
      <c r="X900" s="100"/>
      <c r="Y900" s="100"/>
      <c r="Z900" s="100"/>
    </row>
    <row r="901" ht="14.25" customHeight="1">
      <c r="A901" s="59"/>
      <c r="B901" s="59"/>
      <c r="C901" s="59"/>
      <c r="D901" s="59"/>
      <c r="E901" s="59"/>
      <c r="F901" s="59"/>
      <c r="G901" s="59"/>
      <c r="H901" s="59"/>
      <c r="I901" s="59"/>
      <c r="J901" s="59"/>
      <c r="K901" s="59"/>
      <c r="L901" s="59"/>
      <c r="M901" s="59"/>
      <c r="N901" s="59"/>
      <c r="O901" s="100"/>
      <c r="P901" s="100"/>
      <c r="Q901" s="100"/>
      <c r="R901" s="100"/>
      <c r="S901" s="100"/>
      <c r="T901" s="100"/>
      <c r="U901" s="100"/>
      <c r="V901" s="100"/>
      <c r="W901" s="100"/>
      <c r="X901" s="100"/>
      <c r="Y901" s="100"/>
      <c r="Z901" s="100"/>
    </row>
    <row r="902" ht="14.25" customHeight="1">
      <c r="A902" s="59"/>
      <c r="B902" s="59"/>
      <c r="C902" s="59"/>
      <c r="D902" s="59"/>
      <c r="E902" s="59"/>
      <c r="F902" s="59"/>
      <c r="G902" s="59"/>
      <c r="H902" s="59"/>
      <c r="I902" s="59"/>
      <c r="J902" s="59"/>
      <c r="K902" s="59"/>
      <c r="L902" s="59"/>
      <c r="M902" s="59"/>
      <c r="N902" s="59"/>
      <c r="O902" s="100"/>
      <c r="P902" s="100"/>
      <c r="Q902" s="100"/>
      <c r="R902" s="100"/>
      <c r="S902" s="100"/>
      <c r="T902" s="100"/>
      <c r="U902" s="100"/>
      <c r="V902" s="100"/>
      <c r="W902" s="100"/>
      <c r="X902" s="100"/>
      <c r="Y902" s="100"/>
      <c r="Z902" s="100"/>
    </row>
    <row r="903" ht="14.25" customHeight="1">
      <c r="A903" s="59"/>
      <c r="B903" s="59"/>
      <c r="C903" s="59"/>
      <c r="D903" s="59"/>
      <c r="E903" s="59"/>
      <c r="F903" s="59"/>
      <c r="G903" s="59"/>
      <c r="H903" s="59"/>
      <c r="I903" s="59"/>
      <c r="J903" s="59"/>
      <c r="K903" s="59"/>
      <c r="L903" s="59"/>
      <c r="M903" s="59"/>
      <c r="N903" s="59"/>
      <c r="O903" s="100"/>
      <c r="P903" s="100"/>
      <c r="Q903" s="100"/>
      <c r="R903" s="100"/>
      <c r="S903" s="100"/>
      <c r="T903" s="100"/>
      <c r="U903" s="100"/>
      <c r="V903" s="100"/>
      <c r="W903" s="100"/>
      <c r="X903" s="100"/>
      <c r="Y903" s="100"/>
      <c r="Z903" s="100"/>
    </row>
    <row r="904" ht="14.25" customHeight="1">
      <c r="A904" s="59"/>
      <c r="B904" s="59"/>
      <c r="C904" s="59"/>
      <c r="D904" s="59"/>
      <c r="E904" s="59"/>
      <c r="F904" s="59"/>
      <c r="G904" s="59"/>
      <c r="H904" s="59"/>
      <c r="I904" s="59"/>
      <c r="J904" s="59"/>
      <c r="K904" s="59"/>
      <c r="L904" s="59"/>
      <c r="M904" s="59"/>
      <c r="N904" s="59"/>
      <c r="O904" s="100"/>
      <c r="P904" s="100"/>
      <c r="Q904" s="100"/>
      <c r="R904" s="100"/>
      <c r="S904" s="100"/>
      <c r="T904" s="100"/>
      <c r="U904" s="100"/>
      <c r="V904" s="100"/>
      <c r="W904" s="100"/>
      <c r="X904" s="100"/>
      <c r="Y904" s="100"/>
      <c r="Z904" s="100"/>
    </row>
    <row r="905" ht="14.25" customHeight="1">
      <c r="A905" s="59"/>
      <c r="B905" s="59"/>
      <c r="C905" s="59"/>
      <c r="D905" s="59"/>
      <c r="E905" s="59"/>
      <c r="F905" s="59"/>
      <c r="G905" s="59"/>
      <c r="H905" s="59"/>
      <c r="I905" s="59"/>
      <c r="J905" s="59"/>
      <c r="K905" s="59"/>
      <c r="L905" s="59"/>
      <c r="M905" s="59"/>
      <c r="N905" s="59"/>
      <c r="O905" s="100"/>
      <c r="P905" s="100"/>
      <c r="Q905" s="100"/>
      <c r="R905" s="100"/>
      <c r="S905" s="100"/>
      <c r="T905" s="100"/>
      <c r="U905" s="100"/>
      <c r="V905" s="100"/>
      <c r="W905" s="100"/>
      <c r="X905" s="100"/>
      <c r="Y905" s="100"/>
      <c r="Z905" s="100"/>
    </row>
    <row r="906" ht="14.25" customHeight="1">
      <c r="A906" s="59"/>
      <c r="B906" s="59"/>
      <c r="C906" s="59"/>
      <c r="D906" s="59"/>
      <c r="E906" s="59"/>
      <c r="F906" s="59"/>
      <c r="G906" s="59"/>
      <c r="H906" s="59"/>
      <c r="I906" s="59"/>
      <c r="J906" s="59"/>
      <c r="K906" s="59"/>
      <c r="L906" s="59"/>
      <c r="M906" s="59"/>
      <c r="N906" s="59"/>
      <c r="O906" s="100"/>
      <c r="P906" s="100"/>
      <c r="Q906" s="100"/>
      <c r="R906" s="100"/>
      <c r="S906" s="100"/>
      <c r="T906" s="100"/>
      <c r="U906" s="100"/>
      <c r="V906" s="100"/>
      <c r="W906" s="100"/>
      <c r="X906" s="100"/>
      <c r="Y906" s="100"/>
      <c r="Z906" s="100"/>
    </row>
    <row r="907" ht="14.25" customHeight="1">
      <c r="A907" s="59"/>
      <c r="B907" s="59"/>
      <c r="C907" s="59"/>
      <c r="D907" s="59"/>
      <c r="E907" s="59"/>
      <c r="F907" s="59"/>
      <c r="G907" s="59"/>
      <c r="H907" s="59"/>
      <c r="I907" s="59"/>
      <c r="J907" s="59"/>
      <c r="K907" s="59"/>
      <c r="L907" s="59"/>
      <c r="M907" s="59"/>
      <c r="N907" s="59"/>
      <c r="O907" s="100"/>
      <c r="P907" s="100"/>
      <c r="Q907" s="100"/>
      <c r="R907" s="100"/>
      <c r="S907" s="100"/>
      <c r="T907" s="100"/>
      <c r="U907" s="100"/>
      <c r="V907" s="100"/>
      <c r="W907" s="100"/>
      <c r="X907" s="100"/>
      <c r="Y907" s="100"/>
      <c r="Z907" s="100"/>
    </row>
    <row r="908" ht="14.25" customHeight="1">
      <c r="A908" s="59"/>
      <c r="B908" s="59"/>
      <c r="C908" s="59"/>
      <c r="D908" s="59"/>
      <c r="E908" s="59"/>
      <c r="F908" s="59"/>
      <c r="G908" s="59"/>
      <c r="H908" s="59"/>
      <c r="I908" s="59"/>
      <c r="J908" s="59"/>
      <c r="K908" s="59"/>
      <c r="L908" s="59"/>
      <c r="M908" s="59"/>
      <c r="N908" s="59"/>
      <c r="O908" s="100"/>
      <c r="P908" s="100"/>
      <c r="Q908" s="100"/>
      <c r="R908" s="100"/>
      <c r="S908" s="100"/>
      <c r="T908" s="100"/>
      <c r="U908" s="100"/>
      <c r="V908" s="100"/>
      <c r="W908" s="100"/>
      <c r="X908" s="100"/>
      <c r="Y908" s="100"/>
      <c r="Z908" s="100"/>
    </row>
    <row r="909" ht="14.25" customHeight="1">
      <c r="A909" s="59"/>
      <c r="B909" s="59"/>
      <c r="C909" s="59"/>
      <c r="D909" s="59"/>
      <c r="E909" s="59"/>
      <c r="F909" s="59"/>
      <c r="G909" s="59"/>
      <c r="H909" s="59"/>
      <c r="I909" s="59"/>
      <c r="J909" s="59"/>
      <c r="K909" s="59"/>
      <c r="L909" s="59"/>
      <c r="M909" s="59"/>
      <c r="N909" s="59"/>
      <c r="O909" s="100"/>
      <c r="P909" s="100"/>
      <c r="Q909" s="100"/>
      <c r="R909" s="100"/>
      <c r="S909" s="100"/>
      <c r="T909" s="100"/>
      <c r="U909" s="100"/>
      <c r="V909" s="100"/>
      <c r="W909" s="100"/>
      <c r="X909" s="100"/>
      <c r="Y909" s="100"/>
      <c r="Z909" s="100"/>
    </row>
    <row r="910" ht="14.25" customHeight="1">
      <c r="A910" s="59"/>
      <c r="B910" s="59"/>
      <c r="C910" s="59"/>
      <c r="D910" s="59"/>
      <c r="E910" s="59"/>
      <c r="F910" s="59"/>
      <c r="G910" s="59"/>
      <c r="H910" s="59"/>
      <c r="I910" s="59"/>
      <c r="J910" s="59"/>
      <c r="K910" s="59"/>
      <c r="L910" s="59"/>
      <c r="M910" s="59"/>
      <c r="N910" s="59"/>
      <c r="O910" s="100"/>
      <c r="P910" s="100"/>
      <c r="Q910" s="100"/>
      <c r="R910" s="100"/>
      <c r="S910" s="100"/>
      <c r="T910" s="100"/>
      <c r="U910" s="100"/>
      <c r="V910" s="100"/>
      <c r="W910" s="100"/>
      <c r="X910" s="100"/>
      <c r="Y910" s="100"/>
      <c r="Z910" s="100"/>
    </row>
    <row r="911" ht="14.25" customHeight="1">
      <c r="A911" s="59"/>
      <c r="B911" s="59"/>
      <c r="C911" s="59"/>
      <c r="D911" s="59"/>
      <c r="E911" s="59"/>
      <c r="F911" s="59"/>
      <c r="G911" s="59"/>
      <c r="H911" s="59"/>
      <c r="I911" s="59"/>
      <c r="J911" s="59"/>
      <c r="K911" s="59"/>
      <c r="L911" s="59"/>
      <c r="M911" s="59"/>
      <c r="N911" s="59"/>
      <c r="O911" s="100"/>
      <c r="P911" s="100"/>
      <c r="Q911" s="100"/>
      <c r="R911" s="100"/>
      <c r="S911" s="100"/>
      <c r="T911" s="100"/>
      <c r="U911" s="100"/>
      <c r="V911" s="100"/>
      <c r="W911" s="100"/>
      <c r="X911" s="100"/>
      <c r="Y911" s="100"/>
      <c r="Z911" s="100"/>
    </row>
    <row r="912" ht="14.25" customHeight="1">
      <c r="A912" s="59"/>
      <c r="B912" s="59"/>
      <c r="C912" s="59"/>
      <c r="D912" s="59"/>
      <c r="E912" s="59"/>
      <c r="F912" s="59"/>
      <c r="G912" s="59"/>
      <c r="H912" s="59"/>
      <c r="I912" s="59"/>
      <c r="J912" s="59"/>
      <c r="K912" s="59"/>
      <c r="L912" s="59"/>
      <c r="M912" s="59"/>
      <c r="N912" s="59"/>
      <c r="O912" s="100"/>
      <c r="P912" s="100"/>
      <c r="Q912" s="100"/>
      <c r="R912" s="100"/>
      <c r="S912" s="100"/>
      <c r="T912" s="100"/>
      <c r="U912" s="100"/>
      <c r="V912" s="100"/>
      <c r="W912" s="100"/>
      <c r="X912" s="100"/>
      <c r="Y912" s="100"/>
      <c r="Z912" s="100"/>
    </row>
    <row r="913" ht="14.25" customHeight="1">
      <c r="A913" s="59"/>
      <c r="B913" s="59"/>
      <c r="C913" s="59"/>
      <c r="D913" s="59"/>
      <c r="E913" s="59"/>
      <c r="F913" s="59"/>
      <c r="G913" s="59"/>
      <c r="H913" s="59"/>
      <c r="I913" s="59"/>
      <c r="J913" s="59"/>
      <c r="K913" s="59"/>
      <c r="L913" s="59"/>
      <c r="M913" s="59"/>
      <c r="N913" s="59"/>
      <c r="O913" s="100"/>
      <c r="P913" s="100"/>
      <c r="Q913" s="100"/>
      <c r="R913" s="100"/>
      <c r="S913" s="100"/>
      <c r="T913" s="100"/>
      <c r="U913" s="100"/>
      <c r="V913" s="100"/>
      <c r="W913" s="100"/>
      <c r="X913" s="100"/>
      <c r="Y913" s="100"/>
      <c r="Z913" s="100"/>
    </row>
    <row r="914" ht="14.25" customHeight="1">
      <c r="A914" s="59"/>
      <c r="B914" s="59"/>
      <c r="C914" s="59"/>
      <c r="D914" s="59"/>
      <c r="E914" s="59"/>
      <c r="F914" s="59"/>
      <c r="G914" s="59"/>
      <c r="H914" s="59"/>
      <c r="I914" s="59"/>
      <c r="J914" s="59"/>
      <c r="K914" s="59"/>
      <c r="L914" s="59"/>
      <c r="M914" s="59"/>
      <c r="N914" s="59"/>
      <c r="O914" s="100"/>
      <c r="P914" s="100"/>
      <c r="Q914" s="100"/>
      <c r="R914" s="100"/>
      <c r="S914" s="100"/>
      <c r="T914" s="100"/>
      <c r="U914" s="100"/>
      <c r="V914" s="100"/>
      <c r="W914" s="100"/>
      <c r="X914" s="100"/>
      <c r="Y914" s="100"/>
      <c r="Z914" s="100"/>
    </row>
    <row r="915" ht="14.25" customHeight="1">
      <c r="A915" s="59"/>
      <c r="B915" s="59"/>
      <c r="C915" s="59"/>
      <c r="D915" s="59"/>
      <c r="E915" s="59"/>
      <c r="F915" s="59"/>
      <c r="G915" s="59"/>
      <c r="H915" s="59"/>
      <c r="I915" s="59"/>
      <c r="J915" s="59"/>
      <c r="K915" s="59"/>
      <c r="L915" s="59"/>
      <c r="M915" s="59"/>
      <c r="N915" s="59"/>
      <c r="O915" s="100"/>
      <c r="P915" s="100"/>
      <c r="Q915" s="100"/>
      <c r="R915" s="100"/>
      <c r="S915" s="100"/>
      <c r="T915" s="100"/>
      <c r="U915" s="100"/>
      <c r="V915" s="100"/>
      <c r="W915" s="100"/>
      <c r="X915" s="100"/>
      <c r="Y915" s="100"/>
      <c r="Z915" s="100"/>
    </row>
    <row r="916" ht="14.25" customHeight="1">
      <c r="A916" s="59"/>
      <c r="B916" s="59"/>
      <c r="C916" s="59"/>
      <c r="D916" s="59"/>
      <c r="E916" s="59"/>
      <c r="F916" s="59"/>
      <c r="G916" s="59"/>
      <c r="H916" s="59"/>
      <c r="I916" s="59"/>
      <c r="J916" s="59"/>
      <c r="K916" s="59"/>
      <c r="L916" s="59"/>
      <c r="M916" s="59"/>
      <c r="N916" s="59"/>
      <c r="O916" s="100"/>
      <c r="P916" s="100"/>
      <c r="Q916" s="100"/>
      <c r="R916" s="100"/>
      <c r="S916" s="100"/>
      <c r="T916" s="100"/>
      <c r="U916" s="100"/>
      <c r="V916" s="100"/>
      <c r="W916" s="100"/>
      <c r="X916" s="100"/>
      <c r="Y916" s="100"/>
      <c r="Z916" s="100"/>
    </row>
    <row r="917" ht="14.25" customHeight="1">
      <c r="A917" s="59"/>
      <c r="B917" s="59"/>
      <c r="C917" s="59"/>
      <c r="D917" s="59"/>
      <c r="E917" s="59"/>
      <c r="F917" s="59"/>
      <c r="G917" s="59"/>
      <c r="H917" s="59"/>
      <c r="I917" s="59"/>
      <c r="J917" s="59"/>
      <c r="K917" s="59"/>
      <c r="L917" s="59"/>
      <c r="M917" s="59"/>
      <c r="N917" s="59"/>
      <c r="O917" s="100"/>
      <c r="P917" s="100"/>
      <c r="Q917" s="100"/>
      <c r="R917" s="100"/>
      <c r="S917" s="100"/>
      <c r="T917" s="100"/>
      <c r="U917" s="100"/>
      <c r="V917" s="100"/>
      <c r="W917" s="100"/>
      <c r="X917" s="100"/>
      <c r="Y917" s="100"/>
      <c r="Z917" s="100"/>
    </row>
    <row r="918" ht="14.25" customHeight="1">
      <c r="A918" s="59"/>
      <c r="B918" s="59"/>
      <c r="C918" s="59"/>
      <c r="D918" s="59"/>
      <c r="E918" s="59"/>
      <c r="F918" s="59"/>
      <c r="G918" s="59"/>
      <c r="H918" s="59"/>
      <c r="I918" s="59"/>
      <c r="J918" s="59"/>
      <c r="K918" s="59"/>
      <c r="L918" s="59"/>
      <c r="M918" s="59"/>
      <c r="N918" s="59"/>
      <c r="O918" s="100"/>
      <c r="P918" s="100"/>
      <c r="Q918" s="100"/>
      <c r="R918" s="100"/>
      <c r="S918" s="100"/>
      <c r="T918" s="100"/>
      <c r="U918" s="100"/>
      <c r="V918" s="100"/>
      <c r="W918" s="100"/>
      <c r="X918" s="100"/>
      <c r="Y918" s="100"/>
      <c r="Z918" s="100"/>
    </row>
    <row r="919" ht="14.25" customHeight="1">
      <c r="A919" s="59"/>
      <c r="B919" s="59"/>
      <c r="C919" s="59"/>
      <c r="D919" s="59"/>
      <c r="E919" s="59"/>
      <c r="F919" s="59"/>
      <c r="G919" s="59"/>
      <c r="H919" s="59"/>
      <c r="I919" s="59"/>
      <c r="J919" s="59"/>
      <c r="K919" s="59"/>
      <c r="L919" s="59"/>
      <c r="M919" s="59"/>
      <c r="N919" s="59"/>
      <c r="O919" s="100"/>
      <c r="P919" s="100"/>
      <c r="Q919" s="100"/>
      <c r="R919" s="100"/>
      <c r="S919" s="100"/>
      <c r="T919" s="100"/>
      <c r="U919" s="100"/>
      <c r="V919" s="100"/>
      <c r="W919" s="100"/>
      <c r="X919" s="100"/>
      <c r="Y919" s="100"/>
      <c r="Z919" s="100"/>
    </row>
    <row r="920" ht="14.25" customHeight="1">
      <c r="A920" s="59"/>
      <c r="B920" s="59"/>
      <c r="C920" s="59"/>
      <c r="D920" s="59"/>
      <c r="E920" s="59"/>
      <c r="F920" s="59"/>
      <c r="G920" s="59"/>
      <c r="H920" s="59"/>
      <c r="I920" s="59"/>
      <c r="J920" s="59"/>
      <c r="K920" s="59"/>
      <c r="L920" s="59"/>
      <c r="M920" s="59"/>
      <c r="N920" s="59"/>
      <c r="O920" s="100"/>
      <c r="P920" s="100"/>
      <c r="Q920" s="100"/>
      <c r="R920" s="100"/>
      <c r="S920" s="100"/>
      <c r="T920" s="100"/>
      <c r="U920" s="100"/>
      <c r="V920" s="100"/>
      <c r="W920" s="100"/>
      <c r="X920" s="100"/>
      <c r="Y920" s="100"/>
      <c r="Z920" s="100"/>
    </row>
    <row r="921" ht="14.25" customHeight="1">
      <c r="A921" s="59"/>
      <c r="B921" s="59"/>
      <c r="C921" s="59"/>
      <c r="D921" s="59"/>
      <c r="E921" s="59"/>
      <c r="F921" s="59"/>
      <c r="G921" s="59"/>
      <c r="H921" s="59"/>
      <c r="I921" s="59"/>
      <c r="J921" s="59"/>
      <c r="K921" s="59"/>
      <c r="L921" s="59"/>
      <c r="M921" s="59"/>
      <c r="N921" s="59"/>
      <c r="O921" s="100"/>
      <c r="P921" s="100"/>
      <c r="Q921" s="100"/>
      <c r="R921" s="100"/>
      <c r="S921" s="100"/>
      <c r="T921" s="100"/>
      <c r="U921" s="100"/>
      <c r="V921" s="100"/>
      <c r="W921" s="100"/>
      <c r="X921" s="100"/>
      <c r="Y921" s="100"/>
      <c r="Z921" s="100"/>
    </row>
    <row r="922" ht="14.25" customHeight="1">
      <c r="A922" s="59"/>
      <c r="B922" s="59"/>
      <c r="C922" s="59"/>
      <c r="D922" s="59"/>
      <c r="E922" s="59"/>
      <c r="F922" s="59"/>
      <c r="G922" s="59"/>
      <c r="H922" s="59"/>
      <c r="I922" s="59"/>
      <c r="J922" s="59"/>
      <c r="K922" s="59"/>
      <c r="L922" s="59"/>
      <c r="M922" s="59"/>
      <c r="N922" s="59"/>
      <c r="O922" s="100"/>
      <c r="P922" s="100"/>
      <c r="Q922" s="100"/>
      <c r="R922" s="100"/>
      <c r="S922" s="100"/>
      <c r="T922" s="100"/>
      <c r="U922" s="100"/>
      <c r="V922" s="100"/>
      <c r="W922" s="100"/>
      <c r="X922" s="100"/>
      <c r="Y922" s="100"/>
      <c r="Z922" s="100"/>
    </row>
    <row r="923" ht="14.25" customHeight="1">
      <c r="A923" s="59"/>
      <c r="B923" s="59"/>
      <c r="C923" s="59"/>
      <c r="D923" s="59"/>
      <c r="E923" s="59"/>
      <c r="F923" s="59"/>
      <c r="G923" s="59"/>
      <c r="H923" s="59"/>
      <c r="I923" s="59"/>
      <c r="J923" s="59"/>
      <c r="K923" s="59"/>
      <c r="L923" s="59"/>
      <c r="M923" s="59"/>
      <c r="N923" s="59"/>
      <c r="O923" s="100"/>
      <c r="P923" s="100"/>
      <c r="Q923" s="100"/>
      <c r="R923" s="100"/>
      <c r="S923" s="100"/>
      <c r="T923" s="100"/>
      <c r="U923" s="100"/>
      <c r="V923" s="100"/>
      <c r="W923" s="100"/>
      <c r="X923" s="100"/>
      <c r="Y923" s="100"/>
      <c r="Z923" s="100"/>
    </row>
    <row r="924" ht="14.25" customHeight="1">
      <c r="A924" s="59"/>
      <c r="B924" s="59"/>
      <c r="C924" s="59"/>
      <c r="D924" s="59"/>
      <c r="E924" s="59"/>
      <c r="F924" s="59"/>
      <c r="G924" s="59"/>
      <c r="H924" s="59"/>
      <c r="I924" s="59"/>
      <c r="J924" s="59"/>
      <c r="K924" s="59"/>
      <c r="L924" s="59"/>
      <c r="M924" s="59"/>
      <c r="N924" s="59"/>
      <c r="O924" s="100"/>
      <c r="P924" s="100"/>
      <c r="Q924" s="100"/>
      <c r="R924" s="100"/>
      <c r="S924" s="100"/>
      <c r="T924" s="100"/>
      <c r="U924" s="100"/>
      <c r="V924" s="100"/>
      <c r="W924" s="100"/>
      <c r="X924" s="100"/>
      <c r="Y924" s="100"/>
      <c r="Z924" s="100"/>
    </row>
    <row r="925" ht="14.25" customHeight="1">
      <c r="A925" s="59"/>
      <c r="B925" s="59"/>
      <c r="C925" s="59"/>
      <c r="D925" s="59"/>
      <c r="E925" s="59"/>
      <c r="F925" s="59"/>
      <c r="G925" s="59"/>
      <c r="H925" s="59"/>
      <c r="I925" s="59"/>
      <c r="J925" s="59"/>
      <c r="K925" s="59"/>
      <c r="L925" s="59"/>
      <c r="M925" s="59"/>
      <c r="N925" s="59"/>
      <c r="O925" s="100"/>
      <c r="P925" s="100"/>
      <c r="Q925" s="100"/>
      <c r="R925" s="100"/>
      <c r="S925" s="100"/>
      <c r="T925" s="100"/>
      <c r="U925" s="100"/>
      <c r="V925" s="100"/>
      <c r="W925" s="100"/>
      <c r="X925" s="100"/>
      <c r="Y925" s="100"/>
      <c r="Z925" s="100"/>
    </row>
    <row r="926" ht="14.25" customHeight="1">
      <c r="A926" s="59"/>
      <c r="B926" s="59"/>
      <c r="C926" s="59"/>
      <c r="D926" s="59"/>
      <c r="E926" s="59"/>
      <c r="F926" s="59"/>
      <c r="G926" s="59"/>
      <c r="H926" s="59"/>
      <c r="I926" s="59"/>
      <c r="J926" s="59"/>
      <c r="K926" s="59"/>
      <c r="L926" s="59"/>
      <c r="M926" s="59"/>
      <c r="N926" s="59"/>
      <c r="O926" s="100"/>
      <c r="P926" s="100"/>
      <c r="Q926" s="100"/>
      <c r="R926" s="100"/>
      <c r="S926" s="100"/>
      <c r="T926" s="100"/>
      <c r="U926" s="100"/>
      <c r="V926" s="100"/>
      <c r="W926" s="100"/>
      <c r="X926" s="100"/>
      <c r="Y926" s="100"/>
      <c r="Z926" s="100"/>
    </row>
    <row r="927" ht="14.25" customHeight="1">
      <c r="A927" s="59"/>
      <c r="B927" s="59"/>
      <c r="C927" s="59"/>
      <c r="D927" s="59"/>
      <c r="E927" s="59"/>
      <c r="F927" s="59"/>
      <c r="G927" s="59"/>
      <c r="H927" s="59"/>
      <c r="I927" s="59"/>
      <c r="J927" s="59"/>
      <c r="K927" s="59"/>
      <c r="L927" s="59"/>
      <c r="M927" s="59"/>
      <c r="N927" s="59"/>
      <c r="O927" s="100"/>
      <c r="P927" s="100"/>
      <c r="Q927" s="100"/>
      <c r="R927" s="100"/>
      <c r="S927" s="100"/>
      <c r="T927" s="100"/>
      <c r="U927" s="100"/>
      <c r="V927" s="100"/>
      <c r="W927" s="100"/>
      <c r="X927" s="100"/>
      <c r="Y927" s="100"/>
      <c r="Z927" s="100"/>
    </row>
    <row r="928" ht="14.25" customHeight="1">
      <c r="A928" s="59"/>
      <c r="B928" s="59"/>
      <c r="C928" s="59"/>
      <c r="D928" s="59"/>
      <c r="E928" s="59"/>
      <c r="F928" s="59"/>
      <c r="G928" s="59"/>
      <c r="H928" s="59"/>
      <c r="I928" s="59"/>
      <c r="J928" s="59"/>
      <c r="K928" s="59"/>
      <c r="L928" s="59"/>
      <c r="M928" s="59"/>
      <c r="N928" s="59"/>
      <c r="O928" s="100"/>
      <c r="P928" s="100"/>
      <c r="Q928" s="100"/>
      <c r="R928" s="100"/>
      <c r="S928" s="100"/>
      <c r="T928" s="100"/>
      <c r="U928" s="100"/>
      <c r="V928" s="100"/>
      <c r="W928" s="100"/>
      <c r="X928" s="100"/>
      <c r="Y928" s="100"/>
      <c r="Z928" s="100"/>
    </row>
    <row r="929" ht="14.25" customHeight="1">
      <c r="A929" s="59"/>
      <c r="B929" s="59"/>
      <c r="C929" s="59"/>
      <c r="D929" s="59"/>
      <c r="E929" s="59"/>
      <c r="F929" s="59"/>
      <c r="G929" s="59"/>
      <c r="H929" s="59"/>
      <c r="I929" s="59"/>
      <c r="J929" s="59"/>
      <c r="K929" s="59"/>
      <c r="L929" s="59"/>
      <c r="M929" s="59"/>
      <c r="N929" s="59"/>
      <c r="O929" s="100"/>
      <c r="P929" s="100"/>
      <c r="Q929" s="100"/>
      <c r="R929" s="100"/>
      <c r="S929" s="100"/>
      <c r="T929" s="100"/>
      <c r="U929" s="100"/>
      <c r="V929" s="100"/>
      <c r="W929" s="100"/>
      <c r="X929" s="100"/>
      <c r="Y929" s="100"/>
      <c r="Z929" s="100"/>
    </row>
    <row r="930" ht="14.25" customHeight="1">
      <c r="A930" s="59"/>
      <c r="B930" s="59"/>
      <c r="C930" s="59"/>
      <c r="D930" s="59"/>
      <c r="E930" s="59"/>
      <c r="F930" s="59"/>
      <c r="G930" s="59"/>
      <c r="H930" s="59"/>
      <c r="I930" s="59"/>
      <c r="J930" s="59"/>
      <c r="K930" s="59"/>
      <c r="L930" s="59"/>
      <c r="M930" s="59"/>
      <c r="N930" s="59"/>
      <c r="O930" s="100"/>
      <c r="P930" s="100"/>
      <c r="Q930" s="100"/>
      <c r="R930" s="100"/>
      <c r="S930" s="100"/>
      <c r="T930" s="100"/>
      <c r="U930" s="100"/>
      <c r="V930" s="100"/>
      <c r="W930" s="100"/>
      <c r="X930" s="100"/>
      <c r="Y930" s="100"/>
      <c r="Z930" s="100"/>
    </row>
    <row r="931" ht="14.25" customHeight="1">
      <c r="A931" s="59"/>
      <c r="B931" s="59"/>
      <c r="C931" s="59"/>
      <c r="D931" s="59"/>
      <c r="E931" s="59"/>
      <c r="F931" s="59"/>
      <c r="G931" s="59"/>
      <c r="H931" s="59"/>
      <c r="I931" s="59"/>
      <c r="J931" s="59"/>
      <c r="K931" s="59"/>
      <c r="L931" s="59"/>
      <c r="M931" s="59"/>
      <c r="N931" s="59"/>
      <c r="O931" s="100"/>
      <c r="P931" s="100"/>
      <c r="Q931" s="100"/>
      <c r="R931" s="100"/>
      <c r="S931" s="100"/>
      <c r="T931" s="100"/>
      <c r="U931" s="100"/>
      <c r="V931" s="100"/>
      <c r="W931" s="100"/>
      <c r="X931" s="100"/>
      <c r="Y931" s="100"/>
      <c r="Z931" s="100"/>
    </row>
    <row r="932" ht="14.25" customHeight="1">
      <c r="A932" s="59"/>
      <c r="B932" s="59"/>
      <c r="C932" s="59"/>
      <c r="D932" s="59"/>
      <c r="E932" s="59"/>
      <c r="F932" s="59"/>
      <c r="G932" s="59"/>
      <c r="H932" s="59"/>
      <c r="I932" s="59"/>
      <c r="J932" s="59"/>
      <c r="K932" s="59"/>
      <c r="L932" s="59"/>
      <c r="M932" s="59"/>
      <c r="N932" s="59"/>
      <c r="O932" s="100"/>
      <c r="P932" s="100"/>
      <c r="Q932" s="100"/>
      <c r="R932" s="100"/>
      <c r="S932" s="100"/>
      <c r="T932" s="100"/>
      <c r="U932" s="100"/>
      <c r="V932" s="100"/>
      <c r="W932" s="100"/>
      <c r="X932" s="100"/>
      <c r="Y932" s="100"/>
      <c r="Z932" s="100"/>
    </row>
    <row r="933" ht="14.25" customHeight="1">
      <c r="A933" s="59"/>
      <c r="B933" s="59"/>
      <c r="C933" s="59"/>
      <c r="D933" s="59"/>
      <c r="E933" s="59"/>
      <c r="F933" s="59"/>
      <c r="G933" s="59"/>
      <c r="H933" s="59"/>
      <c r="I933" s="59"/>
      <c r="J933" s="59"/>
      <c r="K933" s="59"/>
      <c r="L933" s="59"/>
      <c r="M933" s="59"/>
      <c r="N933" s="59"/>
      <c r="O933" s="100"/>
      <c r="P933" s="100"/>
      <c r="Q933" s="100"/>
      <c r="R933" s="100"/>
      <c r="S933" s="100"/>
      <c r="T933" s="100"/>
      <c r="U933" s="100"/>
      <c r="V933" s="100"/>
      <c r="W933" s="100"/>
      <c r="X933" s="100"/>
      <c r="Y933" s="100"/>
      <c r="Z933" s="100"/>
    </row>
    <row r="934" ht="14.25" customHeight="1">
      <c r="A934" s="59"/>
      <c r="B934" s="59"/>
      <c r="C934" s="59"/>
      <c r="D934" s="59"/>
      <c r="E934" s="59"/>
      <c r="F934" s="59"/>
      <c r="G934" s="59"/>
      <c r="H934" s="59"/>
      <c r="I934" s="59"/>
      <c r="J934" s="59"/>
      <c r="K934" s="59"/>
      <c r="L934" s="59"/>
      <c r="M934" s="59"/>
      <c r="N934" s="59"/>
      <c r="O934" s="100"/>
      <c r="P934" s="100"/>
      <c r="Q934" s="100"/>
      <c r="R934" s="100"/>
      <c r="S934" s="100"/>
      <c r="T934" s="100"/>
      <c r="U934" s="100"/>
      <c r="V934" s="100"/>
      <c r="W934" s="100"/>
      <c r="X934" s="100"/>
      <c r="Y934" s="100"/>
      <c r="Z934" s="100"/>
    </row>
    <row r="935" ht="14.25" customHeight="1">
      <c r="A935" s="59"/>
      <c r="B935" s="59"/>
      <c r="C935" s="59"/>
      <c r="D935" s="59"/>
      <c r="E935" s="59"/>
      <c r="F935" s="59"/>
      <c r="G935" s="59"/>
      <c r="H935" s="59"/>
      <c r="I935" s="59"/>
      <c r="J935" s="59"/>
      <c r="K935" s="59"/>
      <c r="L935" s="59"/>
      <c r="M935" s="59"/>
      <c r="N935" s="59"/>
      <c r="O935" s="100"/>
      <c r="P935" s="100"/>
      <c r="Q935" s="100"/>
      <c r="R935" s="100"/>
      <c r="S935" s="100"/>
      <c r="T935" s="100"/>
      <c r="U935" s="100"/>
      <c r="V935" s="100"/>
      <c r="W935" s="100"/>
      <c r="X935" s="100"/>
      <c r="Y935" s="100"/>
      <c r="Z935" s="100"/>
    </row>
    <row r="936" ht="14.25" customHeight="1">
      <c r="A936" s="59"/>
      <c r="B936" s="59"/>
      <c r="C936" s="59"/>
      <c r="D936" s="59"/>
      <c r="E936" s="59"/>
      <c r="F936" s="59"/>
      <c r="G936" s="59"/>
      <c r="H936" s="59"/>
      <c r="I936" s="59"/>
      <c r="J936" s="59"/>
      <c r="K936" s="59"/>
      <c r="L936" s="59"/>
      <c r="M936" s="59"/>
      <c r="N936" s="59"/>
      <c r="O936" s="100"/>
      <c r="P936" s="100"/>
      <c r="Q936" s="100"/>
      <c r="R936" s="100"/>
      <c r="S936" s="100"/>
      <c r="T936" s="100"/>
      <c r="U936" s="100"/>
      <c r="V936" s="100"/>
      <c r="W936" s="100"/>
      <c r="X936" s="100"/>
      <c r="Y936" s="100"/>
      <c r="Z936" s="100"/>
    </row>
    <row r="937" ht="14.25" customHeight="1">
      <c r="A937" s="59"/>
      <c r="B937" s="59"/>
      <c r="C937" s="59"/>
      <c r="D937" s="59"/>
      <c r="E937" s="59"/>
      <c r="F937" s="59"/>
      <c r="G937" s="59"/>
      <c r="H937" s="59"/>
      <c r="I937" s="59"/>
      <c r="J937" s="59"/>
      <c r="K937" s="59"/>
      <c r="L937" s="59"/>
      <c r="M937" s="59"/>
      <c r="N937" s="59"/>
      <c r="O937" s="100"/>
      <c r="P937" s="100"/>
      <c r="Q937" s="100"/>
      <c r="R937" s="100"/>
      <c r="S937" s="100"/>
      <c r="T937" s="100"/>
      <c r="U937" s="100"/>
      <c r="V937" s="100"/>
      <c r="W937" s="100"/>
      <c r="X937" s="100"/>
      <c r="Y937" s="100"/>
      <c r="Z937" s="100"/>
    </row>
    <row r="938" ht="14.25" customHeight="1">
      <c r="A938" s="59"/>
      <c r="B938" s="59"/>
      <c r="C938" s="59"/>
      <c r="D938" s="59"/>
      <c r="E938" s="59"/>
      <c r="F938" s="59"/>
      <c r="G938" s="59"/>
      <c r="H938" s="59"/>
      <c r="I938" s="59"/>
      <c r="J938" s="59"/>
      <c r="K938" s="59"/>
      <c r="L938" s="59"/>
      <c r="M938" s="59"/>
      <c r="N938" s="59"/>
      <c r="O938" s="100"/>
      <c r="P938" s="100"/>
      <c r="Q938" s="100"/>
      <c r="R938" s="100"/>
      <c r="S938" s="100"/>
      <c r="T938" s="100"/>
      <c r="U938" s="100"/>
      <c r="V938" s="100"/>
      <c r="W938" s="100"/>
      <c r="X938" s="100"/>
      <c r="Y938" s="100"/>
      <c r="Z938" s="100"/>
    </row>
    <row r="939" ht="14.25" customHeight="1">
      <c r="A939" s="59"/>
      <c r="B939" s="59"/>
      <c r="C939" s="59"/>
      <c r="D939" s="59"/>
      <c r="E939" s="59"/>
      <c r="F939" s="59"/>
      <c r="G939" s="59"/>
      <c r="H939" s="59"/>
      <c r="I939" s="59"/>
      <c r="J939" s="59"/>
      <c r="K939" s="59"/>
      <c r="L939" s="59"/>
      <c r="M939" s="59"/>
      <c r="N939" s="59"/>
      <c r="O939" s="100"/>
      <c r="P939" s="100"/>
      <c r="Q939" s="100"/>
      <c r="R939" s="100"/>
      <c r="S939" s="100"/>
      <c r="T939" s="100"/>
      <c r="U939" s="100"/>
      <c r="V939" s="100"/>
      <c r="W939" s="100"/>
      <c r="X939" s="100"/>
      <c r="Y939" s="100"/>
      <c r="Z939" s="100"/>
    </row>
    <row r="940" ht="14.25" customHeight="1">
      <c r="A940" s="59"/>
      <c r="B940" s="59"/>
      <c r="C940" s="59"/>
      <c r="D940" s="59"/>
      <c r="E940" s="59"/>
      <c r="F940" s="59"/>
      <c r="G940" s="59"/>
      <c r="H940" s="59"/>
      <c r="I940" s="59"/>
      <c r="J940" s="59"/>
      <c r="K940" s="59"/>
      <c r="L940" s="59"/>
      <c r="M940" s="59"/>
      <c r="N940" s="59"/>
      <c r="O940" s="100"/>
      <c r="P940" s="100"/>
      <c r="Q940" s="100"/>
      <c r="R940" s="100"/>
      <c r="S940" s="100"/>
      <c r="T940" s="100"/>
      <c r="U940" s="100"/>
      <c r="V940" s="100"/>
      <c r="W940" s="100"/>
      <c r="X940" s="100"/>
      <c r="Y940" s="100"/>
      <c r="Z940" s="100"/>
    </row>
    <row r="941" ht="14.25" customHeight="1">
      <c r="A941" s="59"/>
      <c r="B941" s="59"/>
      <c r="C941" s="59"/>
      <c r="D941" s="59"/>
      <c r="E941" s="59"/>
      <c r="F941" s="59"/>
      <c r="G941" s="59"/>
      <c r="H941" s="59"/>
      <c r="I941" s="59"/>
      <c r="J941" s="59"/>
      <c r="K941" s="59"/>
      <c r="L941" s="59"/>
      <c r="M941" s="59"/>
      <c r="N941" s="59"/>
      <c r="O941" s="100"/>
      <c r="P941" s="100"/>
      <c r="Q941" s="100"/>
      <c r="R941" s="100"/>
      <c r="S941" s="100"/>
      <c r="T941" s="100"/>
      <c r="U941" s="100"/>
      <c r="V941" s="100"/>
      <c r="W941" s="100"/>
      <c r="X941" s="100"/>
      <c r="Y941" s="100"/>
      <c r="Z941" s="100"/>
    </row>
    <row r="942" ht="14.25" customHeight="1">
      <c r="A942" s="59"/>
      <c r="B942" s="59"/>
      <c r="C942" s="59"/>
      <c r="D942" s="59"/>
      <c r="E942" s="59"/>
      <c r="F942" s="59"/>
      <c r="G942" s="59"/>
      <c r="H942" s="59"/>
      <c r="I942" s="59"/>
      <c r="J942" s="59"/>
      <c r="K942" s="59"/>
      <c r="L942" s="59"/>
      <c r="M942" s="59"/>
      <c r="N942" s="59"/>
      <c r="O942" s="100"/>
      <c r="P942" s="100"/>
      <c r="Q942" s="100"/>
      <c r="R942" s="100"/>
      <c r="S942" s="100"/>
      <c r="T942" s="100"/>
      <c r="U942" s="100"/>
      <c r="V942" s="100"/>
      <c r="W942" s="100"/>
      <c r="X942" s="100"/>
      <c r="Y942" s="100"/>
      <c r="Z942" s="100"/>
    </row>
    <row r="943" ht="14.25" customHeight="1">
      <c r="A943" s="59"/>
      <c r="B943" s="59"/>
      <c r="C943" s="59"/>
      <c r="D943" s="59"/>
      <c r="E943" s="59"/>
      <c r="F943" s="59"/>
      <c r="G943" s="59"/>
      <c r="H943" s="59"/>
      <c r="I943" s="59"/>
      <c r="J943" s="59"/>
      <c r="K943" s="59"/>
      <c r="L943" s="59"/>
      <c r="M943" s="59"/>
      <c r="N943" s="59"/>
      <c r="O943" s="100"/>
      <c r="P943" s="100"/>
      <c r="Q943" s="100"/>
      <c r="R943" s="100"/>
      <c r="S943" s="100"/>
      <c r="T943" s="100"/>
      <c r="U943" s="100"/>
      <c r="V943" s="100"/>
      <c r="W943" s="100"/>
      <c r="X943" s="100"/>
      <c r="Y943" s="100"/>
      <c r="Z943" s="100"/>
    </row>
    <row r="944" ht="14.25" customHeight="1">
      <c r="A944" s="59"/>
      <c r="B944" s="59"/>
      <c r="C944" s="59"/>
      <c r="D944" s="59"/>
      <c r="E944" s="59"/>
      <c r="F944" s="59"/>
      <c r="G944" s="59"/>
      <c r="H944" s="59"/>
      <c r="I944" s="59"/>
      <c r="J944" s="59"/>
      <c r="K944" s="59"/>
      <c r="L944" s="59"/>
      <c r="M944" s="59"/>
      <c r="N944" s="59"/>
      <c r="O944" s="100"/>
      <c r="P944" s="100"/>
      <c r="Q944" s="100"/>
      <c r="R944" s="100"/>
      <c r="S944" s="100"/>
      <c r="T944" s="100"/>
      <c r="U944" s="100"/>
      <c r="V944" s="100"/>
      <c r="W944" s="100"/>
      <c r="X944" s="100"/>
      <c r="Y944" s="100"/>
      <c r="Z944" s="100"/>
    </row>
    <row r="945" ht="14.25" customHeight="1">
      <c r="A945" s="59"/>
      <c r="B945" s="59"/>
      <c r="C945" s="59"/>
      <c r="D945" s="59"/>
      <c r="E945" s="59"/>
      <c r="F945" s="59"/>
      <c r="G945" s="59"/>
      <c r="H945" s="59"/>
      <c r="I945" s="59"/>
      <c r="J945" s="59"/>
      <c r="K945" s="59"/>
      <c r="L945" s="59"/>
      <c r="M945" s="59"/>
      <c r="N945" s="59"/>
      <c r="O945" s="100"/>
      <c r="P945" s="100"/>
      <c r="Q945" s="100"/>
      <c r="R945" s="100"/>
      <c r="S945" s="100"/>
      <c r="T945" s="100"/>
      <c r="U945" s="100"/>
      <c r="V945" s="100"/>
      <c r="W945" s="100"/>
      <c r="X945" s="100"/>
      <c r="Y945" s="100"/>
      <c r="Z945" s="100"/>
    </row>
    <row r="946" ht="14.25" customHeight="1">
      <c r="A946" s="59"/>
      <c r="B946" s="59"/>
      <c r="C946" s="59"/>
      <c r="D946" s="59"/>
      <c r="E946" s="59"/>
      <c r="F946" s="59"/>
      <c r="G946" s="59"/>
      <c r="H946" s="59"/>
      <c r="I946" s="59"/>
      <c r="J946" s="59"/>
      <c r="K946" s="59"/>
      <c r="L946" s="59"/>
      <c r="M946" s="59"/>
      <c r="N946" s="59"/>
      <c r="O946" s="100"/>
      <c r="P946" s="100"/>
      <c r="Q946" s="100"/>
      <c r="R946" s="100"/>
      <c r="S946" s="100"/>
      <c r="T946" s="100"/>
      <c r="U946" s="100"/>
      <c r="V946" s="100"/>
      <c r="W946" s="100"/>
      <c r="X946" s="100"/>
      <c r="Y946" s="100"/>
      <c r="Z946" s="100"/>
    </row>
    <row r="947" ht="14.25" customHeight="1">
      <c r="A947" s="59"/>
      <c r="B947" s="59"/>
      <c r="C947" s="59"/>
      <c r="D947" s="59"/>
      <c r="E947" s="59"/>
      <c r="F947" s="59"/>
      <c r="G947" s="59"/>
      <c r="H947" s="59"/>
      <c r="I947" s="59"/>
      <c r="J947" s="59"/>
      <c r="K947" s="59"/>
      <c r="L947" s="59"/>
      <c r="M947" s="59"/>
      <c r="N947" s="59"/>
      <c r="O947" s="100"/>
      <c r="P947" s="100"/>
      <c r="Q947" s="100"/>
      <c r="R947" s="100"/>
      <c r="S947" s="100"/>
      <c r="T947" s="100"/>
      <c r="U947" s="100"/>
      <c r="V947" s="100"/>
      <c r="W947" s="100"/>
      <c r="X947" s="100"/>
      <c r="Y947" s="100"/>
      <c r="Z947" s="100"/>
    </row>
    <row r="948" ht="14.25" customHeight="1">
      <c r="A948" s="59"/>
      <c r="B948" s="59"/>
      <c r="C948" s="59"/>
      <c r="D948" s="59"/>
      <c r="E948" s="59"/>
      <c r="F948" s="59"/>
      <c r="G948" s="59"/>
      <c r="H948" s="59"/>
      <c r="I948" s="59"/>
      <c r="J948" s="59"/>
      <c r="K948" s="59"/>
      <c r="L948" s="59"/>
      <c r="M948" s="59"/>
      <c r="N948" s="59"/>
      <c r="O948" s="100"/>
      <c r="P948" s="100"/>
      <c r="Q948" s="100"/>
      <c r="R948" s="100"/>
      <c r="S948" s="100"/>
      <c r="T948" s="100"/>
      <c r="U948" s="100"/>
      <c r="V948" s="100"/>
      <c r="W948" s="100"/>
      <c r="X948" s="100"/>
      <c r="Y948" s="100"/>
      <c r="Z948" s="100"/>
    </row>
    <row r="949" ht="14.25" customHeight="1">
      <c r="A949" s="59"/>
      <c r="B949" s="59"/>
      <c r="C949" s="59"/>
      <c r="D949" s="59"/>
      <c r="E949" s="59"/>
      <c r="F949" s="59"/>
      <c r="G949" s="59"/>
      <c r="H949" s="59"/>
      <c r="I949" s="59"/>
      <c r="J949" s="59"/>
      <c r="K949" s="59"/>
      <c r="L949" s="59"/>
      <c r="M949" s="59"/>
      <c r="N949" s="59"/>
      <c r="O949" s="100"/>
      <c r="P949" s="100"/>
      <c r="Q949" s="100"/>
      <c r="R949" s="100"/>
      <c r="S949" s="100"/>
      <c r="T949" s="100"/>
      <c r="U949" s="100"/>
      <c r="V949" s="100"/>
      <c r="W949" s="100"/>
      <c r="X949" s="100"/>
      <c r="Y949" s="100"/>
      <c r="Z949" s="100"/>
    </row>
    <row r="950" ht="14.25" customHeight="1">
      <c r="A950" s="59"/>
      <c r="B950" s="59"/>
      <c r="C950" s="59"/>
      <c r="D950" s="59"/>
      <c r="E950" s="59"/>
      <c r="F950" s="59"/>
      <c r="G950" s="59"/>
      <c r="H950" s="59"/>
      <c r="I950" s="59"/>
      <c r="J950" s="59"/>
      <c r="K950" s="59"/>
      <c r="L950" s="59"/>
      <c r="M950" s="59"/>
      <c r="N950" s="59"/>
      <c r="O950" s="100"/>
      <c r="P950" s="100"/>
      <c r="Q950" s="100"/>
      <c r="R950" s="100"/>
      <c r="S950" s="100"/>
      <c r="T950" s="100"/>
      <c r="U950" s="100"/>
      <c r="V950" s="100"/>
      <c r="W950" s="100"/>
      <c r="X950" s="100"/>
      <c r="Y950" s="100"/>
      <c r="Z950" s="100"/>
    </row>
    <row r="951" ht="14.25" customHeight="1">
      <c r="A951" s="59"/>
      <c r="B951" s="59"/>
      <c r="C951" s="59"/>
      <c r="D951" s="59"/>
      <c r="E951" s="59"/>
      <c r="F951" s="59"/>
      <c r="G951" s="59"/>
      <c r="H951" s="59"/>
      <c r="I951" s="59"/>
      <c r="J951" s="59"/>
      <c r="K951" s="59"/>
      <c r="L951" s="59"/>
      <c r="M951" s="59"/>
      <c r="N951" s="59"/>
      <c r="O951" s="100"/>
      <c r="P951" s="100"/>
      <c r="Q951" s="100"/>
      <c r="R951" s="100"/>
      <c r="S951" s="100"/>
      <c r="T951" s="100"/>
      <c r="U951" s="100"/>
      <c r="V951" s="100"/>
      <c r="W951" s="100"/>
      <c r="X951" s="100"/>
      <c r="Y951" s="100"/>
      <c r="Z951" s="100"/>
    </row>
    <row r="952" ht="14.25" customHeight="1">
      <c r="A952" s="59"/>
      <c r="B952" s="59"/>
      <c r="C952" s="59"/>
      <c r="D952" s="59"/>
      <c r="E952" s="59"/>
      <c r="F952" s="59"/>
      <c r="G952" s="59"/>
      <c r="H952" s="59"/>
      <c r="I952" s="59"/>
      <c r="J952" s="59"/>
      <c r="K952" s="59"/>
      <c r="L952" s="59"/>
      <c r="M952" s="59"/>
      <c r="N952" s="59"/>
      <c r="O952" s="100"/>
      <c r="P952" s="100"/>
      <c r="Q952" s="100"/>
      <c r="R952" s="100"/>
      <c r="S952" s="100"/>
      <c r="T952" s="100"/>
      <c r="U952" s="100"/>
      <c r="V952" s="100"/>
      <c r="W952" s="100"/>
      <c r="X952" s="100"/>
      <c r="Y952" s="100"/>
      <c r="Z952" s="100"/>
    </row>
    <row r="953" ht="14.25" customHeight="1">
      <c r="A953" s="59"/>
      <c r="B953" s="59"/>
      <c r="C953" s="59"/>
      <c r="D953" s="59"/>
      <c r="E953" s="59"/>
      <c r="F953" s="59"/>
      <c r="G953" s="59"/>
      <c r="H953" s="59"/>
      <c r="I953" s="59"/>
      <c r="J953" s="59"/>
      <c r="K953" s="59"/>
      <c r="L953" s="59"/>
      <c r="M953" s="59"/>
      <c r="N953" s="59"/>
      <c r="O953" s="100"/>
      <c r="P953" s="100"/>
      <c r="Q953" s="100"/>
      <c r="R953" s="100"/>
      <c r="S953" s="100"/>
      <c r="T953" s="100"/>
      <c r="U953" s="100"/>
      <c r="V953" s="100"/>
      <c r="W953" s="100"/>
      <c r="X953" s="100"/>
      <c r="Y953" s="100"/>
      <c r="Z953" s="100"/>
    </row>
    <row r="954" ht="14.25" customHeight="1">
      <c r="A954" s="59"/>
      <c r="B954" s="59"/>
      <c r="C954" s="59"/>
      <c r="D954" s="59"/>
      <c r="E954" s="59"/>
      <c r="F954" s="59"/>
      <c r="G954" s="59"/>
      <c r="H954" s="59"/>
      <c r="I954" s="59"/>
      <c r="J954" s="59"/>
      <c r="K954" s="59"/>
      <c r="L954" s="59"/>
      <c r="M954" s="59"/>
      <c r="N954" s="59"/>
      <c r="O954" s="100"/>
      <c r="P954" s="100"/>
      <c r="Q954" s="100"/>
      <c r="R954" s="100"/>
      <c r="S954" s="100"/>
      <c r="T954" s="100"/>
      <c r="U954" s="100"/>
      <c r="V954" s="100"/>
      <c r="W954" s="100"/>
      <c r="X954" s="100"/>
      <c r="Y954" s="100"/>
      <c r="Z954" s="100"/>
    </row>
    <row r="955" ht="14.25" customHeight="1">
      <c r="A955" s="59"/>
      <c r="B955" s="59"/>
      <c r="C955" s="59"/>
      <c r="D955" s="59"/>
      <c r="E955" s="59"/>
      <c r="F955" s="59"/>
      <c r="G955" s="59"/>
      <c r="H955" s="59"/>
      <c r="I955" s="59"/>
      <c r="J955" s="59"/>
      <c r="K955" s="59"/>
      <c r="L955" s="59"/>
      <c r="M955" s="59"/>
      <c r="N955" s="59"/>
      <c r="O955" s="100"/>
      <c r="P955" s="100"/>
      <c r="Q955" s="100"/>
      <c r="R955" s="100"/>
      <c r="S955" s="100"/>
      <c r="T955" s="100"/>
      <c r="U955" s="100"/>
      <c r="V955" s="100"/>
      <c r="W955" s="100"/>
      <c r="X955" s="100"/>
      <c r="Y955" s="100"/>
      <c r="Z955" s="100"/>
    </row>
    <row r="956" ht="14.25" customHeight="1">
      <c r="A956" s="59"/>
      <c r="B956" s="59"/>
      <c r="C956" s="59"/>
      <c r="D956" s="59"/>
      <c r="E956" s="59"/>
      <c r="F956" s="59"/>
      <c r="G956" s="59"/>
      <c r="H956" s="59"/>
      <c r="I956" s="59"/>
      <c r="J956" s="59"/>
      <c r="K956" s="59"/>
      <c r="L956" s="59"/>
      <c r="M956" s="59"/>
      <c r="N956" s="59"/>
      <c r="O956" s="100"/>
      <c r="P956" s="100"/>
      <c r="Q956" s="100"/>
      <c r="R956" s="100"/>
      <c r="S956" s="100"/>
      <c r="T956" s="100"/>
      <c r="U956" s="100"/>
      <c r="V956" s="100"/>
      <c r="W956" s="100"/>
      <c r="X956" s="100"/>
      <c r="Y956" s="100"/>
      <c r="Z956" s="100"/>
    </row>
    <row r="957" ht="14.25" customHeight="1">
      <c r="A957" s="59"/>
      <c r="B957" s="59"/>
      <c r="C957" s="59"/>
      <c r="D957" s="59"/>
      <c r="E957" s="59"/>
      <c r="F957" s="59"/>
      <c r="G957" s="59"/>
      <c r="H957" s="59"/>
      <c r="I957" s="59"/>
      <c r="J957" s="59"/>
      <c r="K957" s="59"/>
      <c r="L957" s="59"/>
      <c r="M957" s="59"/>
      <c r="N957" s="59"/>
      <c r="O957" s="100"/>
      <c r="P957" s="100"/>
      <c r="Q957" s="100"/>
      <c r="R957" s="100"/>
      <c r="S957" s="100"/>
      <c r="T957" s="100"/>
      <c r="U957" s="100"/>
      <c r="V957" s="100"/>
      <c r="W957" s="100"/>
      <c r="X957" s="100"/>
      <c r="Y957" s="100"/>
      <c r="Z957" s="100"/>
    </row>
    <row r="958" ht="14.25" customHeight="1">
      <c r="A958" s="59"/>
      <c r="B958" s="59"/>
      <c r="C958" s="59"/>
      <c r="D958" s="59"/>
      <c r="E958" s="59"/>
      <c r="F958" s="59"/>
      <c r="G958" s="59"/>
      <c r="H958" s="59"/>
      <c r="I958" s="59"/>
      <c r="J958" s="59"/>
      <c r="K958" s="59"/>
      <c r="L958" s="59"/>
      <c r="M958" s="59"/>
      <c r="N958" s="59"/>
      <c r="O958" s="100"/>
      <c r="P958" s="100"/>
      <c r="Q958" s="100"/>
      <c r="R958" s="100"/>
      <c r="S958" s="100"/>
      <c r="T958" s="100"/>
      <c r="U958" s="100"/>
      <c r="V958" s="100"/>
      <c r="W958" s="100"/>
      <c r="X958" s="100"/>
      <c r="Y958" s="100"/>
      <c r="Z958" s="100"/>
    </row>
    <row r="959" ht="14.25" customHeight="1">
      <c r="A959" s="59"/>
      <c r="B959" s="59"/>
      <c r="C959" s="59"/>
      <c r="D959" s="59"/>
      <c r="E959" s="59"/>
      <c r="F959" s="59"/>
      <c r="G959" s="59"/>
      <c r="H959" s="59"/>
      <c r="I959" s="59"/>
      <c r="J959" s="59"/>
      <c r="K959" s="59"/>
      <c r="L959" s="59"/>
      <c r="M959" s="59"/>
      <c r="N959" s="59"/>
      <c r="O959" s="100"/>
      <c r="P959" s="100"/>
      <c r="Q959" s="100"/>
      <c r="R959" s="100"/>
      <c r="S959" s="100"/>
      <c r="T959" s="100"/>
      <c r="U959" s="100"/>
      <c r="V959" s="100"/>
      <c r="W959" s="100"/>
      <c r="X959" s="100"/>
      <c r="Y959" s="100"/>
      <c r="Z959" s="100"/>
    </row>
    <row r="960" ht="14.25" customHeight="1">
      <c r="A960" s="59"/>
      <c r="B960" s="59"/>
      <c r="C960" s="59"/>
      <c r="D960" s="59"/>
      <c r="E960" s="59"/>
      <c r="F960" s="59"/>
      <c r="G960" s="59"/>
      <c r="H960" s="59"/>
      <c r="I960" s="59"/>
      <c r="J960" s="59"/>
      <c r="K960" s="59"/>
      <c r="L960" s="59"/>
      <c r="M960" s="59"/>
      <c r="N960" s="59"/>
      <c r="O960" s="100"/>
      <c r="P960" s="100"/>
      <c r="Q960" s="100"/>
      <c r="R960" s="100"/>
      <c r="S960" s="100"/>
      <c r="T960" s="100"/>
      <c r="U960" s="100"/>
      <c r="V960" s="100"/>
      <c r="W960" s="100"/>
      <c r="X960" s="100"/>
      <c r="Y960" s="100"/>
      <c r="Z960" s="100"/>
    </row>
    <row r="961" ht="14.25" customHeight="1">
      <c r="A961" s="59"/>
      <c r="B961" s="59"/>
      <c r="C961" s="59"/>
      <c r="D961" s="59"/>
      <c r="E961" s="59"/>
      <c r="F961" s="59"/>
      <c r="G961" s="59"/>
      <c r="H961" s="59"/>
      <c r="I961" s="59"/>
      <c r="J961" s="59"/>
      <c r="K961" s="59"/>
      <c r="L961" s="59"/>
      <c r="M961" s="59"/>
      <c r="N961" s="59"/>
      <c r="O961" s="100"/>
      <c r="P961" s="100"/>
      <c r="Q961" s="100"/>
      <c r="R961" s="100"/>
      <c r="S961" s="100"/>
      <c r="T961" s="100"/>
      <c r="U961" s="100"/>
      <c r="V961" s="100"/>
      <c r="W961" s="100"/>
      <c r="X961" s="100"/>
      <c r="Y961" s="100"/>
      <c r="Z961" s="100"/>
    </row>
    <row r="962" ht="14.25" customHeight="1">
      <c r="A962" s="59"/>
      <c r="B962" s="59"/>
      <c r="C962" s="59"/>
      <c r="D962" s="59"/>
      <c r="E962" s="59"/>
      <c r="F962" s="59"/>
      <c r="G962" s="59"/>
      <c r="H962" s="59"/>
      <c r="I962" s="59"/>
      <c r="J962" s="59"/>
      <c r="K962" s="59"/>
      <c r="L962" s="59"/>
      <c r="M962" s="59"/>
      <c r="N962" s="59"/>
      <c r="O962" s="100"/>
      <c r="P962" s="100"/>
      <c r="Q962" s="100"/>
      <c r="R962" s="100"/>
      <c r="S962" s="100"/>
      <c r="T962" s="100"/>
      <c r="U962" s="100"/>
      <c r="V962" s="100"/>
      <c r="W962" s="100"/>
      <c r="X962" s="100"/>
      <c r="Y962" s="100"/>
      <c r="Z962" s="100"/>
    </row>
    <row r="963" ht="14.25" customHeight="1">
      <c r="A963" s="59"/>
      <c r="B963" s="59"/>
      <c r="C963" s="59"/>
      <c r="D963" s="59"/>
      <c r="E963" s="59"/>
      <c r="F963" s="59"/>
      <c r="G963" s="59"/>
      <c r="H963" s="59"/>
      <c r="I963" s="59"/>
      <c r="J963" s="59"/>
      <c r="K963" s="59"/>
      <c r="L963" s="59"/>
      <c r="M963" s="59"/>
      <c r="N963" s="59"/>
      <c r="O963" s="100"/>
      <c r="P963" s="100"/>
      <c r="Q963" s="100"/>
      <c r="R963" s="100"/>
      <c r="S963" s="100"/>
      <c r="T963" s="100"/>
      <c r="U963" s="100"/>
      <c r="V963" s="100"/>
      <c r="W963" s="100"/>
      <c r="X963" s="100"/>
      <c r="Y963" s="100"/>
      <c r="Z963" s="100"/>
    </row>
    <row r="964" ht="14.25" customHeight="1">
      <c r="A964" s="59"/>
      <c r="B964" s="59"/>
      <c r="C964" s="59"/>
      <c r="D964" s="59"/>
      <c r="E964" s="59"/>
      <c r="F964" s="59"/>
      <c r="G964" s="59"/>
      <c r="H964" s="59"/>
      <c r="I964" s="59"/>
      <c r="J964" s="59"/>
      <c r="K964" s="59"/>
      <c r="L964" s="59"/>
      <c r="M964" s="59"/>
      <c r="N964" s="59"/>
      <c r="O964" s="100"/>
      <c r="P964" s="100"/>
      <c r="Q964" s="100"/>
      <c r="R964" s="100"/>
      <c r="S964" s="100"/>
      <c r="T964" s="100"/>
      <c r="U964" s="100"/>
      <c r="V964" s="100"/>
      <c r="W964" s="100"/>
      <c r="X964" s="100"/>
      <c r="Y964" s="100"/>
      <c r="Z964" s="100"/>
    </row>
    <row r="965" ht="14.25" customHeight="1">
      <c r="A965" s="59"/>
      <c r="B965" s="59"/>
      <c r="C965" s="59"/>
      <c r="D965" s="59"/>
      <c r="E965" s="59"/>
      <c r="F965" s="59"/>
      <c r="G965" s="59"/>
      <c r="H965" s="59"/>
      <c r="I965" s="59"/>
      <c r="J965" s="59"/>
      <c r="K965" s="59"/>
      <c r="L965" s="59"/>
      <c r="M965" s="59"/>
      <c r="N965" s="59"/>
      <c r="O965" s="100"/>
      <c r="P965" s="100"/>
      <c r="Q965" s="100"/>
      <c r="R965" s="100"/>
      <c r="S965" s="100"/>
      <c r="T965" s="100"/>
      <c r="U965" s="100"/>
      <c r="V965" s="100"/>
      <c r="W965" s="100"/>
      <c r="X965" s="100"/>
      <c r="Y965" s="100"/>
      <c r="Z965" s="100"/>
    </row>
    <row r="966" ht="14.25" customHeight="1">
      <c r="A966" s="59"/>
      <c r="B966" s="59"/>
      <c r="C966" s="59"/>
      <c r="D966" s="59"/>
      <c r="E966" s="59"/>
      <c r="F966" s="59"/>
      <c r="G966" s="59"/>
      <c r="H966" s="59"/>
      <c r="I966" s="59"/>
      <c r="J966" s="59"/>
      <c r="K966" s="59"/>
      <c r="L966" s="59"/>
      <c r="M966" s="59"/>
      <c r="N966" s="59"/>
      <c r="O966" s="100"/>
      <c r="P966" s="100"/>
      <c r="Q966" s="100"/>
      <c r="R966" s="100"/>
      <c r="S966" s="100"/>
      <c r="T966" s="100"/>
      <c r="U966" s="100"/>
      <c r="V966" s="100"/>
      <c r="W966" s="100"/>
      <c r="X966" s="100"/>
      <c r="Y966" s="100"/>
      <c r="Z966" s="100"/>
    </row>
    <row r="967" ht="14.25" customHeight="1">
      <c r="A967" s="59"/>
      <c r="B967" s="59"/>
      <c r="C967" s="59"/>
      <c r="D967" s="59"/>
      <c r="E967" s="59"/>
      <c r="F967" s="59"/>
      <c r="G967" s="59"/>
      <c r="H967" s="59"/>
      <c r="I967" s="59"/>
      <c r="J967" s="59"/>
      <c r="K967" s="59"/>
      <c r="L967" s="59"/>
      <c r="M967" s="59"/>
      <c r="N967" s="59"/>
      <c r="O967" s="100"/>
      <c r="P967" s="100"/>
      <c r="Q967" s="100"/>
      <c r="R967" s="100"/>
      <c r="S967" s="100"/>
      <c r="T967" s="100"/>
      <c r="U967" s="100"/>
      <c r="V967" s="100"/>
      <c r="W967" s="100"/>
      <c r="X967" s="100"/>
      <c r="Y967" s="100"/>
      <c r="Z967" s="100"/>
    </row>
    <row r="968" ht="14.25" customHeight="1">
      <c r="A968" s="59"/>
      <c r="B968" s="59"/>
      <c r="C968" s="59"/>
      <c r="D968" s="59"/>
      <c r="E968" s="59"/>
      <c r="F968" s="59"/>
      <c r="G968" s="59"/>
      <c r="H968" s="59"/>
      <c r="I968" s="59"/>
      <c r="J968" s="59"/>
      <c r="K968" s="59"/>
      <c r="L968" s="59"/>
      <c r="M968" s="59"/>
      <c r="N968" s="59"/>
      <c r="O968" s="100"/>
      <c r="P968" s="100"/>
      <c r="Q968" s="100"/>
      <c r="R968" s="100"/>
      <c r="S968" s="100"/>
      <c r="T968" s="100"/>
      <c r="U968" s="100"/>
      <c r="V968" s="100"/>
      <c r="W968" s="100"/>
      <c r="X968" s="100"/>
      <c r="Y968" s="100"/>
      <c r="Z968" s="100"/>
    </row>
    <row r="969" ht="14.25" customHeight="1">
      <c r="A969" s="59"/>
      <c r="B969" s="59"/>
      <c r="C969" s="59"/>
      <c r="D969" s="59"/>
      <c r="E969" s="59"/>
      <c r="F969" s="59"/>
      <c r="G969" s="59"/>
      <c r="H969" s="59"/>
      <c r="I969" s="59"/>
      <c r="J969" s="59"/>
      <c r="K969" s="59"/>
      <c r="L969" s="59"/>
      <c r="M969" s="59"/>
      <c r="N969" s="59"/>
      <c r="O969" s="100"/>
      <c r="P969" s="100"/>
      <c r="Q969" s="100"/>
      <c r="R969" s="100"/>
      <c r="S969" s="100"/>
      <c r="T969" s="100"/>
      <c r="U969" s="100"/>
      <c r="V969" s="100"/>
      <c r="W969" s="100"/>
      <c r="X969" s="100"/>
      <c r="Y969" s="100"/>
      <c r="Z969" s="100"/>
    </row>
    <row r="970" ht="14.25" customHeight="1">
      <c r="A970" s="59"/>
      <c r="B970" s="59"/>
      <c r="C970" s="59"/>
      <c r="D970" s="59"/>
      <c r="E970" s="59"/>
      <c r="F970" s="59"/>
      <c r="G970" s="59"/>
      <c r="H970" s="59"/>
      <c r="I970" s="59"/>
      <c r="J970" s="59"/>
      <c r="K970" s="59"/>
      <c r="L970" s="59"/>
      <c r="M970" s="59"/>
      <c r="N970" s="59"/>
      <c r="O970" s="100"/>
      <c r="P970" s="100"/>
      <c r="Q970" s="100"/>
      <c r="R970" s="100"/>
      <c r="S970" s="100"/>
      <c r="T970" s="100"/>
      <c r="U970" s="100"/>
      <c r="V970" s="100"/>
      <c r="W970" s="100"/>
      <c r="X970" s="100"/>
      <c r="Y970" s="100"/>
      <c r="Z970" s="100"/>
    </row>
    <row r="971" ht="14.25" customHeight="1">
      <c r="A971" s="59"/>
      <c r="B971" s="59"/>
      <c r="C971" s="59"/>
      <c r="D971" s="59"/>
      <c r="E971" s="59"/>
      <c r="F971" s="59"/>
      <c r="G971" s="59"/>
      <c r="H971" s="59"/>
      <c r="I971" s="59"/>
      <c r="J971" s="59"/>
      <c r="K971" s="59"/>
      <c r="L971" s="59"/>
      <c r="M971" s="59"/>
      <c r="N971" s="59"/>
      <c r="O971" s="100"/>
      <c r="P971" s="100"/>
      <c r="Q971" s="100"/>
      <c r="R971" s="100"/>
      <c r="S971" s="100"/>
      <c r="T971" s="100"/>
      <c r="U971" s="100"/>
      <c r="V971" s="100"/>
      <c r="W971" s="100"/>
      <c r="X971" s="100"/>
      <c r="Y971" s="100"/>
      <c r="Z971" s="100"/>
    </row>
    <row r="972" ht="14.25" customHeight="1">
      <c r="A972" s="59"/>
      <c r="B972" s="59"/>
      <c r="C972" s="59"/>
      <c r="D972" s="59"/>
      <c r="E972" s="59"/>
      <c r="F972" s="59"/>
      <c r="G972" s="59"/>
      <c r="H972" s="59"/>
      <c r="I972" s="59"/>
      <c r="J972" s="59"/>
      <c r="K972" s="59"/>
      <c r="L972" s="59"/>
      <c r="M972" s="59"/>
      <c r="N972" s="59"/>
      <c r="O972" s="100"/>
      <c r="P972" s="100"/>
      <c r="Q972" s="100"/>
      <c r="R972" s="100"/>
      <c r="S972" s="100"/>
      <c r="T972" s="100"/>
      <c r="U972" s="100"/>
      <c r="V972" s="100"/>
      <c r="W972" s="100"/>
      <c r="X972" s="100"/>
      <c r="Y972" s="100"/>
      <c r="Z972" s="100"/>
    </row>
    <row r="973" ht="14.25" customHeight="1">
      <c r="A973" s="59"/>
      <c r="B973" s="59"/>
      <c r="C973" s="59"/>
      <c r="D973" s="59"/>
      <c r="E973" s="59"/>
      <c r="F973" s="59"/>
      <c r="G973" s="59"/>
      <c r="H973" s="59"/>
      <c r="I973" s="59"/>
      <c r="J973" s="59"/>
      <c r="K973" s="59"/>
      <c r="L973" s="59"/>
      <c r="M973" s="59"/>
      <c r="N973" s="59"/>
      <c r="O973" s="100"/>
      <c r="P973" s="100"/>
      <c r="Q973" s="100"/>
      <c r="R973" s="100"/>
      <c r="S973" s="100"/>
      <c r="T973" s="100"/>
      <c r="U973" s="100"/>
      <c r="V973" s="100"/>
      <c r="W973" s="100"/>
      <c r="X973" s="100"/>
      <c r="Y973" s="100"/>
      <c r="Z973" s="100"/>
    </row>
    <row r="974" ht="14.25" customHeight="1">
      <c r="A974" s="59"/>
      <c r="B974" s="59"/>
      <c r="C974" s="59"/>
      <c r="D974" s="59"/>
      <c r="E974" s="59"/>
      <c r="F974" s="59"/>
      <c r="G974" s="59"/>
      <c r="H974" s="59"/>
      <c r="I974" s="59"/>
      <c r="J974" s="59"/>
      <c r="K974" s="59"/>
      <c r="L974" s="59"/>
      <c r="M974" s="59"/>
      <c r="N974" s="59"/>
      <c r="O974" s="100"/>
      <c r="P974" s="100"/>
      <c r="Q974" s="100"/>
      <c r="R974" s="100"/>
      <c r="S974" s="100"/>
      <c r="T974" s="100"/>
      <c r="U974" s="100"/>
      <c r="V974" s="100"/>
      <c r="W974" s="100"/>
      <c r="X974" s="100"/>
      <c r="Y974" s="100"/>
      <c r="Z974" s="100"/>
    </row>
    <row r="975" ht="14.25" customHeight="1">
      <c r="A975" s="59"/>
      <c r="B975" s="59"/>
      <c r="C975" s="59"/>
      <c r="D975" s="59"/>
      <c r="E975" s="59"/>
      <c r="F975" s="59"/>
      <c r="G975" s="59"/>
      <c r="H975" s="59"/>
      <c r="I975" s="59"/>
      <c r="J975" s="59"/>
      <c r="K975" s="59"/>
      <c r="L975" s="59"/>
      <c r="M975" s="59"/>
      <c r="N975" s="59"/>
      <c r="O975" s="100"/>
      <c r="P975" s="100"/>
      <c r="Q975" s="100"/>
      <c r="R975" s="100"/>
      <c r="S975" s="100"/>
      <c r="T975" s="100"/>
      <c r="U975" s="100"/>
      <c r="V975" s="100"/>
      <c r="W975" s="100"/>
      <c r="X975" s="100"/>
      <c r="Y975" s="100"/>
      <c r="Z975" s="100"/>
    </row>
    <row r="976" ht="14.25" customHeight="1">
      <c r="A976" s="59"/>
      <c r="B976" s="59"/>
      <c r="C976" s="59"/>
      <c r="D976" s="59"/>
      <c r="E976" s="59"/>
      <c r="F976" s="59"/>
      <c r="G976" s="59"/>
      <c r="H976" s="59"/>
      <c r="I976" s="59"/>
      <c r="J976" s="59"/>
      <c r="K976" s="59"/>
      <c r="L976" s="59"/>
      <c r="M976" s="59"/>
      <c r="N976" s="59"/>
      <c r="O976" s="100"/>
      <c r="P976" s="100"/>
      <c r="Q976" s="100"/>
      <c r="R976" s="100"/>
      <c r="S976" s="100"/>
      <c r="T976" s="100"/>
      <c r="U976" s="100"/>
      <c r="V976" s="100"/>
      <c r="W976" s="100"/>
      <c r="X976" s="100"/>
      <c r="Y976" s="100"/>
      <c r="Z976" s="100"/>
    </row>
    <row r="977" ht="14.25" customHeight="1">
      <c r="A977" s="59"/>
      <c r="B977" s="59"/>
      <c r="C977" s="59"/>
      <c r="D977" s="59"/>
      <c r="E977" s="59"/>
      <c r="F977" s="59"/>
      <c r="G977" s="59"/>
      <c r="H977" s="59"/>
      <c r="I977" s="59"/>
      <c r="J977" s="59"/>
      <c r="K977" s="59"/>
      <c r="L977" s="59"/>
      <c r="M977" s="59"/>
      <c r="N977" s="59"/>
      <c r="O977" s="100"/>
      <c r="P977" s="100"/>
      <c r="Q977" s="100"/>
      <c r="R977" s="100"/>
      <c r="S977" s="100"/>
      <c r="T977" s="100"/>
      <c r="U977" s="100"/>
      <c r="V977" s="100"/>
      <c r="W977" s="100"/>
      <c r="X977" s="100"/>
      <c r="Y977" s="100"/>
      <c r="Z977" s="100"/>
    </row>
    <row r="978" ht="14.25" customHeight="1">
      <c r="A978" s="59"/>
      <c r="B978" s="59"/>
      <c r="C978" s="59"/>
      <c r="D978" s="59"/>
      <c r="E978" s="59"/>
      <c r="F978" s="59"/>
      <c r="G978" s="59"/>
      <c r="H978" s="59"/>
      <c r="I978" s="59"/>
      <c r="J978" s="59"/>
      <c r="K978" s="59"/>
      <c r="L978" s="59"/>
      <c r="M978" s="59"/>
      <c r="N978" s="59"/>
      <c r="O978" s="100"/>
      <c r="P978" s="100"/>
      <c r="Q978" s="100"/>
      <c r="R978" s="100"/>
      <c r="S978" s="100"/>
      <c r="T978" s="100"/>
      <c r="U978" s="100"/>
      <c r="V978" s="100"/>
      <c r="W978" s="100"/>
      <c r="X978" s="100"/>
      <c r="Y978" s="100"/>
      <c r="Z978" s="100"/>
    </row>
    <row r="979" ht="14.25" customHeight="1">
      <c r="A979" s="59"/>
      <c r="B979" s="59"/>
      <c r="C979" s="59"/>
      <c r="D979" s="59"/>
      <c r="E979" s="59"/>
      <c r="F979" s="59"/>
      <c r="G979" s="59"/>
      <c r="H979" s="59"/>
      <c r="I979" s="59"/>
      <c r="J979" s="59"/>
      <c r="K979" s="59"/>
      <c r="L979" s="59"/>
      <c r="M979" s="59"/>
      <c r="N979" s="59"/>
      <c r="O979" s="100"/>
      <c r="P979" s="100"/>
      <c r="Q979" s="100"/>
      <c r="R979" s="100"/>
      <c r="S979" s="100"/>
      <c r="T979" s="100"/>
      <c r="U979" s="100"/>
      <c r="V979" s="100"/>
      <c r="W979" s="100"/>
      <c r="X979" s="100"/>
      <c r="Y979" s="100"/>
      <c r="Z979" s="100"/>
    </row>
    <row r="980" ht="14.25" customHeight="1">
      <c r="A980" s="59"/>
      <c r="B980" s="59"/>
      <c r="C980" s="59"/>
      <c r="D980" s="59"/>
      <c r="E980" s="59"/>
      <c r="F980" s="59"/>
      <c r="G980" s="59"/>
      <c r="H980" s="59"/>
      <c r="I980" s="59"/>
      <c r="J980" s="59"/>
      <c r="K980" s="59"/>
      <c r="L980" s="59"/>
      <c r="M980" s="59"/>
      <c r="N980" s="59"/>
      <c r="O980" s="100"/>
      <c r="P980" s="100"/>
      <c r="Q980" s="100"/>
      <c r="R980" s="100"/>
      <c r="S980" s="100"/>
      <c r="T980" s="100"/>
      <c r="U980" s="100"/>
      <c r="V980" s="100"/>
      <c r="W980" s="100"/>
      <c r="X980" s="100"/>
      <c r="Y980" s="100"/>
      <c r="Z980" s="100"/>
    </row>
    <row r="981" ht="14.25" customHeight="1">
      <c r="A981" s="59"/>
      <c r="B981" s="59"/>
      <c r="C981" s="59"/>
      <c r="D981" s="59"/>
      <c r="E981" s="59"/>
      <c r="F981" s="59"/>
      <c r="G981" s="59"/>
      <c r="H981" s="59"/>
      <c r="I981" s="59"/>
      <c r="J981" s="59"/>
      <c r="K981" s="59"/>
      <c r="L981" s="59"/>
      <c r="M981" s="59"/>
      <c r="N981" s="59"/>
      <c r="O981" s="100"/>
      <c r="P981" s="100"/>
      <c r="Q981" s="100"/>
      <c r="R981" s="100"/>
      <c r="S981" s="100"/>
      <c r="T981" s="100"/>
      <c r="U981" s="100"/>
      <c r="V981" s="100"/>
      <c r="W981" s="100"/>
      <c r="X981" s="100"/>
      <c r="Y981" s="100"/>
      <c r="Z981" s="100"/>
    </row>
    <row r="982" ht="14.25" customHeight="1">
      <c r="A982" s="59"/>
      <c r="B982" s="59"/>
      <c r="C982" s="59"/>
      <c r="D982" s="59"/>
      <c r="E982" s="59"/>
      <c r="F982" s="59"/>
      <c r="G982" s="59"/>
      <c r="H982" s="59"/>
      <c r="I982" s="59"/>
      <c r="J982" s="59"/>
      <c r="K982" s="59"/>
      <c r="L982" s="59"/>
      <c r="M982" s="59"/>
      <c r="N982" s="59"/>
      <c r="O982" s="100"/>
      <c r="P982" s="100"/>
      <c r="Q982" s="100"/>
      <c r="R982" s="100"/>
      <c r="S982" s="100"/>
      <c r="T982" s="100"/>
      <c r="U982" s="100"/>
      <c r="V982" s="100"/>
      <c r="W982" s="100"/>
      <c r="X982" s="100"/>
      <c r="Y982" s="100"/>
      <c r="Z982" s="100"/>
    </row>
    <row r="983" ht="14.25" customHeight="1">
      <c r="A983" s="59"/>
      <c r="B983" s="59"/>
      <c r="C983" s="59"/>
      <c r="D983" s="59"/>
      <c r="E983" s="59"/>
      <c r="F983" s="59"/>
      <c r="G983" s="59"/>
      <c r="H983" s="59"/>
      <c r="I983" s="59"/>
      <c r="J983" s="59"/>
      <c r="K983" s="59"/>
      <c r="L983" s="59"/>
      <c r="M983" s="59"/>
      <c r="N983" s="59"/>
      <c r="O983" s="100"/>
      <c r="P983" s="100"/>
      <c r="Q983" s="100"/>
      <c r="R983" s="100"/>
      <c r="S983" s="100"/>
      <c r="T983" s="100"/>
      <c r="U983" s="100"/>
      <c r="V983" s="100"/>
      <c r="W983" s="100"/>
      <c r="X983" s="100"/>
      <c r="Y983" s="100"/>
      <c r="Z983" s="100"/>
    </row>
    <row r="984" ht="14.25" customHeight="1">
      <c r="A984" s="59"/>
      <c r="B984" s="59"/>
      <c r="C984" s="59"/>
      <c r="D984" s="59"/>
      <c r="E984" s="59"/>
      <c r="F984" s="59"/>
      <c r="G984" s="59"/>
      <c r="H984" s="59"/>
      <c r="I984" s="59"/>
      <c r="J984" s="59"/>
      <c r="K984" s="59"/>
      <c r="L984" s="59"/>
      <c r="M984" s="59"/>
      <c r="N984" s="59"/>
      <c r="O984" s="100"/>
      <c r="P984" s="100"/>
      <c r="Q984" s="100"/>
      <c r="R984" s="100"/>
      <c r="S984" s="100"/>
      <c r="T984" s="100"/>
      <c r="U984" s="100"/>
      <c r="V984" s="100"/>
      <c r="W984" s="100"/>
      <c r="X984" s="100"/>
      <c r="Y984" s="100"/>
      <c r="Z984" s="100"/>
    </row>
    <row r="985" ht="14.25" customHeight="1">
      <c r="A985" s="59"/>
      <c r="B985" s="59"/>
      <c r="C985" s="59"/>
      <c r="D985" s="59"/>
      <c r="E985" s="59"/>
      <c r="F985" s="59"/>
      <c r="G985" s="59"/>
      <c r="H985" s="59"/>
      <c r="I985" s="59"/>
      <c r="J985" s="59"/>
      <c r="K985" s="59"/>
      <c r="L985" s="59"/>
      <c r="M985" s="59"/>
      <c r="N985" s="59"/>
      <c r="O985" s="100"/>
      <c r="P985" s="100"/>
      <c r="Q985" s="100"/>
      <c r="R985" s="100"/>
      <c r="S985" s="100"/>
      <c r="T985" s="100"/>
      <c r="U985" s="100"/>
      <c r="V985" s="100"/>
      <c r="W985" s="100"/>
      <c r="X985" s="100"/>
      <c r="Y985" s="100"/>
      <c r="Z985" s="100"/>
    </row>
    <row r="986" ht="14.25" customHeight="1">
      <c r="A986" s="59"/>
      <c r="B986" s="59"/>
      <c r="C986" s="59"/>
      <c r="D986" s="59"/>
      <c r="E986" s="59"/>
      <c r="F986" s="59"/>
      <c r="G986" s="59"/>
      <c r="H986" s="59"/>
      <c r="I986" s="59"/>
      <c r="J986" s="59"/>
      <c r="K986" s="59"/>
      <c r="L986" s="59"/>
      <c r="M986" s="59"/>
      <c r="N986" s="59"/>
      <c r="O986" s="100"/>
      <c r="P986" s="100"/>
      <c r="Q986" s="100"/>
      <c r="R986" s="100"/>
      <c r="S986" s="100"/>
      <c r="T986" s="100"/>
      <c r="U986" s="100"/>
      <c r="V986" s="100"/>
      <c r="W986" s="100"/>
      <c r="X986" s="100"/>
      <c r="Y986" s="100"/>
      <c r="Z986" s="100"/>
    </row>
    <row r="987" ht="14.25" customHeight="1">
      <c r="A987" s="59"/>
      <c r="B987" s="59"/>
      <c r="C987" s="59"/>
      <c r="D987" s="59"/>
      <c r="E987" s="59"/>
      <c r="F987" s="59"/>
      <c r="G987" s="59"/>
      <c r="H987" s="59"/>
      <c r="I987" s="59"/>
      <c r="J987" s="59"/>
      <c r="K987" s="59"/>
      <c r="L987" s="59"/>
      <c r="M987" s="59"/>
      <c r="N987" s="59"/>
      <c r="O987" s="100"/>
      <c r="P987" s="100"/>
      <c r="Q987" s="100"/>
      <c r="R987" s="100"/>
      <c r="S987" s="100"/>
      <c r="T987" s="100"/>
      <c r="U987" s="100"/>
      <c r="V987" s="100"/>
      <c r="W987" s="100"/>
      <c r="X987" s="100"/>
      <c r="Y987" s="100"/>
      <c r="Z987" s="100"/>
    </row>
    <row r="988" ht="14.25" customHeight="1">
      <c r="A988" s="59"/>
      <c r="B988" s="59"/>
      <c r="C988" s="59"/>
      <c r="D988" s="59"/>
      <c r="E988" s="59"/>
      <c r="F988" s="59"/>
      <c r="G988" s="59"/>
      <c r="H988" s="59"/>
      <c r="I988" s="59"/>
      <c r="J988" s="59"/>
      <c r="K988" s="59"/>
      <c r="L988" s="59"/>
      <c r="M988" s="59"/>
      <c r="N988" s="59"/>
      <c r="O988" s="100"/>
      <c r="P988" s="100"/>
      <c r="Q988" s="100"/>
      <c r="R988" s="100"/>
      <c r="S988" s="100"/>
      <c r="T988" s="100"/>
      <c r="U988" s="100"/>
      <c r="V988" s="100"/>
      <c r="W988" s="100"/>
      <c r="X988" s="100"/>
      <c r="Y988" s="100"/>
      <c r="Z988" s="100"/>
    </row>
    <row r="989" ht="14.25" customHeight="1">
      <c r="A989" s="59"/>
      <c r="B989" s="59"/>
      <c r="C989" s="59"/>
      <c r="D989" s="59"/>
      <c r="E989" s="59"/>
      <c r="F989" s="59"/>
      <c r="G989" s="59"/>
      <c r="H989" s="59"/>
      <c r="I989" s="59"/>
      <c r="J989" s="59"/>
      <c r="K989" s="59"/>
      <c r="L989" s="59"/>
      <c r="M989" s="59"/>
      <c r="N989" s="59"/>
      <c r="O989" s="100"/>
      <c r="P989" s="100"/>
      <c r="Q989" s="100"/>
      <c r="R989" s="100"/>
      <c r="S989" s="100"/>
      <c r="T989" s="100"/>
      <c r="U989" s="100"/>
      <c r="V989" s="100"/>
      <c r="W989" s="100"/>
      <c r="X989" s="100"/>
      <c r="Y989" s="100"/>
      <c r="Z989" s="100"/>
    </row>
    <row r="990" ht="14.25" customHeight="1">
      <c r="A990" s="59"/>
      <c r="B990" s="59"/>
      <c r="C990" s="59"/>
      <c r="D990" s="59"/>
      <c r="E990" s="59"/>
      <c r="F990" s="59"/>
      <c r="G990" s="59"/>
      <c r="H990" s="59"/>
      <c r="I990" s="59"/>
      <c r="J990" s="59"/>
      <c r="K990" s="59"/>
      <c r="L990" s="59"/>
      <c r="M990" s="59"/>
      <c r="N990" s="59"/>
      <c r="O990" s="100"/>
      <c r="P990" s="100"/>
      <c r="Q990" s="100"/>
      <c r="R990" s="100"/>
      <c r="S990" s="100"/>
      <c r="T990" s="100"/>
      <c r="U990" s="100"/>
      <c r="V990" s="100"/>
      <c r="W990" s="100"/>
      <c r="X990" s="100"/>
      <c r="Y990" s="100"/>
      <c r="Z990" s="100"/>
    </row>
    <row r="991" ht="14.25" customHeight="1">
      <c r="A991" s="59"/>
      <c r="B991" s="59"/>
      <c r="C991" s="59"/>
      <c r="D991" s="59"/>
      <c r="E991" s="59"/>
      <c r="F991" s="59"/>
      <c r="G991" s="59"/>
      <c r="H991" s="59"/>
      <c r="I991" s="59"/>
      <c r="J991" s="59"/>
      <c r="K991" s="59"/>
      <c r="L991" s="59"/>
      <c r="M991" s="59"/>
      <c r="N991" s="59"/>
      <c r="O991" s="100"/>
      <c r="P991" s="100"/>
      <c r="Q991" s="100"/>
      <c r="R991" s="100"/>
      <c r="S991" s="100"/>
      <c r="T991" s="100"/>
      <c r="U991" s="100"/>
      <c r="V991" s="100"/>
      <c r="W991" s="100"/>
      <c r="X991" s="100"/>
      <c r="Y991" s="100"/>
      <c r="Z991" s="100"/>
    </row>
    <row r="992" ht="14.25" customHeight="1">
      <c r="A992" s="59"/>
      <c r="B992" s="59"/>
      <c r="C992" s="59"/>
      <c r="D992" s="59"/>
      <c r="E992" s="59"/>
      <c r="F992" s="59"/>
      <c r="G992" s="59"/>
      <c r="H992" s="59"/>
      <c r="I992" s="59"/>
      <c r="J992" s="59"/>
      <c r="K992" s="59"/>
      <c r="L992" s="59"/>
      <c r="M992" s="59"/>
      <c r="N992" s="59"/>
      <c r="O992" s="100"/>
      <c r="P992" s="100"/>
      <c r="Q992" s="100"/>
      <c r="R992" s="100"/>
      <c r="S992" s="100"/>
      <c r="T992" s="100"/>
      <c r="U992" s="100"/>
      <c r="V992" s="100"/>
      <c r="W992" s="100"/>
      <c r="X992" s="100"/>
      <c r="Y992" s="100"/>
      <c r="Z992" s="100"/>
    </row>
    <row r="993" ht="14.25" customHeight="1">
      <c r="A993" s="59"/>
      <c r="B993" s="59"/>
      <c r="C993" s="59"/>
      <c r="D993" s="59"/>
      <c r="E993" s="59"/>
      <c r="F993" s="59"/>
      <c r="G993" s="59"/>
      <c r="H993" s="59"/>
      <c r="I993" s="59"/>
      <c r="J993" s="59"/>
      <c r="K993" s="59"/>
      <c r="L993" s="59"/>
      <c r="M993" s="59"/>
      <c r="N993" s="59"/>
      <c r="O993" s="100"/>
      <c r="P993" s="100"/>
      <c r="Q993" s="100"/>
      <c r="R993" s="100"/>
      <c r="S993" s="100"/>
      <c r="T993" s="100"/>
      <c r="U993" s="100"/>
      <c r="V993" s="100"/>
      <c r="W993" s="100"/>
      <c r="X993" s="100"/>
      <c r="Y993" s="100"/>
      <c r="Z993" s="100"/>
    </row>
    <row r="994" ht="14.25" customHeight="1">
      <c r="A994" s="59"/>
      <c r="B994" s="59"/>
      <c r="C994" s="59"/>
      <c r="D994" s="59"/>
      <c r="E994" s="59"/>
      <c r="F994" s="59"/>
      <c r="G994" s="59"/>
      <c r="H994" s="59"/>
      <c r="I994" s="59"/>
      <c r="J994" s="59"/>
      <c r="K994" s="59"/>
      <c r="L994" s="59"/>
      <c r="M994" s="59"/>
      <c r="N994" s="59"/>
      <c r="O994" s="100"/>
      <c r="P994" s="100"/>
      <c r="Q994" s="100"/>
      <c r="R994" s="100"/>
      <c r="S994" s="100"/>
      <c r="T994" s="100"/>
      <c r="U994" s="100"/>
      <c r="V994" s="100"/>
      <c r="W994" s="100"/>
      <c r="X994" s="100"/>
      <c r="Y994" s="100"/>
      <c r="Z994" s="100"/>
    </row>
    <row r="995" ht="14.25" customHeight="1">
      <c r="A995" s="59"/>
      <c r="B995" s="59"/>
      <c r="C995" s="59"/>
      <c r="D995" s="59"/>
      <c r="E995" s="59"/>
      <c r="F995" s="59"/>
      <c r="G995" s="59"/>
      <c r="H995" s="59"/>
      <c r="I995" s="59"/>
      <c r="J995" s="59"/>
      <c r="K995" s="59"/>
      <c r="L995" s="59"/>
      <c r="M995" s="59"/>
      <c r="N995" s="59"/>
      <c r="O995" s="100"/>
      <c r="P995" s="100"/>
      <c r="Q995" s="100"/>
      <c r="R995" s="100"/>
      <c r="S995" s="100"/>
      <c r="T995" s="100"/>
      <c r="U995" s="100"/>
      <c r="V995" s="100"/>
      <c r="W995" s="100"/>
      <c r="X995" s="100"/>
      <c r="Y995" s="100"/>
      <c r="Z995" s="100"/>
    </row>
    <row r="996" ht="14.25" customHeight="1">
      <c r="A996" s="59"/>
      <c r="B996" s="59"/>
      <c r="C996" s="59"/>
      <c r="D996" s="59"/>
      <c r="E996" s="59"/>
      <c r="F996" s="59"/>
      <c r="G996" s="59"/>
      <c r="H996" s="59"/>
      <c r="I996" s="59"/>
      <c r="J996" s="59"/>
      <c r="K996" s="59"/>
      <c r="L996" s="59"/>
      <c r="M996" s="59"/>
      <c r="N996" s="59"/>
      <c r="O996" s="100"/>
      <c r="P996" s="100"/>
      <c r="Q996" s="100"/>
      <c r="R996" s="100"/>
      <c r="S996" s="100"/>
      <c r="T996" s="100"/>
      <c r="U996" s="100"/>
      <c r="V996" s="100"/>
      <c r="W996" s="100"/>
      <c r="X996" s="100"/>
      <c r="Y996" s="100"/>
      <c r="Z996" s="100"/>
    </row>
    <row r="997" ht="14.25" customHeight="1">
      <c r="A997" s="59"/>
      <c r="B997" s="59"/>
      <c r="C997" s="59"/>
      <c r="D997" s="59"/>
      <c r="E997" s="59"/>
      <c r="F997" s="59"/>
      <c r="G997" s="59"/>
      <c r="H997" s="59"/>
      <c r="I997" s="59"/>
      <c r="J997" s="59"/>
      <c r="K997" s="59"/>
      <c r="L997" s="59"/>
      <c r="M997" s="59"/>
      <c r="N997" s="59"/>
      <c r="O997" s="100"/>
      <c r="P997" s="100"/>
      <c r="Q997" s="100"/>
      <c r="R997" s="100"/>
      <c r="S997" s="100"/>
      <c r="T997" s="100"/>
      <c r="U997" s="100"/>
      <c r="V997" s="100"/>
      <c r="W997" s="100"/>
      <c r="X997" s="100"/>
      <c r="Y997" s="100"/>
      <c r="Z997" s="100"/>
    </row>
    <row r="998" ht="14.25" customHeight="1">
      <c r="A998" s="59"/>
      <c r="B998" s="59"/>
      <c r="C998" s="59"/>
      <c r="D998" s="59"/>
      <c r="E998" s="59"/>
      <c r="F998" s="59"/>
      <c r="G998" s="59"/>
      <c r="H998" s="59"/>
      <c r="I998" s="59"/>
      <c r="J998" s="59"/>
      <c r="K998" s="59"/>
      <c r="L998" s="59"/>
      <c r="M998" s="59"/>
      <c r="N998" s="59"/>
      <c r="O998" s="100"/>
      <c r="P998" s="100"/>
      <c r="Q998" s="100"/>
      <c r="R998" s="100"/>
      <c r="S998" s="100"/>
      <c r="T998" s="100"/>
      <c r="U998" s="100"/>
      <c r="V998" s="100"/>
      <c r="W998" s="100"/>
      <c r="X998" s="100"/>
      <c r="Y998" s="100"/>
      <c r="Z998" s="100"/>
    </row>
    <row r="999" ht="14.25" customHeight="1">
      <c r="A999" s="59"/>
      <c r="B999" s="59"/>
      <c r="C999" s="59"/>
      <c r="D999" s="59"/>
      <c r="E999" s="59"/>
      <c r="F999" s="59"/>
      <c r="G999" s="59"/>
      <c r="H999" s="59"/>
      <c r="I999" s="59"/>
      <c r="J999" s="59"/>
      <c r="K999" s="59"/>
      <c r="L999" s="59"/>
      <c r="M999" s="59"/>
      <c r="N999" s="59"/>
      <c r="O999" s="100"/>
      <c r="P999" s="100"/>
      <c r="Q999" s="100"/>
      <c r="R999" s="100"/>
      <c r="S999" s="100"/>
      <c r="T999" s="100"/>
      <c r="U999" s="100"/>
      <c r="V999" s="100"/>
      <c r="W999" s="100"/>
      <c r="X999" s="100"/>
      <c r="Y999" s="100"/>
      <c r="Z999" s="100"/>
    </row>
    <row r="1000" ht="14.25" customHeight="1">
      <c r="A1000" s="59"/>
      <c r="B1000" s="59"/>
      <c r="C1000" s="59"/>
      <c r="D1000" s="59"/>
      <c r="E1000" s="59"/>
      <c r="F1000" s="59"/>
      <c r="G1000" s="59"/>
      <c r="H1000" s="59"/>
      <c r="I1000" s="59"/>
      <c r="J1000" s="59"/>
      <c r="K1000" s="59"/>
      <c r="L1000" s="59"/>
      <c r="M1000" s="59"/>
      <c r="N1000" s="59"/>
      <c r="O1000" s="100"/>
      <c r="P1000" s="100"/>
      <c r="Q1000" s="100"/>
      <c r="R1000" s="100"/>
      <c r="S1000" s="100"/>
      <c r="T1000" s="100"/>
      <c r="U1000" s="100"/>
      <c r="V1000" s="100"/>
      <c r="W1000" s="100"/>
      <c r="X1000" s="100"/>
      <c r="Y1000" s="100"/>
      <c r="Z1000" s="100"/>
    </row>
  </sheetData>
  <mergeCells count="2">
    <mergeCell ref="B8:E8"/>
    <mergeCell ref="B10:D10"/>
  </mergeCells>
  <conditionalFormatting sqref="G11:G16">
    <cfRule type="containsText" dxfId="0" priority="1" operator="containsText" text="Not noticed">
      <formula>NOT(ISERROR(SEARCH(("Not noticed"),(G11))))</formula>
    </cfRule>
  </conditionalFormatting>
  <conditionalFormatting sqref="G18">
    <cfRule type="containsText" dxfId="0" priority="2" operator="containsText" text="Not noticed">
      <formula>NOT(ISERROR(SEARCH(("Not noticed"),(G18))))</formula>
    </cfRule>
  </conditionalFormatting>
  <conditionalFormatting sqref="G20:G22">
    <cfRule type="containsText" dxfId="0" priority="3" operator="containsText" text="Not noticed">
      <formula>NOT(ISERROR(SEARCH(("Not noticed"),(G20))))</formula>
    </cfRule>
  </conditionalFormatting>
  <conditionalFormatting sqref="G24:G25">
    <cfRule type="containsText" dxfId="0" priority="4" operator="containsText" text="Not noticed">
      <formula>NOT(ISERROR(SEARCH(("Not noticed"),(G24))))</formula>
    </cfRule>
  </conditionalFormatting>
  <conditionalFormatting sqref="G31:G32">
    <cfRule type="containsText" dxfId="0" priority="5" operator="containsText" text="Not noticed">
      <formula>NOT(ISERROR(SEARCH(("Not noticed"),(G31))))</formula>
    </cfRule>
  </conditionalFormatting>
  <conditionalFormatting sqref="G39:G41">
    <cfRule type="containsText" dxfId="0" priority="6" operator="containsText" text="Not noticed">
      <formula>NOT(ISERROR(SEARCH(("Not noticed"),(G39))))</formula>
    </cfRule>
  </conditionalFormatting>
  <conditionalFormatting sqref="G45">
    <cfRule type="containsText" dxfId="0" priority="7" operator="containsText" text="Not noticed">
      <formula>NOT(ISERROR(SEARCH(("Not noticed"),(G45))))</formula>
    </cfRule>
  </conditionalFormatting>
  <conditionalFormatting sqref="G44">
    <cfRule type="containsText" dxfId="0" priority="8" operator="containsText" text="Negligible">
      <formula>NOT(ISERROR(SEARCH(("Negligible"),(G44))))</formula>
    </cfRule>
  </conditionalFormatting>
  <conditionalFormatting sqref="G44">
    <cfRule type="containsText" dxfId="0" priority="9" operator="containsText" text="Negligeable">
      <formula>NOT(ISERROR(SEARCH(("Negligeable"),(G44))))</formula>
    </cfRule>
  </conditionalFormatting>
  <conditionalFormatting sqref="G33:G38">
    <cfRule type="containsText" dxfId="0" priority="10" operator="containsText" text="Negligible">
      <formula>NOT(ISERROR(SEARCH(("Negligible"),(G33))))</formula>
    </cfRule>
  </conditionalFormatting>
  <conditionalFormatting sqref="G33:G38">
    <cfRule type="containsText" dxfId="0" priority="11" operator="containsText" text="Negligeable">
      <formula>NOT(ISERROR(SEARCH(("Negligeable"),(G33))))</formula>
    </cfRule>
  </conditionalFormatting>
  <conditionalFormatting sqref="G42">
    <cfRule type="containsText" dxfId="0" priority="12" operator="containsText" text="Yes">
      <formula>NOT(ISERROR(SEARCH(("Yes"),(G42))))</formula>
    </cfRule>
  </conditionalFormatting>
  <conditionalFormatting sqref="G46">
    <cfRule type="containsText" dxfId="0" priority="13" operator="containsText" text="Yes">
      <formula>NOT(ISERROR(SEARCH(("Yes"),(G46))))</formula>
    </cfRule>
  </conditionalFormatting>
  <conditionalFormatting sqref="G49:G53">
    <cfRule type="containsText" dxfId="0" priority="14" operator="containsText" text="Yes">
      <formula>NOT(ISERROR(SEARCH(("Yes"),(G49))))</formula>
    </cfRule>
  </conditionalFormatting>
  <conditionalFormatting sqref="G48">
    <cfRule type="containsText" dxfId="0" priority="15" operator="containsText" text="Loam">
      <formula>NOT(ISERROR(SEARCH(("Loam"),(G48))))</formula>
    </cfRule>
  </conditionalFormatting>
  <conditionalFormatting sqref="G54">
    <cfRule type="containsText" dxfId="0" priority="16" operator="containsText" text="Unknown">
      <formula>NOT(ISERROR(SEARCH(("Unknown"),(G54))))</formula>
    </cfRule>
  </conditionalFormatting>
  <conditionalFormatting sqref="G26:G27">
    <cfRule type="containsText" dxfId="0" priority="17" operator="containsText" text="Negligible">
      <formula>NOT(ISERROR(SEARCH(("Negligible"),(G26))))</formula>
    </cfRule>
  </conditionalFormatting>
  <conditionalFormatting sqref="G26:G27">
    <cfRule type="containsText" dxfId="0" priority="18" operator="containsText" text="Negligeable">
      <formula>NOT(ISERROR(SEARCH(("Negligeable"),(G26))))</formula>
    </cfRule>
  </conditionalFormatting>
  <conditionalFormatting sqref="G28:G29">
    <cfRule type="containsText" dxfId="0" priority="19" operator="containsText" text="Yes">
      <formula>NOT(ISERROR(SEARCH(("Yes"),(G28))))</formula>
    </cfRule>
  </conditionalFormatting>
  <conditionalFormatting sqref="G59:G67">
    <cfRule type="containsText" dxfId="0" priority="20" operator="containsText" text="No">
      <formula>NOT(ISERROR(SEARCH(("No"),(G59))))</formula>
    </cfRule>
  </conditionalFormatting>
  <conditionalFormatting sqref="G55:G57">
    <cfRule type="containsText" dxfId="0" priority="21" operator="containsText" text="No">
      <formula>NOT(ISERROR(SEARCH(("No"),(G55))))</formula>
    </cfRule>
  </conditionalFormatting>
  <conditionalFormatting sqref="G19">
    <cfRule type="containsText" dxfId="0" priority="22" operator="containsText" text="No change noticed">
      <formula>NOT(ISERROR(SEARCH(("No change noticed"),(G19))))</formula>
    </cfRule>
  </conditionalFormatting>
  <conditionalFormatting sqref="G17">
    <cfRule type="containsText" dxfId="0" priority="23" operator="containsText" text="Equally affected">
      <formula>NOT(ISERROR(SEARCH(("Equally affected"),(G17))))</formula>
    </cfRule>
  </conditionalFormatting>
  <dataValidations>
    <dataValidation type="list" allowBlank="1" showErrorMessage="1" sqref="G55:G57 G60">
      <formula1>$J$68:$J$70</formula1>
    </dataValidation>
    <dataValidation type="list" allowBlank="1" showErrorMessage="1" sqref="G17">
      <formula1>$J$17:$J$19</formula1>
    </dataValidation>
    <dataValidation type="list" allowBlank="1" showErrorMessage="1" sqref="G26:G27 G33:G38 G44">
      <formula1>$J$33:$J$35</formula1>
    </dataValidation>
    <dataValidation type="list" allowBlank="1" showErrorMessage="1" sqref="G28:G29 G42 G46 G49:G53 G59 G61:G67">
      <formula1>$J$38:$J$40</formula1>
    </dataValidation>
    <dataValidation type="list" allowBlank="1" showErrorMessage="1" sqref="G54">
      <formula1>$J$63:$J$65</formula1>
    </dataValidation>
    <dataValidation type="list" allowBlank="1" showErrorMessage="1" sqref="G19">
      <formula1>$J$22:$J$24</formula1>
    </dataValidation>
    <dataValidation type="list" allowBlank="1" showErrorMessage="1" sqref="G21">
      <formula1>$J$27:$J$29</formula1>
    </dataValidation>
    <dataValidation type="list" allowBlank="1" showErrorMessage="1" sqref="G48">
      <formula1>$J$43:$J$45</formula1>
    </dataValidation>
    <dataValidation type="list" allowBlank="1" showErrorMessage="1" sqref="G11:G16 G18 G20 G22 G24:G25 G31:G32 G39:G41 G45">
      <formula1>$J$11:$J$13</formula1>
    </dataValidation>
  </dataValidations>
  <printOptions/>
  <pageMargins bottom="0.75" footer="0.0" header="0.0" left="0.7" right="0.7" top="0.75"/>
  <pageSetup paperSize="9" orientation="portrait"/>
  <headerFooter>
    <oddFooter>&amp;R#000000C2 - Safaricom Internal</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5.57"/>
    <col customWidth="1" min="2" max="2" width="2.14"/>
    <col customWidth="1" min="3" max="3" width="21.57"/>
    <col customWidth="1" min="4" max="4" width="22.43"/>
    <col customWidth="1" min="5" max="5" width="98.14"/>
    <col customWidth="1" min="6" max="6" width="73.14"/>
    <col customWidth="1" min="7" max="7" width="35.86"/>
    <col customWidth="1" min="8" max="8" width="26.57"/>
    <col customWidth="1" hidden="1" min="9" max="9" width="11.43"/>
    <col customWidth="1" hidden="1" min="10" max="10" width="27.57"/>
    <col customWidth="1" hidden="1" min="11" max="11" width="20.43"/>
    <col customWidth="1" hidden="1" min="12" max="12" width="12.43"/>
    <col customWidth="1" hidden="1" min="13" max="13" width="8.43"/>
    <col customWidth="1" hidden="1" min="14" max="14" width="9.14"/>
    <col customWidth="1" hidden="1" min="15" max="15" width="10.43"/>
    <col customWidth="1" hidden="1" min="16" max="31" width="9.14"/>
  </cols>
  <sheetData>
    <row r="1" ht="14.25" customHeight="1">
      <c r="A1" s="56"/>
      <c r="B1" s="1"/>
      <c r="C1" s="1"/>
      <c r="D1" s="1"/>
      <c r="E1" s="1"/>
      <c r="F1" s="1"/>
      <c r="G1" s="1"/>
      <c r="H1" s="98"/>
      <c r="I1" s="119"/>
      <c r="J1" s="119"/>
      <c r="K1" s="1"/>
      <c r="L1" s="1"/>
      <c r="M1" s="1"/>
      <c r="N1" s="36"/>
      <c r="O1" s="36"/>
      <c r="P1" s="36"/>
      <c r="Q1" s="36"/>
      <c r="R1" s="36"/>
      <c r="S1" s="36"/>
      <c r="T1" s="36"/>
      <c r="U1" s="36"/>
      <c r="V1" s="36"/>
      <c r="W1" s="36"/>
      <c r="X1" s="36"/>
      <c r="Y1" s="36"/>
      <c r="Z1" s="36"/>
      <c r="AA1" s="36"/>
      <c r="AB1" s="36"/>
      <c r="AC1" s="36"/>
      <c r="AD1" s="36"/>
      <c r="AE1" s="36"/>
    </row>
    <row r="2" ht="14.25" customHeight="1">
      <c r="A2" s="56"/>
      <c r="B2" s="1"/>
      <c r="C2" s="1"/>
      <c r="D2" s="1"/>
      <c r="E2" s="1"/>
      <c r="F2" s="1"/>
      <c r="G2" s="1"/>
      <c r="H2" s="98"/>
      <c r="I2" s="119"/>
      <c r="J2" s="119"/>
      <c r="K2" s="1"/>
      <c r="L2" s="1"/>
      <c r="M2" s="1"/>
      <c r="N2" s="36"/>
      <c r="O2" s="36"/>
      <c r="P2" s="36"/>
      <c r="Q2" s="36"/>
      <c r="R2" s="36"/>
      <c r="S2" s="36"/>
      <c r="T2" s="36"/>
      <c r="U2" s="36"/>
      <c r="V2" s="36"/>
      <c r="W2" s="36"/>
      <c r="X2" s="36"/>
      <c r="Y2" s="36"/>
      <c r="Z2" s="36"/>
      <c r="AA2" s="36"/>
      <c r="AB2" s="36"/>
      <c r="AC2" s="36"/>
      <c r="AD2" s="36"/>
      <c r="AE2" s="36"/>
    </row>
    <row r="3" ht="14.25" customHeight="1">
      <c r="A3" s="56"/>
      <c r="B3" s="1"/>
      <c r="C3" s="1"/>
      <c r="D3" s="1"/>
      <c r="E3" s="1"/>
      <c r="F3" s="1"/>
      <c r="G3" s="1"/>
      <c r="H3" s="98"/>
      <c r="I3" s="119"/>
      <c r="J3" s="119"/>
      <c r="K3" s="1"/>
      <c r="L3" s="1"/>
      <c r="M3" s="1"/>
      <c r="N3" s="36"/>
      <c r="O3" s="36"/>
      <c r="P3" s="36"/>
      <c r="Q3" s="36"/>
      <c r="R3" s="36"/>
      <c r="S3" s="36"/>
      <c r="T3" s="36"/>
      <c r="U3" s="36"/>
      <c r="V3" s="36"/>
      <c r="W3" s="36"/>
      <c r="X3" s="36"/>
      <c r="Y3" s="36"/>
      <c r="Z3" s="36"/>
      <c r="AA3" s="36"/>
      <c r="AB3" s="36"/>
      <c r="AC3" s="36"/>
      <c r="AD3" s="36"/>
      <c r="AE3" s="36"/>
    </row>
    <row r="4" ht="14.25" customHeight="1">
      <c r="A4" s="56"/>
      <c r="B4" s="1"/>
      <c r="C4" s="1"/>
      <c r="D4" s="1"/>
      <c r="E4" s="1"/>
      <c r="F4" s="1"/>
      <c r="G4" s="1"/>
      <c r="H4" s="98"/>
      <c r="I4" s="119"/>
      <c r="J4" s="119"/>
      <c r="K4" s="1"/>
      <c r="L4" s="1"/>
      <c r="M4" s="1"/>
      <c r="N4" s="36"/>
      <c r="O4" s="36"/>
      <c r="P4" s="36"/>
      <c r="Q4" s="36"/>
      <c r="R4" s="36"/>
      <c r="S4" s="36"/>
      <c r="T4" s="36"/>
      <c r="U4" s="36"/>
      <c r="V4" s="36"/>
      <c r="W4" s="36"/>
      <c r="X4" s="36"/>
      <c r="Y4" s="36"/>
      <c r="Z4" s="36"/>
      <c r="AA4" s="36"/>
      <c r="AB4" s="36"/>
      <c r="AC4" s="36"/>
      <c r="AD4" s="36"/>
      <c r="AE4" s="36"/>
    </row>
    <row r="5" ht="14.25" customHeight="1">
      <c r="A5" s="56"/>
      <c r="B5" s="1"/>
      <c r="C5" s="1"/>
      <c r="D5" s="1"/>
      <c r="E5" s="1"/>
      <c r="F5" s="1"/>
      <c r="G5" s="1"/>
      <c r="H5" s="98"/>
      <c r="I5" s="119"/>
      <c r="J5" s="119"/>
      <c r="K5" s="1"/>
      <c r="L5" s="1"/>
      <c r="M5" s="1"/>
      <c r="N5" s="36"/>
      <c r="O5" s="36"/>
      <c r="P5" s="36"/>
      <c r="Q5" s="36"/>
      <c r="R5" s="36"/>
      <c r="S5" s="36"/>
      <c r="T5" s="36"/>
      <c r="U5" s="36"/>
      <c r="V5" s="36"/>
      <c r="W5" s="36"/>
      <c r="X5" s="36"/>
      <c r="Y5" s="36"/>
      <c r="Z5" s="36"/>
      <c r="AA5" s="36"/>
      <c r="AB5" s="36"/>
      <c r="AC5" s="36"/>
      <c r="AD5" s="36"/>
      <c r="AE5" s="36"/>
    </row>
    <row r="6" ht="14.25" customHeight="1">
      <c r="A6" s="59"/>
      <c r="B6" s="60"/>
      <c r="C6" s="60"/>
      <c r="D6" s="60"/>
      <c r="E6" s="60"/>
      <c r="F6" s="60"/>
      <c r="G6" s="60"/>
      <c r="H6" s="99"/>
      <c r="I6" s="120"/>
      <c r="J6" s="120"/>
      <c r="K6" s="60"/>
      <c r="L6" s="60"/>
      <c r="M6" s="60"/>
      <c r="N6" s="97"/>
      <c r="O6" s="97"/>
      <c r="P6" s="121"/>
      <c r="Q6" s="121"/>
      <c r="R6" s="121"/>
      <c r="S6" s="121"/>
      <c r="T6" s="121"/>
      <c r="U6" s="121"/>
      <c r="V6" s="121"/>
      <c r="W6" s="121"/>
      <c r="X6" s="121"/>
      <c r="Y6" s="121"/>
      <c r="Z6" s="121"/>
      <c r="AA6" s="121"/>
      <c r="AB6" s="97"/>
      <c r="AC6" s="97"/>
      <c r="AD6" s="97"/>
      <c r="AE6" s="97"/>
    </row>
    <row r="7" ht="33.75" customHeight="1">
      <c r="A7" s="59"/>
      <c r="B7" s="60"/>
      <c r="C7" s="60"/>
      <c r="D7" s="60"/>
      <c r="E7" s="60"/>
      <c r="F7" s="64" t="s">
        <v>27</v>
      </c>
      <c r="G7" s="60"/>
      <c r="H7" s="99"/>
      <c r="I7" s="120"/>
      <c r="J7" s="120"/>
      <c r="K7" s="122"/>
      <c r="L7" s="60"/>
      <c r="M7" s="60"/>
      <c r="N7" s="97"/>
      <c r="O7" s="97"/>
      <c r="P7" s="121"/>
      <c r="Q7" s="121"/>
      <c r="R7" s="121"/>
      <c r="S7" s="121"/>
      <c r="T7" s="121"/>
      <c r="U7" s="121"/>
      <c r="V7" s="121"/>
      <c r="W7" s="121"/>
      <c r="X7" s="121"/>
      <c r="Y7" s="121"/>
      <c r="Z7" s="121"/>
      <c r="AA7" s="121"/>
      <c r="AB7" s="97"/>
      <c r="AC7" s="97"/>
      <c r="AD7" s="97"/>
      <c r="AE7" s="97"/>
    </row>
    <row r="8" ht="36.0" customHeight="1">
      <c r="A8" s="59"/>
      <c r="B8" s="65" t="s">
        <v>365</v>
      </c>
      <c r="C8" s="3"/>
      <c r="D8" s="3"/>
      <c r="E8" s="4"/>
      <c r="F8" s="66"/>
      <c r="G8" s="66"/>
      <c r="H8" s="60"/>
      <c r="I8" s="123"/>
      <c r="J8" s="124" t="s">
        <v>172</v>
      </c>
      <c r="K8" s="97"/>
      <c r="L8" s="97"/>
      <c r="M8" s="97"/>
      <c r="N8" s="97"/>
      <c r="O8" s="121"/>
      <c r="P8" s="121"/>
      <c r="Q8" s="121"/>
      <c r="R8" s="121"/>
      <c r="S8" s="121"/>
      <c r="T8" s="121"/>
      <c r="U8" s="121"/>
      <c r="V8" s="121"/>
      <c r="W8" s="121"/>
      <c r="X8" s="121"/>
      <c r="Y8" s="121"/>
      <c r="Z8" s="121"/>
      <c r="AA8" s="97"/>
      <c r="AB8" s="97"/>
      <c r="AC8" s="97"/>
      <c r="AD8" s="97"/>
      <c r="AE8" s="97"/>
    </row>
    <row r="9" ht="15.75" customHeight="1">
      <c r="A9" s="59"/>
      <c r="B9" s="60"/>
      <c r="C9" s="60"/>
      <c r="D9" s="60"/>
      <c r="E9" s="60"/>
      <c r="F9" s="60"/>
      <c r="G9" s="60"/>
      <c r="H9" s="99"/>
      <c r="I9" s="123"/>
      <c r="J9" s="97" t="str">
        <f>""</f>
        <v/>
      </c>
      <c r="K9" s="97"/>
      <c r="L9" s="97"/>
      <c r="M9" s="97"/>
      <c r="N9" s="97"/>
      <c r="O9" s="121"/>
      <c r="P9" s="121"/>
      <c r="Q9" s="121"/>
      <c r="R9" s="121"/>
      <c r="S9" s="121"/>
      <c r="T9" s="121"/>
      <c r="U9" s="121"/>
      <c r="V9" s="121"/>
      <c r="W9" s="121"/>
      <c r="X9" s="121"/>
      <c r="Y9" s="121"/>
      <c r="Z9" s="121"/>
      <c r="AA9" s="97"/>
      <c r="AB9" s="97"/>
      <c r="AC9" s="97"/>
      <c r="AD9" s="97"/>
      <c r="AE9" s="97"/>
    </row>
    <row r="10" ht="23.25" customHeight="1">
      <c r="A10" s="59"/>
      <c r="B10" s="68" t="s">
        <v>366</v>
      </c>
      <c r="C10" s="69"/>
      <c r="D10" s="70"/>
      <c r="E10" s="102" t="s">
        <v>32</v>
      </c>
      <c r="F10" s="71" t="s">
        <v>33</v>
      </c>
      <c r="G10" s="72" t="s">
        <v>34</v>
      </c>
      <c r="H10" s="73" t="s">
        <v>35</v>
      </c>
      <c r="I10" s="125" t="s">
        <v>36</v>
      </c>
      <c r="J10" s="126" t="s">
        <v>37</v>
      </c>
      <c r="K10" s="127" t="s">
        <v>57</v>
      </c>
      <c r="L10" s="97"/>
      <c r="M10" s="97"/>
      <c r="N10" s="97"/>
      <c r="O10" s="121"/>
      <c r="P10" s="121"/>
      <c r="Q10" s="121"/>
      <c r="R10" s="121"/>
      <c r="S10" s="121"/>
      <c r="T10" s="121"/>
      <c r="U10" s="121"/>
      <c r="V10" s="121"/>
      <c r="W10" s="121"/>
      <c r="X10" s="121"/>
      <c r="Y10" s="121"/>
      <c r="Z10" s="121"/>
      <c r="AA10" s="97"/>
      <c r="AB10" s="97"/>
      <c r="AC10" s="97"/>
      <c r="AD10" s="97"/>
      <c r="AE10" s="97"/>
    </row>
    <row r="11" ht="21.0" customHeight="1">
      <c r="A11" s="77">
        <v>1.0</v>
      </c>
      <c r="B11" s="104">
        <v>1.0</v>
      </c>
      <c r="C11" s="105" t="s">
        <v>174</v>
      </c>
      <c r="D11" s="106" t="s">
        <v>175</v>
      </c>
      <c r="E11" s="107" t="s">
        <v>367</v>
      </c>
      <c r="F11" s="108" t="s">
        <v>177</v>
      </c>
      <c r="G11" s="83" t="s">
        <v>178</v>
      </c>
      <c r="H11" s="110" t="str">
        <f>IF(OR(G11=$J$11,G11=$J$12,G11=$J$13),$J$9,$J$8)</f>
        <v/>
      </c>
      <c r="I11" s="125">
        <f>IF(G11=$J$11,$K$11,IF(G11=$J$12,$K$12,$K$13))</f>
        <v>1</v>
      </c>
      <c r="J11" s="97" t="s">
        <v>179</v>
      </c>
      <c r="K11" s="97">
        <v>3.0</v>
      </c>
      <c r="L11" s="97"/>
      <c r="M11" s="97"/>
      <c r="N11" s="97"/>
      <c r="O11" s="121"/>
      <c r="P11" s="121"/>
      <c r="Q11" s="121"/>
      <c r="R11" s="121"/>
      <c r="S11" s="121"/>
      <c r="T11" s="121"/>
      <c r="U11" s="121"/>
      <c r="V11" s="121"/>
      <c r="W11" s="121"/>
      <c r="X11" s="121"/>
      <c r="Y11" s="121"/>
      <c r="Z11" s="121"/>
      <c r="AA11" s="97"/>
      <c r="AB11" s="97"/>
      <c r="AC11" s="97"/>
      <c r="AD11" s="97"/>
      <c r="AE11" s="97"/>
    </row>
    <row r="12" ht="21.0" customHeight="1">
      <c r="A12" s="77">
        <f t="shared" ref="A12:A13" si="1">A4+1</f>
        <v>1</v>
      </c>
      <c r="B12" s="111"/>
      <c r="C12" s="112"/>
      <c r="D12" s="106" t="s">
        <v>180</v>
      </c>
      <c r="E12" s="81" t="s">
        <v>368</v>
      </c>
      <c r="F12" s="108" t="s">
        <v>369</v>
      </c>
      <c r="G12" s="83" t="s">
        <v>52</v>
      </c>
      <c r="H12" s="110" t="str">
        <f>IF(OR(G12=$J$63,G12=$J$64,G12=$J$65),$J$9,$J$8)</f>
        <v/>
      </c>
      <c r="I12" s="125">
        <f>IF(G12=$J$63,$K$63,IF(G12=$J$64,$K$64,$K$65))</f>
        <v>1</v>
      </c>
      <c r="J12" s="97" t="s">
        <v>183</v>
      </c>
      <c r="K12" s="97">
        <v>2.0</v>
      </c>
      <c r="L12" s="97"/>
      <c r="M12" s="97"/>
      <c r="N12" s="97"/>
      <c r="O12" s="121"/>
      <c r="P12" s="121"/>
      <c r="Q12" s="121"/>
      <c r="R12" s="121"/>
      <c r="S12" s="121"/>
      <c r="T12" s="121"/>
      <c r="U12" s="121"/>
      <c r="V12" s="121"/>
      <c r="W12" s="121"/>
      <c r="X12" s="121"/>
      <c r="Y12" s="121"/>
      <c r="Z12" s="121"/>
      <c r="AA12" s="97"/>
      <c r="AB12" s="97"/>
      <c r="AC12" s="97"/>
      <c r="AD12" s="97"/>
      <c r="AE12" s="97"/>
    </row>
    <row r="13" ht="21.0" customHeight="1">
      <c r="A13" s="77">
        <f t="shared" si="1"/>
        <v>1</v>
      </c>
      <c r="B13" s="111"/>
      <c r="C13" s="112"/>
      <c r="D13" s="106" t="s">
        <v>184</v>
      </c>
      <c r="E13" s="81" t="s">
        <v>370</v>
      </c>
      <c r="F13" s="108" t="s">
        <v>371</v>
      </c>
      <c r="G13" s="83" t="s">
        <v>372</v>
      </c>
      <c r="H13" s="110" t="str">
        <f t="shared" ref="H13:H17" si="2">IF(OR(G13=$J$17,G13=$J$18,G13=$J$19),$J$9,$J$8)</f>
        <v/>
      </c>
      <c r="I13" s="125">
        <f t="shared" ref="I13:I17" si="3">IF(G13=$J$17,$K$17,IF(G13=$J$18,$K$18,$K$19))</f>
        <v>1</v>
      </c>
      <c r="J13" s="97" t="s">
        <v>178</v>
      </c>
      <c r="K13" s="97">
        <v>1.0</v>
      </c>
      <c r="L13" s="97"/>
      <c r="M13" s="97"/>
      <c r="N13" s="97"/>
      <c r="O13" s="121"/>
      <c r="P13" s="121"/>
      <c r="Q13" s="121"/>
      <c r="R13" s="121"/>
      <c r="S13" s="121"/>
      <c r="T13" s="121"/>
      <c r="U13" s="121"/>
      <c r="V13" s="121"/>
      <c r="W13" s="121"/>
      <c r="X13" s="121"/>
      <c r="Y13" s="121"/>
      <c r="Z13" s="121"/>
      <c r="AA13" s="97"/>
      <c r="AB13" s="97"/>
      <c r="AC13" s="97"/>
      <c r="AD13" s="97"/>
      <c r="AE13" s="97"/>
    </row>
    <row r="14" ht="21.0" customHeight="1">
      <c r="A14" s="77">
        <f t="shared" ref="A14:A16" si="4">A3+1</f>
        <v>1</v>
      </c>
      <c r="B14" s="111"/>
      <c r="C14" s="112"/>
      <c r="D14" s="106" t="s">
        <v>187</v>
      </c>
      <c r="E14" s="81" t="s">
        <v>373</v>
      </c>
      <c r="F14" s="108" t="s">
        <v>374</v>
      </c>
      <c r="G14" s="83" t="s">
        <v>372</v>
      </c>
      <c r="H14" s="110" t="str">
        <f t="shared" si="2"/>
        <v/>
      </c>
      <c r="I14" s="125">
        <f t="shared" si="3"/>
        <v>1</v>
      </c>
      <c r="J14" s="97"/>
      <c r="K14" s="97"/>
      <c r="L14" s="97"/>
      <c r="M14" s="97"/>
      <c r="N14" s="97"/>
      <c r="O14" s="121"/>
      <c r="P14" s="121"/>
      <c r="Q14" s="121"/>
      <c r="R14" s="121"/>
      <c r="S14" s="121"/>
      <c r="T14" s="121"/>
      <c r="U14" s="121"/>
      <c r="V14" s="121"/>
      <c r="W14" s="121"/>
      <c r="X14" s="121"/>
      <c r="Y14" s="121"/>
      <c r="Z14" s="121"/>
      <c r="AA14" s="97"/>
      <c r="AB14" s="97"/>
      <c r="AC14" s="97"/>
      <c r="AD14" s="97"/>
      <c r="AE14" s="97"/>
    </row>
    <row r="15" ht="21.0" customHeight="1">
      <c r="A15" s="77">
        <f t="shared" si="4"/>
        <v>1</v>
      </c>
      <c r="B15" s="111"/>
      <c r="C15" s="112"/>
      <c r="D15" s="106" t="s">
        <v>190</v>
      </c>
      <c r="E15" s="81" t="s">
        <v>375</v>
      </c>
      <c r="F15" s="108" t="s">
        <v>376</v>
      </c>
      <c r="G15" s="83" t="s">
        <v>372</v>
      </c>
      <c r="H15" s="110" t="str">
        <f t="shared" si="2"/>
        <v/>
      </c>
      <c r="I15" s="125">
        <f t="shared" si="3"/>
        <v>1</v>
      </c>
      <c r="J15" s="97"/>
      <c r="K15" s="97"/>
      <c r="L15" s="97"/>
      <c r="M15" s="97"/>
      <c r="N15" s="97"/>
      <c r="O15" s="121"/>
      <c r="P15" s="121"/>
      <c r="Q15" s="121"/>
      <c r="R15" s="121"/>
      <c r="S15" s="121"/>
      <c r="T15" s="121"/>
      <c r="U15" s="121"/>
      <c r="V15" s="121"/>
      <c r="W15" s="121"/>
      <c r="X15" s="121"/>
      <c r="Y15" s="121"/>
      <c r="Z15" s="121"/>
      <c r="AA15" s="97"/>
      <c r="AB15" s="97"/>
      <c r="AC15" s="97"/>
      <c r="AD15" s="97"/>
      <c r="AE15" s="97"/>
    </row>
    <row r="16" ht="21.0" customHeight="1">
      <c r="A16" s="77">
        <f t="shared" si="4"/>
        <v>1</v>
      </c>
      <c r="B16" s="111"/>
      <c r="C16" s="112"/>
      <c r="D16" s="106" t="s">
        <v>193</v>
      </c>
      <c r="E16" s="81" t="s">
        <v>377</v>
      </c>
      <c r="F16" s="108" t="s">
        <v>378</v>
      </c>
      <c r="G16" s="83" t="s">
        <v>372</v>
      </c>
      <c r="H16" s="110" t="str">
        <f t="shared" si="2"/>
        <v/>
      </c>
      <c r="I16" s="125">
        <f t="shared" si="3"/>
        <v>1</v>
      </c>
      <c r="J16" s="97" t="s">
        <v>56</v>
      </c>
      <c r="K16" s="97" t="s">
        <v>57</v>
      </c>
      <c r="L16" s="97"/>
      <c r="M16" s="97"/>
      <c r="N16" s="97"/>
      <c r="O16" s="121"/>
      <c r="P16" s="121"/>
      <c r="Q16" s="121"/>
      <c r="R16" s="121"/>
      <c r="S16" s="121"/>
      <c r="T16" s="121"/>
      <c r="U16" s="121"/>
      <c r="V16" s="121"/>
      <c r="W16" s="121"/>
      <c r="X16" s="121"/>
      <c r="Y16" s="121"/>
      <c r="Z16" s="121"/>
      <c r="AA16" s="97"/>
      <c r="AB16" s="97"/>
      <c r="AC16" s="97"/>
      <c r="AD16" s="97"/>
      <c r="AE16" s="97"/>
    </row>
    <row r="17" ht="21.0" customHeight="1">
      <c r="A17" s="77">
        <f t="shared" ref="A17:A21" si="5">A7+1</f>
        <v>1</v>
      </c>
      <c r="B17" s="111"/>
      <c r="C17" s="112"/>
      <c r="D17" s="106" t="s">
        <v>196</v>
      </c>
      <c r="E17" s="81" t="s">
        <v>379</v>
      </c>
      <c r="F17" s="108" t="s">
        <v>380</v>
      </c>
      <c r="G17" s="83" t="s">
        <v>372</v>
      </c>
      <c r="H17" s="110" t="str">
        <f t="shared" si="2"/>
        <v/>
      </c>
      <c r="I17" s="125">
        <f t="shared" si="3"/>
        <v>1</v>
      </c>
      <c r="J17" s="97" t="s">
        <v>381</v>
      </c>
      <c r="K17" s="97">
        <v>3.0</v>
      </c>
      <c r="L17" s="97"/>
      <c r="M17" s="97"/>
      <c r="N17" s="97"/>
      <c r="O17" s="121"/>
      <c r="P17" s="121"/>
      <c r="Q17" s="121"/>
      <c r="R17" s="121"/>
      <c r="S17" s="121"/>
      <c r="T17" s="121"/>
      <c r="U17" s="121"/>
      <c r="V17" s="121"/>
      <c r="W17" s="121"/>
      <c r="X17" s="121"/>
      <c r="Y17" s="121"/>
      <c r="Z17" s="121"/>
      <c r="AA17" s="97"/>
      <c r="AB17" s="97"/>
      <c r="AC17" s="97"/>
      <c r="AD17" s="97"/>
      <c r="AE17" s="97"/>
    </row>
    <row r="18" ht="21.0" customHeight="1">
      <c r="A18" s="77">
        <f t="shared" si="5"/>
        <v>1</v>
      </c>
      <c r="B18" s="111"/>
      <c r="C18" s="112"/>
      <c r="D18" s="106" t="s">
        <v>200</v>
      </c>
      <c r="E18" s="81" t="s">
        <v>382</v>
      </c>
      <c r="F18" s="108" t="s">
        <v>383</v>
      </c>
      <c r="G18" s="83" t="s">
        <v>178</v>
      </c>
      <c r="H18" s="110" t="str">
        <f>IF(OR(G18=$J$22,G18=$J$23,G18=$J$24),$J$9,$J$8)</f>
        <v/>
      </c>
      <c r="I18" s="125">
        <f>IF(G18=$J$22,$K$22,IF(G18=$J$23,$K$23,$K$24))</f>
        <v>1</v>
      </c>
      <c r="J18" s="97" t="s">
        <v>384</v>
      </c>
      <c r="K18" s="97">
        <v>2.0</v>
      </c>
      <c r="L18" s="97"/>
      <c r="M18" s="97"/>
      <c r="N18" s="97"/>
      <c r="O18" s="121"/>
      <c r="P18" s="121"/>
      <c r="Q18" s="121"/>
      <c r="R18" s="121"/>
      <c r="S18" s="121"/>
      <c r="T18" s="121"/>
      <c r="U18" s="121"/>
      <c r="V18" s="121"/>
      <c r="W18" s="121"/>
      <c r="X18" s="121"/>
      <c r="Y18" s="121"/>
      <c r="Z18" s="121"/>
      <c r="AA18" s="97"/>
      <c r="AB18" s="97"/>
      <c r="AC18" s="97"/>
      <c r="AD18" s="97"/>
      <c r="AE18" s="97"/>
    </row>
    <row r="19" ht="21.0" customHeight="1">
      <c r="A19" s="77">
        <f t="shared" si="5"/>
        <v>1</v>
      </c>
      <c r="B19" s="111"/>
      <c r="C19" s="112"/>
      <c r="D19" s="106" t="s">
        <v>204</v>
      </c>
      <c r="E19" s="81" t="s">
        <v>385</v>
      </c>
      <c r="F19" s="108" t="s">
        <v>386</v>
      </c>
      <c r="G19" s="83" t="s">
        <v>372</v>
      </c>
      <c r="H19" s="110" t="str">
        <f>IF(OR(G19=$J$17,G19=$J$18,G19=$J$19),$J$9,$J$8)</f>
        <v/>
      </c>
      <c r="I19" s="125">
        <f>IF(G19=$J$17,$K$17,IF(G19=$J$18,$K$18,$K$19))</f>
        <v>1</v>
      </c>
      <c r="J19" s="97" t="s">
        <v>372</v>
      </c>
      <c r="K19" s="97">
        <v>1.0</v>
      </c>
      <c r="L19" s="97"/>
      <c r="M19" s="97"/>
      <c r="N19" s="97"/>
      <c r="O19" s="121"/>
      <c r="P19" s="121"/>
      <c r="Q19" s="121"/>
      <c r="R19" s="121"/>
      <c r="S19" s="121"/>
      <c r="T19" s="121"/>
      <c r="U19" s="121"/>
      <c r="V19" s="121"/>
      <c r="W19" s="121"/>
      <c r="X19" s="121"/>
      <c r="Y19" s="121"/>
      <c r="Z19" s="121"/>
      <c r="AA19" s="97"/>
      <c r="AB19" s="97"/>
      <c r="AC19" s="97"/>
      <c r="AD19" s="97"/>
      <c r="AE19" s="97"/>
    </row>
    <row r="20" ht="21.0" customHeight="1">
      <c r="A20" s="77">
        <f t="shared" si="5"/>
        <v>1</v>
      </c>
      <c r="B20" s="111"/>
      <c r="C20" s="112"/>
      <c r="D20" s="106" t="s">
        <v>209</v>
      </c>
      <c r="E20" s="81" t="s">
        <v>387</v>
      </c>
      <c r="F20" s="108" t="s">
        <v>388</v>
      </c>
      <c r="G20" s="83" t="s">
        <v>178</v>
      </c>
      <c r="H20" s="110" t="str">
        <f>IF(OR(G20=$J$22,G20=$J$23,G20=$J$24),$J$9,$J$8)</f>
        <v/>
      </c>
      <c r="I20" s="125">
        <f>IF(G20=$J$22,$K$22,IF(G20=$J$23,$K$23,$K$24))</f>
        <v>1</v>
      </c>
      <c r="J20" s="97"/>
      <c r="K20" s="97"/>
      <c r="L20" s="97"/>
      <c r="M20" s="97"/>
      <c r="N20" s="97"/>
      <c r="O20" s="121"/>
      <c r="P20" s="121"/>
      <c r="Q20" s="121"/>
      <c r="R20" s="121"/>
      <c r="S20" s="121"/>
      <c r="T20" s="121"/>
      <c r="U20" s="121"/>
      <c r="V20" s="121"/>
      <c r="W20" s="121"/>
      <c r="X20" s="121"/>
      <c r="Y20" s="121"/>
      <c r="Z20" s="121"/>
      <c r="AA20" s="97"/>
      <c r="AB20" s="97"/>
      <c r="AC20" s="97"/>
      <c r="AD20" s="97"/>
      <c r="AE20" s="97"/>
    </row>
    <row r="21" ht="21.0" customHeight="1">
      <c r="A21" s="77">
        <f t="shared" si="5"/>
        <v>2</v>
      </c>
      <c r="B21" s="111"/>
      <c r="C21" s="112"/>
      <c r="D21" s="106" t="s">
        <v>212</v>
      </c>
      <c r="E21" s="81" t="s">
        <v>389</v>
      </c>
      <c r="F21" s="108" t="s">
        <v>390</v>
      </c>
      <c r="G21" s="83" t="s">
        <v>391</v>
      </c>
      <c r="H21" s="110" t="str">
        <f>IF(OR(G21=$J$27,G21=$J$28,G21=$J$29),$J$9,$J$8)</f>
        <v/>
      </c>
      <c r="I21" s="125">
        <f>IF(G21=$J$27,$K$27,IF(G21=$J$28,$K$28,$K$29))</f>
        <v>1</v>
      </c>
      <c r="J21" s="97" t="s">
        <v>70</v>
      </c>
      <c r="K21" s="97" t="s">
        <v>392</v>
      </c>
      <c r="L21" s="97"/>
      <c r="M21" s="97"/>
      <c r="N21" s="97"/>
      <c r="O21" s="121"/>
      <c r="P21" s="121"/>
      <c r="Q21" s="121"/>
      <c r="R21" s="121"/>
      <c r="S21" s="121"/>
      <c r="T21" s="121"/>
      <c r="U21" s="121"/>
      <c r="V21" s="121"/>
      <c r="W21" s="121"/>
      <c r="X21" s="121"/>
      <c r="Y21" s="121"/>
      <c r="Z21" s="121"/>
      <c r="AA21" s="97"/>
      <c r="AB21" s="97"/>
      <c r="AC21" s="97"/>
      <c r="AD21" s="97"/>
      <c r="AE21" s="97"/>
    </row>
    <row r="22" ht="21.0" customHeight="1">
      <c r="A22" s="128"/>
      <c r="B22" s="129"/>
      <c r="C22" s="130"/>
      <c r="D22" s="106" t="s">
        <v>217</v>
      </c>
      <c r="E22" s="81" t="s">
        <v>393</v>
      </c>
      <c r="F22" s="108" t="s">
        <v>219</v>
      </c>
      <c r="G22" s="83" t="s">
        <v>178</v>
      </c>
      <c r="H22" s="110" t="str">
        <f>IF(OR(G22=$J$53,G22=$J$54,G22=$J$55),$J$9,$J$8)</f>
        <v/>
      </c>
      <c r="I22" s="125">
        <f>IF(G22=$J$53,$K$53,IF(G22=$J$54,$K$54,$K$55))</f>
        <v>1</v>
      </c>
      <c r="J22" s="123" t="s">
        <v>394</v>
      </c>
      <c r="K22" s="123">
        <v>3.0</v>
      </c>
      <c r="L22" s="123"/>
      <c r="M22" s="123"/>
      <c r="N22" s="123"/>
      <c r="O22" s="131"/>
      <c r="P22" s="131"/>
      <c r="Q22" s="131"/>
      <c r="R22" s="131"/>
      <c r="S22" s="131"/>
      <c r="T22" s="131"/>
      <c r="U22" s="131"/>
      <c r="V22" s="131"/>
      <c r="W22" s="131"/>
      <c r="X22" s="131"/>
      <c r="Y22" s="131"/>
      <c r="Z22" s="131"/>
      <c r="AA22" s="123"/>
      <c r="AB22" s="123"/>
      <c r="AC22" s="123"/>
      <c r="AD22" s="123"/>
      <c r="AE22" s="123"/>
    </row>
    <row r="23" ht="21.0" customHeight="1">
      <c r="A23" s="59"/>
      <c r="B23" s="89"/>
      <c r="C23" s="89"/>
      <c r="D23" s="89"/>
      <c r="E23" s="89"/>
      <c r="F23" s="89"/>
      <c r="G23" s="89"/>
      <c r="H23" s="110"/>
      <c r="I23" s="125"/>
      <c r="J23" s="97" t="s">
        <v>395</v>
      </c>
      <c r="K23" s="97">
        <v>2.0</v>
      </c>
      <c r="L23" s="97"/>
      <c r="M23" s="97"/>
      <c r="N23" s="97"/>
      <c r="O23" s="121"/>
      <c r="P23" s="121"/>
      <c r="Q23" s="121"/>
      <c r="R23" s="121"/>
      <c r="S23" s="121"/>
      <c r="T23" s="121"/>
      <c r="U23" s="121"/>
      <c r="V23" s="121"/>
      <c r="W23" s="121"/>
      <c r="X23" s="121"/>
      <c r="Y23" s="121"/>
      <c r="Z23" s="121"/>
      <c r="AA23" s="97"/>
      <c r="AB23" s="97"/>
      <c r="AC23" s="97"/>
      <c r="AD23" s="97"/>
      <c r="AE23" s="97"/>
    </row>
    <row r="24" ht="21.0" customHeight="1">
      <c r="A24" s="77">
        <f>A22+1</f>
        <v>1</v>
      </c>
      <c r="B24" s="104">
        <v>2.0</v>
      </c>
      <c r="C24" s="105" t="s">
        <v>223</v>
      </c>
      <c r="D24" s="106" t="s">
        <v>224</v>
      </c>
      <c r="E24" s="81" t="s">
        <v>396</v>
      </c>
      <c r="F24" s="108" t="s">
        <v>397</v>
      </c>
      <c r="G24" s="83" t="s">
        <v>398</v>
      </c>
      <c r="H24" s="110" t="str">
        <f t="shared" ref="H24:H25" si="6">IF(OR(G24=$J$33,G24=$J$34,G24=$J$35),$J$9,$J$8)</f>
        <v/>
      </c>
      <c r="I24" s="125">
        <f t="shared" ref="I24:I25" si="7">IF(G24=$J$33,$K$33,IF(G24=$J$34,$K$34,$K$35))</f>
        <v>1</v>
      </c>
      <c r="J24" s="97" t="s">
        <v>178</v>
      </c>
      <c r="K24" s="127">
        <v>1.0</v>
      </c>
      <c r="L24" s="97"/>
      <c r="M24" s="97"/>
      <c r="N24" s="97"/>
      <c r="O24" s="121"/>
      <c r="P24" s="121"/>
      <c r="Q24" s="121"/>
      <c r="R24" s="121"/>
      <c r="S24" s="121"/>
      <c r="T24" s="121"/>
      <c r="U24" s="121"/>
      <c r="V24" s="121"/>
      <c r="W24" s="121"/>
      <c r="X24" s="121"/>
      <c r="Y24" s="121"/>
      <c r="Z24" s="121"/>
      <c r="AA24" s="97"/>
      <c r="AB24" s="97"/>
      <c r="AC24" s="97"/>
      <c r="AD24" s="97"/>
      <c r="AE24" s="97"/>
    </row>
    <row r="25" ht="21.0" customHeight="1">
      <c r="A25" s="77">
        <f t="shared" ref="A25:A28" si="8">A21+1</f>
        <v>3</v>
      </c>
      <c r="B25" s="111"/>
      <c r="C25" s="111"/>
      <c r="D25" s="106" t="s">
        <v>227</v>
      </c>
      <c r="E25" s="81" t="s">
        <v>399</v>
      </c>
      <c r="F25" s="108" t="s">
        <v>397</v>
      </c>
      <c r="G25" s="83" t="s">
        <v>398</v>
      </c>
      <c r="H25" s="110" t="str">
        <f t="shared" si="6"/>
        <v/>
      </c>
      <c r="I25" s="125">
        <f t="shared" si="7"/>
        <v>1</v>
      </c>
      <c r="J25" s="97"/>
      <c r="K25" s="97"/>
      <c r="L25" s="97"/>
      <c r="M25" s="97"/>
      <c r="N25" s="97"/>
      <c r="O25" s="121"/>
      <c r="P25" s="121"/>
      <c r="Q25" s="121"/>
      <c r="R25" s="121"/>
      <c r="S25" s="121"/>
      <c r="T25" s="121"/>
      <c r="U25" s="121"/>
      <c r="V25" s="121"/>
      <c r="W25" s="121"/>
      <c r="X25" s="121"/>
      <c r="Y25" s="121"/>
      <c r="Z25" s="121"/>
      <c r="AA25" s="97"/>
      <c r="AB25" s="97"/>
      <c r="AC25" s="97"/>
      <c r="AD25" s="97"/>
      <c r="AE25" s="97"/>
    </row>
    <row r="26" ht="21.0" customHeight="1">
      <c r="A26" s="77">
        <f t="shared" si="8"/>
        <v>1</v>
      </c>
      <c r="B26" s="111"/>
      <c r="C26" s="111"/>
      <c r="D26" s="106" t="s">
        <v>230</v>
      </c>
      <c r="E26" s="81" t="s">
        <v>400</v>
      </c>
      <c r="F26" s="108" t="s">
        <v>401</v>
      </c>
      <c r="G26" s="83" t="s">
        <v>60</v>
      </c>
      <c r="H26" s="110" t="str">
        <f>IF(OR(G26=$J$43,G26=$J$44,G26=$J$45),$J$9,$J$8)</f>
        <v/>
      </c>
      <c r="I26" s="125">
        <f>IF(G26=$J$43,$K$43,IF(G26=$J$44,$K$44,$K$45))</f>
        <v>1</v>
      </c>
      <c r="J26" s="97" t="s">
        <v>83</v>
      </c>
      <c r="K26" s="97" t="s">
        <v>234</v>
      </c>
      <c r="L26" s="97"/>
      <c r="M26" s="97"/>
      <c r="N26" s="97"/>
      <c r="O26" s="121"/>
      <c r="P26" s="121"/>
      <c r="Q26" s="121"/>
      <c r="R26" s="121"/>
      <c r="S26" s="121"/>
      <c r="T26" s="121"/>
      <c r="U26" s="121"/>
      <c r="V26" s="121"/>
      <c r="W26" s="121"/>
      <c r="X26" s="121"/>
      <c r="Y26" s="121"/>
      <c r="Z26" s="121"/>
      <c r="AA26" s="97"/>
      <c r="AB26" s="97"/>
      <c r="AC26" s="97"/>
      <c r="AD26" s="97"/>
      <c r="AE26" s="97"/>
    </row>
    <row r="27" ht="21.0" customHeight="1">
      <c r="A27" s="77">
        <f t="shared" si="8"/>
        <v>1</v>
      </c>
      <c r="B27" s="111"/>
      <c r="C27" s="111"/>
      <c r="D27" s="106" t="s">
        <v>235</v>
      </c>
      <c r="E27" s="81" t="s">
        <v>402</v>
      </c>
      <c r="F27" s="108" t="s">
        <v>403</v>
      </c>
      <c r="G27" s="83" t="s">
        <v>178</v>
      </c>
      <c r="H27" s="110" t="str">
        <f t="shared" ref="H27:H29" si="9">IF(OR(G27=$J$22,G27=$J$23,G27=$J$24),$J$9,$J$8)</f>
        <v/>
      </c>
      <c r="I27" s="125">
        <f t="shared" ref="I27:I29" si="10">IF(G27=$J$22,$K$22,IF(G27=$J$23,$K$23,$K$24))</f>
        <v>1</v>
      </c>
      <c r="J27" s="97" t="s">
        <v>404</v>
      </c>
      <c r="K27" s="97">
        <v>3.0</v>
      </c>
      <c r="L27" s="97"/>
      <c r="M27" s="97"/>
      <c r="N27" s="97"/>
      <c r="O27" s="121"/>
      <c r="P27" s="121"/>
      <c r="Q27" s="121"/>
      <c r="R27" s="121"/>
      <c r="S27" s="121"/>
      <c r="T27" s="121"/>
      <c r="U27" s="121"/>
      <c r="V27" s="121"/>
      <c r="W27" s="121"/>
      <c r="X27" s="121"/>
      <c r="Y27" s="121"/>
      <c r="Z27" s="121"/>
      <c r="AA27" s="97"/>
      <c r="AB27" s="97"/>
      <c r="AC27" s="97"/>
      <c r="AD27" s="97"/>
      <c r="AE27" s="97"/>
    </row>
    <row r="28" ht="21.0" customHeight="1">
      <c r="A28" s="77">
        <f t="shared" si="8"/>
        <v>2</v>
      </c>
      <c r="B28" s="111"/>
      <c r="C28" s="111"/>
      <c r="D28" s="106" t="s">
        <v>239</v>
      </c>
      <c r="E28" s="81" t="s">
        <v>405</v>
      </c>
      <c r="F28" s="108" t="s">
        <v>406</v>
      </c>
      <c r="G28" s="83" t="s">
        <v>178</v>
      </c>
      <c r="H28" s="110" t="str">
        <f t="shared" si="9"/>
        <v/>
      </c>
      <c r="I28" s="125">
        <f t="shared" si="10"/>
        <v>1</v>
      </c>
      <c r="J28" s="97" t="s">
        <v>407</v>
      </c>
      <c r="K28" s="97">
        <v>2.0</v>
      </c>
      <c r="L28" s="97"/>
      <c r="M28" s="97"/>
      <c r="N28" s="97"/>
      <c r="O28" s="121"/>
      <c r="P28" s="121"/>
      <c r="Q28" s="121"/>
      <c r="R28" s="121"/>
      <c r="S28" s="121"/>
      <c r="T28" s="121"/>
      <c r="U28" s="121"/>
      <c r="V28" s="121"/>
      <c r="W28" s="121"/>
      <c r="X28" s="121"/>
      <c r="Y28" s="121"/>
      <c r="Z28" s="121"/>
      <c r="AA28" s="97"/>
      <c r="AB28" s="97"/>
      <c r="AC28" s="97"/>
      <c r="AD28" s="97"/>
      <c r="AE28" s="97"/>
    </row>
    <row r="29" ht="21.0" customHeight="1">
      <c r="A29" s="77">
        <f>A28+1</f>
        <v>3</v>
      </c>
      <c r="B29" s="113"/>
      <c r="C29" s="113"/>
      <c r="D29" s="106" t="s">
        <v>243</v>
      </c>
      <c r="E29" s="81" t="s">
        <v>408</v>
      </c>
      <c r="F29" s="108" t="s">
        <v>409</v>
      </c>
      <c r="G29" s="83" t="s">
        <v>178</v>
      </c>
      <c r="H29" s="110" t="str">
        <f t="shared" si="9"/>
        <v/>
      </c>
      <c r="I29" s="125">
        <f t="shared" si="10"/>
        <v>1</v>
      </c>
      <c r="J29" s="97" t="s">
        <v>391</v>
      </c>
      <c r="K29" s="127">
        <v>1.0</v>
      </c>
      <c r="L29" s="97"/>
      <c r="M29" s="97"/>
      <c r="N29" s="97"/>
      <c r="O29" s="121"/>
      <c r="P29" s="121"/>
      <c r="Q29" s="121"/>
      <c r="R29" s="121"/>
      <c r="S29" s="121"/>
      <c r="T29" s="121"/>
      <c r="U29" s="121"/>
      <c r="V29" s="121"/>
      <c r="W29" s="121"/>
      <c r="X29" s="121"/>
      <c r="Y29" s="121"/>
      <c r="Z29" s="121"/>
      <c r="AA29" s="97"/>
      <c r="AB29" s="97"/>
      <c r="AC29" s="97"/>
      <c r="AD29" s="97"/>
      <c r="AE29" s="97"/>
    </row>
    <row r="30" ht="21.0" customHeight="1">
      <c r="A30" s="59"/>
      <c r="B30" s="89"/>
      <c r="C30" s="89"/>
      <c r="D30" s="89"/>
      <c r="E30" s="89"/>
      <c r="F30" s="89"/>
      <c r="G30" s="89"/>
      <c r="H30" s="110"/>
      <c r="I30" s="125"/>
      <c r="J30" s="97"/>
      <c r="K30" s="97"/>
      <c r="L30" s="97"/>
      <c r="M30" s="97"/>
      <c r="N30" s="97"/>
      <c r="O30" s="121"/>
      <c r="P30" s="121"/>
      <c r="Q30" s="121"/>
      <c r="R30" s="121"/>
      <c r="S30" s="121"/>
      <c r="T30" s="121"/>
      <c r="U30" s="121"/>
      <c r="V30" s="121"/>
      <c r="W30" s="121"/>
      <c r="X30" s="121"/>
      <c r="Y30" s="121"/>
      <c r="Z30" s="121"/>
      <c r="AA30" s="97"/>
      <c r="AB30" s="97"/>
      <c r="AC30" s="97"/>
      <c r="AD30" s="97"/>
      <c r="AE30" s="97"/>
    </row>
    <row r="31" ht="21.0" customHeight="1">
      <c r="A31" s="77">
        <f>A29+1</f>
        <v>4</v>
      </c>
      <c r="B31" s="104">
        <v>3.0</v>
      </c>
      <c r="C31" s="104" t="s">
        <v>246</v>
      </c>
      <c r="D31" s="106" t="s">
        <v>247</v>
      </c>
      <c r="E31" s="81" t="s">
        <v>410</v>
      </c>
      <c r="F31" s="108" t="s">
        <v>411</v>
      </c>
      <c r="G31" s="83" t="s">
        <v>178</v>
      </c>
      <c r="H31" s="110" t="str">
        <f t="shared" ref="H31:H39" si="11">IF(OR(G31=$J$22,G31=$J$23,G31=$J$24),$J$9,$J$8)</f>
        <v/>
      </c>
      <c r="I31" s="125">
        <f t="shared" ref="I31:I39" si="12">IF(G31=$J$22,$K$22,IF(G31=$J$23,$K$23,$K$24))</f>
        <v>1</v>
      </c>
      <c r="J31" s="97"/>
      <c r="K31" s="97"/>
      <c r="L31" s="97"/>
      <c r="M31" s="97"/>
      <c r="N31" s="97"/>
      <c r="O31" s="121"/>
      <c r="P31" s="121"/>
      <c r="Q31" s="121"/>
      <c r="R31" s="121"/>
      <c r="S31" s="121"/>
      <c r="T31" s="121"/>
      <c r="U31" s="121"/>
      <c r="V31" s="121"/>
      <c r="W31" s="121"/>
      <c r="X31" s="121"/>
      <c r="Y31" s="121"/>
      <c r="Z31" s="121"/>
      <c r="AA31" s="97"/>
      <c r="AB31" s="97"/>
      <c r="AC31" s="97"/>
      <c r="AD31" s="97"/>
      <c r="AE31" s="97"/>
    </row>
    <row r="32" ht="21.0" customHeight="1">
      <c r="A32" s="77">
        <f>A22+1</f>
        <v>1</v>
      </c>
      <c r="B32" s="111"/>
      <c r="C32" s="111"/>
      <c r="D32" s="106" t="s">
        <v>250</v>
      </c>
      <c r="E32" s="81" t="s">
        <v>412</v>
      </c>
      <c r="F32" s="108" t="s">
        <v>413</v>
      </c>
      <c r="G32" s="83" t="s">
        <v>178</v>
      </c>
      <c r="H32" s="110" t="str">
        <f t="shared" si="11"/>
        <v/>
      </c>
      <c r="I32" s="125">
        <f t="shared" si="12"/>
        <v>1</v>
      </c>
      <c r="J32" s="97" t="s">
        <v>97</v>
      </c>
      <c r="K32" s="97" t="s">
        <v>234</v>
      </c>
      <c r="L32" s="97"/>
      <c r="M32" s="97"/>
      <c r="N32" s="97"/>
      <c r="O32" s="121"/>
      <c r="P32" s="121"/>
      <c r="Q32" s="121"/>
      <c r="R32" s="121"/>
      <c r="S32" s="121"/>
      <c r="T32" s="121"/>
      <c r="U32" s="121"/>
      <c r="V32" s="121"/>
      <c r="W32" s="121"/>
      <c r="X32" s="121"/>
      <c r="Y32" s="121"/>
      <c r="Z32" s="121"/>
      <c r="AA32" s="97"/>
      <c r="AB32" s="97"/>
      <c r="AC32" s="97"/>
      <c r="AD32" s="97"/>
      <c r="AE32" s="97"/>
    </row>
    <row r="33" ht="21.0" customHeight="1">
      <c r="A33" s="77">
        <f t="shared" ref="A33:A34" si="13">A32+1</f>
        <v>2</v>
      </c>
      <c r="B33" s="111"/>
      <c r="C33" s="111"/>
      <c r="D33" s="106" t="s">
        <v>253</v>
      </c>
      <c r="E33" s="81" t="s">
        <v>414</v>
      </c>
      <c r="F33" s="108" t="s">
        <v>415</v>
      </c>
      <c r="G33" s="83" t="s">
        <v>178</v>
      </c>
      <c r="H33" s="110" t="str">
        <f t="shared" si="11"/>
        <v/>
      </c>
      <c r="I33" s="125">
        <f t="shared" si="12"/>
        <v>1</v>
      </c>
      <c r="J33" s="97" t="s">
        <v>381</v>
      </c>
      <c r="K33" s="97">
        <v>3.0</v>
      </c>
      <c r="L33" s="97"/>
      <c r="M33" s="97"/>
      <c r="N33" s="97"/>
      <c r="O33" s="121"/>
      <c r="P33" s="121"/>
      <c r="Q33" s="121"/>
      <c r="R33" s="121"/>
      <c r="S33" s="121"/>
      <c r="T33" s="121"/>
      <c r="U33" s="121"/>
      <c r="V33" s="121"/>
      <c r="W33" s="121"/>
      <c r="X33" s="121"/>
      <c r="Y33" s="121"/>
      <c r="Z33" s="121"/>
      <c r="AA33" s="97"/>
      <c r="AB33" s="97"/>
      <c r="AC33" s="97"/>
      <c r="AD33" s="97"/>
      <c r="AE33" s="97"/>
    </row>
    <row r="34" ht="21.0" customHeight="1">
      <c r="A34" s="77">
        <f t="shared" si="13"/>
        <v>3</v>
      </c>
      <c r="B34" s="111"/>
      <c r="C34" s="111"/>
      <c r="D34" s="106" t="s">
        <v>257</v>
      </c>
      <c r="E34" s="81" t="s">
        <v>416</v>
      </c>
      <c r="F34" s="108" t="s">
        <v>259</v>
      </c>
      <c r="G34" s="83" t="s">
        <v>178</v>
      </c>
      <c r="H34" s="110" t="str">
        <f t="shared" si="11"/>
        <v/>
      </c>
      <c r="I34" s="125">
        <f t="shared" si="12"/>
        <v>1</v>
      </c>
      <c r="J34" s="97" t="s">
        <v>384</v>
      </c>
      <c r="K34" s="97">
        <v>2.0</v>
      </c>
      <c r="L34" s="97"/>
      <c r="M34" s="97"/>
      <c r="N34" s="97"/>
      <c r="O34" s="121"/>
      <c r="P34" s="121"/>
      <c r="Q34" s="121"/>
      <c r="R34" s="121"/>
      <c r="S34" s="121"/>
      <c r="T34" s="121"/>
      <c r="U34" s="121"/>
      <c r="V34" s="121"/>
      <c r="W34" s="121"/>
      <c r="X34" s="121"/>
      <c r="Y34" s="121"/>
      <c r="Z34" s="121"/>
      <c r="AA34" s="97"/>
      <c r="AB34" s="97"/>
      <c r="AC34" s="97"/>
      <c r="AD34" s="97"/>
      <c r="AE34" s="97"/>
    </row>
    <row r="35" ht="21.0" customHeight="1">
      <c r="A35" s="77">
        <f>A25+1</f>
        <v>4</v>
      </c>
      <c r="B35" s="111"/>
      <c r="C35" s="111"/>
      <c r="D35" s="106" t="s">
        <v>261</v>
      </c>
      <c r="E35" s="81" t="s">
        <v>417</v>
      </c>
      <c r="F35" s="108" t="s">
        <v>418</v>
      </c>
      <c r="G35" s="83" t="s">
        <v>178</v>
      </c>
      <c r="H35" s="110" t="str">
        <f t="shared" si="11"/>
        <v/>
      </c>
      <c r="I35" s="125">
        <f t="shared" si="12"/>
        <v>1</v>
      </c>
      <c r="J35" s="97" t="s">
        <v>398</v>
      </c>
      <c r="K35" s="127">
        <v>1.0</v>
      </c>
      <c r="L35" s="97"/>
      <c r="M35" s="97"/>
      <c r="N35" s="97"/>
      <c r="O35" s="121"/>
      <c r="P35" s="121"/>
      <c r="Q35" s="121"/>
      <c r="R35" s="121"/>
      <c r="S35" s="121"/>
      <c r="T35" s="121"/>
      <c r="U35" s="121"/>
      <c r="V35" s="121"/>
      <c r="W35" s="121"/>
      <c r="X35" s="121"/>
      <c r="Y35" s="121"/>
      <c r="Z35" s="121"/>
      <c r="AA35" s="97"/>
      <c r="AB35" s="97"/>
      <c r="AC35" s="97"/>
      <c r="AD35" s="97"/>
      <c r="AE35" s="97"/>
    </row>
    <row r="36" ht="21.0" customHeight="1">
      <c r="A36" s="77">
        <f>A28+1</f>
        <v>3</v>
      </c>
      <c r="B36" s="111"/>
      <c r="C36" s="111"/>
      <c r="D36" s="106" t="s">
        <v>264</v>
      </c>
      <c r="E36" s="81" t="s">
        <v>419</v>
      </c>
      <c r="F36" s="108" t="s">
        <v>420</v>
      </c>
      <c r="G36" s="83" t="s">
        <v>178</v>
      </c>
      <c r="H36" s="110" t="str">
        <f t="shared" si="11"/>
        <v/>
      </c>
      <c r="I36" s="125">
        <f t="shared" si="12"/>
        <v>1</v>
      </c>
      <c r="J36" s="126"/>
      <c r="K36" s="127"/>
      <c r="L36" s="97"/>
      <c r="M36" s="97"/>
      <c r="N36" s="97"/>
      <c r="O36" s="121"/>
      <c r="P36" s="121"/>
      <c r="Q36" s="121"/>
      <c r="R36" s="121"/>
      <c r="S36" s="121"/>
      <c r="T36" s="121"/>
      <c r="U36" s="121"/>
      <c r="V36" s="121"/>
      <c r="W36" s="121"/>
      <c r="X36" s="121"/>
      <c r="Y36" s="121"/>
      <c r="Z36" s="121"/>
      <c r="AA36" s="97"/>
      <c r="AB36" s="97"/>
      <c r="AC36" s="97"/>
      <c r="AD36" s="97"/>
      <c r="AE36" s="97"/>
    </row>
    <row r="37" ht="21.0" customHeight="1">
      <c r="A37" s="77">
        <f t="shared" ref="A37:A42" si="14">A36+1</f>
        <v>4</v>
      </c>
      <c r="B37" s="111"/>
      <c r="C37" s="111"/>
      <c r="D37" s="106" t="s">
        <v>267</v>
      </c>
      <c r="E37" s="81" t="s">
        <v>421</v>
      </c>
      <c r="F37" s="108" t="s">
        <v>422</v>
      </c>
      <c r="G37" s="83" t="s">
        <v>178</v>
      </c>
      <c r="H37" s="110" t="str">
        <f t="shared" si="11"/>
        <v/>
      </c>
      <c r="I37" s="125">
        <f t="shared" si="12"/>
        <v>1</v>
      </c>
      <c r="J37" s="97" t="s">
        <v>106</v>
      </c>
      <c r="K37" s="97" t="s">
        <v>98</v>
      </c>
      <c r="L37" s="97"/>
      <c r="M37" s="97"/>
      <c r="N37" s="97"/>
      <c r="O37" s="121"/>
      <c r="P37" s="121"/>
      <c r="Q37" s="121"/>
      <c r="R37" s="121"/>
      <c r="S37" s="121"/>
      <c r="T37" s="121"/>
      <c r="U37" s="121"/>
      <c r="V37" s="121"/>
      <c r="W37" s="121"/>
      <c r="X37" s="121"/>
      <c r="Y37" s="121"/>
      <c r="Z37" s="121"/>
      <c r="AA37" s="97"/>
      <c r="AB37" s="97"/>
      <c r="AC37" s="97"/>
      <c r="AD37" s="97"/>
      <c r="AE37" s="97"/>
    </row>
    <row r="38" ht="21.0" customHeight="1">
      <c r="A38" s="77">
        <f t="shared" si="14"/>
        <v>5</v>
      </c>
      <c r="B38" s="111"/>
      <c r="C38" s="111"/>
      <c r="D38" s="106" t="s">
        <v>270</v>
      </c>
      <c r="E38" s="81" t="s">
        <v>423</v>
      </c>
      <c r="F38" s="108" t="s">
        <v>424</v>
      </c>
      <c r="G38" s="83" t="s">
        <v>178</v>
      </c>
      <c r="H38" s="110" t="str">
        <f t="shared" si="11"/>
        <v/>
      </c>
      <c r="I38" s="125">
        <f t="shared" si="12"/>
        <v>1</v>
      </c>
      <c r="J38" s="97" t="s">
        <v>318</v>
      </c>
      <c r="K38" s="97">
        <v>3.0</v>
      </c>
      <c r="L38" s="97"/>
      <c r="M38" s="97"/>
      <c r="N38" s="97"/>
      <c r="O38" s="121"/>
      <c r="P38" s="121"/>
      <c r="Q38" s="121"/>
      <c r="R38" s="121"/>
      <c r="S38" s="121"/>
      <c r="T38" s="121"/>
      <c r="U38" s="121"/>
      <c r="V38" s="121"/>
      <c r="W38" s="121"/>
      <c r="X38" s="121"/>
      <c r="Y38" s="121"/>
      <c r="Z38" s="121"/>
      <c r="AA38" s="97"/>
      <c r="AB38" s="97"/>
      <c r="AC38" s="97"/>
      <c r="AD38" s="97"/>
      <c r="AE38" s="97"/>
    </row>
    <row r="39" ht="21.0" customHeight="1">
      <c r="A39" s="77">
        <f t="shared" si="14"/>
        <v>6</v>
      </c>
      <c r="B39" s="111"/>
      <c r="C39" s="111"/>
      <c r="D39" s="106" t="s">
        <v>273</v>
      </c>
      <c r="E39" s="81" t="s">
        <v>425</v>
      </c>
      <c r="F39" s="108" t="s">
        <v>426</v>
      </c>
      <c r="G39" s="83" t="s">
        <v>178</v>
      </c>
      <c r="H39" s="110" t="str">
        <f t="shared" si="11"/>
        <v/>
      </c>
      <c r="I39" s="125">
        <f t="shared" si="12"/>
        <v>1</v>
      </c>
      <c r="J39" s="97" t="s">
        <v>427</v>
      </c>
      <c r="K39" s="127">
        <v>2.0</v>
      </c>
      <c r="L39" s="97"/>
      <c r="M39" s="97"/>
      <c r="N39" s="97"/>
      <c r="O39" s="121"/>
      <c r="P39" s="121"/>
      <c r="Q39" s="121"/>
      <c r="R39" s="121"/>
      <c r="S39" s="121"/>
      <c r="T39" s="121"/>
      <c r="U39" s="121"/>
      <c r="V39" s="121"/>
      <c r="W39" s="121"/>
      <c r="X39" s="121"/>
      <c r="Y39" s="121"/>
      <c r="Z39" s="121"/>
      <c r="AA39" s="97"/>
      <c r="AB39" s="97"/>
      <c r="AC39" s="97"/>
      <c r="AD39" s="97"/>
      <c r="AE39" s="97"/>
    </row>
    <row r="40" ht="21.0" customHeight="1">
      <c r="A40" s="77">
        <f t="shared" si="14"/>
        <v>7</v>
      </c>
      <c r="B40" s="111"/>
      <c r="C40" s="111"/>
      <c r="D40" s="106" t="s">
        <v>276</v>
      </c>
      <c r="E40" s="81" t="s">
        <v>428</v>
      </c>
      <c r="F40" s="108" t="s">
        <v>429</v>
      </c>
      <c r="G40" s="83" t="s">
        <v>178</v>
      </c>
      <c r="H40" s="110" t="str">
        <f t="shared" ref="H40:H41" si="15">IF(OR(G40=$J$53,G40=$J$54,G40=$J$55),$J$9,$J$8)</f>
        <v/>
      </c>
      <c r="I40" s="125">
        <f t="shared" ref="I40:I41" si="16">IF(G40=$J$53,$K$53,IF(G40=$J$54,$K$54,$K$55))</f>
        <v>1</v>
      </c>
      <c r="J40" s="97" t="s">
        <v>260</v>
      </c>
      <c r="K40" s="97">
        <v>1.0</v>
      </c>
      <c r="L40" s="97"/>
      <c r="M40" s="97"/>
      <c r="N40" s="97"/>
      <c r="O40" s="121"/>
      <c r="P40" s="121"/>
      <c r="Q40" s="121"/>
      <c r="R40" s="121"/>
      <c r="S40" s="121"/>
      <c r="T40" s="121"/>
      <c r="U40" s="121"/>
      <c r="V40" s="121"/>
      <c r="W40" s="121"/>
      <c r="X40" s="121"/>
      <c r="Y40" s="121"/>
      <c r="Z40" s="121"/>
      <c r="AA40" s="97"/>
      <c r="AB40" s="97"/>
      <c r="AC40" s="97"/>
      <c r="AD40" s="97"/>
      <c r="AE40" s="97"/>
    </row>
    <row r="41" ht="21.0" customHeight="1">
      <c r="A41" s="77">
        <f t="shared" si="14"/>
        <v>8</v>
      </c>
      <c r="B41" s="111"/>
      <c r="C41" s="111"/>
      <c r="D41" s="106" t="s">
        <v>279</v>
      </c>
      <c r="E41" s="81" t="s">
        <v>430</v>
      </c>
      <c r="F41" s="108" t="s">
        <v>431</v>
      </c>
      <c r="G41" s="83" t="s">
        <v>178</v>
      </c>
      <c r="H41" s="110" t="str">
        <f t="shared" si="15"/>
        <v/>
      </c>
      <c r="I41" s="125">
        <f t="shared" si="16"/>
        <v>1</v>
      </c>
      <c r="J41" s="97"/>
      <c r="K41" s="97"/>
      <c r="L41" s="97"/>
      <c r="M41" s="97"/>
      <c r="N41" s="97"/>
      <c r="O41" s="121"/>
      <c r="P41" s="121"/>
      <c r="Q41" s="121"/>
      <c r="R41" s="121"/>
      <c r="S41" s="121"/>
      <c r="T41" s="121"/>
      <c r="U41" s="121"/>
      <c r="V41" s="121"/>
      <c r="W41" s="121"/>
      <c r="X41" s="121"/>
      <c r="Y41" s="121"/>
      <c r="Z41" s="121"/>
      <c r="AA41" s="97"/>
      <c r="AB41" s="97"/>
      <c r="AC41" s="97"/>
      <c r="AD41" s="97"/>
      <c r="AE41" s="97"/>
    </row>
    <row r="42" ht="21.0" customHeight="1">
      <c r="A42" s="77">
        <f t="shared" si="14"/>
        <v>9</v>
      </c>
      <c r="B42" s="113"/>
      <c r="C42" s="113"/>
      <c r="D42" s="106" t="s">
        <v>282</v>
      </c>
      <c r="E42" s="81" t="s">
        <v>432</v>
      </c>
      <c r="F42" s="108" t="s">
        <v>433</v>
      </c>
      <c r="G42" s="83" t="s">
        <v>178</v>
      </c>
      <c r="H42" s="110" t="str">
        <f>IF(OR(G42=$J$22,G42=$J$23,G42=$J$24),$J$9,$J$8)</f>
        <v/>
      </c>
      <c r="I42" s="125">
        <f>IF(G42=$J$22,$K$22,IF(G42=$J$23,$K$23,$K$24))</f>
        <v>1</v>
      </c>
      <c r="J42" s="97" t="s">
        <v>124</v>
      </c>
      <c r="K42" s="97" t="s">
        <v>285</v>
      </c>
      <c r="L42" s="97"/>
      <c r="M42" s="97"/>
      <c r="N42" s="97"/>
      <c r="O42" s="121"/>
      <c r="P42" s="121"/>
      <c r="Q42" s="121"/>
      <c r="R42" s="121"/>
      <c r="S42" s="121"/>
      <c r="T42" s="121"/>
      <c r="U42" s="121"/>
      <c r="V42" s="121"/>
      <c r="W42" s="121"/>
      <c r="X42" s="121"/>
      <c r="Y42" s="121"/>
      <c r="Z42" s="121"/>
      <c r="AA42" s="97"/>
      <c r="AB42" s="97"/>
      <c r="AC42" s="97"/>
      <c r="AD42" s="97"/>
      <c r="AE42" s="97"/>
    </row>
    <row r="43" ht="21.0" customHeight="1">
      <c r="A43" s="77"/>
      <c r="B43" s="89"/>
      <c r="C43" s="89"/>
      <c r="D43" s="89"/>
      <c r="E43" s="89"/>
      <c r="F43" s="89"/>
      <c r="G43" s="89"/>
      <c r="H43" s="110"/>
      <c r="I43" s="125"/>
      <c r="J43" s="97" t="s">
        <v>60</v>
      </c>
      <c r="K43" s="97">
        <v>1.0</v>
      </c>
      <c r="L43" s="97"/>
      <c r="M43" s="97"/>
      <c r="N43" s="97"/>
      <c r="O43" s="121"/>
      <c r="P43" s="121"/>
      <c r="Q43" s="121"/>
      <c r="R43" s="121"/>
      <c r="S43" s="121"/>
      <c r="T43" s="121"/>
      <c r="U43" s="121"/>
      <c r="V43" s="121"/>
      <c r="W43" s="121"/>
      <c r="X43" s="121"/>
      <c r="Y43" s="121"/>
      <c r="Z43" s="121"/>
      <c r="AA43" s="97"/>
      <c r="AB43" s="97"/>
      <c r="AC43" s="97"/>
      <c r="AD43" s="97"/>
      <c r="AE43" s="97"/>
    </row>
    <row r="44" ht="21.0" customHeight="1">
      <c r="A44" s="77">
        <f t="shared" ref="A44:A46" si="17">A43+1</f>
        <v>1</v>
      </c>
      <c r="B44" s="104">
        <v>4.0</v>
      </c>
      <c r="C44" s="104" t="s">
        <v>287</v>
      </c>
      <c r="D44" s="106" t="s">
        <v>288</v>
      </c>
      <c r="E44" s="81" t="s">
        <v>434</v>
      </c>
      <c r="F44" s="108" t="s">
        <v>435</v>
      </c>
      <c r="G44" s="83" t="s">
        <v>178</v>
      </c>
      <c r="H44" s="110" t="str">
        <f t="shared" ref="H44:H46" si="18">IF(OR(G44=$J$53,G44=$J$54,G44=$J$55),$J$9,$J$8)</f>
        <v/>
      </c>
      <c r="I44" s="125">
        <f t="shared" ref="I44:I46" si="19">IF(G44=$J$53,$K$53,IF(G44=$J$54,$K$54,$K$55))</f>
        <v>1</v>
      </c>
      <c r="J44" s="126" t="s">
        <v>52</v>
      </c>
      <c r="K44" s="132">
        <v>3.0</v>
      </c>
      <c r="L44" s="97"/>
      <c r="M44" s="97"/>
      <c r="N44" s="97"/>
      <c r="O44" s="121"/>
      <c r="P44" s="121"/>
      <c r="Q44" s="121"/>
      <c r="R44" s="121"/>
      <c r="S44" s="121"/>
      <c r="T44" s="121"/>
      <c r="U44" s="121"/>
      <c r="V44" s="121"/>
      <c r="W44" s="121"/>
      <c r="X44" s="121"/>
      <c r="Y44" s="121"/>
      <c r="Z44" s="121"/>
      <c r="AA44" s="97"/>
      <c r="AB44" s="97"/>
      <c r="AC44" s="97"/>
      <c r="AD44" s="97"/>
      <c r="AE44" s="97"/>
    </row>
    <row r="45" ht="21.0" customHeight="1">
      <c r="A45" s="77">
        <f t="shared" si="17"/>
        <v>2</v>
      </c>
      <c r="B45" s="111"/>
      <c r="C45" s="111"/>
      <c r="D45" s="106" t="s">
        <v>292</v>
      </c>
      <c r="E45" s="81" t="s">
        <v>436</v>
      </c>
      <c r="F45" s="108" t="s">
        <v>435</v>
      </c>
      <c r="G45" s="83" t="s">
        <v>178</v>
      </c>
      <c r="H45" s="110" t="str">
        <f t="shared" si="18"/>
        <v/>
      </c>
      <c r="I45" s="125">
        <f t="shared" si="19"/>
        <v>1</v>
      </c>
      <c r="J45" s="97" t="s">
        <v>437</v>
      </c>
      <c r="K45" s="97">
        <v>2.0</v>
      </c>
      <c r="L45" s="97"/>
      <c r="M45" s="97"/>
      <c r="N45" s="97"/>
      <c r="O45" s="121"/>
      <c r="P45" s="121"/>
      <c r="Q45" s="121"/>
      <c r="R45" s="121"/>
      <c r="S45" s="121"/>
      <c r="T45" s="121"/>
      <c r="U45" s="121"/>
      <c r="V45" s="121"/>
      <c r="W45" s="121"/>
      <c r="X45" s="121"/>
      <c r="Y45" s="121"/>
      <c r="Z45" s="121"/>
      <c r="AA45" s="97"/>
      <c r="AB45" s="97"/>
      <c r="AC45" s="97"/>
      <c r="AD45" s="97"/>
      <c r="AE45" s="97"/>
    </row>
    <row r="46" ht="21.0" customHeight="1">
      <c r="A46" s="77">
        <f t="shared" si="17"/>
        <v>3</v>
      </c>
      <c r="B46" s="113"/>
      <c r="C46" s="113"/>
      <c r="D46" s="106" t="s">
        <v>295</v>
      </c>
      <c r="E46" s="81" t="s">
        <v>438</v>
      </c>
      <c r="F46" s="108" t="s">
        <v>435</v>
      </c>
      <c r="G46" s="83" t="s">
        <v>178</v>
      </c>
      <c r="H46" s="110" t="str">
        <f t="shared" si="18"/>
        <v/>
      </c>
      <c r="I46" s="125">
        <f t="shared" si="19"/>
        <v>1</v>
      </c>
      <c r="J46" s="97"/>
      <c r="K46" s="97"/>
      <c r="L46" s="97"/>
      <c r="M46" s="97"/>
      <c r="N46" s="97"/>
      <c r="O46" s="121"/>
      <c r="P46" s="121"/>
      <c r="Q46" s="121"/>
      <c r="R46" s="121"/>
      <c r="S46" s="121"/>
      <c r="T46" s="121"/>
      <c r="U46" s="121"/>
      <c r="V46" s="121"/>
      <c r="W46" s="121"/>
      <c r="X46" s="121"/>
      <c r="Y46" s="121"/>
      <c r="Z46" s="121"/>
      <c r="AA46" s="97"/>
      <c r="AB46" s="97"/>
      <c r="AC46" s="97"/>
      <c r="AD46" s="97"/>
      <c r="AE46" s="97"/>
    </row>
    <row r="47" ht="21.0" customHeight="1">
      <c r="A47" s="59"/>
      <c r="B47" s="89"/>
      <c r="C47" s="89"/>
      <c r="D47" s="89"/>
      <c r="E47" s="89"/>
      <c r="F47" s="89"/>
      <c r="G47" s="89"/>
      <c r="H47" s="110"/>
      <c r="I47" s="125"/>
      <c r="J47" s="97" t="s">
        <v>137</v>
      </c>
      <c r="K47" s="97" t="s">
        <v>297</v>
      </c>
      <c r="L47" s="97"/>
      <c r="M47" s="97"/>
      <c r="N47" s="97"/>
      <c r="O47" s="121"/>
      <c r="P47" s="121"/>
      <c r="Q47" s="121"/>
      <c r="R47" s="121"/>
      <c r="S47" s="121"/>
      <c r="T47" s="121"/>
      <c r="U47" s="121"/>
      <c r="V47" s="121"/>
      <c r="W47" s="121"/>
      <c r="X47" s="121"/>
      <c r="Y47" s="121"/>
      <c r="Z47" s="121"/>
      <c r="AA47" s="97"/>
      <c r="AB47" s="97"/>
      <c r="AC47" s="97"/>
      <c r="AD47" s="97"/>
      <c r="AE47" s="97"/>
    </row>
    <row r="48" ht="21.0" customHeight="1">
      <c r="A48" s="77">
        <f t="shared" ref="A48:A57" si="20">A47+1</f>
        <v>1</v>
      </c>
      <c r="B48" s="104">
        <v>5.0</v>
      </c>
      <c r="C48" s="104" t="s">
        <v>298</v>
      </c>
      <c r="D48" s="106" t="s">
        <v>299</v>
      </c>
      <c r="E48" s="81" t="s">
        <v>439</v>
      </c>
      <c r="F48" s="108" t="s">
        <v>440</v>
      </c>
      <c r="G48" s="83" t="s">
        <v>178</v>
      </c>
      <c r="H48" s="110" t="str">
        <f>IF(OR(G48=$J$22,G48=$J$23,G48=$J$24),$J$9,$J$8)</f>
        <v/>
      </c>
      <c r="I48" s="125">
        <f>IF(G48=$J$22,$K$22,IF(G48=$J$23,$K$23,$K$24))</f>
        <v>1</v>
      </c>
      <c r="J48" s="97" t="s">
        <v>60</v>
      </c>
      <c r="K48" s="97">
        <v>1.0</v>
      </c>
      <c r="L48" s="97"/>
      <c r="M48" s="97"/>
      <c r="N48" s="97"/>
      <c r="O48" s="121"/>
      <c r="P48" s="121"/>
      <c r="Q48" s="121"/>
      <c r="R48" s="121"/>
      <c r="S48" s="121"/>
      <c r="T48" s="121"/>
      <c r="U48" s="121"/>
      <c r="V48" s="121"/>
      <c r="W48" s="121"/>
      <c r="X48" s="121"/>
      <c r="Y48" s="121"/>
      <c r="Z48" s="121"/>
      <c r="AA48" s="97"/>
      <c r="AB48" s="97"/>
      <c r="AC48" s="97"/>
      <c r="AD48" s="97"/>
      <c r="AE48" s="97"/>
    </row>
    <row r="49" ht="21.0" customHeight="1">
      <c r="A49" s="77">
        <f t="shared" si="20"/>
        <v>2</v>
      </c>
      <c r="B49" s="111"/>
      <c r="C49" s="111"/>
      <c r="D49" s="106" t="s">
        <v>302</v>
      </c>
      <c r="E49" s="81" t="s">
        <v>441</v>
      </c>
      <c r="F49" s="108" t="s">
        <v>442</v>
      </c>
      <c r="G49" s="83" t="s">
        <v>178</v>
      </c>
      <c r="H49" s="110" t="str">
        <f t="shared" ref="H49:H50" si="21">IF(OR(G49=$J$53,G49=$J$54,G49=$J$55),$J$9,$J$8)</f>
        <v/>
      </c>
      <c r="I49" s="125">
        <f t="shared" ref="I49:I50" si="22">IF(G49=$J$53,$K$53,IF(G49=$J$54,$K$54,$K$55))</f>
        <v>1</v>
      </c>
      <c r="J49" s="126" t="s">
        <v>322</v>
      </c>
      <c r="K49" s="132">
        <v>2.0</v>
      </c>
      <c r="L49" s="97"/>
      <c r="M49" s="97"/>
      <c r="N49" s="97"/>
      <c r="O49" s="121"/>
      <c r="P49" s="121"/>
      <c r="Q49" s="121"/>
      <c r="R49" s="121"/>
      <c r="S49" s="121"/>
      <c r="T49" s="121"/>
      <c r="U49" s="121"/>
      <c r="V49" s="121"/>
      <c r="W49" s="121"/>
      <c r="X49" s="121"/>
      <c r="Y49" s="121"/>
      <c r="Z49" s="121"/>
      <c r="AA49" s="97"/>
      <c r="AB49" s="97"/>
      <c r="AC49" s="97"/>
      <c r="AD49" s="97"/>
      <c r="AE49" s="97"/>
    </row>
    <row r="50" ht="21.0" customHeight="1">
      <c r="A50" s="77">
        <f t="shared" si="20"/>
        <v>3</v>
      </c>
      <c r="B50" s="111"/>
      <c r="C50" s="111"/>
      <c r="D50" s="106" t="s">
        <v>305</v>
      </c>
      <c r="E50" s="81" t="s">
        <v>443</v>
      </c>
      <c r="F50" s="108" t="s">
        <v>444</v>
      </c>
      <c r="G50" s="83" t="s">
        <v>178</v>
      </c>
      <c r="H50" s="110" t="str">
        <f t="shared" si="21"/>
        <v/>
      </c>
      <c r="I50" s="125">
        <f t="shared" si="22"/>
        <v>1</v>
      </c>
      <c r="J50" s="97" t="s">
        <v>52</v>
      </c>
      <c r="K50" s="97">
        <v>3.0</v>
      </c>
      <c r="L50" s="97"/>
      <c r="M50" s="97"/>
      <c r="N50" s="97"/>
      <c r="O50" s="121"/>
      <c r="P50" s="121"/>
      <c r="Q50" s="121"/>
      <c r="R50" s="121"/>
      <c r="S50" s="121"/>
      <c r="T50" s="121"/>
      <c r="U50" s="121"/>
      <c r="V50" s="121"/>
      <c r="W50" s="121"/>
      <c r="X50" s="121"/>
      <c r="Y50" s="121"/>
      <c r="Z50" s="121"/>
      <c r="AA50" s="97"/>
      <c r="AB50" s="97"/>
      <c r="AC50" s="97"/>
      <c r="AD50" s="97"/>
      <c r="AE50" s="97"/>
    </row>
    <row r="51" ht="21.0" customHeight="1">
      <c r="A51" s="77">
        <f t="shared" si="20"/>
        <v>4</v>
      </c>
      <c r="B51" s="111"/>
      <c r="C51" s="111"/>
      <c r="D51" s="106" t="s">
        <v>308</v>
      </c>
      <c r="E51" s="81" t="s">
        <v>445</v>
      </c>
      <c r="F51" s="108" t="s">
        <v>446</v>
      </c>
      <c r="G51" s="83" t="s">
        <v>178</v>
      </c>
      <c r="H51" s="110" t="str">
        <f>IF(OR(G51=$J$22,G51=$J$23,G51=$J$24),$J$9,$J$8)</f>
        <v/>
      </c>
      <c r="I51" s="125">
        <f>IF(G51=$J$22,$K$22,IF(G51=$J$23,$K$23,$K$24))</f>
        <v>1</v>
      </c>
      <c r="J51" s="97"/>
      <c r="K51" s="97"/>
      <c r="L51" s="97"/>
      <c r="M51" s="97"/>
      <c r="N51" s="97"/>
      <c r="O51" s="121"/>
      <c r="P51" s="121"/>
      <c r="Q51" s="121"/>
      <c r="R51" s="121"/>
      <c r="S51" s="121"/>
      <c r="T51" s="121"/>
      <c r="U51" s="121"/>
      <c r="V51" s="121"/>
      <c r="W51" s="121"/>
      <c r="X51" s="121"/>
      <c r="Y51" s="121"/>
      <c r="Z51" s="121"/>
      <c r="AA51" s="97"/>
      <c r="AB51" s="97"/>
      <c r="AC51" s="97"/>
      <c r="AD51" s="97"/>
      <c r="AE51" s="97"/>
    </row>
    <row r="52" ht="21.0" customHeight="1">
      <c r="A52" s="77">
        <f t="shared" si="20"/>
        <v>5</v>
      </c>
      <c r="B52" s="111"/>
      <c r="C52" s="111"/>
      <c r="D52" s="106" t="s">
        <v>311</v>
      </c>
      <c r="E52" s="81" t="s">
        <v>447</v>
      </c>
      <c r="F52" s="108" t="s">
        <v>448</v>
      </c>
      <c r="G52" s="83" t="s">
        <v>52</v>
      </c>
      <c r="H52" s="110" t="str">
        <f>IF(OR(G52=$J$63,G52=$J$64,G52=$J$65),$J$9,$J$8)</f>
        <v/>
      </c>
      <c r="I52" s="125">
        <f>IF(G52=$J$63,$K$63,IF(G52=$J$64,$K$64,$K$65))</f>
        <v>1</v>
      </c>
      <c r="J52" s="126" t="s">
        <v>155</v>
      </c>
      <c r="K52" s="132" t="s">
        <v>314</v>
      </c>
      <c r="L52" s="97"/>
      <c r="M52" s="97"/>
      <c r="N52" s="97"/>
      <c r="O52" s="121"/>
      <c r="P52" s="121"/>
      <c r="Q52" s="121"/>
      <c r="R52" s="121"/>
      <c r="S52" s="121"/>
      <c r="T52" s="121"/>
      <c r="U52" s="121"/>
      <c r="V52" s="121"/>
      <c r="W52" s="121"/>
      <c r="X52" s="121"/>
      <c r="Y52" s="121"/>
      <c r="Z52" s="121"/>
      <c r="AA52" s="97"/>
      <c r="AB52" s="97"/>
      <c r="AC52" s="97"/>
      <c r="AD52" s="97"/>
      <c r="AE52" s="97"/>
    </row>
    <row r="53" ht="21.0" customHeight="1">
      <c r="A53" s="77">
        <f t="shared" si="20"/>
        <v>6</v>
      </c>
      <c r="B53" s="111"/>
      <c r="C53" s="111"/>
      <c r="D53" s="106" t="s">
        <v>315</v>
      </c>
      <c r="E53" s="81" t="s">
        <v>449</v>
      </c>
      <c r="F53" s="108" t="s">
        <v>450</v>
      </c>
      <c r="G53" s="83" t="s">
        <v>178</v>
      </c>
      <c r="H53" s="110" t="str">
        <f>IF(OR(G53=$J$22,G53=$J$23,G53=$J$24),$J$9,$J$8)</f>
        <v/>
      </c>
      <c r="I53" s="125">
        <f>IF(G53=$J$22,$K$22,IF(G53=$J$23,$K$23,$K$24))</f>
        <v>1</v>
      </c>
      <c r="J53" s="97" t="s">
        <v>318</v>
      </c>
      <c r="K53" s="97">
        <v>3.0</v>
      </c>
      <c r="L53" s="97"/>
      <c r="M53" s="97"/>
      <c r="N53" s="97"/>
      <c r="O53" s="121"/>
      <c r="P53" s="121"/>
      <c r="Q53" s="121"/>
      <c r="R53" s="121"/>
      <c r="S53" s="121"/>
      <c r="T53" s="121"/>
      <c r="U53" s="121"/>
      <c r="V53" s="121"/>
      <c r="W53" s="121"/>
      <c r="X53" s="121"/>
      <c r="Y53" s="121"/>
      <c r="Z53" s="121"/>
      <c r="AA53" s="97"/>
      <c r="AB53" s="97"/>
      <c r="AC53" s="97"/>
      <c r="AD53" s="97"/>
      <c r="AE53" s="97"/>
    </row>
    <row r="54" ht="21.0" customHeight="1">
      <c r="A54" s="77">
        <f t="shared" si="20"/>
        <v>7</v>
      </c>
      <c r="B54" s="111"/>
      <c r="C54" s="111"/>
      <c r="D54" s="106" t="s">
        <v>319</v>
      </c>
      <c r="E54" s="81" t="s">
        <v>451</v>
      </c>
      <c r="F54" s="108" t="s">
        <v>452</v>
      </c>
      <c r="G54" s="83" t="s">
        <v>178</v>
      </c>
      <c r="H54" s="110" t="str">
        <f>IF(OR(G54=$J$53,G54=$J$54,G54=$J$55),$J$9,$J$8)</f>
        <v/>
      </c>
      <c r="I54" s="125">
        <f>IF(G54=$J$53,$K$53,IF(G54=$J$54,$K$54,$K$55))</f>
        <v>1</v>
      </c>
      <c r="J54" s="97" t="s">
        <v>260</v>
      </c>
      <c r="K54" s="97">
        <v>2.0</v>
      </c>
      <c r="L54" s="97"/>
      <c r="M54" s="97"/>
      <c r="N54" s="97"/>
      <c r="O54" s="121"/>
      <c r="P54" s="121"/>
      <c r="Q54" s="121"/>
      <c r="R54" s="121"/>
      <c r="S54" s="121"/>
      <c r="T54" s="121"/>
      <c r="U54" s="121"/>
      <c r="V54" s="121"/>
      <c r="W54" s="121"/>
      <c r="X54" s="121"/>
      <c r="Y54" s="121"/>
      <c r="Z54" s="121"/>
      <c r="AA54" s="97"/>
      <c r="AB54" s="97"/>
      <c r="AC54" s="97"/>
      <c r="AD54" s="97"/>
      <c r="AE54" s="97"/>
    </row>
    <row r="55" ht="21.0" customHeight="1">
      <c r="A55" s="77">
        <f t="shared" si="20"/>
        <v>8</v>
      </c>
      <c r="B55" s="111"/>
      <c r="C55" s="111"/>
      <c r="D55" s="106" t="s">
        <v>323</v>
      </c>
      <c r="E55" s="81" t="s">
        <v>453</v>
      </c>
      <c r="F55" s="108" t="s">
        <v>454</v>
      </c>
      <c r="G55" s="83" t="s">
        <v>178</v>
      </c>
      <c r="H55" s="110" t="str">
        <f t="shared" ref="H55:H57" si="23">IF(OR(G55=$J$22,G55=$J$23,G55=$J$24),$J$9,$J$8)</f>
        <v/>
      </c>
      <c r="I55" s="125">
        <f t="shared" ref="I55:I57" si="24">IF(G55=$J$22,$K$22,IF(G55=$J$23,$K$23,$K$24))</f>
        <v>1</v>
      </c>
      <c r="J55" s="97" t="s">
        <v>178</v>
      </c>
      <c r="K55" s="97">
        <v>1.0</v>
      </c>
      <c r="L55" s="97"/>
      <c r="M55" s="97"/>
      <c r="N55" s="97"/>
      <c r="O55" s="121"/>
      <c r="P55" s="121"/>
      <c r="Q55" s="121"/>
      <c r="R55" s="121"/>
      <c r="S55" s="121"/>
      <c r="T55" s="121"/>
      <c r="U55" s="121"/>
      <c r="V55" s="121"/>
      <c r="W55" s="121"/>
      <c r="X55" s="121"/>
      <c r="Y55" s="121"/>
      <c r="Z55" s="121"/>
      <c r="AA55" s="97"/>
      <c r="AB55" s="97"/>
      <c r="AC55" s="97"/>
      <c r="AD55" s="97"/>
      <c r="AE55" s="97"/>
    </row>
    <row r="56" ht="21.0" customHeight="1">
      <c r="A56" s="77">
        <f t="shared" si="20"/>
        <v>9</v>
      </c>
      <c r="B56" s="111"/>
      <c r="C56" s="111"/>
      <c r="D56" s="106" t="s">
        <v>326</v>
      </c>
      <c r="E56" s="81" t="s">
        <v>455</v>
      </c>
      <c r="F56" s="108" t="s">
        <v>456</v>
      </c>
      <c r="G56" s="83" t="s">
        <v>178</v>
      </c>
      <c r="H56" s="110" t="str">
        <f t="shared" si="23"/>
        <v/>
      </c>
      <c r="I56" s="125">
        <f t="shared" si="24"/>
        <v>1</v>
      </c>
      <c r="J56" s="126"/>
      <c r="K56" s="132"/>
      <c r="L56" s="97"/>
      <c r="M56" s="97"/>
      <c r="N56" s="97"/>
      <c r="O56" s="121"/>
      <c r="P56" s="121"/>
      <c r="Q56" s="121"/>
      <c r="R56" s="121"/>
      <c r="S56" s="121"/>
      <c r="T56" s="121"/>
      <c r="U56" s="121"/>
      <c r="V56" s="121"/>
      <c r="W56" s="121"/>
      <c r="X56" s="121"/>
      <c r="Y56" s="121"/>
      <c r="Z56" s="121"/>
      <c r="AA56" s="97"/>
      <c r="AB56" s="97"/>
      <c r="AC56" s="97"/>
      <c r="AD56" s="97"/>
      <c r="AE56" s="97"/>
    </row>
    <row r="57" ht="21.0" customHeight="1">
      <c r="A57" s="77">
        <f t="shared" si="20"/>
        <v>10</v>
      </c>
      <c r="B57" s="113"/>
      <c r="C57" s="113"/>
      <c r="D57" s="106" t="s">
        <v>329</v>
      </c>
      <c r="E57" s="81" t="s">
        <v>457</v>
      </c>
      <c r="F57" s="108" t="s">
        <v>458</v>
      </c>
      <c r="G57" s="83" t="s">
        <v>178</v>
      </c>
      <c r="H57" s="110" t="str">
        <f t="shared" si="23"/>
        <v/>
      </c>
      <c r="I57" s="125">
        <f t="shared" si="24"/>
        <v>1</v>
      </c>
      <c r="J57" s="126" t="s">
        <v>155</v>
      </c>
      <c r="K57" s="132" t="s">
        <v>331</v>
      </c>
      <c r="L57" s="97"/>
      <c r="M57" s="97"/>
      <c r="N57" s="97"/>
      <c r="O57" s="121"/>
      <c r="P57" s="121"/>
      <c r="Q57" s="121"/>
      <c r="R57" s="121"/>
      <c r="S57" s="121"/>
      <c r="T57" s="121"/>
      <c r="U57" s="121"/>
      <c r="V57" s="121"/>
      <c r="W57" s="121"/>
      <c r="X57" s="121"/>
      <c r="Y57" s="121"/>
      <c r="Z57" s="121"/>
      <c r="AA57" s="97"/>
      <c r="AB57" s="97"/>
      <c r="AC57" s="97"/>
      <c r="AD57" s="97"/>
      <c r="AE57" s="97"/>
    </row>
    <row r="58" ht="21.0" customHeight="1">
      <c r="A58" s="59"/>
      <c r="B58" s="89"/>
      <c r="C58" s="89"/>
      <c r="D58" s="89"/>
      <c r="E58" s="89"/>
      <c r="F58" s="89"/>
      <c r="G58" s="89"/>
      <c r="H58" s="110"/>
      <c r="I58" s="125"/>
      <c r="J58" s="97" t="s">
        <v>332</v>
      </c>
      <c r="K58" s="97">
        <v>3.0</v>
      </c>
      <c r="L58" s="97"/>
      <c r="M58" s="97"/>
      <c r="N58" s="97"/>
      <c r="O58" s="121"/>
      <c r="P58" s="121"/>
      <c r="Q58" s="121"/>
      <c r="R58" s="121"/>
      <c r="S58" s="121"/>
      <c r="T58" s="121"/>
      <c r="U58" s="121"/>
      <c r="V58" s="121"/>
      <c r="W58" s="121"/>
      <c r="X58" s="121"/>
      <c r="Y58" s="121"/>
      <c r="Z58" s="121"/>
      <c r="AA58" s="97"/>
      <c r="AB58" s="97"/>
      <c r="AC58" s="97"/>
      <c r="AD58" s="97"/>
      <c r="AE58" s="97"/>
    </row>
    <row r="59" ht="21.0" customHeight="1">
      <c r="A59" s="77">
        <f t="shared" ref="A59:A67" si="25">A58+1</f>
        <v>1</v>
      </c>
      <c r="B59" s="104">
        <v>6.0</v>
      </c>
      <c r="C59" s="104" t="s">
        <v>333</v>
      </c>
      <c r="D59" s="106" t="s">
        <v>334</v>
      </c>
      <c r="E59" s="81" t="s">
        <v>459</v>
      </c>
      <c r="F59" s="108" t="s">
        <v>460</v>
      </c>
      <c r="G59" s="83" t="s">
        <v>178</v>
      </c>
      <c r="H59" s="110" t="str">
        <f>IF(OR(G59=$J$53,G59=$J$54,G59=$J$55),$J$9,$J$8)</f>
        <v/>
      </c>
      <c r="I59" s="125">
        <f>IF(G59=$J$53,$K$53,IF(G59=$J$54,$K$54,$K$55))</f>
        <v>1</v>
      </c>
      <c r="J59" s="97" t="s">
        <v>63</v>
      </c>
      <c r="K59" s="97">
        <v>2.0</v>
      </c>
      <c r="L59" s="97"/>
      <c r="M59" s="97"/>
      <c r="N59" s="97"/>
      <c r="O59" s="121"/>
      <c r="P59" s="121"/>
      <c r="Q59" s="121"/>
      <c r="R59" s="121"/>
      <c r="S59" s="121"/>
      <c r="T59" s="121"/>
      <c r="U59" s="121"/>
      <c r="V59" s="121"/>
      <c r="W59" s="121"/>
      <c r="X59" s="121"/>
      <c r="Y59" s="121"/>
      <c r="Z59" s="121"/>
      <c r="AA59" s="97"/>
      <c r="AB59" s="97"/>
      <c r="AC59" s="97"/>
      <c r="AD59" s="97"/>
      <c r="AE59" s="97"/>
    </row>
    <row r="60" ht="21.0" customHeight="1">
      <c r="A60" s="77">
        <f t="shared" si="25"/>
        <v>2</v>
      </c>
      <c r="B60" s="111"/>
      <c r="C60" s="111"/>
      <c r="D60" s="106" t="s">
        <v>337</v>
      </c>
      <c r="E60" s="81" t="s">
        <v>461</v>
      </c>
      <c r="F60" s="108" t="s">
        <v>462</v>
      </c>
      <c r="G60" s="83" t="s">
        <v>60</v>
      </c>
      <c r="H60" s="110" t="str">
        <f>IF(OR(G60=$J$63,G60=$J$64,G60=$J$65),$J$9,$J$8)</f>
        <v/>
      </c>
      <c r="I60" s="125">
        <f>IF(G60=$J$48,$K$48,IF(G60=$J$49,$K$49,$K$50))</f>
        <v>1</v>
      </c>
      <c r="J60" s="97" t="s">
        <v>340</v>
      </c>
      <c r="K60" s="97">
        <v>1.0</v>
      </c>
      <c r="L60" s="97"/>
      <c r="M60" s="97"/>
      <c r="N60" s="97"/>
      <c r="O60" s="121"/>
      <c r="P60" s="121"/>
      <c r="Q60" s="121"/>
      <c r="R60" s="121"/>
      <c r="S60" s="121"/>
      <c r="T60" s="121"/>
      <c r="U60" s="121"/>
      <c r="V60" s="121"/>
      <c r="W60" s="121"/>
      <c r="X60" s="121"/>
      <c r="Y60" s="121"/>
      <c r="Z60" s="121"/>
      <c r="AA60" s="97"/>
      <c r="AB60" s="97"/>
      <c r="AC60" s="97"/>
      <c r="AD60" s="97"/>
      <c r="AE60" s="97"/>
    </row>
    <row r="61" ht="21.0" customHeight="1">
      <c r="A61" s="77">
        <f t="shared" si="25"/>
        <v>3</v>
      </c>
      <c r="B61" s="111"/>
      <c r="C61" s="111"/>
      <c r="D61" s="106" t="s">
        <v>341</v>
      </c>
      <c r="E61" s="81" t="s">
        <v>463</v>
      </c>
      <c r="F61" s="108" t="s">
        <v>464</v>
      </c>
      <c r="G61" s="83" t="s">
        <v>178</v>
      </c>
      <c r="H61" s="110" t="str">
        <f>IF(OR(G61=$J$53,G61=$J$54,G61=$J$55),$J$9,$J$8)</f>
        <v/>
      </c>
      <c r="I61" s="125">
        <f>IF(G61=$J$53,$K$53,IF(G61=$J$54,$K$54,$K$55))</f>
        <v>1</v>
      </c>
      <c r="J61" s="97"/>
      <c r="K61" s="97"/>
      <c r="L61" s="97"/>
      <c r="M61" s="97"/>
      <c r="N61" s="97"/>
      <c r="O61" s="121"/>
      <c r="P61" s="121"/>
      <c r="Q61" s="121"/>
      <c r="R61" s="121"/>
      <c r="S61" s="121"/>
      <c r="T61" s="121"/>
      <c r="U61" s="121"/>
      <c r="V61" s="121"/>
      <c r="W61" s="121"/>
      <c r="X61" s="121"/>
      <c r="Y61" s="121"/>
      <c r="Z61" s="121"/>
      <c r="AA61" s="97"/>
      <c r="AB61" s="97"/>
      <c r="AC61" s="97"/>
      <c r="AD61" s="97"/>
      <c r="AE61" s="97"/>
    </row>
    <row r="62" ht="21.0" customHeight="1">
      <c r="A62" s="77">
        <f t="shared" si="25"/>
        <v>4</v>
      </c>
      <c r="B62" s="111"/>
      <c r="C62" s="111"/>
      <c r="D62" s="106" t="s">
        <v>344</v>
      </c>
      <c r="E62" s="81" t="s">
        <v>465</v>
      </c>
      <c r="F62" s="108" t="s">
        <v>466</v>
      </c>
      <c r="G62" s="83" t="s">
        <v>60</v>
      </c>
      <c r="H62" s="110" t="str">
        <f t="shared" ref="H62:H67" si="26">IF(OR(G62=$J$63,G62=$J$64,G62=$J$65),$J$9,$J$8)</f>
        <v/>
      </c>
      <c r="I62" s="125">
        <f t="shared" ref="I62:I67" si="27">IF(G62=$J$48,$K$48,IF(G62=$J$49,$K$49,$K$50))</f>
        <v>1</v>
      </c>
      <c r="J62" s="126" t="s">
        <v>167</v>
      </c>
      <c r="K62" s="132" t="s">
        <v>297</v>
      </c>
      <c r="L62" s="97"/>
      <c r="M62" s="97"/>
      <c r="N62" s="97"/>
      <c r="O62" s="121"/>
      <c r="P62" s="121"/>
      <c r="Q62" s="121"/>
      <c r="R62" s="121"/>
      <c r="S62" s="121"/>
      <c r="T62" s="121"/>
      <c r="U62" s="121"/>
      <c r="V62" s="121"/>
      <c r="W62" s="121"/>
      <c r="X62" s="121"/>
      <c r="Y62" s="121"/>
      <c r="Z62" s="121"/>
      <c r="AA62" s="97"/>
      <c r="AB62" s="97"/>
      <c r="AC62" s="97"/>
      <c r="AD62" s="97"/>
      <c r="AE62" s="97"/>
    </row>
    <row r="63" ht="21.0" customHeight="1">
      <c r="A63" s="77">
        <f t="shared" si="25"/>
        <v>5</v>
      </c>
      <c r="B63" s="111"/>
      <c r="C63" s="111"/>
      <c r="D63" s="106" t="s">
        <v>348</v>
      </c>
      <c r="E63" s="81" t="s">
        <v>467</v>
      </c>
      <c r="F63" s="108" t="s">
        <v>468</v>
      </c>
      <c r="G63" s="83" t="s">
        <v>60</v>
      </c>
      <c r="H63" s="110" t="str">
        <f t="shared" si="26"/>
        <v/>
      </c>
      <c r="I63" s="125">
        <f t="shared" si="27"/>
        <v>1</v>
      </c>
      <c r="J63" s="97" t="s">
        <v>60</v>
      </c>
      <c r="K63" s="97">
        <v>3.0</v>
      </c>
      <c r="L63" s="97"/>
      <c r="M63" s="97"/>
      <c r="N63" s="97"/>
      <c r="O63" s="121"/>
      <c r="P63" s="121"/>
      <c r="Q63" s="121"/>
      <c r="R63" s="121"/>
      <c r="S63" s="121"/>
      <c r="T63" s="121"/>
      <c r="U63" s="121"/>
      <c r="V63" s="121"/>
      <c r="W63" s="121"/>
      <c r="X63" s="121"/>
      <c r="Y63" s="121"/>
      <c r="Z63" s="121"/>
      <c r="AA63" s="97"/>
      <c r="AB63" s="97"/>
      <c r="AC63" s="97"/>
      <c r="AD63" s="97"/>
      <c r="AE63" s="97"/>
    </row>
    <row r="64" ht="21.0" customHeight="1">
      <c r="A64" s="77">
        <f t="shared" si="25"/>
        <v>6</v>
      </c>
      <c r="B64" s="111"/>
      <c r="C64" s="111"/>
      <c r="D64" s="106" t="s">
        <v>351</v>
      </c>
      <c r="E64" s="81" t="s">
        <v>469</v>
      </c>
      <c r="F64" s="115"/>
      <c r="G64" s="83" t="s">
        <v>60</v>
      </c>
      <c r="H64" s="110" t="str">
        <f t="shared" si="26"/>
        <v/>
      </c>
      <c r="I64" s="125">
        <f t="shared" si="27"/>
        <v>1</v>
      </c>
      <c r="J64" s="97" t="s">
        <v>52</v>
      </c>
      <c r="K64" s="97">
        <v>1.0</v>
      </c>
      <c r="L64" s="97"/>
      <c r="M64" s="97"/>
      <c r="N64" s="97"/>
      <c r="O64" s="121"/>
      <c r="P64" s="121"/>
      <c r="Q64" s="121"/>
      <c r="R64" s="121"/>
      <c r="S64" s="121"/>
      <c r="T64" s="121"/>
      <c r="U64" s="121"/>
      <c r="V64" s="121"/>
      <c r="W64" s="121"/>
      <c r="X64" s="121"/>
      <c r="Y64" s="121"/>
      <c r="Z64" s="121"/>
      <c r="AA64" s="97"/>
      <c r="AB64" s="97"/>
      <c r="AC64" s="97"/>
      <c r="AD64" s="97"/>
      <c r="AE64" s="97"/>
    </row>
    <row r="65" ht="21.0" customHeight="1">
      <c r="A65" s="77">
        <f t="shared" si="25"/>
        <v>7</v>
      </c>
      <c r="B65" s="111"/>
      <c r="C65" s="111"/>
      <c r="D65" s="106" t="s">
        <v>354</v>
      </c>
      <c r="E65" s="81" t="s">
        <v>470</v>
      </c>
      <c r="F65" s="115"/>
      <c r="G65" s="83" t="s">
        <v>60</v>
      </c>
      <c r="H65" s="110" t="str">
        <f t="shared" si="26"/>
        <v/>
      </c>
      <c r="I65" s="125">
        <f t="shared" si="27"/>
        <v>1</v>
      </c>
      <c r="J65" s="97" t="s">
        <v>322</v>
      </c>
      <c r="K65" s="97">
        <v>2.0</v>
      </c>
      <c r="L65" s="97"/>
      <c r="M65" s="97"/>
      <c r="N65" s="97"/>
      <c r="O65" s="121"/>
      <c r="P65" s="121"/>
      <c r="Q65" s="121"/>
      <c r="R65" s="121"/>
      <c r="S65" s="121"/>
      <c r="T65" s="121"/>
      <c r="U65" s="121"/>
      <c r="V65" s="121"/>
      <c r="W65" s="121"/>
      <c r="X65" s="121"/>
      <c r="Y65" s="121"/>
      <c r="Z65" s="121"/>
      <c r="AA65" s="97"/>
      <c r="AB65" s="97"/>
      <c r="AC65" s="97"/>
      <c r="AD65" s="97"/>
      <c r="AE65" s="97"/>
    </row>
    <row r="66" ht="21.0" customHeight="1">
      <c r="A66" s="77">
        <f t="shared" si="25"/>
        <v>8</v>
      </c>
      <c r="B66" s="111"/>
      <c r="C66" s="111"/>
      <c r="D66" s="106" t="s">
        <v>357</v>
      </c>
      <c r="E66" s="81" t="s">
        <v>471</v>
      </c>
      <c r="F66" s="115"/>
      <c r="G66" s="83" t="s">
        <v>60</v>
      </c>
      <c r="H66" s="110" t="str">
        <f t="shared" si="26"/>
        <v/>
      </c>
      <c r="I66" s="125">
        <f t="shared" si="27"/>
        <v>1</v>
      </c>
      <c r="J66" s="97"/>
      <c r="K66" s="97"/>
      <c r="L66" s="97"/>
      <c r="M66" s="97"/>
      <c r="N66" s="97"/>
      <c r="O66" s="121"/>
      <c r="P66" s="121"/>
      <c r="Q66" s="121"/>
      <c r="R66" s="121"/>
      <c r="S66" s="121"/>
      <c r="T66" s="121"/>
      <c r="U66" s="121"/>
      <c r="V66" s="121"/>
      <c r="W66" s="121"/>
      <c r="X66" s="121"/>
      <c r="Y66" s="121"/>
      <c r="Z66" s="121"/>
      <c r="AA66" s="97"/>
      <c r="AB66" s="97"/>
      <c r="AC66" s="97"/>
      <c r="AD66" s="97"/>
      <c r="AE66" s="97"/>
    </row>
    <row r="67" ht="21.0" customHeight="1">
      <c r="A67" s="77">
        <f t="shared" si="25"/>
        <v>9</v>
      </c>
      <c r="B67" s="111"/>
      <c r="C67" s="111"/>
      <c r="D67" s="106" t="s">
        <v>360</v>
      </c>
      <c r="E67" s="81" t="s">
        <v>472</v>
      </c>
      <c r="F67" s="115" t="s">
        <v>473</v>
      </c>
      <c r="G67" s="83" t="s">
        <v>60</v>
      </c>
      <c r="H67" s="110" t="str">
        <f t="shared" si="26"/>
        <v/>
      </c>
      <c r="I67" s="125">
        <f t="shared" si="27"/>
        <v>1</v>
      </c>
      <c r="J67" s="126"/>
      <c r="K67" s="132"/>
      <c r="L67" s="97"/>
      <c r="M67" s="97"/>
      <c r="N67" s="97"/>
      <c r="O67" s="121"/>
      <c r="P67" s="121"/>
      <c r="Q67" s="121"/>
      <c r="R67" s="121"/>
      <c r="S67" s="121"/>
      <c r="T67" s="121"/>
      <c r="U67" s="121"/>
      <c r="V67" s="121"/>
      <c r="W67" s="121"/>
      <c r="X67" s="121"/>
      <c r="Y67" s="121"/>
      <c r="Z67" s="121"/>
      <c r="AA67" s="97"/>
      <c r="AB67" s="97"/>
      <c r="AC67" s="97"/>
      <c r="AD67" s="97"/>
      <c r="AE67" s="97"/>
    </row>
    <row r="68" ht="47.25" customHeight="1">
      <c r="A68" s="62"/>
      <c r="B68" s="97"/>
      <c r="C68" s="97"/>
      <c r="D68" s="97"/>
      <c r="E68" s="97"/>
      <c r="F68" s="97"/>
      <c r="G68" s="97"/>
      <c r="H68" s="99"/>
      <c r="I68" s="123"/>
      <c r="J68" s="123"/>
      <c r="K68" s="97"/>
      <c r="L68" s="97"/>
      <c r="M68" s="97"/>
      <c r="N68" s="97"/>
      <c r="O68" s="97"/>
      <c r="P68" s="97"/>
      <c r="Q68" s="97"/>
      <c r="R68" s="97"/>
      <c r="S68" s="97"/>
      <c r="T68" s="97"/>
      <c r="U68" s="97"/>
      <c r="V68" s="97"/>
      <c r="W68" s="97"/>
      <c r="X68" s="97"/>
      <c r="Y68" s="97"/>
      <c r="Z68" s="97"/>
      <c r="AA68" s="97"/>
      <c r="AB68" s="97"/>
      <c r="AC68" s="97"/>
      <c r="AD68" s="97"/>
      <c r="AE68" s="97"/>
    </row>
    <row r="69" ht="15.0" hidden="1" customHeight="1">
      <c r="A69" s="62"/>
      <c r="B69" s="97"/>
      <c r="C69" s="97"/>
      <c r="D69" s="97"/>
      <c r="E69" s="97"/>
      <c r="F69" s="97"/>
      <c r="G69" s="97"/>
      <c r="H69" s="99"/>
      <c r="I69" s="123"/>
      <c r="J69" s="123"/>
      <c r="K69" s="97"/>
      <c r="L69" s="97"/>
      <c r="M69" s="97"/>
      <c r="N69" s="97"/>
      <c r="O69" s="97"/>
      <c r="P69" s="97"/>
      <c r="Q69" s="97"/>
      <c r="R69" s="97"/>
      <c r="S69" s="97"/>
      <c r="T69" s="97"/>
      <c r="U69" s="97"/>
      <c r="V69" s="97"/>
      <c r="W69" s="97"/>
      <c r="X69" s="97"/>
      <c r="Y69" s="97"/>
      <c r="Z69" s="97"/>
      <c r="AA69" s="97"/>
      <c r="AB69" s="97"/>
      <c r="AC69" s="97"/>
      <c r="AD69" s="97"/>
      <c r="AE69" s="97"/>
    </row>
    <row r="70" ht="14.25" hidden="1" customHeight="1">
      <c r="A70" s="62"/>
      <c r="B70" s="97"/>
      <c r="C70" s="97"/>
      <c r="D70" s="97"/>
      <c r="E70" s="97"/>
      <c r="F70" s="97"/>
      <c r="G70" s="97"/>
      <c r="H70" s="99"/>
      <c r="I70" s="123"/>
      <c r="J70" s="123"/>
      <c r="K70" s="97"/>
      <c r="L70" s="97"/>
      <c r="M70" s="97"/>
      <c r="N70" s="97"/>
      <c r="O70" s="97"/>
      <c r="P70" s="97"/>
      <c r="Q70" s="97"/>
      <c r="R70" s="97"/>
      <c r="S70" s="97"/>
      <c r="T70" s="97"/>
      <c r="U70" s="97"/>
      <c r="V70" s="97"/>
      <c r="W70" s="97"/>
      <c r="X70" s="97"/>
      <c r="Y70" s="97"/>
      <c r="Z70" s="97"/>
      <c r="AA70" s="97"/>
      <c r="AB70" s="97"/>
      <c r="AC70" s="97"/>
      <c r="AD70" s="97"/>
      <c r="AE70" s="97"/>
    </row>
    <row r="71" ht="14.25" hidden="1" customHeight="1">
      <c r="A71" s="62"/>
      <c r="B71" s="97"/>
      <c r="C71" s="97"/>
      <c r="D71" s="97"/>
      <c r="E71" s="97"/>
      <c r="F71" s="97"/>
      <c r="G71" s="97"/>
      <c r="H71" s="99"/>
      <c r="I71" s="123"/>
      <c r="J71" s="123"/>
      <c r="K71" s="97"/>
      <c r="L71" s="97"/>
      <c r="M71" s="97"/>
      <c r="N71" s="97"/>
      <c r="O71" s="97"/>
      <c r="P71" s="97"/>
      <c r="Q71" s="97"/>
      <c r="R71" s="97"/>
      <c r="S71" s="97"/>
      <c r="T71" s="97"/>
      <c r="U71" s="97"/>
      <c r="V71" s="97"/>
      <c r="W71" s="97"/>
      <c r="X71" s="97"/>
      <c r="Y71" s="97"/>
      <c r="Z71" s="97"/>
      <c r="AA71" s="97"/>
      <c r="AB71" s="97"/>
      <c r="AC71" s="97"/>
      <c r="AD71" s="97"/>
      <c r="AE71" s="97"/>
    </row>
    <row r="72" ht="14.25" hidden="1" customHeight="1">
      <c r="A72" s="62"/>
      <c r="B72" s="97"/>
      <c r="C72" s="97"/>
      <c r="D72" s="97"/>
      <c r="E72" s="97"/>
      <c r="F72" s="97"/>
      <c r="G72" s="97"/>
      <c r="H72" s="99"/>
      <c r="I72" s="123"/>
      <c r="J72" s="123"/>
      <c r="K72" s="97"/>
      <c r="L72" s="97"/>
      <c r="M72" s="97"/>
      <c r="N72" s="97"/>
      <c r="O72" s="97"/>
      <c r="P72" s="97"/>
      <c r="Q72" s="97"/>
      <c r="R72" s="97"/>
      <c r="S72" s="97"/>
      <c r="T72" s="97"/>
      <c r="U72" s="97"/>
      <c r="V72" s="97"/>
      <c r="W72" s="97"/>
      <c r="X72" s="97"/>
      <c r="Y72" s="97"/>
      <c r="Z72" s="97"/>
      <c r="AA72" s="97"/>
      <c r="AB72" s="97"/>
      <c r="AC72" s="97"/>
      <c r="AD72" s="97"/>
      <c r="AE72" s="97"/>
    </row>
    <row r="73" ht="14.25" hidden="1" customHeight="1">
      <c r="A73" s="62"/>
      <c r="B73" s="97"/>
      <c r="C73" s="97"/>
      <c r="D73" s="97"/>
      <c r="E73" s="97"/>
      <c r="F73" s="97"/>
      <c r="G73" s="97"/>
      <c r="H73" s="99"/>
      <c r="I73" s="123"/>
      <c r="J73" s="123"/>
      <c r="K73" s="97"/>
      <c r="L73" s="97"/>
      <c r="M73" s="97"/>
      <c r="N73" s="97"/>
      <c r="O73" s="97"/>
      <c r="P73" s="97"/>
      <c r="Q73" s="97"/>
      <c r="R73" s="97"/>
      <c r="S73" s="97"/>
      <c r="T73" s="97"/>
      <c r="U73" s="97"/>
      <c r="V73" s="97"/>
      <c r="W73" s="97"/>
      <c r="X73" s="97"/>
      <c r="Y73" s="97"/>
      <c r="Z73" s="97"/>
      <c r="AA73" s="97"/>
      <c r="AB73" s="97"/>
      <c r="AC73" s="97"/>
      <c r="AD73" s="97"/>
      <c r="AE73" s="97"/>
    </row>
    <row r="74" ht="14.25" hidden="1" customHeight="1">
      <c r="A74" s="62"/>
      <c r="B74" s="97"/>
      <c r="C74" s="97"/>
      <c r="D74" s="97"/>
      <c r="E74" s="97"/>
      <c r="F74" s="97"/>
      <c r="G74" s="97"/>
      <c r="H74" s="99"/>
      <c r="I74" s="123"/>
      <c r="J74" s="123"/>
      <c r="K74" s="97"/>
      <c r="L74" s="97"/>
      <c r="M74" s="97"/>
      <c r="N74" s="97"/>
      <c r="O74" s="97"/>
      <c r="P74" s="97"/>
      <c r="Q74" s="97"/>
      <c r="R74" s="97"/>
      <c r="S74" s="97"/>
      <c r="T74" s="97"/>
      <c r="U74" s="97"/>
      <c r="V74" s="97"/>
      <c r="W74" s="97"/>
      <c r="X74" s="97"/>
      <c r="Y74" s="97"/>
      <c r="Z74" s="97"/>
      <c r="AA74" s="97"/>
      <c r="AB74" s="97"/>
      <c r="AC74" s="97"/>
      <c r="AD74" s="97"/>
      <c r="AE74" s="97"/>
    </row>
    <row r="75" ht="14.25" hidden="1" customHeight="1">
      <c r="A75" s="62"/>
      <c r="B75" s="97"/>
      <c r="C75" s="97"/>
      <c r="D75" s="97"/>
      <c r="E75" s="97"/>
      <c r="F75" s="97"/>
      <c r="G75" s="97"/>
      <c r="H75" s="99"/>
      <c r="I75" s="123"/>
      <c r="J75" s="123"/>
      <c r="K75" s="97"/>
      <c r="L75" s="97"/>
      <c r="M75" s="97"/>
      <c r="N75" s="97"/>
      <c r="O75" s="97"/>
      <c r="P75" s="97"/>
      <c r="Q75" s="97"/>
      <c r="R75" s="97"/>
      <c r="S75" s="97"/>
      <c r="T75" s="97"/>
      <c r="U75" s="97"/>
      <c r="V75" s="97"/>
      <c r="W75" s="97"/>
      <c r="X75" s="97"/>
      <c r="Y75" s="97"/>
      <c r="Z75" s="97"/>
      <c r="AA75" s="97"/>
      <c r="AB75" s="97"/>
      <c r="AC75" s="97"/>
      <c r="AD75" s="97"/>
      <c r="AE75" s="97"/>
    </row>
    <row r="76" ht="14.25" hidden="1" customHeight="1">
      <c r="A76" s="62"/>
      <c r="B76" s="97"/>
      <c r="C76" s="97"/>
      <c r="D76" s="97"/>
      <c r="E76" s="97"/>
      <c r="F76" s="97"/>
      <c r="G76" s="97"/>
      <c r="H76" s="99"/>
      <c r="I76" s="123"/>
      <c r="J76" s="123"/>
      <c r="K76" s="97"/>
      <c r="L76" s="97"/>
      <c r="M76" s="97"/>
      <c r="N76" s="97"/>
      <c r="O76" s="97"/>
      <c r="P76" s="97"/>
      <c r="Q76" s="97"/>
      <c r="R76" s="97"/>
      <c r="S76" s="97"/>
      <c r="T76" s="97"/>
      <c r="U76" s="97"/>
      <c r="V76" s="97"/>
      <c r="W76" s="97"/>
      <c r="X76" s="97"/>
      <c r="Y76" s="97"/>
      <c r="Z76" s="97"/>
      <c r="AA76" s="97"/>
      <c r="AB76" s="97"/>
      <c r="AC76" s="97"/>
      <c r="AD76" s="97"/>
      <c r="AE76" s="97"/>
    </row>
    <row r="77" ht="14.25" hidden="1" customHeight="1">
      <c r="A77" s="62"/>
      <c r="B77" s="97"/>
      <c r="C77" s="97"/>
      <c r="D77" s="97"/>
      <c r="E77" s="97"/>
      <c r="F77" s="97"/>
      <c r="G77" s="97"/>
      <c r="H77" s="99"/>
      <c r="I77" s="123"/>
      <c r="J77" s="123"/>
      <c r="K77" s="97"/>
      <c r="L77" s="97"/>
      <c r="M77" s="97"/>
      <c r="N77" s="97"/>
      <c r="O77" s="97"/>
      <c r="P77" s="97"/>
      <c r="Q77" s="97"/>
      <c r="R77" s="97"/>
      <c r="S77" s="97"/>
      <c r="T77" s="97"/>
      <c r="U77" s="97"/>
      <c r="V77" s="97"/>
      <c r="W77" s="97"/>
      <c r="X77" s="97"/>
      <c r="Y77" s="97"/>
      <c r="Z77" s="97"/>
      <c r="AA77" s="97"/>
      <c r="AB77" s="97"/>
      <c r="AC77" s="97"/>
      <c r="AD77" s="97"/>
      <c r="AE77" s="97"/>
    </row>
    <row r="78" ht="14.25" hidden="1" customHeight="1">
      <c r="A78" s="62"/>
      <c r="B78" s="97"/>
      <c r="C78" s="97"/>
      <c r="D78" s="97"/>
      <c r="E78" s="97"/>
      <c r="F78" s="97"/>
      <c r="G78" s="97"/>
      <c r="H78" s="99"/>
      <c r="I78" s="123"/>
      <c r="J78" s="123"/>
      <c r="K78" s="97"/>
      <c r="L78" s="97"/>
      <c r="M78" s="97"/>
      <c r="N78" s="97"/>
      <c r="O78" s="97"/>
      <c r="P78" s="97"/>
      <c r="Q78" s="97"/>
      <c r="R78" s="97"/>
      <c r="S78" s="97"/>
      <c r="T78" s="97"/>
      <c r="U78" s="97"/>
      <c r="V78" s="97"/>
      <c r="W78" s="97"/>
      <c r="X78" s="97"/>
      <c r="Y78" s="97"/>
      <c r="Z78" s="97"/>
      <c r="AA78" s="97"/>
      <c r="AB78" s="97"/>
      <c r="AC78" s="97"/>
      <c r="AD78" s="97"/>
      <c r="AE78" s="97"/>
    </row>
    <row r="79" ht="14.25" hidden="1" customHeight="1">
      <c r="A79" s="62"/>
      <c r="B79" s="97"/>
      <c r="C79" s="97"/>
      <c r="D79" s="97"/>
      <c r="E79" s="97"/>
      <c r="F79" s="97"/>
      <c r="G79" s="97"/>
      <c r="H79" s="99"/>
      <c r="I79" s="123"/>
      <c r="J79" s="123"/>
      <c r="K79" s="97"/>
      <c r="L79" s="97"/>
      <c r="M79" s="97"/>
      <c r="N79" s="97"/>
      <c r="O79" s="97"/>
      <c r="P79" s="97"/>
      <c r="Q79" s="97"/>
      <c r="R79" s="97"/>
      <c r="S79" s="97"/>
      <c r="T79" s="97"/>
      <c r="U79" s="97"/>
      <c r="V79" s="97"/>
      <c r="W79" s="97"/>
      <c r="X79" s="97"/>
      <c r="Y79" s="97"/>
      <c r="Z79" s="97"/>
      <c r="AA79" s="97"/>
      <c r="AB79" s="97"/>
      <c r="AC79" s="97"/>
      <c r="AD79" s="97"/>
      <c r="AE79" s="97"/>
    </row>
    <row r="80" ht="14.25" hidden="1" customHeight="1">
      <c r="A80" s="62"/>
      <c r="B80" s="97"/>
      <c r="C80" s="97"/>
      <c r="D80" s="97"/>
      <c r="E80" s="97"/>
      <c r="F80" s="97"/>
      <c r="G80" s="97"/>
      <c r="H80" s="99"/>
      <c r="I80" s="123"/>
      <c r="J80" s="123"/>
      <c r="K80" s="97"/>
      <c r="L80" s="97"/>
      <c r="M80" s="97"/>
      <c r="N80" s="97"/>
      <c r="O80" s="97"/>
      <c r="P80" s="97"/>
      <c r="Q80" s="97"/>
      <c r="R80" s="97"/>
      <c r="S80" s="97"/>
      <c r="T80" s="97"/>
      <c r="U80" s="97"/>
      <c r="V80" s="97"/>
      <c r="W80" s="97"/>
      <c r="X80" s="97"/>
      <c r="Y80" s="97"/>
      <c r="Z80" s="97"/>
      <c r="AA80" s="97"/>
      <c r="AB80" s="97"/>
      <c r="AC80" s="97"/>
      <c r="AD80" s="97"/>
      <c r="AE80" s="97"/>
    </row>
    <row r="81" ht="14.25" hidden="1" customHeight="1">
      <c r="A81" s="62"/>
      <c r="B81" s="97"/>
      <c r="C81" s="97"/>
      <c r="D81" s="97"/>
      <c r="E81" s="97"/>
      <c r="F81" s="97"/>
      <c r="G81" s="97"/>
      <c r="H81" s="99"/>
      <c r="I81" s="123"/>
      <c r="J81" s="123"/>
      <c r="K81" s="97"/>
      <c r="L81" s="97"/>
      <c r="M81" s="97"/>
      <c r="N81" s="97"/>
      <c r="O81" s="97"/>
      <c r="P81" s="97"/>
      <c r="Q81" s="97"/>
      <c r="R81" s="97"/>
      <c r="S81" s="97"/>
      <c r="T81" s="97"/>
      <c r="U81" s="97"/>
      <c r="V81" s="97"/>
      <c r="W81" s="97"/>
      <c r="X81" s="97"/>
      <c r="Y81" s="97"/>
      <c r="Z81" s="97"/>
      <c r="AA81" s="97"/>
      <c r="AB81" s="97"/>
      <c r="AC81" s="97"/>
      <c r="AD81" s="97"/>
      <c r="AE81" s="97"/>
    </row>
    <row r="82" ht="14.25" hidden="1" customHeight="1">
      <c r="A82" s="62"/>
      <c r="B82" s="97"/>
      <c r="C82" s="97"/>
      <c r="D82" s="97"/>
      <c r="E82" s="97"/>
      <c r="F82" s="97"/>
      <c r="G82" s="97"/>
      <c r="H82" s="99"/>
      <c r="I82" s="123"/>
      <c r="J82" s="123"/>
      <c r="K82" s="97"/>
      <c r="L82" s="97"/>
      <c r="M82" s="97"/>
      <c r="N82" s="97"/>
      <c r="O82" s="97"/>
      <c r="P82" s="97"/>
      <c r="Q82" s="97"/>
      <c r="R82" s="97"/>
      <c r="S82" s="97"/>
      <c r="T82" s="97"/>
      <c r="U82" s="97"/>
      <c r="V82" s="97"/>
      <c r="W82" s="97"/>
      <c r="X82" s="97"/>
      <c r="Y82" s="97"/>
      <c r="Z82" s="97"/>
      <c r="AA82" s="97"/>
      <c r="AB82" s="97"/>
      <c r="AC82" s="97"/>
      <c r="AD82" s="97"/>
      <c r="AE82" s="97"/>
    </row>
    <row r="83" ht="14.25" hidden="1" customHeight="1">
      <c r="A83" s="62"/>
      <c r="B83" s="97"/>
      <c r="C83" s="97"/>
      <c r="D83" s="97"/>
      <c r="E83" s="97"/>
      <c r="F83" s="97"/>
      <c r="G83" s="97"/>
      <c r="H83" s="99"/>
      <c r="I83" s="123"/>
      <c r="J83" s="123"/>
      <c r="K83" s="97"/>
      <c r="L83" s="97"/>
      <c r="M83" s="97"/>
      <c r="N83" s="97"/>
      <c r="O83" s="97"/>
      <c r="P83" s="97"/>
      <c r="Q83" s="97"/>
      <c r="R83" s="97"/>
      <c r="S83" s="97"/>
      <c r="T83" s="97"/>
      <c r="U83" s="97"/>
      <c r="V83" s="97"/>
      <c r="W83" s="97"/>
      <c r="X83" s="97"/>
      <c r="Y83" s="97"/>
      <c r="Z83" s="97"/>
      <c r="AA83" s="97"/>
      <c r="AB83" s="97"/>
      <c r="AC83" s="97"/>
      <c r="AD83" s="97"/>
      <c r="AE83" s="97"/>
    </row>
    <row r="84" ht="14.25" hidden="1" customHeight="1">
      <c r="A84" s="62"/>
      <c r="B84" s="97"/>
      <c r="C84" s="97"/>
      <c r="D84" s="97"/>
      <c r="E84" s="97"/>
      <c r="F84" s="97"/>
      <c r="G84" s="97"/>
      <c r="H84" s="99"/>
      <c r="I84" s="123"/>
      <c r="J84" s="123"/>
      <c r="K84" s="97"/>
      <c r="L84" s="97"/>
      <c r="M84" s="97"/>
      <c r="N84" s="97"/>
      <c r="O84" s="97"/>
      <c r="P84" s="97"/>
      <c r="Q84" s="97"/>
      <c r="R84" s="97"/>
      <c r="S84" s="97"/>
      <c r="T84" s="97"/>
      <c r="U84" s="97"/>
      <c r="V84" s="97"/>
      <c r="W84" s="97"/>
      <c r="X84" s="97"/>
      <c r="Y84" s="97"/>
      <c r="Z84" s="97"/>
      <c r="AA84" s="97"/>
      <c r="AB84" s="97"/>
      <c r="AC84" s="97"/>
      <c r="AD84" s="97"/>
      <c r="AE84" s="97"/>
    </row>
    <row r="85" ht="14.25" hidden="1" customHeight="1">
      <c r="A85" s="62"/>
      <c r="B85" s="97"/>
      <c r="C85" s="97"/>
      <c r="D85" s="97"/>
      <c r="E85" s="97"/>
      <c r="F85" s="97"/>
      <c r="G85" s="97"/>
      <c r="H85" s="99"/>
      <c r="I85" s="123"/>
      <c r="J85" s="123"/>
      <c r="K85" s="97"/>
      <c r="L85" s="97"/>
      <c r="M85" s="97"/>
      <c r="N85" s="97"/>
      <c r="O85" s="97"/>
      <c r="P85" s="97"/>
      <c r="Q85" s="97"/>
      <c r="R85" s="97"/>
      <c r="S85" s="97"/>
      <c r="T85" s="97"/>
      <c r="U85" s="97"/>
      <c r="V85" s="97"/>
      <c r="W85" s="97"/>
      <c r="X85" s="97"/>
      <c r="Y85" s="97"/>
      <c r="Z85" s="97"/>
      <c r="AA85" s="97"/>
      <c r="AB85" s="97"/>
      <c r="AC85" s="97"/>
      <c r="AD85" s="97"/>
      <c r="AE85" s="97"/>
    </row>
    <row r="86" ht="14.25" hidden="1" customHeight="1">
      <c r="A86" s="62"/>
      <c r="B86" s="97"/>
      <c r="C86" s="97"/>
      <c r="D86" s="97"/>
      <c r="E86" s="97"/>
      <c r="F86" s="97"/>
      <c r="G86" s="97"/>
      <c r="H86" s="99"/>
      <c r="I86" s="123"/>
      <c r="J86" s="123"/>
      <c r="K86" s="97"/>
      <c r="L86" s="97"/>
      <c r="M86" s="97"/>
      <c r="N86" s="97"/>
      <c r="O86" s="97"/>
      <c r="P86" s="97"/>
      <c r="Q86" s="97"/>
      <c r="R86" s="97"/>
      <c r="S86" s="97"/>
      <c r="T86" s="97"/>
      <c r="U86" s="97"/>
      <c r="V86" s="97"/>
      <c r="W86" s="97"/>
      <c r="X86" s="97"/>
      <c r="Y86" s="97"/>
      <c r="Z86" s="97"/>
      <c r="AA86" s="97"/>
      <c r="AB86" s="97"/>
      <c r="AC86" s="97"/>
      <c r="AD86" s="97"/>
      <c r="AE86" s="97"/>
    </row>
    <row r="87" ht="14.25" hidden="1" customHeight="1">
      <c r="A87" s="62"/>
      <c r="B87" s="97"/>
      <c r="C87" s="97"/>
      <c r="D87" s="97"/>
      <c r="E87" s="97"/>
      <c r="F87" s="97"/>
      <c r="G87" s="97"/>
      <c r="H87" s="99"/>
      <c r="I87" s="123"/>
      <c r="J87" s="123"/>
      <c r="K87" s="97"/>
      <c r="L87" s="97"/>
      <c r="M87" s="97"/>
      <c r="N87" s="97"/>
      <c r="O87" s="97"/>
      <c r="P87" s="97"/>
      <c r="Q87" s="97"/>
      <c r="R87" s="97"/>
      <c r="S87" s="97"/>
      <c r="T87" s="97"/>
      <c r="U87" s="97"/>
      <c r="V87" s="97"/>
      <c r="W87" s="97"/>
      <c r="X87" s="97"/>
      <c r="Y87" s="97"/>
      <c r="Z87" s="97"/>
      <c r="AA87" s="97"/>
      <c r="AB87" s="97"/>
      <c r="AC87" s="97"/>
      <c r="AD87" s="97"/>
      <c r="AE87" s="97"/>
    </row>
    <row r="88" ht="14.25" hidden="1" customHeight="1">
      <c r="A88" s="62"/>
      <c r="B88" s="97"/>
      <c r="C88" s="97"/>
      <c r="D88" s="97"/>
      <c r="E88" s="97"/>
      <c r="F88" s="97"/>
      <c r="G88" s="97"/>
      <c r="H88" s="99"/>
      <c r="I88" s="123"/>
      <c r="J88" s="123"/>
      <c r="K88" s="97"/>
      <c r="L88" s="97"/>
      <c r="M88" s="97"/>
      <c r="N88" s="97"/>
      <c r="O88" s="97"/>
      <c r="P88" s="97"/>
      <c r="Q88" s="97"/>
      <c r="R88" s="97"/>
      <c r="S88" s="97"/>
      <c r="T88" s="97"/>
      <c r="U88" s="97"/>
      <c r="V88" s="97"/>
      <c r="W88" s="97"/>
      <c r="X88" s="97"/>
      <c r="Y88" s="97"/>
      <c r="Z88" s="97"/>
      <c r="AA88" s="97"/>
      <c r="AB88" s="97"/>
      <c r="AC88" s="97"/>
      <c r="AD88" s="97"/>
      <c r="AE88" s="97"/>
    </row>
    <row r="89" ht="14.25" hidden="1" customHeight="1">
      <c r="A89" s="62"/>
      <c r="B89" s="97"/>
      <c r="C89" s="97"/>
      <c r="D89" s="97"/>
      <c r="E89" s="97"/>
      <c r="F89" s="97"/>
      <c r="G89" s="97"/>
      <c r="H89" s="99"/>
      <c r="I89" s="123"/>
      <c r="J89" s="123"/>
      <c r="K89" s="97"/>
      <c r="L89" s="97"/>
      <c r="M89" s="97"/>
      <c r="N89" s="97"/>
      <c r="O89" s="97"/>
      <c r="P89" s="97"/>
      <c r="Q89" s="97"/>
      <c r="R89" s="97"/>
      <c r="S89" s="97"/>
      <c r="T89" s="97"/>
      <c r="U89" s="97"/>
      <c r="V89" s="97"/>
      <c r="W89" s="97"/>
      <c r="X89" s="97"/>
      <c r="Y89" s="97"/>
      <c r="Z89" s="97"/>
      <c r="AA89" s="97"/>
      <c r="AB89" s="97"/>
      <c r="AC89" s="97"/>
      <c r="AD89" s="97"/>
      <c r="AE89" s="97"/>
    </row>
    <row r="90" ht="14.25" hidden="1" customHeight="1">
      <c r="A90" s="62"/>
      <c r="B90" s="97"/>
      <c r="C90" s="97"/>
      <c r="D90" s="97"/>
      <c r="E90" s="97"/>
      <c r="F90" s="97"/>
      <c r="G90" s="97"/>
      <c r="H90" s="99"/>
      <c r="I90" s="123"/>
      <c r="J90" s="123"/>
      <c r="K90" s="97"/>
      <c r="L90" s="97"/>
      <c r="M90" s="97"/>
      <c r="N90" s="97"/>
      <c r="O90" s="97"/>
      <c r="P90" s="97"/>
      <c r="Q90" s="97"/>
      <c r="R90" s="97"/>
      <c r="S90" s="97"/>
      <c r="T90" s="97"/>
      <c r="U90" s="97"/>
      <c r="V90" s="97"/>
      <c r="W90" s="97"/>
      <c r="X90" s="97"/>
      <c r="Y90" s="97"/>
      <c r="Z90" s="97"/>
      <c r="AA90" s="97"/>
      <c r="AB90" s="97"/>
      <c r="AC90" s="97"/>
      <c r="AD90" s="97"/>
      <c r="AE90" s="97"/>
    </row>
    <row r="91" ht="14.25" hidden="1" customHeight="1">
      <c r="A91" s="62"/>
      <c r="B91" s="97"/>
      <c r="C91" s="97"/>
      <c r="D91" s="97"/>
      <c r="E91" s="97"/>
      <c r="F91" s="97"/>
      <c r="G91" s="97"/>
      <c r="H91" s="99"/>
      <c r="I91" s="123"/>
      <c r="J91" s="123"/>
      <c r="K91" s="97"/>
      <c r="L91" s="97"/>
      <c r="M91" s="97"/>
      <c r="N91" s="97"/>
      <c r="O91" s="97"/>
      <c r="P91" s="97"/>
      <c r="Q91" s="97"/>
      <c r="R91" s="97"/>
      <c r="S91" s="97"/>
      <c r="T91" s="97"/>
      <c r="U91" s="97"/>
      <c r="V91" s="97"/>
      <c r="W91" s="97"/>
      <c r="X91" s="97"/>
      <c r="Y91" s="97"/>
      <c r="Z91" s="97"/>
      <c r="AA91" s="97"/>
      <c r="AB91" s="97"/>
      <c r="AC91" s="97"/>
      <c r="AD91" s="97"/>
      <c r="AE91" s="97"/>
    </row>
    <row r="92" ht="14.25" hidden="1" customHeight="1">
      <c r="A92" s="62"/>
      <c r="B92" s="97"/>
      <c r="C92" s="97"/>
      <c r="D92" s="97"/>
      <c r="E92" s="97"/>
      <c r="F92" s="97"/>
      <c r="G92" s="97"/>
      <c r="H92" s="99"/>
      <c r="I92" s="123"/>
      <c r="J92" s="123"/>
      <c r="K92" s="97"/>
      <c r="L92" s="97"/>
      <c r="M92" s="97"/>
      <c r="N92" s="97"/>
      <c r="O92" s="97"/>
      <c r="P92" s="97"/>
      <c r="Q92" s="97"/>
      <c r="R92" s="97"/>
      <c r="S92" s="97"/>
      <c r="T92" s="97"/>
      <c r="U92" s="97"/>
      <c r="V92" s="97"/>
      <c r="W92" s="97"/>
      <c r="X92" s="97"/>
      <c r="Y92" s="97"/>
      <c r="Z92" s="97"/>
      <c r="AA92" s="97"/>
      <c r="AB92" s="97"/>
      <c r="AC92" s="97"/>
      <c r="AD92" s="97"/>
      <c r="AE92" s="97"/>
    </row>
    <row r="93" ht="14.25" hidden="1" customHeight="1">
      <c r="A93" s="62"/>
      <c r="B93" s="97"/>
      <c r="C93" s="97"/>
      <c r="D93" s="97"/>
      <c r="E93" s="97"/>
      <c r="F93" s="97"/>
      <c r="G93" s="97"/>
      <c r="H93" s="99"/>
      <c r="I93" s="123"/>
      <c r="J93" s="123"/>
      <c r="K93" s="97"/>
      <c r="L93" s="97"/>
      <c r="M93" s="97"/>
      <c r="N93" s="97"/>
      <c r="O93" s="97"/>
      <c r="P93" s="97"/>
      <c r="Q93" s="97"/>
      <c r="R93" s="97"/>
      <c r="S93" s="97"/>
      <c r="T93" s="97"/>
      <c r="U93" s="97"/>
      <c r="V93" s="97"/>
      <c r="W93" s="97"/>
      <c r="X93" s="97"/>
      <c r="Y93" s="97"/>
      <c r="Z93" s="97"/>
      <c r="AA93" s="97"/>
      <c r="AB93" s="97"/>
      <c r="AC93" s="97"/>
      <c r="AD93" s="97"/>
      <c r="AE93" s="97"/>
    </row>
    <row r="94" ht="14.25" hidden="1" customHeight="1">
      <c r="A94" s="62"/>
      <c r="B94" s="97"/>
      <c r="C94" s="97"/>
      <c r="D94" s="97"/>
      <c r="E94" s="97"/>
      <c r="F94" s="97"/>
      <c r="G94" s="97"/>
      <c r="H94" s="99"/>
      <c r="I94" s="123"/>
      <c r="J94" s="123"/>
      <c r="K94" s="97"/>
      <c r="L94" s="97"/>
      <c r="M94" s="97"/>
      <c r="N94" s="97"/>
      <c r="O94" s="97"/>
      <c r="P94" s="97"/>
      <c r="Q94" s="97"/>
      <c r="R94" s="97"/>
      <c r="S94" s="97"/>
      <c r="T94" s="97"/>
      <c r="U94" s="97"/>
      <c r="V94" s="97"/>
      <c r="W94" s="97"/>
      <c r="X94" s="97"/>
      <c r="Y94" s="97"/>
      <c r="Z94" s="97"/>
      <c r="AA94" s="97"/>
      <c r="AB94" s="97"/>
      <c r="AC94" s="97"/>
      <c r="AD94" s="97"/>
      <c r="AE94" s="97"/>
    </row>
    <row r="95" ht="14.25" hidden="1" customHeight="1">
      <c r="A95" s="62"/>
      <c r="B95" s="97"/>
      <c r="C95" s="97"/>
      <c r="D95" s="97"/>
      <c r="E95" s="97"/>
      <c r="F95" s="97"/>
      <c r="G95" s="97"/>
      <c r="H95" s="99"/>
      <c r="I95" s="123"/>
      <c r="J95" s="123"/>
      <c r="K95" s="97"/>
      <c r="L95" s="97"/>
      <c r="M95" s="97"/>
      <c r="N95" s="97"/>
      <c r="O95" s="97"/>
      <c r="P95" s="97"/>
      <c r="Q95" s="97"/>
      <c r="R95" s="97"/>
      <c r="S95" s="97"/>
      <c r="T95" s="97"/>
      <c r="U95" s="97"/>
      <c r="V95" s="97"/>
      <c r="W95" s="97"/>
      <c r="X95" s="97"/>
      <c r="Y95" s="97"/>
      <c r="Z95" s="97"/>
      <c r="AA95" s="97"/>
      <c r="AB95" s="97"/>
      <c r="AC95" s="97"/>
      <c r="AD95" s="97"/>
      <c r="AE95" s="97"/>
    </row>
    <row r="96" ht="14.25" hidden="1" customHeight="1">
      <c r="A96" s="62"/>
      <c r="B96" s="97"/>
      <c r="C96" s="97"/>
      <c r="D96" s="97"/>
      <c r="E96" s="97"/>
      <c r="F96" s="97"/>
      <c r="G96" s="97"/>
      <c r="H96" s="99"/>
      <c r="I96" s="123"/>
      <c r="J96" s="123"/>
      <c r="K96" s="97"/>
      <c r="L96" s="97"/>
      <c r="M96" s="97"/>
      <c r="N96" s="97"/>
      <c r="O96" s="97"/>
      <c r="P96" s="97"/>
      <c r="Q96" s="97"/>
      <c r="R96" s="97"/>
      <c r="S96" s="97"/>
      <c r="T96" s="97"/>
      <c r="U96" s="97"/>
      <c r="V96" s="97"/>
      <c r="W96" s="97"/>
      <c r="X96" s="97"/>
      <c r="Y96" s="97"/>
      <c r="Z96" s="97"/>
      <c r="AA96" s="97"/>
      <c r="AB96" s="97"/>
      <c r="AC96" s="97"/>
      <c r="AD96" s="97"/>
      <c r="AE96" s="97"/>
    </row>
    <row r="97" ht="14.25" hidden="1" customHeight="1">
      <c r="A97" s="62"/>
      <c r="B97" s="97"/>
      <c r="C97" s="97"/>
      <c r="D97" s="97"/>
      <c r="E97" s="97"/>
      <c r="F97" s="97"/>
      <c r="G97" s="97"/>
      <c r="H97" s="99"/>
      <c r="I97" s="123"/>
      <c r="J97" s="123"/>
      <c r="K97" s="97"/>
      <c r="L97" s="97"/>
      <c r="M97" s="97"/>
      <c r="N97" s="97"/>
      <c r="O97" s="97"/>
      <c r="P97" s="97"/>
      <c r="Q97" s="97"/>
      <c r="R97" s="97"/>
      <c r="S97" s="97"/>
      <c r="T97" s="97"/>
      <c r="U97" s="97"/>
      <c r="V97" s="97"/>
      <c r="W97" s="97"/>
      <c r="X97" s="97"/>
      <c r="Y97" s="97"/>
      <c r="Z97" s="97"/>
      <c r="AA97" s="97"/>
      <c r="AB97" s="97"/>
      <c r="AC97" s="97"/>
      <c r="AD97" s="97"/>
      <c r="AE97" s="97"/>
    </row>
    <row r="98" ht="14.25" hidden="1" customHeight="1">
      <c r="A98" s="62"/>
      <c r="B98" s="97"/>
      <c r="C98" s="97"/>
      <c r="D98" s="97"/>
      <c r="E98" s="97"/>
      <c r="F98" s="97"/>
      <c r="G98" s="97"/>
      <c r="H98" s="99"/>
      <c r="I98" s="123"/>
      <c r="J98" s="123"/>
      <c r="K98" s="97"/>
      <c r="L98" s="97"/>
      <c r="M98" s="97"/>
      <c r="N98" s="97"/>
      <c r="O98" s="97"/>
      <c r="P98" s="97"/>
      <c r="Q98" s="97"/>
      <c r="R98" s="97"/>
      <c r="S98" s="97"/>
      <c r="T98" s="97"/>
      <c r="U98" s="97"/>
      <c r="V98" s="97"/>
      <c r="W98" s="97"/>
      <c r="X98" s="97"/>
      <c r="Y98" s="97"/>
      <c r="Z98" s="97"/>
      <c r="AA98" s="97"/>
      <c r="AB98" s="97"/>
      <c r="AC98" s="97"/>
      <c r="AD98" s="97"/>
      <c r="AE98" s="97"/>
    </row>
    <row r="99" ht="14.25" hidden="1" customHeight="1">
      <c r="A99" s="62"/>
      <c r="B99" s="97"/>
      <c r="C99" s="97"/>
      <c r="D99" s="97"/>
      <c r="E99" s="97"/>
      <c r="F99" s="97"/>
      <c r="G99" s="97"/>
      <c r="H99" s="99"/>
      <c r="I99" s="123"/>
      <c r="J99" s="123"/>
      <c r="K99" s="97"/>
      <c r="L99" s="97"/>
      <c r="M99" s="97"/>
      <c r="N99" s="97"/>
      <c r="O99" s="97"/>
      <c r="P99" s="97"/>
      <c r="Q99" s="97"/>
      <c r="R99" s="97"/>
      <c r="S99" s="97"/>
      <c r="T99" s="97"/>
      <c r="U99" s="97"/>
      <c r="V99" s="97"/>
      <c r="W99" s="97"/>
      <c r="X99" s="97"/>
      <c r="Y99" s="97"/>
      <c r="Z99" s="97"/>
      <c r="AA99" s="97"/>
      <c r="AB99" s="97"/>
      <c r="AC99" s="97"/>
      <c r="AD99" s="97"/>
      <c r="AE99" s="97"/>
    </row>
    <row r="100" ht="14.25" hidden="1" customHeight="1">
      <c r="A100" s="62"/>
      <c r="B100" s="97"/>
      <c r="C100" s="97"/>
      <c r="D100" s="97"/>
      <c r="E100" s="97"/>
      <c r="F100" s="97"/>
      <c r="G100" s="97"/>
      <c r="H100" s="99"/>
      <c r="I100" s="123"/>
      <c r="J100" s="123"/>
      <c r="K100" s="97"/>
      <c r="L100" s="97"/>
      <c r="M100" s="97"/>
      <c r="N100" s="97"/>
      <c r="O100" s="97"/>
      <c r="P100" s="97"/>
      <c r="Q100" s="97"/>
      <c r="R100" s="97"/>
      <c r="S100" s="97"/>
      <c r="T100" s="97"/>
      <c r="U100" s="97"/>
      <c r="V100" s="97"/>
      <c r="W100" s="97"/>
      <c r="X100" s="97"/>
      <c r="Y100" s="97"/>
      <c r="Z100" s="97"/>
      <c r="AA100" s="97"/>
      <c r="AB100" s="97"/>
      <c r="AC100" s="97"/>
      <c r="AD100" s="97"/>
      <c r="AE100" s="97"/>
    </row>
    <row r="101" ht="14.25" hidden="1" customHeight="1">
      <c r="A101" s="62"/>
      <c r="B101" s="97"/>
      <c r="C101" s="97"/>
      <c r="D101" s="97"/>
      <c r="E101" s="97"/>
      <c r="F101" s="97"/>
      <c r="G101" s="97"/>
      <c r="H101" s="99"/>
      <c r="I101" s="123"/>
      <c r="J101" s="123"/>
      <c r="K101" s="97"/>
      <c r="L101" s="97"/>
      <c r="M101" s="97"/>
      <c r="N101" s="97"/>
      <c r="O101" s="97"/>
      <c r="P101" s="97"/>
      <c r="Q101" s="97"/>
      <c r="R101" s="97"/>
      <c r="S101" s="97"/>
      <c r="T101" s="97"/>
      <c r="U101" s="97"/>
      <c r="V101" s="97"/>
      <c r="W101" s="97"/>
      <c r="X101" s="97"/>
      <c r="Y101" s="97"/>
      <c r="Z101" s="97"/>
      <c r="AA101" s="97"/>
      <c r="AB101" s="97"/>
      <c r="AC101" s="97"/>
      <c r="AD101" s="97"/>
      <c r="AE101" s="97"/>
    </row>
    <row r="102" ht="14.25" hidden="1" customHeight="1">
      <c r="A102" s="62"/>
      <c r="B102" s="97"/>
      <c r="C102" s="97"/>
      <c r="D102" s="97"/>
      <c r="E102" s="97"/>
      <c r="F102" s="97"/>
      <c r="G102" s="97"/>
      <c r="H102" s="99"/>
      <c r="I102" s="123"/>
      <c r="J102" s="123"/>
      <c r="K102" s="97"/>
      <c r="L102" s="97"/>
      <c r="M102" s="97"/>
      <c r="N102" s="97"/>
      <c r="O102" s="97"/>
      <c r="P102" s="97"/>
      <c r="Q102" s="97"/>
      <c r="R102" s="97"/>
      <c r="S102" s="97"/>
      <c r="T102" s="97"/>
      <c r="U102" s="97"/>
      <c r="V102" s="97"/>
      <c r="W102" s="97"/>
      <c r="X102" s="97"/>
      <c r="Y102" s="97"/>
      <c r="Z102" s="97"/>
      <c r="AA102" s="97"/>
      <c r="AB102" s="97"/>
      <c r="AC102" s="97"/>
      <c r="AD102" s="97"/>
      <c r="AE102" s="97"/>
    </row>
    <row r="103" ht="14.25" hidden="1" customHeight="1">
      <c r="A103" s="62"/>
      <c r="B103" s="97"/>
      <c r="C103" s="97"/>
      <c r="D103" s="97"/>
      <c r="E103" s="97"/>
      <c r="F103" s="97"/>
      <c r="G103" s="97"/>
      <c r="H103" s="99"/>
      <c r="I103" s="123"/>
      <c r="J103" s="123"/>
      <c r="K103" s="97"/>
      <c r="L103" s="97"/>
      <c r="M103" s="97"/>
      <c r="N103" s="97"/>
      <c r="O103" s="97"/>
      <c r="P103" s="97"/>
      <c r="Q103" s="97"/>
      <c r="R103" s="97"/>
      <c r="S103" s="97"/>
      <c r="T103" s="97"/>
      <c r="U103" s="97"/>
      <c r="V103" s="97"/>
      <c r="W103" s="97"/>
      <c r="X103" s="97"/>
      <c r="Y103" s="97"/>
      <c r="Z103" s="97"/>
      <c r="AA103" s="97"/>
      <c r="AB103" s="97"/>
      <c r="AC103" s="97"/>
      <c r="AD103" s="97"/>
      <c r="AE103" s="97"/>
    </row>
    <row r="104" ht="14.25" hidden="1" customHeight="1">
      <c r="A104" s="62"/>
      <c r="B104" s="97"/>
      <c r="C104" s="97"/>
      <c r="D104" s="97"/>
      <c r="E104" s="97"/>
      <c r="F104" s="97"/>
      <c r="G104" s="97"/>
      <c r="H104" s="99"/>
      <c r="I104" s="123"/>
      <c r="J104" s="123"/>
      <c r="K104" s="97"/>
      <c r="L104" s="97"/>
      <c r="M104" s="97"/>
      <c r="N104" s="97"/>
      <c r="O104" s="97"/>
      <c r="P104" s="97"/>
      <c r="Q104" s="97"/>
      <c r="R104" s="97"/>
      <c r="S104" s="97"/>
      <c r="T104" s="97"/>
      <c r="U104" s="97"/>
      <c r="V104" s="97"/>
      <c r="W104" s="97"/>
      <c r="X104" s="97"/>
      <c r="Y104" s="97"/>
      <c r="Z104" s="97"/>
      <c r="AA104" s="97"/>
      <c r="AB104" s="97"/>
      <c r="AC104" s="97"/>
      <c r="AD104" s="97"/>
      <c r="AE104" s="97"/>
    </row>
    <row r="105" ht="14.25" hidden="1" customHeight="1">
      <c r="A105" s="62"/>
      <c r="B105" s="97"/>
      <c r="C105" s="97"/>
      <c r="D105" s="97"/>
      <c r="E105" s="97"/>
      <c r="F105" s="97"/>
      <c r="G105" s="97"/>
      <c r="H105" s="99"/>
      <c r="I105" s="123"/>
      <c r="J105" s="123"/>
      <c r="K105" s="97"/>
      <c r="L105" s="97"/>
      <c r="M105" s="97"/>
      <c r="N105" s="97"/>
      <c r="O105" s="97"/>
      <c r="P105" s="97"/>
      <c r="Q105" s="97"/>
      <c r="R105" s="97"/>
      <c r="S105" s="97"/>
      <c r="T105" s="97"/>
      <c r="U105" s="97"/>
      <c r="V105" s="97"/>
      <c r="W105" s="97"/>
      <c r="X105" s="97"/>
      <c r="Y105" s="97"/>
      <c r="Z105" s="97"/>
      <c r="AA105" s="97"/>
      <c r="AB105" s="97"/>
      <c r="AC105" s="97"/>
      <c r="AD105" s="97"/>
      <c r="AE105" s="97"/>
    </row>
    <row r="106" ht="14.25" hidden="1" customHeight="1">
      <c r="A106" s="62"/>
      <c r="B106" s="97"/>
      <c r="C106" s="97"/>
      <c r="D106" s="97"/>
      <c r="E106" s="97"/>
      <c r="F106" s="97"/>
      <c r="G106" s="97"/>
      <c r="H106" s="99"/>
      <c r="I106" s="123"/>
      <c r="J106" s="123"/>
      <c r="K106" s="97"/>
      <c r="L106" s="97"/>
      <c r="M106" s="97"/>
      <c r="N106" s="97"/>
      <c r="O106" s="97"/>
      <c r="P106" s="97"/>
      <c r="Q106" s="97"/>
      <c r="R106" s="97"/>
      <c r="S106" s="97"/>
      <c r="T106" s="97"/>
      <c r="U106" s="97"/>
      <c r="V106" s="97"/>
      <c r="W106" s="97"/>
      <c r="X106" s="97"/>
      <c r="Y106" s="97"/>
      <c r="Z106" s="97"/>
      <c r="AA106" s="97"/>
      <c r="AB106" s="97"/>
      <c r="AC106" s="97"/>
      <c r="AD106" s="97"/>
      <c r="AE106" s="97"/>
    </row>
    <row r="107" ht="14.25" hidden="1" customHeight="1">
      <c r="A107" s="62"/>
      <c r="B107" s="97"/>
      <c r="C107" s="97"/>
      <c r="D107" s="97"/>
      <c r="E107" s="97"/>
      <c r="F107" s="97"/>
      <c r="G107" s="97"/>
      <c r="H107" s="99"/>
      <c r="I107" s="123"/>
      <c r="J107" s="123"/>
      <c r="K107" s="97"/>
      <c r="L107" s="97"/>
      <c r="M107" s="97"/>
      <c r="N107" s="97"/>
      <c r="O107" s="97"/>
      <c r="P107" s="97"/>
      <c r="Q107" s="97"/>
      <c r="R107" s="97"/>
      <c r="S107" s="97"/>
      <c r="T107" s="97"/>
      <c r="U107" s="97"/>
      <c r="V107" s="97"/>
      <c r="W107" s="97"/>
      <c r="X107" s="97"/>
      <c r="Y107" s="97"/>
      <c r="Z107" s="97"/>
      <c r="AA107" s="97"/>
      <c r="AB107" s="97"/>
      <c r="AC107" s="97"/>
      <c r="AD107" s="97"/>
      <c r="AE107" s="97"/>
    </row>
    <row r="108" ht="14.25" hidden="1" customHeight="1">
      <c r="A108" s="62"/>
      <c r="B108" s="97"/>
      <c r="C108" s="97"/>
      <c r="D108" s="97"/>
      <c r="E108" s="97"/>
      <c r="F108" s="97"/>
      <c r="G108" s="97"/>
      <c r="H108" s="99"/>
      <c r="I108" s="123"/>
      <c r="J108" s="123"/>
      <c r="K108" s="97"/>
      <c r="L108" s="97"/>
      <c r="M108" s="97"/>
      <c r="N108" s="97"/>
      <c r="O108" s="97"/>
      <c r="P108" s="97"/>
      <c r="Q108" s="97"/>
      <c r="R108" s="97"/>
      <c r="S108" s="97"/>
      <c r="T108" s="97"/>
      <c r="U108" s="97"/>
      <c r="V108" s="97"/>
      <c r="W108" s="97"/>
      <c r="X108" s="97"/>
      <c r="Y108" s="97"/>
      <c r="Z108" s="97"/>
      <c r="AA108" s="97"/>
      <c r="AB108" s="97"/>
      <c r="AC108" s="97"/>
      <c r="AD108" s="97"/>
      <c r="AE108" s="97"/>
    </row>
    <row r="109" ht="14.25" hidden="1" customHeight="1">
      <c r="A109" s="62"/>
      <c r="B109" s="97"/>
      <c r="C109" s="97"/>
      <c r="D109" s="97"/>
      <c r="E109" s="97"/>
      <c r="F109" s="97"/>
      <c r="G109" s="97"/>
      <c r="H109" s="99"/>
      <c r="I109" s="123"/>
      <c r="J109" s="123"/>
      <c r="K109" s="97"/>
      <c r="L109" s="97"/>
      <c r="M109" s="97"/>
      <c r="N109" s="97"/>
      <c r="O109" s="97"/>
      <c r="P109" s="97"/>
      <c r="Q109" s="97"/>
      <c r="R109" s="97"/>
      <c r="S109" s="97"/>
      <c r="T109" s="97"/>
      <c r="U109" s="97"/>
      <c r="V109" s="97"/>
      <c r="W109" s="97"/>
      <c r="X109" s="97"/>
      <c r="Y109" s="97"/>
      <c r="Z109" s="97"/>
      <c r="AA109" s="97"/>
      <c r="AB109" s="97"/>
      <c r="AC109" s="97"/>
      <c r="AD109" s="97"/>
      <c r="AE109" s="97"/>
    </row>
    <row r="110" ht="14.25" hidden="1" customHeight="1">
      <c r="A110" s="62"/>
      <c r="B110" s="97"/>
      <c r="C110" s="97"/>
      <c r="D110" s="97"/>
      <c r="E110" s="97"/>
      <c r="F110" s="97"/>
      <c r="G110" s="97"/>
      <c r="H110" s="99"/>
      <c r="I110" s="123"/>
      <c r="J110" s="123"/>
      <c r="K110" s="97"/>
      <c r="L110" s="97"/>
      <c r="M110" s="97"/>
      <c r="N110" s="97"/>
      <c r="O110" s="97"/>
      <c r="P110" s="97"/>
      <c r="Q110" s="97"/>
      <c r="R110" s="97"/>
      <c r="S110" s="97"/>
      <c r="T110" s="97"/>
      <c r="U110" s="97"/>
      <c r="V110" s="97"/>
      <c r="W110" s="97"/>
      <c r="X110" s="97"/>
      <c r="Y110" s="97"/>
      <c r="Z110" s="97"/>
      <c r="AA110" s="97"/>
      <c r="AB110" s="97"/>
      <c r="AC110" s="97"/>
      <c r="AD110" s="97"/>
      <c r="AE110" s="97"/>
    </row>
    <row r="111" ht="14.25" hidden="1" customHeight="1">
      <c r="A111" s="62"/>
      <c r="B111" s="97"/>
      <c r="C111" s="97"/>
      <c r="D111" s="97"/>
      <c r="E111" s="97"/>
      <c r="F111" s="97"/>
      <c r="G111" s="97"/>
      <c r="H111" s="99"/>
      <c r="I111" s="123"/>
      <c r="J111" s="123"/>
      <c r="K111" s="97"/>
      <c r="L111" s="97"/>
      <c r="M111" s="97"/>
      <c r="N111" s="97"/>
      <c r="O111" s="97"/>
      <c r="P111" s="97"/>
      <c r="Q111" s="97"/>
      <c r="R111" s="97"/>
      <c r="S111" s="97"/>
      <c r="T111" s="97"/>
      <c r="U111" s="97"/>
      <c r="V111" s="97"/>
      <c r="W111" s="97"/>
      <c r="X111" s="97"/>
      <c r="Y111" s="97"/>
      <c r="Z111" s="97"/>
      <c r="AA111" s="97"/>
      <c r="AB111" s="97"/>
      <c r="AC111" s="97"/>
      <c r="AD111" s="97"/>
      <c r="AE111" s="97"/>
    </row>
    <row r="112" ht="14.25" hidden="1" customHeight="1">
      <c r="A112" s="62"/>
      <c r="B112" s="97"/>
      <c r="C112" s="97"/>
      <c r="D112" s="97"/>
      <c r="E112" s="97"/>
      <c r="F112" s="97"/>
      <c r="G112" s="97"/>
      <c r="H112" s="99"/>
      <c r="I112" s="123"/>
      <c r="J112" s="123"/>
      <c r="K112" s="97"/>
      <c r="L112" s="97"/>
      <c r="M112" s="97"/>
      <c r="N112" s="97"/>
      <c r="O112" s="97"/>
      <c r="P112" s="97"/>
      <c r="Q112" s="97"/>
      <c r="R112" s="97"/>
      <c r="S112" s="97"/>
      <c r="T112" s="97"/>
      <c r="U112" s="97"/>
      <c r="V112" s="97"/>
      <c r="W112" s="97"/>
      <c r="X112" s="97"/>
      <c r="Y112" s="97"/>
      <c r="Z112" s="97"/>
      <c r="AA112" s="97"/>
      <c r="AB112" s="97"/>
      <c r="AC112" s="97"/>
      <c r="AD112" s="97"/>
      <c r="AE112" s="97"/>
    </row>
    <row r="113" ht="14.25" hidden="1" customHeight="1">
      <c r="A113" s="62"/>
      <c r="B113" s="97"/>
      <c r="C113" s="97"/>
      <c r="D113" s="97"/>
      <c r="E113" s="97"/>
      <c r="F113" s="97"/>
      <c r="G113" s="97"/>
      <c r="H113" s="99"/>
      <c r="I113" s="123"/>
      <c r="J113" s="123"/>
      <c r="K113" s="97"/>
      <c r="L113" s="97"/>
      <c r="M113" s="97"/>
      <c r="N113" s="97"/>
      <c r="O113" s="97"/>
      <c r="P113" s="97"/>
      <c r="Q113" s="97"/>
      <c r="R113" s="97"/>
      <c r="S113" s="97"/>
      <c r="T113" s="97"/>
      <c r="U113" s="97"/>
      <c r="V113" s="97"/>
      <c r="W113" s="97"/>
      <c r="X113" s="97"/>
      <c r="Y113" s="97"/>
      <c r="Z113" s="97"/>
      <c r="AA113" s="97"/>
      <c r="AB113" s="97"/>
      <c r="AC113" s="97"/>
      <c r="AD113" s="97"/>
      <c r="AE113" s="97"/>
    </row>
    <row r="114" ht="14.25" hidden="1" customHeight="1">
      <c r="A114" s="62"/>
      <c r="B114" s="97"/>
      <c r="C114" s="97"/>
      <c r="D114" s="97"/>
      <c r="E114" s="97"/>
      <c r="F114" s="97"/>
      <c r="G114" s="97"/>
      <c r="H114" s="99"/>
      <c r="I114" s="123"/>
      <c r="J114" s="123"/>
      <c r="K114" s="97"/>
      <c r="L114" s="97"/>
      <c r="M114" s="97"/>
      <c r="N114" s="97"/>
      <c r="O114" s="97"/>
      <c r="P114" s="97"/>
      <c r="Q114" s="97"/>
      <c r="R114" s="97"/>
      <c r="S114" s="97"/>
      <c r="T114" s="97"/>
      <c r="U114" s="97"/>
      <c r="V114" s="97"/>
      <c r="W114" s="97"/>
      <c r="X114" s="97"/>
      <c r="Y114" s="97"/>
      <c r="Z114" s="97"/>
      <c r="AA114" s="97"/>
      <c r="AB114" s="97"/>
      <c r="AC114" s="97"/>
      <c r="AD114" s="97"/>
      <c r="AE114" s="97"/>
    </row>
    <row r="115" ht="14.25" hidden="1" customHeight="1">
      <c r="A115" s="62"/>
      <c r="B115" s="97"/>
      <c r="C115" s="97"/>
      <c r="D115" s="97"/>
      <c r="E115" s="97"/>
      <c r="F115" s="97"/>
      <c r="G115" s="97"/>
      <c r="H115" s="99"/>
      <c r="I115" s="123"/>
      <c r="J115" s="123"/>
      <c r="K115" s="97"/>
      <c r="L115" s="97"/>
      <c r="M115" s="97"/>
      <c r="N115" s="97"/>
      <c r="O115" s="97"/>
      <c r="P115" s="97"/>
      <c r="Q115" s="97"/>
      <c r="R115" s="97"/>
      <c r="S115" s="97"/>
      <c r="T115" s="97"/>
      <c r="U115" s="97"/>
      <c r="V115" s="97"/>
      <c r="W115" s="97"/>
      <c r="X115" s="97"/>
      <c r="Y115" s="97"/>
      <c r="Z115" s="97"/>
      <c r="AA115" s="97"/>
      <c r="AB115" s="97"/>
      <c r="AC115" s="97"/>
      <c r="AD115" s="97"/>
      <c r="AE115" s="97"/>
    </row>
    <row r="116" ht="14.25" hidden="1" customHeight="1">
      <c r="A116" s="62"/>
      <c r="B116" s="97"/>
      <c r="C116" s="97"/>
      <c r="D116" s="97"/>
      <c r="E116" s="97"/>
      <c r="F116" s="97"/>
      <c r="G116" s="97"/>
      <c r="H116" s="99"/>
      <c r="I116" s="123"/>
      <c r="J116" s="123"/>
      <c r="K116" s="97"/>
      <c r="L116" s="97"/>
      <c r="M116" s="97"/>
      <c r="N116" s="97"/>
      <c r="O116" s="97"/>
      <c r="P116" s="97"/>
      <c r="Q116" s="97"/>
      <c r="R116" s="97"/>
      <c r="S116" s="97"/>
      <c r="T116" s="97"/>
      <c r="U116" s="97"/>
      <c r="V116" s="97"/>
      <c r="W116" s="97"/>
      <c r="X116" s="97"/>
      <c r="Y116" s="97"/>
      <c r="Z116" s="97"/>
      <c r="AA116" s="97"/>
      <c r="AB116" s="97"/>
      <c r="AC116" s="97"/>
      <c r="AD116" s="97"/>
      <c r="AE116" s="97"/>
    </row>
    <row r="117" ht="14.25" hidden="1" customHeight="1">
      <c r="A117" s="62"/>
      <c r="B117" s="97"/>
      <c r="C117" s="97"/>
      <c r="D117" s="97"/>
      <c r="E117" s="97"/>
      <c r="F117" s="97"/>
      <c r="G117" s="97"/>
      <c r="H117" s="99"/>
      <c r="I117" s="123"/>
      <c r="J117" s="123"/>
      <c r="K117" s="97"/>
      <c r="L117" s="97"/>
      <c r="M117" s="97"/>
      <c r="N117" s="97"/>
      <c r="O117" s="97"/>
      <c r="P117" s="97"/>
      <c r="Q117" s="97"/>
      <c r="R117" s="97"/>
      <c r="S117" s="97"/>
      <c r="T117" s="97"/>
      <c r="U117" s="97"/>
      <c r="V117" s="97"/>
      <c r="W117" s="97"/>
      <c r="X117" s="97"/>
      <c r="Y117" s="97"/>
      <c r="Z117" s="97"/>
      <c r="AA117" s="97"/>
      <c r="AB117" s="97"/>
      <c r="AC117" s="97"/>
      <c r="AD117" s="97"/>
      <c r="AE117" s="97"/>
    </row>
    <row r="118" ht="14.25" hidden="1" customHeight="1">
      <c r="A118" s="62"/>
      <c r="B118" s="97"/>
      <c r="C118" s="97"/>
      <c r="D118" s="97"/>
      <c r="E118" s="97"/>
      <c r="F118" s="97"/>
      <c r="G118" s="97"/>
      <c r="H118" s="99"/>
      <c r="I118" s="123"/>
      <c r="J118" s="123"/>
      <c r="K118" s="97"/>
      <c r="L118" s="97"/>
      <c r="M118" s="97"/>
      <c r="N118" s="97"/>
      <c r="O118" s="97"/>
      <c r="P118" s="97"/>
      <c r="Q118" s="97"/>
      <c r="R118" s="97"/>
      <c r="S118" s="97"/>
      <c r="T118" s="97"/>
      <c r="U118" s="97"/>
      <c r="V118" s="97"/>
      <c r="W118" s="97"/>
      <c r="X118" s="97"/>
      <c r="Y118" s="97"/>
      <c r="Z118" s="97"/>
      <c r="AA118" s="97"/>
      <c r="AB118" s="97"/>
      <c r="AC118" s="97"/>
      <c r="AD118" s="97"/>
      <c r="AE118" s="97"/>
    </row>
    <row r="119" ht="14.25" hidden="1" customHeight="1">
      <c r="A119" s="62"/>
      <c r="B119" s="97"/>
      <c r="C119" s="97"/>
      <c r="D119" s="97"/>
      <c r="E119" s="97"/>
      <c r="F119" s="97"/>
      <c r="G119" s="97"/>
      <c r="H119" s="99"/>
      <c r="I119" s="123"/>
      <c r="J119" s="123"/>
      <c r="K119" s="97"/>
      <c r="L119" s="97"/>
      <c r="M119" s="97"/>
      <c r="N119" s="97"/>
      <c r="O119" s="97"/>
      <c r="P119" s="97"/>
      <c r="Q119" s="97"/>
      <c r="R119" s="97"/>
      <c r="S119" s="97"/>
      <c r="T119" s="97"/>
      <c r="U119" s="97"/>
      <c r="V119" s="97"/>
      <c r="W119" s="97"/>
      <c r="X119" s="97"/>
      <c r="Y119" s="97"/>
      <c r="Z119" s="97"/>
      <c r="AA119" s="97"/>
      <c r="AB119" s="97"/>
      <c r="AC119" s="97"/>
      <c r="AD119" s="97"/>
      <c r="AE119" s="97"/>
    </row>
    <row r="120" ht="14.25" hidden="1" customHeight="1">
      <c r="A120" s="62"/>
      <c r="B120" s="97"/>
      <c r="C120" s="97"/>
      <c r="D120" s="97"/>
      <c r="E120" s="97"/>
      <c r="F120" s="97"/>
      <c r="G120" s="97"/>
      <c r="H120" s="99"/>
      <c r="I120" s="123"/>
      <c r="J120" s="123"/>
      <c r="K120" s="97"/>
      <c r="L120" s="97"/>
      <c r="M120" s="97"/>
      <c r="N120" s="97"/>
      <c r="O120" s="97"/>
      <c r="P120" s="97"/>
      <c r="Q120" s="97"/>
      <c r="R120" s="97"/>
      <c r="S120" s="97"/>
      <c r="T120" s="97"/>
      <c r="U120" s="97"/>
      <c r="V120" s="97"/>
      <c r="W120" s="97"/>
      <c r="X120" s="97"/>
      <c r="Y120" s="97"/>
      <c r="Z120" s="97"/>
      <c r="AA120" s="97"/>
      <c r="AB120" s="97"/>
      <c r="AC120" s="97"/>
      <c r="AD120" s="97"/>
      <c r="AE120" s="97"/>
    </row>
    <row r="121" ht="14.25" hidden="1" customHeight="1">
      <c r="A121" s="62"/>
      <c r="B121" s="97"/>
      <c r="C121" s="97"/>
      <c r="D121" s="97"/>
      <c r="E121" s="97"/>
      <c r="F121" s="97"/>
      <c r="G121" s="97"/>
      <c r="H121" s="99"/>
      <c r="I121" s="123"/>
      <c r="J121" s="123"/>
      <c r="K121" s="97"/>
      <c r="L121" s="97"/>
      <c r="M121" s="97"/>
      <c r="N121" s="97"/>
      <c r="O121" s="97"/>
      <c r="P121" s="97"/>
      <c r="Q121" s="97"/>
      <c r="R121" s="97"/>
      <c r="S121" s="97"/>
      <c r="T121" s="97"/>
      <c r="U121" s="97"/>
      <c r="V121" s="97"/>
      <c r="W121" s="97"/>
      <c r="X121" s="97"/>
      <c r="Y121" s="97"/>
      <c r="Z121" s="97"/>
      <c r="AA121" s="97"/>
      <c r="AB121" s="97"/>
      <c r="AC121" s="97"/>
      <c r="AD121" s="97"/>
      <c r="AE121" s="97"/>
    </row>
    <row r="122" ht="14.25" hidden="1" customHeight="1">
      <c r="A122" s="62"/>
      <c r="B122" s="97"/>
      <c r="C122" s="97"/>
      <c r="D122" s="97"/>
      <c r="E122" s="97"/>
      <c r="F122" s="97"/>
      <c r="G122" s="97"/>
      <c r="H122" s="99"/>
      <c r="I122" s="123"/>
      <c r="J122" s="123"/>
      <c r="K122" s="97"/>
      <c r="L122" s="97"/>
      <c r="M122" s="97"/>
      <c r="N122" s="97"/>
      <c r="O122" s="97"/>
      <c r="P122" s="97"/>
      <c r="Q122" s="97"/>
      <c r="R122" s="97"/>
      <c r="S122" s="97"/>
      <c r="T122" s="97"/>
      <c r="U122" s="97"/>
      <c r="V122" s="97"/>
      <c r="W122" s="97"/>
      <c r="X122" s="97"/>
      <c r="Y122" s="97"/>
      <c r="Z122" s="97"/>
      <c r="AA122" s="97"/>
      <c r="AB122" s="97"/>
      <c r="AC122" s="97"/>
      <c r="AD122" s="97"/>
      <c r="AE122" s="97"/>
    </row>
    <row r="123" ht="14.25" hidden="1" customHeight="1">
      <c r="A123" s="62"/>
      <c r="B123" s="97"/>
      <c r="C123" s="97"/>
      <c r="D123" s="97"/>
      <c r="E123" s="97"/>
      <c r="F123" s="97"/>
      <c r="G123" s="97"/>
      <c r="H123" s="99"/>
      <c r="I123" s="123"/>
      <c r="J123" s="123"/>
      <c r="K123" s="97"/>
      <c r="L123" s="97"/>
      <c r="M123" s="97"/>
      <c r="N123" s="97"/>
      <c r="O123" s="97"/>
      <c r="P123" s="97"/>
      <c r="Q123" s="97"/>
      <c r="R123" s="97"/>
      <c r="S123" s="97"/>
      <c r="T123" s="97"/>
      <c r="U123" s="97"/>
      <c r="V123" s="97"/>
      <c r="W123" s="97"/>
      <c r="X123" s="97"/>
      <c r="Y123" s="97"/>
      <c r="Z123" s="97"/>
      <c r="AA123" s="97"/>
      <c r="AB123" s="97"/>
      <c r="AC123" s="97"/>
      <c r="AD123" s="97"/>
      <c r="AE123" s="97"/>
    </row>
    <row r="124" ht="14.25" hidden="1" customHeight="1">
      <c r="A124" s="62"/>
      <c r="B124" s="97"/>
      <c r="C124" s="97"/>
      <c r="D124" s="97"/>
      <c r="E124" s="97"/>
      <c r="F124" s="97"/>
      <c r="G124" s="97"/>
      <c r="H124" s="99"/>
      <c r="I124" s="123"/>
      <c r="J124" s="123"/>
      <c r="K124" s="97"/>
      <c r="L124" s="97"/>
      <c r="M124" s="97"/>
      <c r="N124" s="97"/>
      <c r="O124" s="97"/>
      <c r="P124" s="97"/>
      <c r="Q124" s="97"/>
      <c r="R124" s="97"/>
      <c r="S124" s="97"/>
      <c r="T124" s="97"/>
      <c r="U124" s="97"/>
      <c r="V124" s="97"/>
      <c r="W124" s="97"/>
      <c r="X124" s="97"/>
      <c r="Y124" s="97"/>
      <c r="Z124" s="97"/>
      <c r="AA124" s="97"/>
      <c r="AB124" s="97"/>
      <c r="AC124" s="97"/>
      <c r="AD124" s="97"/>
      <c r="AE124" s="97"/>
    </row>
    <row r="125" ht="14.25" hidden="1" customHeight="1">
      <c r="A125" s="62"/>
      <c r="B125" s="97"/>
      <c r="C125" s="97"/>
      <c r="D125" s="97"/>
      <c r="E125" s="97"/>
      <c r="F125" s="97"/>
      <c r="G125" s="97"/>
      <c r="H125" s="99"/>
      <c r="I125" s="123"/>
      <c r="J125" s="123"/>
      <c r="K125" s="97"/>
      <c r="L125" s="97"/>
      <c r="M125" s="97"/>
      <c r="N125" s="97"/>
      <c r="O125" s="97"/>
      <c r="P125" s="97"/>
      <c r="Q125" s="97"/>
      <c r="R125" s="97"/>
      <c r="S125" s="97"/>
      <c r="T125" s="97"/>
      <c r="U125" s="97"/>
      <c r="V125" s="97"/>
      <c r="W125" s="97"/>
      <c r="X125" s="97"/>
      <c r="Y125" s="97"/>
      <c r="Z125" s="97"/>
      <c r="AA125" s="97"/>
      <c r="AB125" s="97"/>
      <c r="AC125" s="97"/>
      <c r="AD125" s="97"/>
      <c r="AE125" s="97"/>
    </row>
    <row r="126" ht="14.25" customHeight="1">
      <c r="A126" s="59"/>
      <c r="B126" s="97"/>
      <c r="C126" s="97"/>
      <c r="D126" s="97"/>
      <c r="E126" s="97"/>
      <c r="F126" s="97"/>
      <c r="G126" s="97"/>
      <c r="H126" s="99"/>
      <c r="I126" s="123"/>
      <c r="J126" s="123"/>
      <c r="K126" s="97"/>
      <c r="L126" s="97"/>
      <c r="M126" s="66"/>
      <c r="N126" s="97"/>
      <c r="O126" s="97"/>
      <c r="P126" s="97"/>
      <c r="Q126" s="97"/>
      <c r="R126" s="97"/>
      <c r="S126" s="97"/>
      <c r="T126" s="97"/>
      <c r="U126" s="97"/>
      <c r="V126" s="97"/>
      <c r="W126" s="97"/>
      <c r="X126" s="97"/>
      <c r="Y126" s="97"/>
      <c r="Z126" s="97"/>
      <c r="AA126" s="97"/>
      <c r="AB126" s="97"/>
      <c r="AC126" s="97"/>
      <c r="AD126" s="97"/>
      <c r="AE126" s="97"/>
    </row>
    <row r="127" ht="14.25" customHeight="1">
      <c r="A127" s="59"/>
      <c r="B127" s="97"/>
      <c r="C127" s="97"/>
      <c r="D127" s="97"/>
      <c r="E127" s="97"/>
      <c r="F127" s="97"/>
      <c r="G127" s="97"/>
      <c r="H127" s="99"/>
      <c r="I127" s="123"/>
      <c r="J127" s="123"/>
      <c r="K127" s="97"/>
      <c r="L127" s="97"/>
      <c r="M127" s="66"/>
      <c r="N127" s="97"/>
      <c r="O127" s="97"/>
      <c r="P127" s="97"/>
      <c r="Q127" s="97"/>
      <c r="R127" s="97"/>
      <c r="S127" s="97"/>
      <c r="T127" s="97"/>
      <c r="U127" s="97"/>
      <c r="V127" s="97"/>
      <c r="W127" s="97"/>
      <c r="X127" s="97"/>
      <c r="Y127" s="97"/>
      <c r="Z127" s="97"/>
      <c r="AA127" s="97"/>
      <c r="AB127" s="97"/>
      <c r="AC127" s="97"/>
      <c r="AD127" s="97"/>
      <c r="AE127" s="97"/>
    </row>
    <row r="128" ht="14.25" customHeight="1">
      <c r="A128" s="59"/>
      <c r="B128" s="97"/>
      <c r="C128" s="97"/>
      <c r="D128" s="97"/>
      <c r="E128" s="97"/>
      <c r="F128" s="97"/>
      <c r="G128" s="97"/>
      <c r="H128" s="99"/>
      <c r="I128" s="123"/>
      <c r="J128" s="123"/>
      <c r="K128" s="97"/>
      <c r="L128" s="97"/>
      <c r="M128" s="66"/>
      <c r="N128" s="97"/>
      <c r="O128" s="97"/>
      <c r="P128" s="97"/>
      <c r="Q128" s="97"/>
      <c r="R128" s="97"/>
      <c r="S128" s="97"/>
      <c r="T128" s="97"/>
      <c r="U128" s="97"/>
      <c r="V128" s="97"/>
      <c r="W128" s="97"/>
      <c r="X128" s="97"/>
      <c r="Y128" s="97"/>
      <c r="Z128" s="97"/>
      <c r="AA128" s="97"/>
      <c r="AB128" s="97"/>
      <c r="AC128" s="97"/>
      <c r="AD128" s="97"/>
      <c r="AE128" s="97"/>
    </row>
    <row r="129" ht="14.25" customHeight="1">
      <c r="A129" s="59"/>
      <c r="B129" s="97"/>
      <c r="C129" s="97"/>
      <c r="D129" s="97"/>
      <c r="E129" s="97"/>
      <c r="F129" s="97"/>
      <c r="G129" s="97"/>
      <c r="H129" s="99"/>
      <c r="I129" s="123"/>
      <c r="J129" s="123"/>
      <c r="K129" s="97"/>
      <c r="L129" s="97"/>
      <c r="M129" s="66"/>
      <c r="N129" s="97"/>
      <c r="O129" s="97"/>
      <c r="P129" s="97"/>
      <c r="Q129" s="97"/>
      <c r="R129" s="97"/>
      <c r="S129" s="97"/>
      <c r="T129" s="97"/>
      <c r="U129" s="97"/>
      <c r="V129" s="97"/>
      <c r="W129" s="97"/>
      <c r="X129" s="97"/>
      <c r="Y129" s="97"/>
      <c r="Z129" s="97"/>
      <c r="AA129" s="97"/>
      <c r="AB129" s="97"/>
      <c r="AC129" s="97"/>
      <c r="AD129" s="97"/>
      <c r="AE129" s="97"/>
    </row>
    <row r="130" ht="14.25" customHeight="1">
      <c r="A130" s="59"/>
      <c r="B130" s="97"/>
      <c r="C130" s="97"/>
      <c r="D130" s="97"/>
      <c r="E130" s="97"/>
      <c r="F130" s="97"/>
      <c r="G130" s="97"/>
      <c r="H130" s="99"/>
      <c r="I130" s="123"/>
      <c r="J130" s="123"/>
      <c r="K130" s="97"/>
      <c r="L130" s="97"/>
      <c r="M130" s="66"/>
      <c r="N130" s="97"/>
      <c r="O130" s="97"/>
      <c r="P130" s="97"/>
      <c r="Q130" s="97"/>
      <c r="R130" s="97"/>
      <c r="S130" s="97"/>
      <c r="T130" s="97"/>
      <c r="U130" s="97"/>
      <c r="V130" s="97"/>
      <c r="W130" s="97"/>
      <c r="X130" s="97"/>
      <c r="Y130" s="97"/>
      <c r="Z130" s="97"/>
      <c r="AA130" s="97"/>
      <c r="AB130" s="97"/>
      <c r="AC130" s="97"/>
      <c r="AD130" s="97"/>
      <c r="AE130" s="97"/>
    </row>
    <row r="131" ht="14.25" customHeight="1">
      <c r="A131" s="59"/>
      <c r="B131" s="97"/>
      <c r="C131" s="97"/>
      <c r="D131" s="97"/>
      <c r="E131" s="97"/>
      <c r="F131" s="97"/>
      <c r="G131" s="97"/>
      <c r="H131" s="99"/>
      <c r="I131" s="123"/>
      <c r="J131" s="123"/>
      <c r="K131" s="97"/>
      <c r="L131" s="97"/>
      <c r="M131" s="66"/>
      <c r="N131" s="97"/>
      <c r="O131" s="97"/>
      <c r="P131" s="97"/>
      <c r="Q131" s="97"/>
      <c r="R131" s="97"/>
      <c r="S131" s="97"/>
      <c r="T131" s="97"/>
      <c r="U131" s="97"/>
      <c r="V131" s="97"/>
      <c r="W131" s="97"/>
      <c r="X131" s="97"/>
      <c r="Y131" s="97"/>
      <c r="Z131" s="97"/>
      <c r="AA131" s="97"/>
      <c r="AB131" s="97"/>
      <c r="AC131" s="97"/>
      <c r="AD131" s="97"/>
      <c r="AE131" s="97"/>
    </row>
    <row r="132" ht="14.25" customHeight="1">
      <c r="A132" s="59"/>
      <c r="B132" s="97"/>
      <c r="C132" s="97"/>
      <c r="D132" s="97"/>
      <c r="E132" s="97"/>
      <c r="F132" s="97"/>
      <c r="G132" s="97"/>
      <c r="H132" s="99"/>
      <c r="I132" s="123"/>
      <c r="J132" s="123"/>
      <c r="K132" s="97"/>
      <c r="L132" s="97"/>
      <c r="M132" s="66"/>
      <c r="N132" s="97"/>
      <c r="O132" s="97"/>
      <c r="P132" s="97"/>
      <c r="Q132" s="97"/>
      <c r="R132" s="97"/>
      <c r="S132" s="97"/>
      <c r="T132" s="97"/>
      <c r="U132" s="97"/>
      <c r="V132" s="97"/>
      <c r="W132" s="97"/>
      <c r="X132" s="97"/>
      <c r="Y132" s="97"/>
      <c r="Z132" s="97"/>
      <c r="AA132" s="97"/>
      <c r="AB132" s="97"/>
      <c r="AC132" s="97"/>
      <c r="AD132" s="97"/>
      <c r="AE132" s="97"/>
    </row>
    <row r="133" ht="14.25" customHeight="1">
      <c r="A133" s="59"/>
      <c r="B133" s="97"/>
      <c r="C133" s="97"/>
      <c r="D133" s="97"/>
      <c r="E133" s="97"/>
      <c r="F133" s="97"/>
      <c r="G133" s="97"/>
      <c r="H133" s="99"/>
      <c r="I133" s="123"/>
      <c r="J133" s="123"/>
      <c r="K133" s="97"/>
      <c r="L133" s="97"/>
      <c r="M133" s="66"/>
      <c r="N133" s="97"/>
      <c r="O133" s="97"/>
      <c r="P133" s="97"/>
      <c r="Q133" s="97"/>
      <c r="R133" s="97"/>
      <c r="S133" s="97"/>
      <c r="T133" s="97"/>
      <c r="U133" s="97"/>
      <c r="V133" s="97"/>
      <c r="W133" s="97"/>
      <c r="X133" s="97"/>
      <c r="Y133" s="97"/>
      <c r="Z133" s="97"/>
      <c r="AA133" s="97"/>
      <c r="AB133" s="97"/>
      <c r="AC133" s="97"/>
      <c r="AD133" s="97"/>
      <c r="AE133" s="97"/>
    </row>
    <row r="134" ht="14.25" customHeight="1">
      <c r="A134" s="59"/>
      <c r="B134" s="97"/>
      <c r="C134" s="97"/>
      <c r="D134" s="97"/>
      <c r="E134" s="97"/>
      <c r="F134" s="97"/>
      <c r="G134" s="97"/>
      <c r="H134" s="99"/>
      <c r="I134" s="123"/>
      <c r="J134" s="123"/>
      <c r="K134" s="97"/>
      <c r="L134" s="97"/>
      <c r="M134" s="66"/>
      <c r="N134" s="97"/>
      <c r="O134" s="97"/>
      <c r="P134" s="97"/>
      <c r="Q134" s="97"/>
      <c r="R134" s="97"/>
      <c r="S134" s="97"/>
      <c r="T134" s="97"/>
      <c r="U134" s="97"/>
      <c r="V134" s="97"/>
      <c r="W134" s="97"/>
      <c r="X134" s="97"/>
      <c r="Y134" s="97"/>
      <c r="Z134" s="97"/>
      <c r="AA134" s="97"/>
      <c r="AB134" s="97"/>
      <c r="AC134" s="97"/>
      <c r="AD134" s="97"/>
      <c r="AE134" s="97"/>
    </row>
    <row r="135" ht="14.25" customHeight="1">
      <c r="A135" s="59"/>
      <c r="B135" s="97"/>
      <c r="C135" s="97"/>
      <c r="D135" s="97"/>
      <c r="E135" s="97"/>
      <c r="F135" s="97"/>
      <c r="G135" s="97"/>
      <c r="H135" s="99"/>
      <c r="I135" s="123"/>
      <c r="J135" s="123"/>
      <c r="K135" s="97"/>
      <c r="L135" s="97"/>
      <c r="M135" s="66"/>
      <c r="N135" s="97"/>
      <c r="O135" s="97"/>
      <c r="P135" s="97"/>
      <c r="Q135" s="97"/>
      <c r="R135" s="97"/>
      <c r="S135" s="97"/>
      <c r="T135" s="97"/>
      <c r="U135" s="97"/>
      <c r="V135" s="97"/>
      <c r="W135" s="97"/>
      <c r="X135" s="97"/>
      <c r="Y135" s="97"/>
      <c r="Z135" s="97"/>
      <c r="AA135" s="97"/>
      <c r="AB135" s="97"/>
      <c r="AC135" s="97"/>
      <c r="AD135" s="97"/>
      <c r="AE135" s="97"/>
    </row>
    <row r="136" ht="14.25" customHeight="1">
      <c r="A136" s="59"/>
      <c r="B136" s="97"/>
      <c r="C136" s="97"/>
      <c r="D136" s="97"/>
      <c r="E136" s="97"/>
      <c r="F136" s="97"/>
      <c r="G136" s="97"/>
      <c r="H136" s="99"/>
      <c r="I136" s="123"/>
      <c r="J136" s="123"/>
      <c r="K136" s="97"/>
      <c r="L136" s="97"/>
      <c r="M136" s="66"/>
      <c r="N136" s="97"/>
      <c r="O136" s="97"/>
      <c r="P136" s="97"/>
      <c r="Q136" s="97"/>
      <c r="R136" s="97"/>
      <c r="S136" s="97"/>
      <c r="T136" s="97"/>
      <c r="U136" s="97"/>
      <c r="V136" s="97"/>
      <c r="W136" s="97"/>
      <c r="X136" s="97"/>
      <c r="Y136" s="97"/>
      <c r="Z136" s="97"/>
      <c r="AA136" s="97"/>
      <c r="AB136" s="97"/>
      <c r="AC136" s="97"/>
      <c r="AD136" s="97"/>
      <c r="AE136" s="97"/>
    </row>
    <row r="137" ht="14.25" customHeight="1">
      <c r="A137" s="59"/>
      <c r="B137" s="97"/>
      <c r="C137" s="97"/>
      <c r="D137" s="97"/>
      <c r="E137" s="97"/>
      <c r="F137" s="97"/>
      <c r="G137" s="97"/>
      <c r="H137" s="99"/>
      <c r="I137" s="123"/>
      <c r="J137" s="123"/>
      <c r="K137" s="97"/>
      <c r="L137" s="97"/>
      <c r="M137" s="66"/>
      <c r="N137" s="97"/>
      <c r="O137" s="97"/>
      <c r="P137" s="97"/>
      <c r="Q137" s="97"/>
      <c r="R137" s="97"/>
      <c r="S137" s="97"/>
      <c r="T137" s="97"/>
      <c r="U137" s="97"/>
      <c r="V137" s="97"/>
      <c r="W137" s="97"/>
      <c r="X137" s="97"/>
      <c r="Y137" s="97"/>
      <c r="Z137" s="97"/>
      <c r="AA137" s="97"/>
      <c r="AB137" s="97"/>
      <c r="AC137" s="97"/>
      <c r="AD137" s="97"/>
      <c r="AE137" s="97"/>
    </row>
    <row r="138" ht="14.25" customHeight="1">
      <c r="A138" s="59"/>
      <c r="B138" s="97"/>
      <c r="C138" s="97"/>
      <c r="D138" s="97"/>
      <c r="E138" s="97"/>
      <c r="F138" s="97"/>
      <c r="G138" s="97"/>
      <c r="H138" s="99"/>
      <c r="I138" s="123"/>
      <c r="J138" s="123"/>
      <c r="K138" s="97"/>
      <c r="L138" s="97"/>
      <c r="M138" s="66"/>
      <c r="N138" s="97"/>
      <c r="O138" s="97"/>
      <c r="P138" s="97"/>
      <c r="Q138" s="97"/>
      <c r="R138" s="97"/>
      <c r="S138" s="97"/>
      <c r="T138" s="97"/>
      <c r="U138" s="97"/>
      <c r="V138" s="97"/>
      <c r="W138" s="97"/>
      <c r="X138" s="97"/>
      <c r="Y138" s="97"/>
      <c r="Z138" s="97"/>
      <c r="AA138" s="97"/>
      <c r="AB138" s="97"/>
      <c r="AC138" s="97"/>
      <c r="AD138" s="97"/>
      <c r="AE138" s="97"/>
    </row>
    <row r="139" ht="14.25" customHeight="1">
      <c r="A139" s="59"/>
      <c r="B139" s="97"/>
      <c r="C139" s="97"/>
      <c r="D139" s="97"/>
      <c r="E139" s="97"/>
      <c r="F139" s="97"/>
      <c r="G139" s="97"/>
      <c r="H139" s="99"/>
      <c r="I139" s="123"/>
      <c r="J139" s="123"/>
      <c r="K139" s="97"/>
      <c r="L139" s="97"/>
      <c r="M139" s="66"/>
      <c r="N139" s="97"/>
      <c r="O139" s="97"/>
      <c r="P139" s="97"/>
      <c r="Q139" s="97"/>
      <c r="R139" s="97"/>
      <c r="S139" s="97"/>
      <c r="T139" s="97"/>
      <c r="U139" s="97"/>
      <c r="V139" s="97"/>
      <c r="W139" s="97"/>
      <c r="X139" s="97"/>
      <c r="Y139" s="97"/>
      <c r="Z139" s="97"/>
      <c r="AA139" s="97"/>
      <c r="AB139" s="97"/>
      <c r="AC139" s="97"/>
      <c r="AD139" s="97"/>
      <c r="AE139" s="97"/>
    </row>
    <row r="140" ht="14.25" customHeight="1">
      <c r="A140" s="59"/>
      <c r="B140" s="97"/>
      <c r="C140" s="97"/>
      <c r="D140" s="97"/>
      <c r="E140" s="97"/>
      <c r="F140" s="97"/>
      <c r="G140" s="97"/>
      <c r="H140" s="99"/>
      <c r="I140" s="123"/>
      <c r="J140" s="123"/>
      <c r="K140" s="97"/>
      <c r="L140" s="97"/>
      <c r="M140" s="66"/>
      <c r="N140" s="97"/>
      <c r="O140" s="97"/>
      <c r="P140" s="97"/>
      <c r="Q140" s="97"/>
      <c r="R140" s="97"/>
      <c r="S140" s="97"/>
      <c r="T140" s="97"/>
      <c r="U140" s="97"/>
      <c r="V140" s="97"/>
      <c r="W140" s="97"/>
      <c r="X140" s="97"/>
      <c r="Y140" s="97"/>
      <c r="Z140" s="97"/>
      <c r="AA140" s="97"/>
      <c r="AB140" s="97"/>
      <c r="AC140" s="97"/>
      <c r="AD140" s="97"/>
      <c r="AE140" s="97"/>
    </row>
    <row r="141" ht="14.25" customHeight="1">
      <c r="A141" s="59"/>
      <c r="B141" s="97"/>
      <c r="C141" s="97"/>
      <c r="D141" s="97"/>
      <c r="E141" s="97"/>
      <c r="F141" s="97"/>
      <c r="G141" s="97"/>
      <c r="H141" s="99"/>
      <c r="I141" s="123"/>
      <c r="J141" s="123"/>
      <c r="K141" s="97"/>
      <c r="L141" s="97"/>
      <c r="M141" s="66"/>
      <c r="N141" s="97"/>
      <c r="O141" s="97"/>
      <c r="P141" s="97"/>
      <c r="Q141" s="97"/>
      <c r="R141" s="97"/>
      <c r="S141" s="97"/>
      <c r="T141" s="97"/>
      <c r="U141" s="97"/>
      <c r="V141" s="97"/>
      <c r="W141" s="97"/>
      <c r="X141" s="97"/>
      <c r="Y141" s="97"/>
      <c r="Z141" s="97"/>
      <c r="AA141" s="97"/>
      <c r="AB141" s="97"/>
      <c r="AC141" s="97"/>
      <c r="AD141" s="97"/>
      <c r="AE141" s="97"/>
    </row>
    <row r="142" ht="14.25" customHeight="1">
      <c r="A142" s="59"/>
      <c r="B142" s="97"/>
      <c r="C142" s="97"/>
      <c r="D142" s="97"/>
      <c r="E142" s="97"/>
      <c r="F142" s="97"/>
      <c r="G142" s="97"/>
      <c r="H142" s="99"/>
      <c r="I142" s="123"/>
      <c r="J142" s="123"/>
      <c r="K142" s="97"/>
      <c r="L142" s="97"/>
      <c r="M142" s="66"/>
      <c r="N142" s="97"/>
      <c r="O142" s="97"/>
      <c r="P142" s="97"/>
      <c r="Q142" s="97"/>
      <c r="R142" s="97"/>
      <c r="S142" s="97"/>
      <c r="T142" s="97"/>
      <c r="U142" s="97"/>
      <c r="V142" s="97"/>
      <c r="W142" s="97"/>
      <c r="X142" s="97"/>
      <c r="Y142" s="97"/>
      <c r="Z142" s="97"/>
      <c r="AA142" s="97"/>
      <c r="AB142" s="97"/>
      <c r="AC142" s="97"/>
      <c r="AD142" s="97"/>
      <c r="AE142" s="97"/>
    </row>
    <row r="143" ht="14.25" customHeight="1">
      <c r="A143" s="59"/>
      <c r="B143" s="97"/>
      <c r="C143" s="97"/>
      <c r="D143" s="97"/>
      <c r="E143" s="97"/>
      <c r="F143" s="97"/>
      <c r="G143" s="97"/>
      <c r="H143" s="99"/>
      <c r="I143" s="123"/>
      <c r="J143" s="123"/>
      <c r="K143" s="97"/>
      <c r="L143" s="97"/>
      <c r="M143" s="66"/>
      <c r="N143" s="97"/>
      <c r="O143" s="97"/>
      <c r="P143" s="97"/>
      <c r="Q143" s="97"/>
      <c r="R143" s="97"/>
      <c r="S143" s="97"/>
      <c r="T143" s="97"/>
      <c r="U143" s="97"/>
      <c r="V143" s="97"/>
      <c r="W143" s="97"/>
      <c r="X143" s="97"/>
      <c r="Y143" s="97"/>
      <c r="Z143" s="97"/>
      <c r="AA143" s="97"/>
      <c r="AB143" s="97"/>
      <c r="AC143" s="97"/>
      <c r="AD143" s="97"/>
      <c r="AE143" s="97"/>
    </row>
    <row r="144" ht="14.25" customHeight="1">
      <c r="A144" s="59"/>
      <c r="B144" s="97"/>
      <c r="C144" s="97"/>
      <c r="D144" s="97"/>
      <c r="E144" s="97"/>
      <c r="F144" s="97"/>
      <c r="G144" s="97"/>
      <c r="H144" s="99"/>
      <c r="I144" s="123"/>
      <c r="J144" s="123"/>
      <c r="K144" s="97"/>
      <c r="L144" s="97"/>
      <c r="M144" s="66"/>
      <c r="N144" s="97"/>
      <c r="O144" s="97"/>
      <c r="P144" s="97"/>
      <c r="Q144" s="97"/>
      <c r="R144" s="97"/>
      <c r="S144" s="97"/>
      <c r="T144" s="97"/>
      <c r="U144" s="97"/>
      <c r="V144" s="97"/>
      <c r="W144" s="97"/>
      <c r="X144" s="97"/>
      <c r="Y144" s="97"/>
      <c r="Z144" s="97"/>
      <c r="AA144" s="97"/>
      <c r="AB144" s="97"/>
      <c r="AC144" s="97"/>
      <c r="AD144" s="97"/>
      <c r="AE144" s="97"/>
    </row>
    <row r="145" ht="14.25" customHeight="1">
      <c r="A145" s="59"/>
      <c r="B145" s="97"/>
      <c r="C145" s="97"/>
      <c r="D145" s="97"/>
      <c r="E145" s="97"/>
      <c r="F145" s="97"/>
      <c r="G145" s="97"/>
      <c r="H145" s="99"/>
      <c r="I145" s="123"/>
      <c r="J145" s="123"/>
      <c r="K145" s="97"/>
      <c r="L145" s="97"/>
      <c r="M145" s="66"/>
      <c r="N145" s="97"/>
      <c r="O145" s="97"/>
      <c r="P145" s="97"/>
      <c r="Q145" s="97"/>
      <c r="R145" s="97"/>
      <c r="S145" s="97"/>
      <c r="T145" s="97"/>
      <c r="U145" s="97"/>
      <c r="V145" s="97"/>
      <c r="W145" s="97"/>
      <c r="X145" s="97"/>
      <c r="Y145" s="97"/>
      <c r="Z145" s="97"/>
      <c r="AA145" s="97"/>
      <c r="AB145" s="97"/>
      <c r="AC145" s="97"/>
      <c r="AD145" s="97"/>
      <c r="AE145" s="97"/>
    </row>
    <row r="146" ht="14.25" customHeight="1">
      <c r="A146" s="59"/>
      <c r="B146" s="97"/>
      <c r="C146" s="97"/>
      <c r="D146" s="97"/>
      <c r="E146" s="97"/>
      <c r="F146" s="97"/>
      <c r="G146" s="97"/>
      <c r="H146" s="99"/>
      <c r="I146" s="123"/>
      <c r="J146" s="123"/>
      <c r="K146" s="97"/>
      <c r="L146" s="97"/>
      <c r="M146" s="66"/>
      <c r="N146" s="97"/>
      <c r="O146" s="97"/>
      <c r="P146" s="97"/>
      <c r="Q146" s="97"/>
      <c r="R146" s="97"/>
      <c r="S146" s="97"/>
      <c r="T146" s="97"/>
      <c r="U146" s="97"/>
      <c r="V146" s="97"/>
      <c r="W146" s="97"/>
      <c r="X146" s="97"/>
      <c r="Y146" s="97"/>
      <c r="Z146" s="97"/>
      <c r="AA146" s="97"/>
      <c r="AB146" s="97"/>
      <c r="AC146" s="97"/>
      <c r="AD146" s="97"/>
      <c r="AE146" s="97"/>
    </row>
    <row r="147" ht="14.25" customHeight="1">
      <c r="A147" s="59"/>
      <c r="B147" s="97"/>
      <c r="C147" s="97"/>
      <c r="D147" s="97"/>
      <c r="E147" s="97"/>
      <c r="F147" s="97"/>
      <c r="G147" s="97"/>
      <c r="H147" s="99"/>
      <c r="I147" s="123"/>
      <c r="J147" s="123"/>
      <c r="K147" s="97"/>
      <c r="L147" s="97"/>
      <c r="M147" s="66"/>
      <c r="N147" s="97"/>
      <c r="O147" s="97"/>
      <c r="P147" s="97"/>
      <c r="Q147" s="97"/>
      <c r="R147" s="97"/>
      <c r="S147" s="97"/>
      <c r="T147" s="97"/>
      <c r="U147" s="97"/>
      <c r="V147" s="97"/>
      <c r="W147" s="97"/>
      <c r="X147" s="97"/>
      <c r="Y147" s="97"/>
      <c r="Z147" s="97"/>
      <c r="AA147" s="97"/>
      <c r="AB147" s="97"/>
      <c r="AC147" s="97"/>
      <c r="AD147" s="97"/>
      <c r="AE147" s="97"/>
    </row>
    <row r="148" ht="14.25" customHeight="1">
      <c r="A148" s="59"/>
      <c r="B148" s="97"/>
      <c r="C148" s="97"/>
      <c r="D148" s="97"/>
      <c r="E148" s="97"/>
      <c r="F148" s="97"/>
      <c r="G148" s="97"/>
      <c r="H148" s="99"/>
      <c r="I148" s="123"/>
      <c r="J148" s="123"/>
      <c r="K148" s="97"/>
      <c r="L148" s="97"/>
      <c r="M148" s="66"/>
      <c r="N148" s="97"/>
      <c r="O148" s="97"/>
      <c r="P148" s="97"/>
      <c r="Q148" s="97"/>
      <c r="R148" s="97"/>
      <c r="S148" s="97"/>
      <c r="T148" s="97"/>
      <c r="U148" s="97"/>
      <c r="V148" s="97"/>
      <c r="W148" s="97"/>
      <c r="X148" s="97"/>
      <c r="Y148" s="97"/>
      <c r="Z148" s="97"/>
      <c r="AA148" s="97"/>
      <c r="AB148" s="97"/>
      <c r="AC148" s="97"/>
      <c r="AD148" s="97"/>
      <c r="AE148" s="97"/>
    </row>
    <row r="149" ht="14.25" customHeight="1">
      <c r="A149" s="59"/>
      <c r="B149" s="97"/>
      <c r="C149" s="97"/>
      <c r="D149" s="97"/>
      <c r="E149" s="97"/>
      <c r="F149" s="97"/>
      <c r="G149" s="97"/>
      <c r="H149" s="99"/>
      <c r="I149" s="123"/>
      <c r="J149" s="123"/>
      <c r="K149" s="97"/>
      <c r="L149" s="97"/>
      <c r="M149" s="66"/>
      <c r="N149" s="97"/>
      <c r="O149" s="97"/>
      <c r="P149" s="97"/>
      <c r="Q149" s="97"/>
      <c r="R149" s="97"/>
      <c r="S149" s="97"/>
      <c r="T149" s="97"/>
      <c r="U149" s="97"/>
      <c r="V149" s="97"/>
      <c r="W149" s="97"/>
      <c r="X149" s="97"/>
      <c r="Y149" s="97"/>
      <c r="Z149" s="97"/>
      <c r="AA149" s="97"/>
      <c r="AB149" s="97"/>
      <c r="AC149" s="97"/>
      <c r="AD149" s="97"/>
      <c r="AE149" s="97"/>
    </row>
    <row r="150" ht="14.25" customHeight="1">
      <c r="A150" s="59"/>
      <c r="B150" s="97"/>
      <c r="C150" s="97"/>
      <c r="D150" s="97"/>
      <c r="E150" s="97"/>
      <c r="F150" s="97"/>
      <c r="G150" s="97"/>
      <c r="H150" s="99"/>
      <c r="I150" s="123"/>
      <c r="J150" s="123"/>
      <c r="K150" s="97"/>
      <c r="L150" s="97"/>
      <c r="M150" s="66"/>
      <c r="N150" s="97"/>
      <c r="O150" s="97"/>
      <c r="P150" s="97"/>
      <c r="Q150" s="97"/>
      <c r="R150" s="97"/>
      <c r="S150" s="97"/>
      <c r="T150" s="97"/>
      <c r="U150" s="97"/>
      <c r="V150" s="97"/>
      <c r="W150" s="97"/>
      <c r="X150" s="97"/>
      <c r="Y150" s="97"/>
      <c r="Z150" s="97"/>
      <c r="AA150" s="97"/>
      <c r="AB150" s="97"/>
      <c r="AC150" s="97"/>
      <c r="AD150" s="97"/>
      <c r="AE150" s="97"/>
    </row>
    <row r="151" ht="14.25" customHeight="1">
      <c r="A151" s="59"/>
      <c r="B151" s="97"/>
      <c r="C151" s="97"/>
      <c r="D151" s="97"/>
      <c r="E151" s="97"/>
      <c r="F151" s="97"/>
      <c r="G151" s="97"/>
      <c r="H151" s="99"/>
      <c r="I151" s="123"/>
      <c r="J151" s="123"/>
      <c r="K151" s="97"/>
      <c r="L151" s="97"/>
      <c r="M151" s="66"/>
      <c r="N151" s="97"/>
      <c r="O151" s="97"/>
      <c r="P151" s="97"/>
      <c r="Q151" s="97"/>
      <c r="R151" s="97"/>
      <c r="S151" s="97"/>
      <c r="T151" s="97"/>
      <c r="U151" s="97"/>
      <c r="V151" s="97"/>
      <c r="W151" s="97"/>
      <c r="X151" s="97"/>
      <c r="Y151" s="97"/>
      <c r="Z151" s="97"/>
      <c r="AA151" s="97"/>
      <c r="AB151" s="97"/>
      <c r="AC151" s="97"/>
      <c r="AD151" s="97"/>
      <c r="AE151" s="97"/>
    </row>
    <row r="152" ht="14.25" customHeight="1">
      <c r="A152" s="59"/>
      <c r="B152" s="97"/>
      <c r="C152" s="97"/>
      <c r="D152" s="97"/>
      <c r="E152" s="97"/>
      <c r="F152" s="97"/>
      <c r="G152" s="97"/>
      <c r="H152" s="99"/>
      <c r="I152" s="123"/>
      <c r="J152" s="123"/>
      <c r="K152" s="97"/>
      <c r="L152" s="97"/>
      <c r="M152" s="66"/>
      <c r="N152" s="97"/>
      <c r="O152" s="97"/>
      <c r="P152" s="97"/>
      <c r="Q152" s="97"/>
      <c r="R152" s="97"/>
      <c r="S152" s="97"/>
      <c r="T152" s="97"/>
      <c r="U152" s="97"/>
      <c r="V152" s="97"/>
      <c r="W152" s="97"/>
      <c r="X152" s="97"/>
      <c r="Y152" s="97"/>
      <c r="Z152" s="97"/>
      <c r="AA152" s="97"/>
      <c r="AB152" s="97"/>
      <c r="AC152" s="97"/>
      <c r="AD152" s="97"/>
      <c r="AE152" s="97"/>
    </row>
    <row r="153" ht="14.25" customHeight="1">
      <c r="A153" s="59"/>
      <c r="B153" s="97"/>
      <c r="C153" s="97"/>
      <c r="D153" s="97"/>
      <c r="E153" s="97"/>
      <c r="F153" s="97"/>
      <c r="G153" s="97"/>
      <c r="H153" s="99"/>
      <c r="I153" s="123"/>
      <c r="J153" s="123"/>
      <c r="K153" s="97"/>
      <c r="L153" s="97"/>
      <c r="M153" s="66"/>
      <c r="N153" s="97"/>
      <c r="O153" s="97"/>
      <c r="P153" s="97"/>
      <c r="Q153" s="97"/>
      <c r="R153" s="97"/>
      <c r="S153" s="97"/>
      <c r="T153" s="97"/>
      <c r="U153" s="97"/>
      <c r="V153" s="97"/>
      <c r="W153" s="97"/>
      <c r="X153" s="97"/>
      <c r="Y153" s="97"/>
      <c r="Z153" s="97"/>
      <c r="AA153" s="97"/>
      <c r="AB153" s="97"/>
      <c r="AC153" s="97"/>
      <c r="AD153" s="97"/>
      <c r="AE153" s="97"/>
    </row>
    <row r="154" ht="14.25" customHeight="1">
      <c r="A154" s="59"/>
      <c r="B154" s="97"/>
      <c r="C154" s="97"/>
      <c r="D154" s="97"/>
      <c r="E154" s="97"/>
      <c r="F154" s="97"/>
      <c r="G154" s="97"/>
      <c r="H154" s="99"/>
      <c r="I154" s="123"/>
      <c r="J154" s="123"/>
      <c r="K154" s="97"/>
      <c r="L154" s="97"/>
      <c r="M154" s="66"/>
      <c r="N154" s="97"/>
      <c r="O154" s="97"/>
      <c r="P154" s="97"/>
      <c r="Q154" s="97"/>
      <c r="R154" s="97"/>
      <c r="S154" s="97"/>
      <c r="T154" s="97"/>
      <c r="U154" s="97"/>
      <c r="V154" s="97"/>
      <c r="W154" s="97"/>
      <c r="X154" s="97"/>
      <c r="Y154" s="97"/>
      <c r="Z154" s="97"/>
      <c r="AA154" s="97"/>
      <c r="AB154" s="97"/>
      <c r="AC154" s="97"/>
      <c r="AD154" s="97"/>
      <c r="AE154" s="97"/>
    </row>
    <row r="155" ht="14.25" customHeight="1">
      <c r="A155" s="59"/>
      <c r="B155" s="97"/>
      <c r="C155" s="97"/>
      <c r="D155" s="97"/>
      <c r="E155" s="97"/>
      <c r="F155" s="97"/>
      <c r="G155" s="97"/>
      <c r="H155" s="99"/>
      <c r="I155" s="123"/>
      <c r="J155" s="123"/>
      <c r="K155" s="97"/>
      <c r="L155" s="97"/>
      <c r="M155" s="66"/>
      <c r="N155" s="97"/>
      <c r="O155" s="97"/>
      <c r="P155" s="97"/>
      <c r="Q155" s="97"/>
      <c r="R155" s="97"/>
      <c r="S155" s="97"/>
      <c r="T155" s="97"/>
      <c r="U155" s="97"/>
      <c r="V155" s="97"/>
      <c r="W155" s="97"/>
      <c r="X155" s="97"/>
      <c r="Y155" s="97"/>
      <c r="Z155" s="97"/>
      <c r="AA155" s="97"/>
      <c r="AB155" s="97"/>
      <c r="AC155" s="97"/>
      <c r="AD155" s="97"/>
      <c r="AE155" s="97"/>
    </row>
    <row r="156" ht="14.25" customHeight="1">
      <c r="A156" s="59"/>
      <c r="B156" s="97"/>
      <c r="C156" s="97"/>
      <c r="D156" s="97"/>
      <c r="E156" s="97"/>
      <c r="F156" s="97"/>
      <c r="G156" s="97"/>
      <c r="H156" s="99"/>
      <c r="I156" s="123"/>
      <c r="J156" s="123"/>
      <c r="K156" s="97"/>
      <c r="L156" s="97"/>
      <c r="M156" s="66"/>
      <c r="N156" s="97"/>
      <c r="O156" s="97"/>
      <c r="P156" s="97"/>
      <c r="Q156" s="97"/>
      <c r="R156" s="97"/>
      <c r="S156" s="97"/>
      <c r="T156" s="97"/>
      <c r="U156" s="97"/>
      <c r="V156" s="97"/>
      <c r="W156" s="97"/>
      <c r="X156" s="97"/>
      <c r="Y156" s="97"/>
      <c r="Z156" s="97"/>
      <c r="AA156" s="97"/>
      <c r="AB156" s="97"/>
      <c r="AC156" s="97"/>
      <c r="AD156" s="97"/>
      <c r="AE156" s="97"/>
    </row>
    <row r="157" ht="14.25" customHeight="1">
      <c r="A157" s="59"/>
      <c r="B157" s="97"/>
      <c r="C157" s="97"/>
      <c r="D157" s="97"/>
      <c r="E157" s="97"/>
      <c r="F157" s="97"/>
      <c r="G157" s="97"/>
      <c r="H157" s="99"/>
      <c r="I157" s="123"/>
      <c r="J157" s="123"/>
      <c r="K157" s="97"/>
      <c r="L157" s="97"/>
      <c r="M157" s="66"/>
      <c r="N157" s="97"/>
      <c r="O157" s="97"/>
      <c r="P157" s="97"/>
      <c r="Q157" s="97"/>
      <c r="R157" s="97"/>
      <c r="S157" s="97"/>
      <c r="T157" s="97"/>
      <c r="U157" s="97"/>
      <c r="V157" s="97"/>
      <c r="W157" s="97"/>
      <c r="X157" s="97"/>
      <c r="Y157" s="97"/>
      <c r="Z157" s="97"/>
      <c r="AA157" s="97"/>
      <c r="AB157" s="97"/>
      <c r="AC157" s="97"/>
      <c r="AD157" s="97"/>
      <c r="AE157" s="97"/>
    </row>
    <row r="158" ht="14.25" customHeight="1">
      <c r="A158" s="59"/>
      <c r="B158" s="97"/>
      <c r="C158" s="97"/>
      <c r="D158" s="97"/>
      <c r="E158" s="97"/>
      <c r="F158" s="97"/>
      <c r="G158" s="97"/>
      <c r="H158" s="99"/>
      <c r="I158" s="123"/>
      <c r="J158" s="123"/>
      <c r="K158" s="97"/>
      <c r="L158" s="97"/>
      <c r="M158" s="66"/>
      <c r="N158" s="97"/>
      <c r="O158" s="97"/>
      <c r="P158" s="97"/>
      <c r="Q158" s="97"/>
      <c r="R158" s="97"/>
      <c r="S158" s="97"/>
      <c r="T158" s="97"/>
      <c r="U158" s="97"/>
      <c r="V158" s="97"/>
      <c r="W158" s="97"/>
      <c r="X158" s="97"/>
      <c r="Y158" s="97"/>
      <c r="Z158" s="97"/>
      <c r="AA158" s="97"/>
      <c r="AB158" s="97"/>
      <c r="AC158" s="97"/>
      <c r="AD158" s="97"/>
      <c r="AE158" s="97"/>
    </row>
    <row r="159" ht="14.25" customHeight="1">
      <c r="A159" s="59"/>
      <c r="B159" s="97"/>
      <c r="C159" s="97"/>
      <c r="D159" s="97"/>
      <c r="E159" s="97"/>
      <c r="F159" s="97"/>
      <c r="G159" s="97"/>
      <c r="H159" s="99"/>
      <c r="I159" s="123"/>
      <c r="J159" s="123"/>
      <c r="K159" s="97"/>
      <c r="L159" s="97"/>
      <c r="M159" s="66"/>
      <c r="N159" s="97"/>
      <c r="O159" s="97"/>
      <c r="P159" s="97"/>
      <c r="Q159" s="97"/>
      <c r="R159" s="97"/>
      <c r="S159" s="97"/>
      <c r="T159" s="97"/>
      <c r="U159" s="97"/>
      <c r="V159" s="97"/>
      <c r="W159" s="97"/>
      <c r="X159" s="97"/>
      <c r="Y159" s="97"/>
      <c r="Z159" s="97"/>
      <c r="AA159" s="97"/>
      <c r="AB159" s="97"/>
      <c r="AC159" s="97"/>
      <c r="AD159" s="97"/>
      <c r="AE159" s="97"/>
    </row>
    <row r="160" ht="14.25" customHeight="1">
      <c r="A160" s="59"/>
      <c r="B160" s="97"/>
      <c r="C160" s="97"/>
      <c r="D160" s="97"/>
      <c r="E160" s="97"/>
      <c r="F160" s="97"/>
      <c r="G160" s="97"/>
      <c r="H160" s="99"/>
      <c r="I160" s="123"/>
      <c r="J160" s="123"/>
      <c r="K160" s="97"/>
      <c r="L160" s="97"/>
      <c r="M160" s="66"/>
      <c r="N160" s="97"/>
      <c r="O160" s="97"/>
      <c r="P160" s="97"/>
      <c r="Q160" s="97"/>
      <c r="R160" s="97"/>
      <c r="S160" s="97"/>
      <c r="T160" s="97"/>
      <c r="U160" s="97"/>
      <c r="V160" s="97"/>
      <c r="W160" s="97"/>
      <c r="X160" s="97"/>
      <c r="Y160" s="97"/>
      <c r="Z160" s="97"/>
      <c r="AA160" s="97"/>
      <c r="AB160" s="97"/>
      <c r="AC160" s="97"/>
      <c r="AD160" s="97"/>
      <c r="AE160" s="97"/>
    </row>
    <row r="161" ht="14.25" customHeight="1">
      <c r="A161" s="59"/>
      <c r="B161" s="97"/>
      <c r="C161" s="97"/>
      <c r="D161" s="97"/>
      <c r="E161" s="97"/>
      <c r="F161" s="97"/>
      <c r="G161" s="97"/>
      <c r="H161" s="99"/>
      <c r="I161" s="123"/>
      <c r="J161" s="123"/>
      <c r="K161" s="97"/>
      <c r="L161" s="97"/>
      <c r="M161" s="66"/>
      <c r="N161" s="97"/>
      <c r="O161" s="97"/>
      <c r="P161" s="97"/>
      <c r="Q161" s="97"/>
      <c r="R161" s="97"/>
      <c r="S161" s="97"/>
      <c r="T161" s="97"/>
      <c r="U161" s="97"/>
      <c r="V161" s="97"/>
      <c r="W161" s="97"/>
      <c r="X161" s="97"/>
      <c r="Y161" s="97"/>
      <c r="Z161" s="97"/>
      <c r="AA161" s="97"/>
      <c r="AB161" s="97"/>
      <c r="AC161" s="97"/>
      <c r="AD161" s="97"/>
      <c r="AE161" s="97"/>
    </row>
    <row r="162" ht="14.25" customHeight="1">
      <c r="A162" s="59"/>
      <c r="B162" s="97"/>
      <c r="C162" s="97"/>
      <c r="D162" s="97"/>
      <c r="E162" s="97"/>
      <c r="F162" s="97"/>
      <c r="G162" s="97"/>
      <c r="H162" s="99"/>
      <c r="I162" s="123"/>
      <c r="J162" s="123"/>
      <c r="K162" s="97"/>
      <c r="L162" s="97"/>
      <c r="M162" s="66"/>
      <c r="N162" s="97"/>
      <c r="O162" s="97"/>
      <c r="P162" s="97"/>
      <c r="Q162" s="97"/>
      <c r="R162" s="97"/>
      <c r="S162" s="97"/>
      <c r="T162" s="97"/>
      <c r="U162" s="97"/>
      <c r="V162" s="97"/>
      <c r="W162" s="97"/>
      <c r="X162" s="97"/>
      <c r="Y162" s="97"/>
      <c r="Z162" s="97"/>
      <c r="AA162" s="97"/>
      <c r="AB162" s="97"/>
      <c r="AC162" s="97"/>
      <c r="AD162" s="97"/>
      <c r="AE162" s="97"/>
    </row>
    <row r="163" ht="14.25" customHeight="1">
      <c r="A163" s="59"/>
      <c r="B163" s="97"/>
      <c r="C163" s="97"/>
      <c r="D163" s="97"/>
      <c r="E163" s="97"/>
      <c r="F163" s="97"/>
      <c r="G163" s="97"/>
      <c r="H163" s="99"/>
      <c r="I163" s="123"/>
      <c r="J163" s="123"/>
      <c r="K163" s="97"/>
      <c r="L163" s="97"/>
      <c r="M163" s="66"/>
      <c r="N163" s="97"/>
      <c r="O163" s="97"/>
      <c r="P163" s="97"/>
      <c r="Q163" s="97"/>
      <c r="R163" s="97"/>
      <c r="S163" s="97"/>
      <c r="T163" s="97"/>
      <c r="U163" s="97"/>
      <c r="V163" s="97"/>
      <c r="W163" s="97"/>
      <c r="X163" s="97"/>
      <c r="Y163" s="97"/>
      <c r="Z163" s="97"/>
      <c r="AA163" s="97"/>
      <c r="AB163" s="97"/>
      <c r="AC163" s="97"/>
      <c r="AD163" s="97"/>
      <c r="AE163" s="97"/>
    </row>
    <row r="164" ht="14.25" customHeight="1">
      <c r="A164" s="59"/>
      <c r="B164" s="97"/>
      <c r="C164" s="97"/>
      <c r="D164" s="97"/>
      <c r="E164" s="97"/>
      <c r="F164" s="97"/>
      <c r="G164" s="97"/>
      <c r="H164" s="99"/>
      <c r="I164" s="123"/>
      <c r="J164" s="123"/>
      <c r="K164" s="97"/>
      <c r="L164" s="97"/>
      <c r="M164" s="66"/>
      <c r="N164" s="97"/>
      <c r="O164" s="97"/>
      <c r="P164" s="97"/>
      <c r="Q164" s="97"/>
      <c r="R164" s="97"/>
      <c r="S164" s="97"/>
      <c r="T164" s="97"/>
      <c r="U164" s="97"/>
      <c r="V164" s="97"/>
      <c r="W164" s="97"/>
      <c r="X164" s="97"/>
      <c r="Y164" s="97"/>
      <c r="Z164" s="97"/>
      <c r="AA164" s="97"/>
      <c r="AB164" s="97"/>
      <c r="AC164" s="97"/>
      <c r="AD164" s="97"/>
      <c r="AE164" s="97"/>
    </row>
    <row r="165" ht="14.25" customHeight="1">
      <c r="A165" s="59"/>
      <c r="B165" s="97"/>
      <c r="C165" s="97"/>
      <c r="D165" s="97"/>
      <c r="E165" s="97"/>
      <c r="F165" s="97"/>
      <c r="G165" s="97"/>
      <c r="H165" s="99"/>
      <c r="I165" s="123"/>
      <c r="J165" s="123"/>
      <c r="K165" s="97"/>
      <c r="L165" s="97"/>
      <c r="M165" s="66"/>
      <c r="N165" s="97"/>
      <c r="O165" s="97"/>
      <c r="P165" s="97"/>
      <c r="Q165" s="97"/>
      <c r="R165" s="97"/>
      <c r="S165" s="97"/>
      <c r="T165" s="97"/>
      <c r="U165" s="97"/>
      <c r="V165" s="97"/>
      <c r="W165" s="97"/>
      <c r="X165" s="97"/>
      <c r="Y165" s="97"/>
      <c r="Z165" s="97"/>
      <c r="AA165" s="97"/>
      <c r="AB165" s="97"/>
      <c r="AC165" s="97"/>
      <c r="AD165" s="97"/>
      <c r="AE165" s="97"/>
    </row>
    <row r="166" ht="14.25" customHeight="1">
      <c r="A166" s="59"/>
      <c r="B166" s="97"/>
      <c r="C166" s="97"/>
      <c r="D166" s="97"/>
      <c r="E166" s="97"/>
      <c r="F166" s="97"/>
      <c r="G166" s="97"/>
      <c r="H166" s="99"/>
      <c r="I166" s="123"/>
      <c r="J166" s="123"/>
      <c r="K166" s="97"/>
      <c r="L166" s="97"/>
      <c r="M166" s="66"/>
      <c r="N166" s="97"/>
      <c r="O166" s="97"/>
      <c r="P166" s="97"/>
      <c r="Q166" s="97"/>
      <c r="R166" s="97"/>
      <c r="S166" s="97"/>
      <c r="T166" s="97"/>
      <c r="U166" s="97"/>
      <c r="V166" s="97"/>
      <c r="W166" s="97"/>
      <c r="X166" s="97"/>
      <c r="Y166" s="97"/>
      <c r="Z166" s="97"/>
      <c r="AA166" s="97"/>
      <c r="AB166" s="97"/>
      <c r="AC166" s="97"/>
      <c r="AD166" s="97"/>
      <c r="AE166" s="97"/>
    </row>
    <row r="167" ht="14.25" customHeight="1">
      <c r="A167" s="59"/>
      <c r="B167" s="97"/>
      <c r="C167" s="97"/>
      <c r="D167" s="97"/>
      <c r="E167" s="97"/>
      <c r="F167" s="97"/>
      <c r="G167" s="97"/>
      <c r="H167" s="99"/>
      <c r="I167" s="123"/>
      <c r="J167" s="123"/>
      <c r="K167" s="97"/>
      <c r="L167" s="97"/>
      <c r="M167" s="66"/>
      <c r="N167" s="97"/>
      <c r="O167" s="97"/>
      <c r="P167" s="97"/>
      <c r="Q167" s="97"/>
      <c r="R167" s="97"/>
      <c r="S167" s="97"/>
      <c r="T167" s="97"/>
      <c r="U167" s="97"/>
      <c r="V167" s="97"/>
      <c r="W167" s="97"/>
      <c r="X167" s="97"/>
      <c r="Y167" s="97"/>
      <c r="Z167" s="97"/>
      <c r="AA167" s="97"/>
      <c r="AB167" s="97"/>
      <c r="AC167" s="97"/>
      <c r="AD167" s="97"/>
      <c r="AE167" s="97"/>
    </row>
    <row r="168" ht="14.25" customHeight="1">
      <c r="A168" s="59"/>
      <c r="B168" s="97"/>
      <c r="C168" s="97"/>
      <c r="D168" s="97"/>
      <c r="E168" s="97"/>
      <c r="F168" s="97"/>
      <c r="G168" s="97"/>
      <c r="H168" s="99"/>
      <c r="I168" s="123"/>
      <c r="J168" s="123"/>
      <c r="K168" s="97"/>
      <c r="L168" s="97"/>
      <c r="M168" s="66"/>
      <c r="N168" s="97"/>
      <c r="O168" s="97"/>
      <c r="P168" s="97"/>
      <c r="Q168" s="97"/>
      <c r="R168" s="97"/>
      <c r="S168" s="97"/>
      <c r="T168" s="97"/>
      <c r="U168" s="97"/>
      <c r="V168" s="97"/>
      <c r="W168" s="97"/>
      <c r="X168" s="97"/>
      <c r="Y168" s="97"/>
      <c r="Z168" s="97"/>
      <c r="AA168" s="97"/>
      <c r="AB168" s="97"/>
      <c r="AC168" s="97"/>
      <c r="AD168" s="97"/>
      <c r="AE168" s="97"/>
    </row>
    <row r="169" ht="14.25" customHeight="1">
      <c r="A169" s="59"/>
      <c r="B169" s="97"/>
      <c r="C169" s="97"/>
      <c r="D169" s="97"/>
      <c r="E169" s="97"/>
      <c r="F169" s="97"/>
      <c r="G169" s="97"/>
      <c r="H169" s="99"/>
      <c r="I169" s="123"/>
      <c r="J169" s="123"/>
      <c r="K169" s="97"/>
      <c r="L169" s="97"/>
      <c r="M169" s="66"/>
      <c r="N169" s="97"/>
      <c r="O169" s="97"/>
      <c r="P169" s="97"/>
      <c r="Q169" s="97"/>
      <c r="R169" s="97"/>
      <c r="S169" s="97"/>
      <c r="T169" s="97"/>
      <c r="U169" s="97"/>
      <c r="V169" s="97"/>
      <c r="W169" s="97"/>
      <c r="X169" s="97"/>
      <c r="Y169" s="97"/>
      <c r="Z169" s="97"/>
      <c r="AA169" s="97"/>
      <c r="AB169" s="97"/>
      <c r="AC169" s="97"/>
      <c r="AD169" s="97"/>
      <c r="AE169" s="97"/>
    </row>
    <row r="170" ht="14.25" customHeight="1">
      <c r="A170" s="59"/>
      <c r="B170" s="97"/>
      <c r="C170" s="97"/>
      <c r="D170" s="97"/>
      <c r="E170" s="97"/>
      <c r="F170" s="97"/>
      <c r="G170" s="97"/>
      <c r="H170" s="99"/>
      <c r="I170" s="123"/>
      <c r="J170" s="123"/>
      <c r="K170" s="97"/>
      <c r="L170" s="97"/>
      <c r="M170" s="66"/>
      <c r="N170" s="97"/>
      <c r="O170" s="97"/>
      <c r="P170" s="97"/>
      <c r="Q170" s="97"/>
      <c r="R170" s="97"/>
      <c r="S170" s="97"/>
      <c r="T170" s="97"/>
      <c r="U170" s="97"/>
      <c r="V170" s="97"/>
      <c r="W170" s="97"/>
      <c r="X170" s="97"/>
      <c r="Y170" s="97"/>
      <c r="Z170" s="97"/>
      <c r="AA170" s="97"/>
      <c r="AB170" s="97"/>
      <c r="AC170" s="97"/>
      <c r="AD170" s="97"/>
      <c r="AE170" s="97"/>
    </row>
    <row r="171" ht="14.25" customHeight="1">
      <c r="A171" s="59"/>
      <c r="B171" s="97"/>
      <c r="C171" s="97"/>
      <c r="D171" s="97"/>
      <c r="E171" s="97"/>
      <c r="F171" s="97"/>
      <c r="G171" s="97"/>
      <c r="H171" s="99"/>
      <c r="I171" s="123"/>
      <c r="J171" s="123"/>
      <c r="K171" s="97"/>
      <c r="L171" s="97"/>
      <c r="M171" s="66"/>
      <c r="N171" s="97"/>
      <c r="O171" s="97"/>
      <c r="P171" s="97"/>
      <c r="Q171" s="97"/>
      <c r="R171" s="97"/>
      <c r="S171" s="97"/>
      <c r="T171" s="97"/>
      <c r="U171" s="97"/>
      <c r="V171" s="97"/>
      <c r="W171" s="97"/>
      <c r="X171" s="97"/>
      <c r="Y171" s="97"/>
      <c r="Z171" s="97"/>
      <c r="AA171" s="97"/>
      <c r="AB171" s="97"/>
      <c r="AC171" s="97"/>
      <c r="AD171" s="97"/>
      <c r="AE171" s="97"/>
    </row>
    <row r="172" ht="14.25" customHeight="1">
      <c r="A172" s="59"/>
      <c r="B172" s="97"/>
      <c r="C172" s="97"/>
      <c r="D172" s="97"/>
      <c r="E172" s="97"/>
      <c r="F172" s="97"/>
      <c r="G172" s="97"/>
      <c r="H172" s="99"/>
      <c r="I172" s="123"/>
      <c r="J172" s="123"/>
      <c r="K172" s="97"/>
      <c r="L172" s="97"/>
      <c r="M172" s="66"/>
      <c r="N172" s="97"/>
      <c r="O172" s="97"/>
      <c r="P172" s="97"/>
      <c r="Q172" s="97"/>
      <c r="R172" s="97"/>
      <c r="S172" s="97"/>
      <c r="T172" s="97"/>
      <c r="U172" s="97"/>
      <c r="V172" s="97"/>
      <c r="W172" s="97"/>
      <c r="X172" s="97"/>
      <c r="Y172" s="97"/>
      <c r="Z172" s="97"/>
      <c r="AA172" s="97"/>
      <c r="AB172" s="97"/>
      <c r="AC172" s="97"/>
      <c r="AD172" s="97"/>
      <c r="AE172" s="97"/>
    </row>
    <row r="173" ht="14.25" customHeight="1">
      <c r="A173" s="59"/>
      <c r="B173" s="97"/>
      <c r="C173" s="97"/>
      <c r="D173" s="97"/>
      <c r="E173" s="97"/>
      <c r="F173" s="97"/>
      <c r="G173" s="97"/>
      <c r="H173" s="99"/>
      <c r="I173" s="123"/>
      <c r="J173" s="123"/>
      <c r="K173" s="97"/>
      <c r="L173" s="97"/>
      <c r="M173" s="66"/>
      <c r="N173" s="97"/>
      <c r="O173" s="97"/>
      <c r="P173" s="97"/>
      <c r="Q173" s="97"/>
      <c r="R173" s="97"/>
      <c r="S173" s="97"/>
      <c r="T173" s="97"/>
      <c r="U173" s="97"/>
      <c r="V173" s="97"/>
      <c r="W173" s="97"/>
      <c r="X173" s="97"/>
      <c r="Y173" s="97"/>
      <c r="Z173" s="97"/>
      <c r="AA173" s="97"/>
      <c r="AB173" s="97"/>
      <c r="AC173" s="97"/>
      <c r="AD173" s="97"/>
      <c r="AE173" s="97"/>
    </row>
    <row r="174" ht="14.25" customHeight="1">
      <c r="A174" s="59"/>
      <c r="B174" s="97"/>
      <c r="C174" s="97"/>
      <c r="D174" s="97"/>
      <c r="E174" s="97"/>
      <c r="F174" s="97"/>
      <c r="G174" s="97"/>
      <c r="H174" s="99"/>
      <c r="I174" s="123"/>
      <c r="J174" s="123"/>
      <c r="K174" s="97"/>
      <c r="L174" s="97"/>
      <c r="M174" s="66"/>
      <c r="N174" s="97"/>
      <c r="O174" s="97"/>
      <c r="P174" s="97"/>
      <c r="Q174" s="97"/>
      <c r="R174" s="97"/>
      <c r="S174" s="97"/>
      <c r="T174" s="97"/>
      <c r="U174" s="97"/>
      <c r="V174" s="97"/>
      <c r="W174" s="97"/>
      <c r="X174" s="97"/>
      <c r="Y174" s="97"/>
      <c r="Z174" s="97"/>
      <c r="AA174" s="97"/>
      <c r="AB174" s="97"/>
      <c r="AC174" s="97"/>
      <c r="AD174" s="97"/>
      <c r="AE174" s="97"/>
    </row>
    <row r="175" ht="14.25" customHeight="1">
      <c r="A175" s="59"/>
      <c r="B175" s="97"/>
      <c r="C175" s="97"/>
      <c r="D175" s="97"/>
      <c r="E175" s="97"/>
      <c r="F175" s="97"/>
      <c r="G175" s="97"/>
      <c r="H175" s="99"/>
      <c r="I175" s="123"/>
      <c r="J175" s="123"/>
      <c r="K175" s="97"/>
      <c r="L175" s="97"/>
      <c r="M175" s="66"/>
      <c r="N175" s="97"/>
      <c r="O175" s="97"/>
      <c r="P175" s="97"/>
      <c r="Q175" s="97"/>
      <c r="R175" s="97"/>
      <c r="S175" s="97"/>
      <c r="T175" s="97"/>
      <c r="U175" s="97"/>
      <c r="V175" s="97"/>
      <c r="W175" s="97"/>
      <c r="X175" s="97"/>
      <c r="Y175" s="97"/>
      <c r="Z175" s="97"/>
      <c r="AA175" s="97"/>
      <c r="AB175" s="97"/>
      <c r="AC175" s="97"/>
      <c r="AD175" s="97"/>
      <c r="AE175" s="97"/>
    </row>
    <row r="176" ht="14.25" customHeight="1">
      <c r="A176" s="59"/>
      <c r="B176" s="97"/>
      <c r="C176" s="97"/>
      <c r="D176" s="97"/>
      <c r="E176" s="97"/>
      <c r="F176" s="97"/>
      <c r="G176" s="97"/>
      <c r="H176" s="99"/>
      <c r="I176" s="123"/>
      <c r="J176" s="123"/>
      <c r="K176" s="97"/>
      <c r="L176" s="97"/>
      <c r="M176" s="66"/>
      <c r="N176" s="97"/>
      <c r="O176" s="97"/>
      <c r="P176" s="97"/>
      <c r="Q176" s="97"/>
      <c r="R176" s="97"/>
      <c r="S176" s="97"/>
      <c r="T176" s="97"/>
      <c r="U176" s="97"/>
      <c r="V176" s="97"/>
      <c r="W176" s="97"/>
      <c r="X176" s="97"/>
      <c r="Y176" s="97"/>
      <c r="Z176" s="97"/>
      <c r="AA176" s="97"/>
      <c r="AB176" s="97"/>
      <c r="AC176" s="97"/>
      <c r="AD176" s="97"/>
      <c r="AE176" s="97"/>
    </row>
    <row r="177" ht="14.25" customHeight="1">
      <c r="A177" s="59"/>
      <c r="B177" s="97"/>
      <c r="C177" s="97"/>
      <c r="D177" s="97"/>
      <c r="E177" s="97"/>
      <c r="F177" s="97"/>
      <c r="G177" s="97"/>
      <c r="H177" s="99"/>
      <c r="I177" s="123"/>
      <c r="J177" s="123"/>
      <c r="K177" s="97"/>
      <c r="L177" s="97"/>
      <c r="M177" s="66"/>
      <c r="N177" s="97"/>
      <c r="O177" s="97"/>
      <c r="P177" s="97"/>
      <c r="Q177" s="97"/>
      <c r="R177" s="97"/>
      <c r="S177" s="97"/>
      <c r="T177" s="97"/>
      <c r="U177" s="97"/>
      <c r="V177" s="97"/>
      <c r="W177" s="97"/>
      <c r="X177" s="97"/>
      <c r="Y177" s="97"/>
      <c r="Z177" s="97"/>
      <c r="AA177" s="97"/>
      <c r="AB177" s="97"/>
      <c r="AC177" s="97"/>
      <c r="AD177" s="97"/>
      <c r="AE177" s="97"/>
    </row>
    <row r="178" ht="14.25" customHeight="1">
      <c r="A178" s="59"/>
      <c r="B178" s="97"/>
      <c r="C178" s="97"/>
      <c r="D178" s="97"/>
      <c r="E178" s="97"/>
      <c r="F178" s="97"/>
      <c r="G178" s="97"/>
      <c r="H178" s="99"/>
      <c r="I178" s="123"/>
      <c r="J178" s="123"/>
      <c r="K178" s="97"/>
      <c r="L178" s="97"/>
      <c r="M178" s="66"/>
      <c r="N178" s="97"/>
      <c r="O178" s="97"/>
      <c r="P178" s="97"/>
      <c r="Q178" s="97"/>
      <c r="R178" s="97"/>
      <c r="S178" s="97"/>
      <c r="T178" s="97"/>
      <c r="U178" s="97"/>
      <c r="V178" s="97"/>
      <c r="W178" s="97"/>
      <c r="X178" s="97"/>
      <c r="Y178" s="97"/>
      <c r="Z178" s="97"/>
      <c r="AA178" s="97"/>
      <c r="AB178" s="97"/>
      <c r="AC178" s="97"/>
      <c r="AD178" s="97"/>
      <c r="AE178" s="97"/>
    </row>
    <row r="179" ht="14.25" customHeight="1">
      <c r="A179" s="59"/>
      <c r="B179" s="97"/>
      <c r="C179" s="97"/>
      <c r="D179" s="97"/>
      <c r="E179" s="97"/>
      <c r="F179" s="97"/>
      <c r="G179" s="97"/>
      <c r="H179" s="99"/>
      <c r="I179" s="123"/>
      <c r="J179" s="123"/>
      <c r="K179" s="97"/>
      <c r="L179" s="97"/>
      <c r="M179" s="66"/>
      <c r="N179" s="97"/>
      <c r="O179" s="97"/>
      <c r="P179" s="97"/>
      <c r="Q179" s="97"/>
      <c r="R179" s="97"/>
      <c r="S179" s="97"/>
      <c r="T179" s="97"/>
      <c r="U179" s="97"/>
      <c r="V179" s="97"/>
      <c r="W179" s="97"/>
      <c r="X179" s="97"/>
      <c r="Y179" s="97"/>
      <c r="Z179" s="97"/>
      <c r="AA179" s="97"/>
      <c r="AB179" s="97"/>
      <c r="AC179" s="97"/>
      <c r="AD179" s="97"/>
      <c r="AE179" s="97"/>
    </row>
    <row r="180" ht="14.25" customHeight="1">
      <c r="A180" s="59"/>
      <c r="B180" s="97"/>
      <c r="C180" s="97"/>
      <c r="D180" s="97"/>
      <c r="E180" s="97"/>
      <c r="F180" s="97"/>
      <c r="G180" s="97"/>
      <c r="H180" s="99"/>
      <c r="I180" s="123"/>
      <c r="J180" s="123"/>
      <c r="K180" s="97"/>
      <c r="L180" s="97"/>
      <c r="M180" s="66"/>
      <c r="N180" s="97"/>
      <c r="O180" s="97"/>
      <c r="P180" s="97"/>
      <c r="Q180" s="97"/>
      <c r="R180" s="97"/>
      <c r="S180" s="97"/>
      <c r="T180" s="97"/>
      <c r="U180" s="97"/>
      <c r="V180" s="97"/>
      <c r="W180" s="97"/>
      <c r="X180" s="97"/>
      <c r="Y180" s="97"/>
      <c r="Z180" s="97"/>
      <c r="AA180" s="97"/>
      <c r="AB180" s="97"/>
      <c r="AC180" s="97"/>
      <c r="AD180" s="97"/>
      <c r="AE180" s="97"/>
    </row>
    <row r="181" ht="14.25" customHeight="1">
      <c r="A181" s="59"/>
      <c r="B181" s="97"/>
      <c r="C181" s="97"/>
      <c r="D181" s="97"/>
      <c r="E181" s="97"/>
      <c r="F181" s="97"/>
      <c r="G181" s="97"/>
      <c r="H181" s="99"/>
      <c r="I181" s="123"/>
      <c r="J181" s="123"/>
      <c r="K181" s="97"/>
      <c r="L181" s="97"/>
      <c r="M181" s="66"/>
      <c r="N181" s="97"/>
      <c r="O181" s="97"/>
      <c r="P181" s="97"/>
      <c r="Q181" s="97"/>
      <c r="R181" s="97"/>
      <c r="S181" s="97"/>
      <c r="T181" s="97"/>
      <c r="U181" s="97"/>
      <c r="V181" s="97"/>
      <c r="W181" s="97"/>
      <c r="X181" s="97"/>
      <c r="Y181" s="97"/>
      <c r="Z181" s="97"/>
      <c r="AA181" s="97"/>
      <c r="AB181" s="97"/>
      <c r="AC181" s="97"/>
      <c r="AD181" s="97"/>
      <c r="AE181" s="97"/>
    </row>
    <row r="182" ht="14.25" customHeight="1">
      <c r="A182" s="59"/>
      <c r="B182" s="97"/>
      <c r="C182" s="97"/>
      <c r="D182" s="97"/>
      <c r="E182" s="97"/>
      <c r="F182" s="97"/>
      <c r="G182" s="97"/>
      <c r="H182" s="99"/>
      <c r="I182" s="123"/>
      <c r="J182" s="123"/>
      <c r="K182" s="97"/>
      <c r="L182" s="97"/>
      <c r="M182" s="66"/>
      <c r="N182" s="97"/>
      <c r="O182" s="97"/>
      <c r="P182" s="97"/>
      <c r="Q182" s="97"/>
      <c r="R182" s="97"/>
      <c r="S182" s="97"/>
      <c r="T182" s="97"/>
      <c r="U182" s="97"/>
      <c r="V182" s="97"/>
      <c r="W182" s="97"/>
      <c r="X182" s="97"/>
      <c r="Y182" s="97"/>
      <c r="Z182" s="97"/>
      <c r="AA182" s="97"/>
      <c r="AB182" s="97"/>
      <c r="AC182" s="97"/>
      <c r="AD182" s="97"/>
      <c r="AE182" s="97"/>
    </row>
    <row r="183" ht="14.25" customHeight="1">
      <c r="A183" s="59"/>
      <c r="B183" s="97"/>
      <c r="C183" s="97"/>
      <c r="D183" s="97"/>
      <c r="E183" s="97"/>
      <c r="F183" s="97"/>
      <c r="G183" s="97"/>
      <c r="H183" s="99"/>
      <c r="I183" s="123"/>
      <c r="J183" s="123"/>
      <c r="K183" s="97"/>
      <c r="L183" s="97"/>
      <c r="M183" s="66"/>
      <c r="N183" s="97"/>
      <c r="O183" s="97"/>
      <c r="P183" s="97"/>
      <c r="Q183" s="97"/>
      <c r="R183" s="97"/>
      <c r="S183" s="97"/>
      <c r="T183" s="97"/>
      <c r="U183" s="97"/>
      <c r="V183" s="97"/>
      <c r="W183" s="97"/>
      <c r="X183" s="97"/>
      <c r="Y183" s="97"/>
      <c r="Z183" s="97"/>
      <c r="AA183" s="97"/>
      <c r="AB183" s="97"/>
      <c r="AC183" s="97"/>
      <c r="AD183" s="97"/>
      <c r="AE183" s="97"/>
    </row>
    <row r="184" ht="14.25" customHeight="1">
      <c r="A184" s="59"/>
      <c r="B184" s="97"/>
      <c r="C184" s="97"/>
      <c r="D184" s="97"/>
      <c r="E184" s="97"/>
      <c r="F184" s="97"/>
      <c r="G184" s="97"/>
      <c r="H184" s="99"/>
      <c r="I184" s="123"/>
      <c r="J184" s="123"/>
      <c r="K184" s="97"/>
      <c r="L184" s="97"/>
      <c r="M184" s="66"/>
      <c r="N184" s="97"/>
      <c r="O184" s="97"/>
      <c r="P184" s="97"/>
      <c r="Q184" s="97"/>
      <c r="R184" s="97"/>
      <c r="S184" s="97"/>
      <c r="T184" s="97"/>
      <c r="U184" s="97"/>
      <c r="V184" s="97"/>
      <c r="W184" s="97"/>
      <c r="X184" s="97"/>
      <c r="Y184" s="97"/>
      <c r="Z184" s="97"/>
      <c r="AA184" s="97"/>
      <c r="AB184" s="97"/>
      <c r="AC184" s="97"/>
      <c r="AD184" s="97"/>
      <c r="AE184" s="97"/>
    </row>
    <row r="185" ht="14.25" customHeight="1">
      <c r="A185" s="59"/>
      <c r="B185" s="97"/>
      <c r="C185" s="97"/>
      <c r="D185" s="97"/>
      <c r="E185" s="97"/>
      <c r="F185" s="97"/>
      <c r="G185" s="97"/>
      <c r="H185" s="99"/>
      <c r="I185" s="123"/>
      <c r="J185" s="123"/>
      <c r="K185" s="97"/>
      <c r="L185" s="97"/>
      <c r="M185" s="66"/>
      <c r="N185" s="97"/>
      <c r="O185" s="97"/>
      <c r="P185" s="97"/>
      <c r="Q185" s="97"/>
      <c r="R185" s="97"/>
      <c r="S185" s="97"/>
      <c r="T185" s="97"/>
      <c r="U185" s="97"/>
      <c r="V185" s="97"/>
      <c r="W185" s="97"/>
      <c r="X185" s="97"/>
      <c r="Y185" s="97"/>
      <c r="Z185" s="97"/>
      <c r="AA185" s="97"/>
      <c r="AB185" s="97"/>
      <c r="AC185" s="97"/>
      <c r="AD185" s="97"/>
      <c r="AE185" s="97"/>
    </row>
    <row r="186" ht="14.25" customHeight="1">
      <c r="A186" s="59"/>
      <c r="B186" s="97"/>
      <c r="C186" s="97"/>
      <c r="D186" s="97"/>
      <c r="E186" s="97"/>
      <c r="F186" s="97"/>
      <c r="G186" s="97"/>
      <c r="H186" s="99"/>
      <c r="I186" s="123"/>
      <c r="J186" s="123"/>
      <c r="K186" s="97"/>
      <c r="L186" s="97"/>
      <c r="M186" s="66"/>
      <c r="N186" s="97"/>
      <c r="O186" s="97"/>
      <c r="P186" s="97"/>
      <c r="Q186" s="97"/>
      <c r="R186" s="97"/>
      <c r="S186" s="97"/>
      <c r="T186" s="97"/>
      <c r="U186" s="97"/>
      <c r="V186" s="97"/>
      <c r="W186" s="97"/>
      <c r="X186" s="97"/>
      <c r="Y186" s="97"/>
      <c r="Z186" s="97"/>
      <c r="AA186" s="97"/>
      <c r="AB186" s="97"/>
      <c r="AC186" s="97"/>
      <c r="AD186" s="97"/>
      <c r="AE186" s="97"/>
    </row>
    <row r="187" ht="14.25" customHeight="1">
      <c r="A187" s="59"/>
      <c r="B187" s="97"/>
      <c r="C187" s="97"/>
      <c r="D187" s="97"/>
      <c r="E187" s="97"/>
      <c r="F187" s="97"/>
      <c r="G187" s="97"/>
      <c r="H187" s="99"/>
      <c r="I187" s="123"/>
      <c r="J187" s="123"/>
      <c r="K187" s="97"/>
      <c r="L187" s="97"/>
      <c r="M187" s="66"/>
      <c r="N187" s="97"/>
      <c r="O187" s="97"/>
      <c r="P187" s="97"/>
      <c r="Q187" s="97"/>
      <c r="R187" s="97"/>
      <c r="S187" s="97"/>
      <c r="T187" s="97"/>
      <c r="U187" s="97"/>
      <c r="V187" s="97"/>
      <c r="W187" s="97"/>
      <c r="X187" s="97"/>
      <c r="Y187" s="97"/>
      <c r="Z187" s="97"/>
      <c r="AA187" s="97"/>
      <c r="AB187" s="97"/>
      <c r="AC187" s="97"/>
      <c r="AD187" s="97"/>
      <c r="AE187" s="97"/>
    </row>
    <row r="188" ht="14.25" customHeight="1">
      <c r="A188" s="59"/>
      <c r="B188" s="97"/>
      <c r="C188" s="97"/>
      <c r="D188" s="97"/>
      <c r="E188" s="97"/>
      <c r="F188" s="97"/>
      <c r="G188" s="97"/>
      <c r="H188" s="99"/>
      <c r="I188" s="123"/>
      <c r="J188" s="123"/>
      <c r="K188" s="97"/>
      <c r="L188" s="97"/>
      <c r="M188" s="66"/>
      <c r="N188" s="97"/>
      <c r="O188" s="97"/>
      <c r="P188" s="97"/>
      <c r="Q188" s="97"/>
      <c r="R188" s="97"/>
      <c r="S188" s="97"/>
      <c r="T188" s="97"/>
      <c r="U188" s="97"/>
      <c r="V188" s="97"/>
      <c r="W188" s="97"/>
      <c r="X188" s="97"/>
      <c r="Y188" s="97"/>
      <c r="Z188" s="97"/>
      <c r="AA188" s="97"/>
      <c r="AB188" s="97"/>
      <c r="AC188" s="97"/>
      <c r="AD188" s="97"/>
      <c r="AE188" s="97"/>
    </row>
    <row r="189" ht="14.25" customHeight="1">
      <c r="A189" s="59"/>
      <c r="B189" s="97"/>
      <c r="C189" s="97"/>
      <c r="D189" s="97"/>
      <c r="E189" s="97"/>
      <c r="F189" s="97"/>
      <c r="G189" s="97"/>
      <c r="H189" s="99"/>
      <c r="I189" s="123"/>
      <c r="J189" s="123"/>
      <c r="K189" s="97"/>
      <c r="L189" s="97"/>
      <c r="M189" s="66"/>
      <c r="N189" s="97"/>
      <c r="O189" s="97"/>
      <c r="P189" s="97"/>
      <c r="Q189" s="97"/>
      <c r="R189" s="97"/>
      <c r="S189" s="97"/>
      <c r="T189" s="97"/>
      <c r="U189" s="97"/>
      <c r="V189" s="97"/>
      <c r="W189" s="97"/>
      <c r="X189" s="97"/>
      <c r="Y189" s="97"/>
      <c r="Z189" s="97"/>
      <c r="AA189" s="97"/>
      <c r="AB189" s="97"/>
      <c r="AC189" s="97"/>
      <c r="AD189" s="97"/>
      <c r="AE189" s="97"/>
    </row>
    <row r="190" ht="14.25" customHeight="1">
      <c r="A190" s="59"/>
      <c r="B190" s="97"/>
      <c r="C190" s="97"/>
      <c r="D190" s="97"/>
      <c r="E190" s="97"/>
      <c r="F190" s="97"/>
      <c r="G190" s="97"/>
      <c r="H190" s="99"/>
      <c r="I190" s="123"/>
      <c r="J190" s="123"/>
      <c r="K190" s="97"/>
      <c r="L190" s="97"/>
      <c r="M190" s="66"/>
      <c r="N190" s="97"/>
      <c r="O190" s="97"/>
      <c r="P190" s="97"/>
      <c r="Q190" s="97"/>
      <c r="R190" s="97"/>
      <c r="S190" s="97"/>
      <c r="T190" s="97"/>
      <c r="U190" s="97"/>
      <c r="V190" s="97"/>
      <c r="W190" s="97"/>
      <c r="X190" s="97"/>
      <c r="Y190" s="97"/>
      <c r="Z190" s="97"/>
      <c r="AA190" s="97"/>
      <c r="AB190" s="97"/>
      <c r="AC190" s="97"/>
      <c r="AD190" s="97"/>
      <c r="AE190" s="97"/>
    </row>
    <row r="191" ht="14.25" customHeight="1">
      <c r="A191" s="59"/>
      <c r="B191" s="97"/>
      <c r="C191" s="97"/>
      <c r="D191" s="97"/>
      <c r="E191" s="97"/>
      <c r="F191" s="97"/>
      <c r="G191" s="97"/>
      <c r="H191" s="99"/>
      <c r="I191" s="123"/>
      <c r="J191" s="123"/>
      <c r="K191" s="97"/>
      <c r="L191" s="97"/>
      <c r="M191" s="66"/>
      <c r="N191" s="97"/>
      <c r="O191" s="97"/>
      <c r="P191" s="97"/>
      <c r="Q191" s="97"/>
      <c r="R191" s="97"/>
      <c r="S191" s="97"/>
      <c r="T191" s="97"/>
      <c r="U191" s="97"/>
      <c r="V191" s="97"/>
      <c r="W191" s="97"/>
      <c r="X191" s="97"/>
      <c r="Y191" s="97"/>
      <c r="Z191" s="97"/>
      <c r="AA191" s="97"/>
      <c r="AB191" s="97"/>
      <c r="AC191" s="97"/>
      <c r="AD191" s="97"/>
      <c r="AE191" s="97"/>
    </row>
    <row r="192" ht="14.25" customHeight="1">
      <c r="A192" s="59"/>
      <c r="B192" s="97"/>
      <c r="C192" s="97"/>
      <c r="D192" s="97"/>
      <c r="E192" s="97"/>
      <c r="F192" s="97"/>
      <c r="G192" s="97"/>
      <c r="H192" s="99"/>
      <c r="I192" s="123"/>
      <c r="J192" s="123"/>
      <c r="K192" s="97"/>
      <c r="L192" s="97"/>
      <c r="M192" s="66"/>
      <c r="N192" s="97"/>
      <c r="O192" s="97"/>
      <c r="P192" s="97"/>
      <c r="Q192" s="97"/>
      <c r="R192" s="97"/>
      <c r="S192" s="97"/>
      <c r="T192" s="97"/>
      <c r="U192" s="97"/>
      <c r="V192" s="97"/>
      <c r="W192" s="97"/>
      <c r="X192" s="97"/>
      <c r="Y192" s="97"/>
      <c r="Z192" s="97"/>
      <c r="AA192" s="97"/>
      <c r="AB192" s="97"/>
      <c r="AC192" s="97"/>
      <c r="AD192" s="97"/>
      <c r="AE192" s="97"/>
    </row>
    <row r="193" ht="14.25" customHeight="1">
      <c r="A193" s="59"/>
      <c r="B193" s="97"/>
      <c r="C193" s="97"/>
      <c r="D193" s="97"/>
      <c r="E193" s="97"/>
      <c r="F193" s="97"/>
      <c r="G193" s="97"/>
      <c r="H193" s="99"/>
      <c r="I193" s="123"/>
      <c r="J193" s="123"/>
      <c r="K193" s="97"/>
      <c r="L193" s="97"/>
      <c r="M193" s="66"/>
      <c r="N193" s="97"/>
      <c r="O193" s="97"/>
      <c r="P193" s="97"/>
      <c r="Q193" s="97"/>
      <c r="R193" s="97"/>
      <c r="S193" s="97"/>
      <c r="T193" s="97"/>
      <c r="U193" s="97"/>
      <c r="V193" s="97"/>
      <c r="W193" s="97"/>
      <c r="X193" s="97"/>
      <c r="Y193" s="97"/>
      <c r="Z193" s="97"/>
      <c r="AA193" s="97"/>
      <c r="AB193" s="97"/>
      <c r="AC193" s="97"/>
      <c r="AD193" s="97"/>
      <c r="AE193" s="97"/>
    </row>
    <row r="194" ht="14.25" customHeight="1">
      <c r="A194" s="59"/>
      <c r="B194" s="97"/>
      <c r="C194" s="97"/>
      <c r="D194" s="97"/>
      <c r="E194" s="97"/>
      <c r="F194" s="97"/>
      <c r="G194" s="97"/>
      <c r="H194" s="99"/>
      <c r="I194" s="123"/>
      <c r="J194" s="123"/>
      <c r="K194" s="97"/>
      <c r="L194" s="97"/>
      <c r="M194" s="66"/>
      <c r="N194" s="97"/>
      <c r="O194" s="97"/>
      <c r="P194" s="97"/>
      <c r="Q194" s="97"/>
      <c r="R194" s="97"/>
      <c r="S194" s="97"/>
      <c r="T194" s="97"/>
      <c r="U194" s="97"/>
      <c r="V194" s="97"/>
      <c r="W194" s="97"/>
      <c r="X194" s="97"/>
      <c r="Y194" s="97"/>
      <c r="Z194" s="97"/>
      <c r="AA194" s="97"/>
      <c r="AB194" s="97"/>
      <c r="AC194" s="97"/>
      <c r="AD194" s="97"/>
      <c r="AE194" s="97"/>
    </row>
    <row r="195" ht="14.25" customHeight="1">
      <c r="A195" s="59"/>
      <c r="B195" s="97"/>
      <c r="C195" s="97"/>
      <c r="D195" s="97"/>
      <c r="E195" s="97"/>
      <c r="F195" s="97"/>
      <c r="G195" s="97"/>
      <c r="H195" s="99"/>
      <c r="I195" s="123"/>
      <c r="J195" s="123"/>
      <c r="K195" s="97"/>
      <c r="L195" s="97"/>
      <c r="M195" s="66"/>
      <c r="N195" s="97"/>
      <c r="O195" s="97"/>
      <c r="P195" s="97"/>
      <c r="Q195" s="97"/>
      <c r="R195" s="97"/>
      <c r="S195" s="97"/>
      <c r="T195" s="97"/>
      <c r="U195" s="97"/>
      <c r="V195" s="97"/>
      <c r="W195" s="97"/>
      <c r="X195" s="97"/>
      <c r="Y195" s="97"/>
      <c r="Z195" s="97"/>
      <c r="AA195" s="97"/>
      <c r="AB195" s="97"/>
      <c r="AC195" s="97"/>
      <c r="AD195" s="97"/>
      <c r="AE195" s="97"/>
    </row>
    <row r="196" ht="14.25" customHeight="1">
      <c r="A196" s="59"/>
      <c r="B196" s="97"/>
      <c r="C196" s="97"/>
      <c r="D196" s="97"/>
      <c r="E196" s="97"/>
      <c r="F196" s="97"/>
      <c r="G196" s="97"/>
      <c r="H196" s="99"/>
      <c r="I196" s="123"/>
      <c r="J196" s="123"/>
      <c r="K196" s="97"/>
      <c r="L196" s="97"/>
      <c r="M196" s="66"/>
      <c r="N196" s="97"/>
      <c r="O196" s="97"/>
      <c r="P196" s="97"/>
      <c r="Q196" s="97"/>
      <c r="R196" s="97"/>
      <c r="S196" s="97"/>
      <c r="T196" s="97"/>
      <c r="U196" s="97"/>
      <c r="V196" s="97"/>
      <c r="W196" s="97"/>
      <c r="X196" s="97"/>
      <c r="Y196" s="97"/>
      <c r="Z196" s="97"/>
      <c r="AA196" s="97"/>
      <c r="AB196" s="97"/>
      <c r="AC196" s="97"/>
      <c r="AD196" s="97"/>
      <c r="AE196" s="97"/>
    </row>
    <row r="197" ht="14.25" customHeight="1">
      <c r="A197" s="59"/>
      <c r="B197" s="97"/>
      <c r="C197" s="97"/>
      <c r="D197" s="97"/>
      <c r="E197" s="97"/>
      <c r="F197" s="97"/>
      <c r="G197" s="97"/>
      <c r="H197" s="99"/>
      <c r="I197" s="123"/>
      <c r="J197" s="123"/>
      <c r="K197" s="97"/>
      <c r="L197" s="97"/>
      <c r="M197" s="66"/>
      <c r="N197" s="97"/>
      <c r="O197" s="97"/>
      <c r="P197" s="97"/>
      <c r="Q197" s="97"/>
      <c r="R197" s="97"/>
      <c r="S197" s="97"/>
      <c r="T197" s="97"/>
      <c r="U197" s="97"/>
      <c r="V197" s="97"/>
      <c r="W197" s="97"/>
      <c r="X197" s="97"/>
      <c r="Y197" s="97"/>
      <c r="Z197" s="97"/>
      <c r="AA197" s="97"/>
      <c r="AB197" s="97"/>
      <c r="AC197" s="97"/>
      <c r="AD197" s="97"/>
      <c r="AE197" s="97"/>
    </row>
    <row r="198" ht="14.25" customHeight="1">
      <c r="A198" s="59"/>
      <c r="B198" s="97"/>
      <c r="C198" s="97"/>
      <c r="D198" s="97"/>
      <c r="E198" s="97"/>
      <c r="F198" s="97"/>
      <c r="G198" s="97"/>
      <c r="H198" s="99"/>
      <c r="I198" s="123"/>
      <c r="J198" s="123"/>
      <c r="K198" s="97"/>
      <c r="L198" s="97"/>
      <c r="M198" s="66"/>
      <c r="N198" s="97"/>
      <c r="O198" s="97"/>
      <c r="P198" s="97"/>
      <c r="Q198" s="97"/>
      <c r="R198" s="97"/>
      <c r="S198" s="97"/>
      <c r="T198" s="97"/>
      <c r="U198" s="97"/>
      <c r="V198" s="97"/>
      <c r="W198" s="97"/>
      <c r="X198" s="97"/>
      <c r="Y198" s="97"/>
      <c r="Z198" s="97"/>
      <c r="AA198" s="97"/>
      <c r="AB198" s="97"/>
      <c r="AC198" s="97"/>
      <c r="AD198" s="97"/>
      <c r="AE198" s="97"/>
    </row>
    <row r="199" ht="14.25" customHeight="1">
      <c r="A199" s="59"/>
      <c r="B199" s="97"/>
      <c r="C199" s="97"/>
      <c r="D199" s="97"/>
      <c r="E199" s="97"/>
      <c r="F199" s="97"/>
      <c r="G199" s="97"/>
      <c r="H199" s="99"/>
      <c r="I199" s="123"/>
      <c r="J199" s="123"/>
      <c r="K199" s="97"/>
      <c r="L199" s="97"/>
      <c r="M199" s="66"/>
      <c r="N199" s="97"/>
      <c r="O199" s="97"/>
      <c r="P199" s="97"/>
      <c r="Q199" s="97"/>
      <c r="R199" s="97"/>
      <c r="S199" s="97"/>
      <c r="T199" s="97"/>
      <c r="U199" s="97"/>
      <c r="V199" s="97"/>
      <c r="W199" s="97"/>
      <c r="X199" s="97"/>
      <c r="Y199" s="97"/>
      <c r="Z199" s="97"/>
      <c r="AA199" s="97"/>
      <c r="AB199" s="97"/>
      <c r="AC199" s="97"/>
      <c r="AD199" s="97"/>
      <c r="AE199" s="97"/>
    </row>
    <row r="200" ht="14.25" customHeight="1">
      <c r="A200" s="59"/>
      <c r="B200" s="97"/>
      <c r="C200" s="97"/>
      <c r="D200" s="97"/>
      <c r="E200" s="97"/>
      <c r="F200" s="97"/>
      <c r="G200" s="97"/>
      <c r="H200" s="99"/>
      <c r="I200" s="123"/>
      <c r="J200" s="123"/>
      <c r="K200" s="97"/>
      <c r="L200" s="97"/>
      <c r="M200" s="66"/>
      <c r="N200" s="97"/>
      <c r="O200" s="97"/>
      <c r="P200" s="97"/>
      <c r="Q200" s="97"/>
      <c r="R200" s="97"/>
      <c r="S200" s="97"/>
      <c r="T200" s="97"/>
      <c r="U200" s="97"/>
      <c r="V200" s="97"/>
      <c r="W200" s="97"/>
      <c r="X200" s="97"/>
      <c r="Y200" s="97"/>
      <c r="Z200" s="97"/>
      <c r="AA200" s="97"/>
      <c r="AB200" s="97"/>
      <c r="AC200" s="97"/>
      <c r="AD200" s="97"/>
      <c r="AE200" s="97"/>
    </row>
    <row r="201" ht="14.25" customHeight="1">
      <c r="A201" s="59"/>
      <c r="B201" s="97"/>
      <c r="C201" s="97"/>
      <c r="D201" s="97"/>
      <c r="E201" s="97"/>
      <c r="F201" s="97"/>
      <c r="G201" s="97"/>
      <c r="H201" s="99"/>
      <c r="I201" s="123"/>
      <c r="J201" s="123"/>
      <c r="K201" s="97"/>
      <c r="L201" s="97"/>
      <c r="M201" s="66"/>
      <c r="N201" s="97"/>
      <c r="O201" s="97"/>
      <c r="P201" s="97"/>
      <c r="Q201" s="97"/>
      <c r="R201" s="97"/>
      <c r="S201" s="97"/>
      <c r="T201" s="97"/>
      <c r="U201" s="97"/>
      <c r="V201" s="97"/>
      <c r="W201" s="97"/>
      <c r="X201" s="97"/>
      <c r="Y201" s="97"/>
      <c r="Z201" s="97"/>
      <c r="AA201" s="97"/>
      <c r="AB201" s="97"/>
      <c r="AC201" s="97"/>
      <c r="AD201" s="97"/>
      <c r="AE201" s="97"/>
    </row>
    <row r="202" ht="14.25" customHeight="1">
      <c r="A202" s="59"/>
      <c r="B202" s="97"/>
      <c r="C202" s="97"/>
      <c r="D202" s="97"/>
      <c r="E202" s="97"/>
      <c r="F202" s="97"/>
      <c r="G202" s="97"/>
      <c r="H202" s="99"/>
      <c r="I202" s="123"/>
      <c r="J202" s="123"/>
      <c r="K202" s="97"/>
      <c r="L202" s="97"/>
      <c r="M202" s="66"/>
      <c r="N202" s="97"/>
      <c r="O202" s="97"/>
      <c r="P202" s="97"/>
      <c r="Q202" s="97"/>
      <c r="R202" s="97"/>
      <c r="S202" s="97"/>
      <c r="T202" s="97"/>
      <c r="U202" s="97"/>
      <c r="V202" s="97"/>
      <c r="W202" s="97"/>
      <c r="X202" s="97"/>
      <c r="Y202" s="97"/>
      <c r="Z202" s="97"/>
      <c r="AA202" s="97"/>
      <c r="AB202" s="97"/>
      <c r="AC202" s="97"/>
      <c r="AD202" s="97"/>
      <c r="AE202" s="97"/>
    </row>
    <row r="203" ht="14.25" customHeight="1">
      <c r="A203" s="59"/>
      <c r="B203" s="97"/>
      <c r="C203" s="97"/>
      <c r="D203" s="97"/>
      <c r="E203" s="97"/>
      <c r="F203" s="97"/>
      <c r="G203" s="97"/>
      <c r="H203" s="99"/>
      <c r="I203" s="123"/>
      <c r="J203" s="123"/>
      <c r="K203" s="97"/>
      <c r="L203" s="97"/>
      <c r="M203" s="66"/>
      <c r="N203" s="97"/>
      <c r="O203" s="97"/>
      <c r="P203" s="97"/>
      <c r="Q203" s="97"/>
      <c r="R203" s="97"/>
      <c r="S203" s="97"/>
      <c r="T203" s="97"/>
      <c r="U203" s="97"/>
      <c r="V203" s="97"/>
      <c r="W203" s="97"/>
      <c r="X203" s="97"/>
      <c r="Y203" s="97"/>
      <c r="Z203" s="97"/>
      <c r="AA203" s="97"/>
      <c r="AB203" s="97"/>
      <c r="AC203" s="97"/>
      <c r="AD203" s="97"/>
      <c r="AE203" s="97"/>
    </row>
    <row r="204" ht="14.25" customHeight="1">
      <c r="A204" s="59"/>
      <c r="B204" s="97"/>
      <c r="C204" s="97"/>
      <c r="D204" s="97"/>
      <c r="E204" s="97"/>
      <c r="F204" s="97"/>
      <c r="G204" s="97"/>
      <c r="H204" s="99"/>
      <c r="I204" s="123"/>
      <c r="J204" s="123"/>
      <c r="K204" s="97"/>
      <c r="L204" s="97"/>
      <c r="M204" s="66"/>
      <c r="N204" s="97"/>
      <c r="O204" s="97"/>
      <c r="P204" s="97"/>
      <c r="Q204" s="97"/>
      <c r="R204" s="97"/>
      <c r="S204" s="97"/>
      <c r="T204" s="97"/>
      <c r="U204" s="97"/>
      <c r="V204" s="97"/>
      <c r="W204" s="97"/>
      <c r="X204" s="97"/>
      <c r="Y204" s="97"/>
      <c r="Z204" s="97"/>
      <c r="AA204" s="97"/>
      <c r="AB204" s="97"/>
      <c r="AC204" s="97"/>
      <c r="AD204" s="97"/>
      <c r="AE204" s="97"/>
    </row>
    <row r="205" ht="14.25" customHeight="1">
      <c r="A205" s="59"/>
      <c r="B205" s="97"/>
      <c r="C205" s="97"/>
      <c r="D205" s="97"/>
      <c r="E205" s="97"/>
      <c r="F205" s="97"/>
      <c r="G205" s="97"/>
      <c r="H205" s="99"/>
      <c r="I205" s="123"/>
      <c r="J205" s="123"/>
      <c r="K205" s="97"/>
      <c r="L205" s="97"/>
      <c r="M205" s="66"/>
      <c r="N205" s="97"/>
      <c r="O205" s="97"/>
      <c r="P205" s="97"/>
      <c r="Q205" s="97"/>
      <c r="R205" s="97"/>
      <c r="S205" s="97"/>
      <c r="T205" s="97"/>
      <c r="U205" s="97"/>
      <c r="V205" s="97"/>
      <c r="W205" s="97"/>
      <c r="X205" s="97"/>
      <c r="Y205" s="97"/>
      <c r="Z205" s="97"/>
      <c r="AA205" s="97"/>
      <c r="AB205" s="97"/>
      <c r="AC205" s="97"/>
      <c r="AD205" s="97"/>
      <c r="AE205" s="97"/>
    </row>
    <row r="206" ht="14.25" customHeight="1">
      <c r="A206" s="59"/>
      <c r="B206" s="97"/>
      <c r="C206" s="97"/>
      <c r="D206" s="97"/>
      <c r="E206" s="97"/>
      <c r="F206" s="97"/>
      <c r="G206" s="97"/>
      <c r="H206" s="99"/>
      <c r="I206" s="123"/>
      <c r="J206" s="123"/>
      <c r="K206" s="97"/>
      <c r="L206" s="97"/>
      <c r="M206" s="66"/>
      <c r="N206" s="97"/>
      <c r="O206" s="97"/>
      <c r="P206" s="97"/>
      <c r="Q206" s="97"/>
      <c r="R206" s="97"/>
      <c r="S206" s="97"/>
      <c r="T206" s="97"/>
      <c r="U206" s="97"/>
      <c r="V206" s="97"/>
      <c r="W206" s="97"/>
      <c r="X206" s="97"/>
      <c r="Y206" s="97"/>
      <c r="Z206" s="97"/>
      <c r="AA206" s="97"/>
      <c r="AB206" s="97"/>
      <c r="AC206" s="97"/>
      <c r="AD206" s="97"/>
      <c r="AE206" s="97"/>
    </row>
    <row r="207" ht="14.25" customHeight="1">
      <c r="A207" s="59"/>
      <c r="B207" s="97"/>
      <c r="C207" s="97"/>
      <c r="D207" s="97"/>
      <c r="E207" s="97"/>
      <c r="F207" s="97"/>
      <c r="G207" s="97"/>
      <c r="H207" s="99"/>
      <c r="I207" s="123"/>
      <c r="J207" s="123"/>
      <c r="K207" s="97"/>
      <c r="L207" s="97"/>
      <c r="M207" s="66"/>
      <c r="N207" s="97"/>
      <c r="O207" s="97"/>
      <c r="P207" s="97"/>
      <c r="Q207" s="97"/>
      <c r="R207" s="97"/>
      <c r="S207" s="97"/>
      <c r="T207" s="97"/>
      <c r="U207" s="97"/>
      <c r="V207" s="97"/>
      <c r="W207" s="97"/>
      <c r="X207" s="97"/>
      <c r="Y207" s="97"/>
      <c r="Z207" s="97"/>
      <c r="AA207" s="97"/>
      <c r="AB207" s="97"/>
      <c r="AC207" s="97"/>
      <c r="AD207" s="97"/>
      <c r="AE207" s="97"/>
    </row>
    <row r="208" ht="14.25" customHeight="1">
      <c r="A208" s="59"/>
      <c r="B208" s="97"/>
      <c r="C208" s="97"/>
      <c r="D208" s="97"/>
      <c r="E208" s="97"/>
      <c r="F208" s="97"/>
      <c r="G208" s="97"/>
      <c r="H208" s="99"/>
      <c r="I208" s="123"/>
      <c r="J208" s="123"/>
      <c r="K208" s="97"/>
      <c r="L208" s="97"/>
      <c r="M208" s="66"/>
      <c r="N208" s="97"/>
      <c r="O208" s="97"/>
      <c r="P208" s="97"/>
      <c r="Q208" s="97"/>
      <c r="R208" s="97"/>
      <c r="S208" s="97"/>
      <c r="T208" s="97"/>
      <c r="U208" s="97"/>
      <c r="V208" s="97"/>
      <c r="W208" s="97"/>
      <c r="X208" s="97"/>
      <c r="Y208" s="97"/>
      <c r="Z208" s="97"/>
      <c r="AA208" s="97"/>
      <c r="AB208" s="97"/>
      <c r="AC208" s="97"/>
      <c r="AD208" s="97"/>
      <c r="AE208" s="97"/>
    </row>
    <row r="209" ht="14.25" customHeight="1">
      <c r="A209" s="59"/>
      <c r="B209" s="97"/>
      <c r="C209" s="97"/>
      <c r="D209" s="97"/>
      <c r="E209" s="97"/>
      <c r="F209" s="97"/>
      <c r="G209" s="97"/>
      <c r="H209" s="99"/>
      <c r="I209" s="123"/>
      <c r="J209" s="123"/>
      <c r="K209" s="97"/>
      <c r="L209" s="97"/>
      <c r="M209" s="66"/>
      <c r="N209" s="97"/>
      <c r="O209" s="97"/>
      <c r="P209" s="97"/>
      <c r="Q209" s="97"/>
      <c r="R209" s="97"/>
      <c r="S209" s="97"/>
      <c r="T209" s="97"/>
      <c r="U209" s="97"/>
      <c r="V209" s="97"/>
      <c r="W209" s="97"/>
      <c r="X209" s="97"/>
      <c r="Y209" s="97"/>
      <c r="Z209" s="97"/>
      <c r="AA209" s="97"/>
      <c r="AB209" s="97"/>
      <c r="AC209" s="97"/>
      <c r="AD209" s="97"/>
      <c r="AE209" s="97"/>
    </row>
    <row r="210" ht="14.25" customHeight="1">
      <c r="A210" s="59"/>
      <c r="B210" s="97"/>
      <c r="C210" s="97"/>
      <c r="D210" s="97"/>
      <c r="E210" s="97"/>
      <c r="F210" s="97"/>
      <c r="G210" s="97"/>
      <c r="H210" s="99"/>
      <c r="I210" s="123"/>
      <c r="J210" s="123"/>
      <c r="K210" s="97"/>
      <c r="L210" s="97"/>
      <c r="M210" s="66"/>
      <c r="N210" s="97"/>
      <c r="O210" s="97"/>
      <c r="P210" s="97"/>
      <c r="Q210" s="97"/>
      <c r="R210" s="97"/>
      <c r="S210" s="97"/>
      <c r="T210" s="97"/>
      <c r="U210" s="97"/>
      <c r="V210" s="97"/>
      <c r="W210" s="97"/>
      <c r="X210" s="97"/>
      <c r="Y210" s="97"/>
      <c r="Z210" s="97"/>
      <c r="AA210" s="97"/>
      <c r="AB210" s="97"/>
      <c r="AC210" s="97"/>
      <c r="AD210" s="97"/>
      <c r="AE210" s="97"/>
    </row>
    <row r="211" ht="14.25" customHeight="1">
      <c r="A211" s="59"/>
      <c r="B211" s="97"/>
      <c r="C211" s="97"/>
      <c r="D211" s="97"/>
      <c r="E211" s="97"/>
      <c r="F211" s="97"/>
      <c r="G211" s="97"/>
      <c r="H211" s="99"/>
      <c r="I211" s="123"/>
      <c r="J211" s="123"/>
      <c r="K211" s="97"/>
      <c r="L211" s="97"/>
      <c r="M211" s="66"/>
      <c r="N211" s="97"/>
      <c r="O211" s="97"/>
      <c r="P211" s="97"/>
      <c r="Q211" s="97"/>
      <c r="R211" s="97"/>
      <c r="S211" s="97"/>
      <c r="T211" s="97"/>
      <c r="U211" s="97"/>
      <c r="V211" s="97"/>
      <c r="W211" s="97"/>
      <c r="X211" s="97"/>
      <c r="Y211" s="97"/>
      <c r="Z211" s="97"/>
      <c r="AA211" s="97"/>
      <c r="AB211" s="97"/>
      <c r="AC211" s="97"/>
      <c r="AD211" s="97"/>
      <c r="AE211" s="97"/>
    </row>
    <row r="212" ht="14.25" customHeight="1">
      <c r="A212" s="59"/>
      <c r="B212" s="97"/>
      <c r="C212" s="97"/>
      <c r="D212" s="97"/>
      <c r="E212" s="97"/>
      <c r="F212" s="97"/>
      <c r="G212" s="97"/>
      <c r="H212" s="99"/>
      <c r="I212" s="123"/>
      <c r="J212" s="123"/>
      <c r="K212" s="97"/>
      <c r="L212" s="97"/>
      <c r="M212" s="66"/>
      <c r="N212" s="97"/>
      <c r="O212" s="97"/>
      <c r="P212" s="97"/>
      <c r="Q212" s="97"/>
      <c r="R212" s="97"/>
      <c r="S212" s="97"/>
      <c r="T212" s="97"/>
      <c r="U212" s="97"/>
      <c r="V212" s="97"/>
      <c r="W212" s="97"/>
      <c r="X212" s="97"/>
      <c r="Y212" s="97"/>
      <c r="Z212" s="97"/>
      <c r="AA212" s="97"/>
      <c r="AB212" s="97"/>
      <c r="AC212" s="97"/>
      <c r="AD212" s="97"/>
      <c r="AE212" s="97"/>
    </row>
    <row r="213" ht="14.25" customHeight="1">
      <c r="A213" s="59"/>
      <c r="B213" s="97"/>
      <c r="C213" s="97"/>
      <c r="D213" s="97"/>
      <c r="E213" s="97"/>
      <c r="F213" s="97"/>
      <c r="G213" s="97"/>
      <c r="H213" s="99"/>
      <c r="I213" s="123"/>
      <c r="J213" s="123"/>
      <c r="K213" s="97"/>
      <c r="L213" s="97"/>
      <c r="M213" s="66"/>
      <c r="N213" s="97"/>
      <c r="O213" s="97"/>
      <c r="P213" s="97"/>
      <c r="Q213" s="97"/>
      <c r="R213" s="97"/>
      <c r="S213" s="97"/>
      <c r="T213" s="97"/>
      <c r="U213" s="97"/>
      <c r="V213" s="97"/>
      <c r="W213" s="97"/>
      <c r="X213" s="97"/>
      <c r="Y213" s="97"/>
      <c r="Z213" s="97"/>
      <c r="AA213" s="97"/>
      <c r="AB213" s="97"/>
      <c r="AC213" s="97"/>
      <c r="AD213" s="97"/>
      <c r="AE213" s="97"/>
    </row>
    <row r="214" ht="14.25" customHeight="1">
      <c r="A214" s="59"/>
      <c r="B214" s="97"/>
      <c r="C214" s="97"/>
      <c r="D214" s="97"/>
      <c r="E214" s="97"/>
      <c r="F214" s="97"/>
      <c r="G214" s="97"/>
      <c r="H214" s="99"/>
      <c r="I214" s="123"/>
      <c r="J214" s="123"/>
      <c r="K214" s="97"/>
      <c r="L214" s="97"/>
      <c r="M214" s="66"/>
      <c r="N214" s="97"/>
      <c r="O214" s="97"/>
      <c r="P214" s="97"/>
      <c r="Q214" s="97"/>
      <c r="R214" s="97"/>
      <c r="S214" s="97"/>
      <c r="T214" s="97"/>
      <c r="U214" s="97"/>
      <c r="V214" s="97"/>
      <c r="W214" s="97"/>
      <c r="X214" s="97"/>
      <c r="Y214" s="97"/>
      <c r="Z214" s="97"/>
      <c r="AA214" s="97"/>
      <c r="AB214" s="97"/>
      <c r="AC214" s="97"/>
      <c r="AD214" s="97"/>
      <c r="AE214" s="97"/>
    </row>
    <row r="215" ht="14.25" customHeight="1">
      <c r="A215" s="59"/>
      <c r="B215" s="97"/>
      <c r="C215" s="97"/>
      <c r="D215" s="97"/>
      <c r="E215" s="97"/>
      <c r="F215" s="97"/>
      <c r="G215" s="97"/>
      <c r="H215" s="99"/>
      <c r="I215" s="123"/>
      <c r="J215" s="123"/>
      <c r="K215" s="97"/>
      <c r="L215" s="97"/>
      <c r="M215" s="66"/>
      <c r="N215" s="97"/>
      <c r="O215" s="97"/>
      <c r="P215" s="97"/>
      <c r="Q215" s="97"/>
      <c r="R215" s="97"/>
      <c r="S215" s="97"/>
      <c r="T215" s="97"/>
      <c r="U215" s="97"/>
      <c r="V215" s="97"/>
      <c r="W215" s="97"/>
      <c r="X215" s="97"/>
      <c r="Y215" s="97"/>
      <c r="Z215" s="97"/>
      <c r="AA215" s="97"/>
      <c r="AB215" s="97"/>
      <c r="AC215" s="97"/>
      <c r="AD215" s="97"/>
      <c r="AE215" s="97"/>
    </row>
    <row r="216" ht="14.25" customHeight="1">
      <c r="A216" s="59"/>
      <c r="B216" s="97"/>
      <c r="C216" s="97"/>
      <c r="D216" s="97"/>
      <c r="E216" s="97"/>
      <c r="F216" s="97"/>
      <c r="G216" s="97"/>
      <c r="H216" s="99"/>
      <c r="I216" s="123"/>
      <c r="J216" s="123"/>
      <c r="K216" s="97"/>
      <c r="L216" s="97"/>
      <c r="M216" s="66"/>
      <c r="N216" s="97"/>
      <c r="O216" s="97"/>
      <c r="P216" s="97"/>
      <c r="Q216" s="97"/>
      <c r="R216" s="97"/>
      <c r="S216" s="97"/>
      <c r="T216" s="97"/>
      <c r="U216" s="97"/>
      <c r="V216" s="97"/>
      <c r="W216" s="97"/>
      <c r="X216" s="97"/>
      <c r="Y216" s="97"/>
      <c r="Z216" s="97"/>
      <c r="AA216" s="97"/>
      <c r="AB216" s="97"/>
      <c r="AC216" s="97"/>
      <c r="AD216" s="97"/>
      <c r="AE216" s="97"/>
    </row>
    <row r="217" ht="14.25" customHeight="1">
      <c r="A217" s="59"/>
      <c r="B217" s="97"/>
      <c r="C217" s="97"/>
      <c r="D217" s="97"/>
      <c r="E217" s="97"/>
      <c r="F217" s="97"/>
      <c r="G217" s="97"/>
      <c r="H217" s="99"/>
      <c r="I217" s="123"/>
      <c r="J217" s="123"/>
      <c r="K217" s="97"/>
      <c r="L217" s="97"/>
      <c r="M217" s="66"/>
      <c r="N217" s="97"/>
      <c r="O217" s="97"/>
      <c r="P217" s="97"/>
      <c r="Q217" s="97"/>
      <c r="R217" s="97"/>
      <c r="S217" s="97"/>
      <c r="T217" s="97"/>
      <c r="U217" s="97"/>
      <c r="V217" s="97"/>
      <c r="W217" s="97"/>
      <c r="X217" s="97"/>
      <c r="Y217" s="97"/>
      <c r="Z217" s="97"/>
      <c r="AA217" s="97"/>
      <c r="AB217" s="97"/>
      <c r="AC217" s="97"/>
      <c r="AD217" s="97"/>
      <c r="AE217" s="97"/>
    </row>
    <row r="218" ht="14.25" customHeight="1">
      <c r="A218" s="59"/>
      <c r="B218" s="97"/>
      <c r="C218" s="97"/>
      <c r="D218" s="97"/>
      <c r="E218" s="97"/>
      <c r="F218" s="97"/>
      <c r="G218" s="97"/>
      <c r="H218" s="99"/>
      <c r="I218" s="123"/>
      <c r="J218" s="123"/>
      <c r="K218" s="97"/>
      <c r="L218" s="97"/>
      <c r="M218" s="66"/>
      <c r="N218" s="97"/>
      <c r="O218" s="97"/>
      <c r="P218" s="97"/>
      <c r="Q218" s="97"/>
      <c r="R218" s="97"/>
      <c r="S218" s="97"/>
      <c r="T218" s="97"/>
      <c r="U218" s="97"/>
      <c r="V218" s="97"/>
      <c r="W218" s="97"/>
      <c r="X218" s="97"/>
      <c r="Y218" s="97"/>
      <c r="Z218" s="97"/>
      <c r="AA218" s="97"/>
      <c r="AB218" s="97"/>
      <c r="AC218" s="97"/>
      <c r="AD218" s="97"/>
      <c r="AE218" s="97"/>
    </row>
    <row r="219" ht="14.25" customHeight="1">
      <c r="A219" s="59"/>
      <c r="B219" s="97"/>
      <c r="C219" s="97"/>
      <c r="D219" s="97"/>
      <c r="E219" s="97"/>
      <c r="F219" s="97"/>
      <c r="G219" s="97"/>
      <c r="H219" s="99"/>
      <c r="I219" s="123"/>
      <c r="J219" s="123"/>
      <c r="K219" s="97"/>
      <c r="L219" s="97"/>
      <c r="M219" s="66"/>
      <c r="N219" s="97"/>
      <c r="O219" s="97"/>
      <c r="P219" s="97"/>
      <c r="Q219" s="97"/>
      <c r="R219" s="97"/>
      <c r="S219" s="97"/>
      <c r="T219" s="97"/>
      <c r="U219" s="97"/>
      <c r="V219" s="97"/>
      <c r="W219" s="97"/>
      <c r="X219" s="97"/>
      <c r="Y219" s="97"/>
      <c r="Z219" s="97"/>
      <c r="AA219" s="97"/>
      <c r="AB219" s="97"/>
      <c r="AC219" s="97"/>
      <c r="AD219" s="97"/>
      <c r="AE219" s="97"/>
    </row>
    <row r="220" ht="14.25" customHeight="1">
      <c r="A220" s="59"/>
      <c r="B220" s="97"/>
      <c r="C220" s="97"/>
      <c r="D220" s="97"/>
      <c r="E220" s="97"/>
      <c r="F220" s="97"/>
      <c r="G220" s="97"/>
      <c r="H220" s="99"/>
      <c r="I220" s="123"/>
      <c r="J220" s="123"/>
      <c r="K220" s="97"/>
      <c r="L220" s="97"/>
      <c r="M220" s="66"/>
      <c r="N220" s="97"/>
      <c r="O220" s="97"/>
      <c r="P220" s="97"/>
      <c r="Q220" s="97"/>
      <c r="R220" s="97"/>
      <c r="S220" s="97"/>
      <c r="T220" s="97"/>
      <c r="U220" s="97"/>
      <c r="V220" s="97"/>
      <c r="W220" s="97"/>
      <c r="X220" s="97"/>
      <c r="Y220" s="97"/>
      <c r="Z220" s="97"/>
      <c r="AA220" s="97"/>
      <c r="AB220" s="97"/>
      <c r="AC220" s="97"/>
      <c r="AD220" s="97"/>
      <c r="AE220" s="97"/>
    </row>
    <row r="221" ht="14.25" customHeight="1">
      <c r="A221" s="59"/>
      <c r="B221" s="97"/>
      <c r="C221" s="97"/>
      <c r="D221" s="97"/>
      <c r="E221" s="97"/>
      <c r="F221" s="97"/>
      <c r="G221" s="97"/>
      <c r="H221" s="99"/>
      <c r="I221" s="123"/>
      <c r="J221" s="123"/>
      <c r="K221" s="97"/>
      <c r="L221" s="97"/>
      <c r="M221" s="66"/>
      <c r="N221" s="97"/>
      <c r="O221" s="97"/>
      <c r="P221" s="97"/>
      <c r="Q221" s="97"/>
      <c r="R221" s="97"/>
      <c r="S221" s="97"/>
      <c r="T221" s="97"/>
      <c r="U221" s="97"/>
      <c r="V221" s="97"/>
      <c r="W221" s="97"/>
      <c r="X221" s="97"/>
      <c r="Y221" s="97"/>
      <c r="Z221" s="97"/>
      <c r="AA221" s="97"/>
      <c r="AB221" s="97"/>
      <c r="AC221" s="97"/>
      <c r="AD221" s="97"/>
      <c r="AE221" s="97"/>
    </row>
    <row r="222" ht="14.25" customHeight="1">
      <c r="A222" s="59"/>
      <c r="B222" s="97"/>
      <c r="C222" s="97"/>
      <c r="D222" s="97"/>
      <c r="E222" s="97"/>
      <c r="F222" s="97"/>
      <c r="G222" s="97"/>
      <c r="H222" s="99"/>
      <c r="I222" s="123"/>
      <c r="J222" s="123"/>
      <c r="K222" s="97"/>
      <c r="L222" s="97"/>
      <c r="M222" s="66"/>
      <c r="N222" s="97"/>
      <c r="O222" s="97"/>
      <c r="P222" s="97"/>
      <c r="Q222" s="97"/>
      <c r="R222" s="97"/>
      <c r="S222" s="97"/>
      <c r="T222" s="97"/>
      <c r="U222" s="97"/>
      <c r="V222" s="97"/>
      <c r="W222" s="97"/>
      <c r="X222" s="97"/>
      <c r="Y222" s="97"/>
      <c r="Z222" s="97"/>
      <c r="AA222" s="97"/>
      <c r="AB222" s="97"/>
      <c r="AC222" s="97"/>
      <c r="AD222" s="97"/>
      <c r="AE222" s="97"/>
    </row>
    <row r="223" ht="14.25" customHeight="1">
      <c r="A223" s="59"/>
      <c r="B223" s="97"/>
      <c r="C223" s="97"/>
      <c r="D223" s="97"/>
      <c r="E223" s="97"/>
      <c r="F223" s="97"/>
      <c r="G223" s="97"/>
      <c r="H223" s="99"/>
      <c r="I223" s="123"/>
      <c r="J223" s="123"/>
      <c r="K223" s="97"/>
      <c r="L223" s="97"/>
      <c r="M223" s="66"/>
      <c r="N223" s="97"/>
      <c r="O223" s="97"/>
      <c r="P223" s="97"/>
      <c r="Q223" s="97"/>
      <c r="R223" s="97"/>
      <c r="S223" s="97"/>
      <c r="T223" s="97"/>
      <c r="U223" s="97"/>
      <c r="V223" s="97"/>
      <c r="W223" s="97"/>
      <c r="X223" s="97"/>
      <c r="Y223" s="97"/>
      <c r="Z223" s="97"/>
      <c r="AA223" s="97"/>
      <c r="AB223" s="97"/>
      <c r="AC223" s="97"/>
      <c r="AD223" s="97"/>
      <c r="AE223" s="97"/>
    </row>
    <row r="224" ht="14.25" customHeight="1">
      <c r="A224" s="59"/>
      <c r="B224" s="97"/>
      <c r="C224" s="97"/>
      <c r="D224" s="97"/>
      <c r="E224" s="97"/>
      <c r="F224" s="97"/>
      <c r="G224" s="97"/>
      <c r="H224" s="99"/>
      <c r="I224" s="123"/>
      <c r="J224" s="123"/>
      <c r="K224" s="97"/>
      <c r="L224" s="97"/>
      <c r="M224" s="66"/>
      <c r="N224" s="97"/>
      <c r="O224" s="97"/>
      <c r="P224" s="97"/>
      <c r="Q224" s="97"/>
      <c r="R224" s="97"/>
      <c r="S224" s="97"/>
      <c r="T224" s="97"/>
      <c r="U224" s="97"/>
      <c r="V224" s="97"/>
      <c r="W224" s="97"/>
      <c r="X224" s="97"/>
      <c r="Y224" s="97"/>
      <c r="Z224" s="97"/>
      <c r="AA224" s="97"/>
      <c r="AB224" s="97"/>
      <c r="AC224" s="97"/>
      <c r="AD224" s="97"/>
      <c r="AE224" s="97"/>
    </row>
    <row r="225" ht="14.25" customHeight="1">
      <c r="A225" s="59"/>
      <c r="B225" s="97"/>
      <c r="C225" s="97"/>
      <c r="D225" s="97"/>
      <c r="E225" s="97"/>
      <c r="F225" s="97"/>
      <c r="G225" s="97"/>
      <c r="H225" s="99"/>
      <c r="I225" s="123"/>
      <c r="J225" s="123"/>
      <c r="K225" s="97"/>
      <c r="L225" s="97"/>
      <c r="M225" s="66"/>
      <c r="N225" s="97"/>
      <c r="O225" s="97"/>
      <c r="P225" s="97"/>
      <c r="Q225" s="97"/>
      <c r="R225" s="97"/>
      <c r="S225" s="97"/>
      <c r="T225" s="97"/>
      <c r="U225" s="97"/>
      <c r="V225" s="97"/>
      <c r="W225" s="97"/>
      <c r="X225" s="97"/>
      <c r="Y225" s="97"/>
      <c r="Z225" s="97"/>
      <c r="AA225" s="97"/>
      <c r="AB225" s="97"/>
      <c r="AC225" s="97"/>
      <c r="AD225" s="97"/>
      <c r="AE225" s="97"/>
    </row>
    <row r="226" ht="14.25" customHeight="1">
      <c r="A226" s="59"/>
      <c r="B226" s="97"/>
      <c r="C226" s="97"/>
      <c r="D226" s="97"/>
      <c r="E226" s="97"/>
      <c r="F226" s="97"/>
      <c r="G226" s="97"/>
      <c r="H226" s="99"/>
      <c r="I226" s="123"/>
      <c r="J226" s="123"/>
      <c r="K226" s="97"/>
      <c r="L226" s="97"/>
      <c r="M226" s="66"/>
      <c r="N226" s="97"/>
      <c r="O226" s="97"/>
      <c r="P226" s="97"/>
      <c r="Q226" s="97"/>
      <c r="R226" s="97"/>
      <c r="S226" s="97"/>
      <c r="T226" s="97"/>
      <c r="U226" s="97"/>
      <c r="V226" s="97"/>
      <c r="W226" s="97"/>
      <c r="X226" s="97"/>
      <c r="Y226" s="97"/>
      <c r="Z226" s="97"/>
      <c r="AA226" s="97"/>
      <c r="AB226" s="97"/>
      <c r="AC226" s="97"/>
      <c r="AD226" s="97"/>
      <c r="AE226" s="97"/>
    </row>
    <row r="227" ht="14.25" customHeight="1">
      <c r="A227" s="59"/>
      <c r="B227" s="97"/>
      <c r="C227" s="97"/>
      <c r="D227" s="97"/>
      <c r="E227" s="97"/>
      <c r="F227" s="97"/>
      <c r="G227" s="97"/>
      <c r="H227" s="99"/>
      <c r="I227" s="123"/>
      <c r="J227" s="123"/>
      <c r="K227" s="97"/>
      <c r="L227" s="97"/>
      <c r="M227" s="66"/>
      <c r="N227" s="97"/>
      <c r="O227" s="97"/>
      <c r="P227" s="97"/>
      <c r="Q227" s="97"/>
      <c r="R227" s="97"/>
      <c r="S227" s="97"/>
      <c r="T227" s="97"/>
      <c r="U227" s="97"/>
      <c r="V227" s="97"/>
      <c r="W227" s="97"/>
      <c r="X227" s="97"/>
      <c r="Y227" s="97"/>
      <c r="Z227" s="97"/>
      <c r="AA227" s="97"/>
      <c r="AB227" s="97"/>
      <c r="AC227" s="97"/>
      <c r="AD227" s="97"/>
      <c r="AE227" s="97"/>
    </row>
    <row r="228" ht="14.25" customHeight="1">
      <c r="A228" s="59"/>
      <c r="B228" s="97"/>
      <c r="C228" s="97"/>
      <c r="D228" s="97"/>
      <c r="E228" s="97"/>
      <c r="F228" s="97"/>
      <c r="G228" s="97"/>
      <c r="H228" s="99"/>
      <c r="I228" s="123"/>
      <c r="J228" s="123"/>
      <c r="K228" s="97"/>
      <c r="L228" s="97"/>
      <c r="M228" s="66"/>
      <c r="N228" s="97"/>
      <c r="O228" s="97"/>
      <c r="P228" s="97"/>
      <c r="Q228" s="97"/>
      <c r="R228" s="97"/>
      <c r="S228" s="97"/>
      <c r="T228" s="97"/>
      <c r="U228" s="97"/>
      <c r="V228" s="97"/>
      <c r="W228" s="97"/>
      <c r="X228" s="97"/>
      <c r="Y228" s="97"/>
      <c r="Z228" s="97"/>
      <c r="AA228" s="97"/>
      <c r="AB228" s="97"/>
      <c r="AC228" s="97"/>
      <c r="AD228" s="97"/>
      <c r="AE228" s="97"/>
    </row>
    <row r="229" ht="14.25" customHeight="1">
      <c r="A229" s="59"/>
      <c r="B229" s="97"/>
      <c r="C229" s="97"/>
      <c r="D229" s="97"/>
      <c r="E229" s="97"/>
      <c r="F229" s="97"/>
      <c r="G229" s="97"/>
      <c r="H229" s="99"/>
      <c r="I229" s="123"/>
      <c r="J229" s="123"/>
      <c r="K229" s="97"/>
      <c r="L229" s="97"/>
      <c r="M229" s="66"/>
      <c r="N229" s="97"/>
      <c r="O229" s="97"/>
      <c r="P229" s="97"/>
      <c r="Q229" s="97"/>
      <c r="R229" s="97"/>
      <c r="S229" s="97"/>
      <c r="T229" s="97"/>
      <c r="U229" s="97"/>
      <c r="V229" s="97"/>
      <c r="W229" s="97"/>
      <c r="X229" s="97"/>
      <c r="Y229" s="97"/>
      <c r="Z229" s="97"/>
      <c r="AA229" s="97"/>
      <c r="AB229" s="97"/>
      <c r="AC229" s="97"/>
      <c r="AD229" s="97"/>
      <c r="AE229" s="97"/>
    </row>
    <row r="230" ht="14.25" customHeight="1">
      <c r="A230" s="59"/>
      <c r="B230" s="97"/>
      <c r="C230" s="97"/>
      <c r="D230" s="97"/>
      <c r="E230" s="97"/>
      <c r="F230" s="97"/>
      <c r="G230" s="97"/>
      <c r="H230" s="99"/>
      <c r="I230" s="123"/>
      <c r="J230" s="123"/>
      <c r="K230" s="97"/>
      <c r="L230" s="97"/>
      <c r="M230" s="66"/>
      <c r="N230" s="97"/>
      <c r="O230" s="97"/>
      <c r="P230" s="97"/>
      <c r="Q230" s="97"/>
      <c r="R230" s="97"/>
      <c r="S230" s="97"/>
      <c r="T230" s="97"/>
      <c r="U230" s="97"/>
      <c r="V230" s="97"/>
      <c r="W230" s="97"/>
      <c r="X230" s="97"/>
      <c r="Y230" s="97"/>
      <c r="Z230" s="97"/>
      <c r="AA230" s="97"/>
      <c r="AB230" s="97"/>
      <c r="AC230" s="97"/>
      <c r="AD230" s="97"/>
      <c r="AE230" s="97"/>
    </row>
    <row r="231" ht="14.25" customHeight="1">
      <c r="A231" s="59"/>
      <c r="B231" s="97"/>
      <c r="C231" s="97"/>
      <c r="D231" s="97"/>
      <c r="E231" s="97"/>
      <c r="F231" s="97"/>
      <c r="G231" s="97"/>
      <c r="H231" s="99"/>
      <c r="I231" s="123"/>
      <c r="J231" s="123"/>
      <c r="K231" s="97"/>
      <c r="L231" s="97"/>
      <c r="M231" s="66"/>
      <c r="N231" s="97"/>
      <c r="O231" s="97"/>
      <c r="P231" s="97"/>
      <c r="Q231" s="97"/>
      <c r="R231" s="97"/>
      <c r="S231" s="97"/>
      <c r="T231" s="97"/>
      <c r="U231" s="97"/>
      <c r="V231" s="97"/>
      <c r="W231" s="97"/>
      <c r="X231" s="97"/>
      <c r="Y231" s="97"/>
      <c r="Z231" s="97"/>
      <c r="AA231" s="97"/>
      <c r="AB231" s="97"/>
      <c r="AC231" s="97"/>
      <c r="AD231" s="97"/>
      <c r="AE231" s="97"/>
    </row>
    <row r="232" ht="14.25" customHeight="1">
      <c r="A232" s="59"/>
      <c r="B232" s="97"/>
      <c r="C232" s="97"/>
      <c r="D232" s="97"/>
      <c r="E232" s="97"/>
      <c r="F232" s="97"/>
      <c r="G232" s="97"/>
      <c r="H232" s="99"/>
      <c r="I232" s="123"/>
      <c r="J232" s="123"/>
      <c r="K232" s="97"/>
      <c r="L232" s="97"/>
      <c r="M232" s="66"/>
      <c r="N232" s="97"/>
      <c r="O232" s="97"/>
      <c r="P232" s="97"/>
      <c r="Q232" s="97"/>
      <c r="R232" s="97"/>
      <c r="S232" s="97"/>
      <c r="T232" s="97"/>
      <c r="U232" s="97"/>
      <c r="V232" s="97"/>
      <c r="W232" s="97"/>
      <c r="X232" s="97"/>
      <c r="Y232" s="97"/>
      <c r="Z232" s="97"/>
      <c r="AA232" s="97"/>
      <c r="AB232" s="97"/>
      <c r="AC232" s="97"/>
      <c r="AD232" s="97"/>
      <c r="AE232" s="97"/>
    </row>
    <row r="233" ht="14.25" customHeight="1">
      <c r="A233" s="59"/>
      <c r="B233" s="97"/>
      <c r="C233" s="97"/>
      <c r="D233" s="97"/>
      <c r="E233" s="97"/>
      <c r="F233" s="97"/>
      <c r="G233" s="97"/>
      <c r="H233" s="99"/>
      <c r="I233" s="123"/>
      <c r="J233" s="123"/>
      <c r="K233" s="97"/>
      <c r="L233" s="97"/>
      <c r="M233" s="66"/>
      <c r="N233" s="97"/>
      <c r="O233" s="97"/>
      <c r="P233" s="97"/>
      <c r="Q233" s="97"/>
      <c r="R233" s="97"/>
      <c r="S233" s="97"/>
      <c r="T233" s="97"/>
      <c r="U233" s="97"/>
      <c r="V233" s="97"/>
      <c r="W233" s="97"/>
      <c r="X233" s="97"/>
      <c r="Y233" s="97"/>
      <c r="Z233" s="97"/>
      <c r="AA233" s="97"/>
      <c r="AB233" s="97"/>
      <c r="AC233" s="97"/>
      <c r="AD233" s="97"/>
      <c r="AE233" s="97"/>
    </row>
    <row r="234" ht="14.25" customHeight="1">
      <c r="A234" s="59"/>
      <c r="B234" s="97"/>
      <c r="C234" s="97"/>
      <c r="D234" s="97"/>
      <c r="E234" s="97"/>
      <c r="F234" s="97"/>
      <c r="G234" s="97"/>
      <c r="H234" s="99"/>
      <c r="I234" s="123"/>
      <c r="J234" s="123"/>
      <c r="K234" s="97"/>
      <c r="L234" s="97"/>
      <c r="M234" s="66"/>
      <c r="N234" s="97"/>
      <c r="O234" s="97"/>
      <c r="P234" s="97"/>
      <c r="Q234" s="97"/>
      <c r="R234" s="97"/>
      <c r="S234" s="97"/>
      <c r="T234" s="97"/>
      <c r="U234" s="97"/>
      <c r="V234" s="97"/>
      <c r="W234" s="97"/>
      <c r="X234" s="97"/>
      <c r="Y234" s="97"/>
      <c r="Z234" s="97"/>
      <c r="AA234" s="97"/>
      <c r="AB234" s="97"/>
      <c r="AC234" s="97"/>
      <c r="AD234" s="97"/>
      <c r="AE234" s="97"/>
    </row>
    <row r="235" ht="14.25" customHeight="1">
      <c r="A235" s="59"/>
      <c r="B235" s="97"/>
      <c r="C235" s="97"/>
      <c r="D235" s="97"/>
      <c r="E235" s="97"/>
      <c r="F235" s="97"/>
      <c r="G235" s="97"/>
      <c r="H235" s="99"/>
      <c r="I235" s="123"/>
      <c r="J235" s="123"/>
      <c r="K235" s="97"/>
      <c r="L235" s="97"/>
      <c r="M235" s="66"/>
      <c r="N235" s="97"/>
      <c r="O235" s="97"/>
      <c r="P235" s="97"/>
      <c r="Q235" s="97"/>
      <c r="R235" s="97"/>
      <c r="S235" s="97"/>
      <c r="T235" s="97"/>
      <c r="U235" s="97"/>
      <c r="V235" s="97"/>
      <c r="W235" s="97"/>
      <c r="X235" s="97"/>
      <c r="Y235" s="97"/>
      <c r="Z235" s="97"/>
      <c r="AA235" s="97"/>
      <c r="AB235" s="97"/>
      <c r="AC235" s="97"/>
      <c r="AD235" s="97"/>
      <c r="AE235" s="97"/>
    </row>
    <row r="236" ht="14.25" customHeight="1">
      <c r="A236" s="59"/>
      <c r="B236" s="97"/>
      <c r="C236" s="97"/>
      <c r="D236" s="97"/>
      <c r="E236" s="97"/>
      <c r="F236" s="97"/>
      <c r="G236" s="97"/>
      <c r="H236" s="99"/>
      <c r="I236" s="123"/>
      <c r="J236" s="123"/>
      <c r="K236" s="97"/>
      <c r="L236" s="97"/>
      <c r="M236" s="66"/>
      <c r="N236" s="97"/>
      <c r="O236" s="97"/>
      <c r="P236" s="97"/>
      <c r="Q236" s="97"/>
      <c r="R236" s="97"/>
      <c r="S236" s="97"/>
      <c r="T236" s="97"/>
      <c r="U236" s="97"/>
      <c r="V236" s="97"/>
      <c r="W236" s="97"/>
      <c r="X236" s="97"/>
      <c r="Y236" s="97"/>
      <c r="Z236" s="97"/>
      <c r="AA236" s="97"/>
      <c r="AB236" s="97"/>
      <c r="AC236" s="97"/>
      <c r="AD236" s="97"/>
      <c r="AE236" s="97"/>
    </row>
    <row r="237" ht="14.25" customHeight="1">
      <c r="A237" s="59"/>
      <c r="B237" s="97"/>
      <c r="C237" s="97"/>
      <c r="D237" s="97"/>
      <c r="E237" s="97"/>
      <c r="F237" s="97"/>
      <c r="G237" s="97"/>
      <c r="H237" s="99"/>
      <c r="I237" s="123"/>
      <c r="J237" s="123"/>
      <c r="K237" s="97"/>
      <c r="L237" s="97"/>
      <c r="M237" s="66"/>
      <c r="N237" s="97"/>
      <c r="O237" s="97"/>
      <c r="P237" s="97"/>
      <c r="Q237" s="97"/>
      <c r="R237" s="97"/>
      <c r="S237" s="97"/>
      <c r="T237" s="97"/>
      <c r="U237" s="97"/>
      <c r="V237" s="97"/>
      <c r="W237" s="97"/>
      <c r="X237" s="97"/>
      <c r="Y237" s="97"/>
      <c r="Z237" s="97"/>
      <c r="AA237" s="97"/>
      <c r="AB237" s="97"/>
      <c r="AC237" s="97"/>
      <c r="AD237" s="97"/>
      <c r="AE237" s="97"/>
    </row>
    <row r="238" ht="14.25" customHeight="1">
      <c r="A238" s="59"/>
      <c r="B238" s="97"/>
      <c r="C238" s="97"/>
      <c r="D238" s="97"/>
      <c r="E238" s="97"/>
      <c r="F238" s="97"/>
      <c r="G238" s="97"/>
      <c r="H238" s="99"/>
      <c r="I238" s="123"/>
      <c r="J238" s="123"/>
      <c r="K238" s="97"/>
      <c r="L238" s="97"/>
      <c r="M238" s="66"/>
      <c r="N238" s="97"/>
      <c r="O238" s="97"/>
      <c r="P238" s="97"/>
      <c r="Q238" s="97"/>
      <c r="R238" s="97"/>
      <c r="S238" s="97"/>
      <c r="T238" s="97"/>
      <c r="U238" s="97"/>
      <c r="V238" s="97"/>
      <c r="W238" s="97"/>
      <c r="X238" s="97"/>
      <c r="Y238" s="97"/>
      <c r="Z238" s="97"/>
      <c r="AA238" s="97"/>
      <c r="AB238" s="97"/>
      <c r="AC238" s="97"/>
      <c r="AD238" s="97"/>
      <c r="AE238" s="97"/>
    </row>
    <row r="239" ht="14.25" customHeight="1">
      <c r="A239" s="59"/>
      <c r="B239" s="97"/>
      <c r="C239" s="97"/>
      <c r="D239" s="97"/>
      <c r="E239" s="97"/>
      <c r="F239" s="97"/>
      <c r="G239" s="97"/>
      <c r="H239" s="99"/>
      <c r="I239" s="123"/>
      <c r="J239" s="123"/>
      <c r="K239" s="97"/>
      <c r="L239" s="97"/>
      <c r="M239" s="66"/>
      <c r="N239" s="97"/>
      <c r="O239" s="97"/>
      <c r="P239" s="97"/>
      <c r="Q239" s="97"/>
      <c r="R239" s="97"/>
      <c r="S239" s="97"/>
      <c r="T239" s="97"/>
      <c r="U239" s="97"/>
      <c r="V239" s="97"/>
      <c r="W239" s="97"/>
      <c r="X239" s="97"/>
      <c r="Y239" s="97"/>
      <c r="Z239" s="97"/>
      <c r="AA239" s="97"/>
      <c r="AB239" s="97"/>
      <c r="AC239" s="97"/>
      <c r="AD239" s="97"/>
      <c r="AE239" s="97"/>
    </row>
    <row r="240" ht="14.25" customHeight="1">
      <c r="A240" s="59"/>
      <c r="B240" s="97"/>
      <c r="C240" s="97"/>
      <c r="D240" s="97"/>
      <c r="E240" s="97"/>
      <c r="F240" s="97"/>
      <c r="G240" s="97"/>
      <c r="H240" s="99"/>
      <c r="I240" s="123"/>
      <c r="J240" s="123"/>
      <c r="K240" s="97"/>
      <c r="L240" s="97"/>
      <c r="M240" s="66"/>
      <c r="N240" s="97"/>
      <c r="O240" s="97"/>
      <c r="P240" s="97"/>
      <c r="Q240" s="97"/>
      <c r="R240" s="97"/>
      <c r="S240" s="97"/>
      <c r="T240" s="97"/>
      <c r="U240" s="97"/>
      <c r="V240" s="97"/>
      <c r="W240" s="97"/>
      <c r="X240" s="97"/>
      <c r="Y240" s="97"/>
      <c r="Z240" s="97"/>
      <c r="AA240" s="97"/>
      <c r="AB240" s="97"/>
      <c r="AC240" s="97"/>
      <c r="AD240" s="97"/>
      <c r="AE240" s="97"/>
    </row>
    <row r="241" ht="14.25" customHeight="1">
      <c r="A241" s="59"/>
      <c r="B241" s="97"/>
      <c r="C241" s="97"/>
      <c r="D241" s="97"/>
      <c r="E241" s="97"/>
      <c r="F241" s="97"/>
      <c r="G241" s="97"/>
      <c r="H241" s="99"/>
      <c r="I241" s="123"/>
      <c r="J241" s="123"/>
      <c r="K241" s="97"/>
      <c r="L241" s="97"/>
      <c r="M241" s="66"/>
      <c r="N241" s="97"/>
      <c r="O241" s="97"/>
      <c r="P241" s="97"/>
      <c r="Q241" s="97"/>
      <c r="R241" s="97"/>
      <c r="S241" s="97"/>
      <c r="T241" s="97"/>
      <c r="U241" s="97"/>
      <c r="V241" s="97"/>
      <c r="W241" s="97"/>
      <c r="X241" s="97"/>
      <c r="Y241" s="97"/>
      <c r="Z241" s="97"/>
      <c r="AA241" s="97"/>
      <c r="AB241" s="97"/>
      <c r="AC241" s="97"/>
      <c r="AD241" s="97"/>
      <c r="AE241" s="97"/>
    </row>
    <row r="242" ht="14.25" customHeight="1">
      <c r="A242" s="59"/>
      <c r="B242" s="97"/>
      <c r="C242" s="97"/>
      <c r="D242" s="97"/>
      <c r="E242" s="97"/>
      <c r="F242" s="97"/>
      <c r="G242" s="97"/>
      <c r="H242" s="99"/>
      <c r="I242" s="123"/>
      <c r="J242" s="123"/>
      <c r="K242" s="97"/>
      <c r="L242" s="97"/>
      <c r="M242" s="66"/>
      <c r="N242" s="97"/>
      <c r="O242" s="97"/>
      <c r="P242" s="97"/>
      <c r="Q242" s="97"/>
      <c r="R242" s="97"/>
      <c r="S242" s="97"/>
      <c r="T242" s="97"/>
      <c r="U242" s="97"/>
      <c r="V242" s="97"/>
      <c r="W242" s="97"/>
      <c r="X242" s="97"/>
      <c r="Y242" s="97"/>
      <c r="Z242" s="97"/>
      <c r="AA242" s="97"/>
      <c r="AB242" s="97"/>
      <c r="AC242" s="97"/>
      <c r="AD242" s="97"/>
      <c r="AE242" s="97"/>
    </row>
    <row r="243" ht="14.25" customHeight="1">
      <c r="A243" s="59"/>
      <c r="B243" s="97"/>
      <c r="C243" s="97"/>
      <c r="D243" s="97"/>
      <c r="E243" s="97"/>
      <c r="F243" s="97"/>
      <c r="G243" s="97"/>
      <c r="H243" s="99"/>
      <c r="I243" s="123"/>
      <c r="J243" s="123"/>
      <c r="K243" s="97"/>
      <c r="L243" s="97"/>
      <c r="M243" s="66"/>
      <c r="N243" s="97"/>
      <c r="O243" s="97"/>
      <c r="P243" s="97"/>
      <c r="Q243" s="97"/>
      <c r="R243" s="97"/>
      <c r="S243" s="97"/>
      <c r="T243" s="97"/>
      <c r="U243" s="97"/>
      <c r="V243" s="97"/>
      <c r="W243" s="97"/>
      <c r="X243" s="97"/>
      <c r="Y243" s="97"/>
      <c r="Z243" s="97"/>
      <c r="AA243" s="97"/>
      <c r="AB243" s="97"/>
      <c r="AC243" s="97"/>
      <c r="AD243" s="97"/>
      <c r="AE243" s="97"/>
    </row>
    <row r="244" ht="14.25" customHeight="1">
      <c r="A244" s="59"/>
      <c r="B244" s="97"/>
      <c r="C244" s="97"/>
      <c r="D244" s="97"/>
      <c r="E244" s="97"/>
      <c r="F244" s="97"/>
      <c r="G244" s="97"/>
      <c r="H244" s="99"/>
      <c r="I244" s="123"/>
      <c r="J244" s="123"/>
      <c r="K244" s="97"/>
      <c r="L244" s="97"/>
      <c r="M244" s="66"/>
      <c r="N244" s="97"/>
      <c r="O244" s="97"/>
      <c r="P244" s="97"/>
      <c r="Q244" s="97"/>
      <c r="R244" s="97"/>
      <c r="S244" s="97"/>
      <c r="T244" s="97"/>
      <c r="U244" s="97"/>
      <c r="V244" s="97"/>
      <c r="W244" s="97"/>
      <c r="X244" s="97"/>
      <c r="Y244" s="97"/>
      <c r="Z244" s="97"/>
      <c r="AA244" s="97"/>
      <c r="AB244" s="97"/>
      <c r="AC244" s="97"/>
      <c r="AD244" s="97"/>
      <c r="AE244" s="97"/>
    </row>
    <row r="245" ht="14.25" customHeight="1">
      <c r="A245" s="59"/>
      <c r="B245" s="97"/>
      <c r="C245" s="97"/>
      <c r="D245" s="97"/>
      <c r="E245" s="97"/>
      <c r="F245" s="97"/>
      <c r="G245" s="97"/>
      <c r="H245" s="99"/>
      <c r="I245" s="123"/>
      <c r="J245" s="123"/>
      <c r="K245" s="97"/>
      <c r="L245" s="97"/>
      <c r="M245" s="66"/>
      <c r="N245" s="97"/>
      <c r="O245" s="97"/>
      <c r="P245" s="97"/>
      <c r="Q245" s="97"/>
      <c r="R245" s="97"/>
      <c r="S245" s="97"/>
      <c r="T245" s="97"/>
      <c r="U245" s="97"/>
      <c r="V245" s="97"/>
      <c r="W245" s="97"/>
      <c r="X245" s="97"/>
      <c r="Y245" s="97"/>
      <c r="Z245" s="97"/>
      <c r="AA245" s="97"/>
      <c r="AB245" s="97"/>
      <c r="AC245" s="97"/>
      <c r="AD245" s="97"/>
      <c r="AE245" s="97"/>
    </row>
    <row r="246" ht="14.25" customHeight="1">
      <c r="A246" s="59"/>
      <c r="B246" s="97"/>
      <c r="C246" s="97"/>
      <c r="D246" s="97"/>
      <c r="E246" s="97"/>
      <c r="F246" s="97"/>
      <c r="G246" s="97"/>
      <c r="H246" s="99"/>
      <c r="I246" s="123"/>
      <c r="J246" s="123"/>
      <c r="K246" s="97"/>
      <c r="L246" s="97"/>
      <c r="M246" s="66"/>
      <c r="N246" s="97"/>
      <c r="O246" s="97"/>
      <c r="P246" s="97"/>
      <c r="Q246" s="97"/>
      <c r="R246" s="97"/>
      <c r="S246" s="97"/>
      <c r="T246" s="97"/>
      <c r="U246" s="97"/>
      <c r="V246" s="97"/>
      <c r="W246" s="97"/>
      <c r="X246" s="97"/>
      <c r="Y246" s="97"/>
      <c r="Z246" s="97"/>
      <c r="AA246" s="97"/>
      <c r="AB246" s="97"/>
      <c r="AC246" s="97"/>
      <c r="AD246" s="97"/>
      <c r="AE246" s="97"/>
    </row>
    <row r="247" ht="14.25" customHeight="1">
      <c r="A247" s="59"/>
      <c r="B247" s="97"/>
      <c r="C247" s="97"/>
      <c r="D247" s="97"/>
      <c r="E247" s="97"/>
      <c r="F247" s="97"/>
      <c r="G247" s="97"/>
      <c r="H247" s="99"/>
      <c r="I247" s="123"/>
      <c r="J247" s="123"/>
      <c r="K247" s="97"/>
      <c r="L247" s="97"/>
      <c r="M247" s="66"/>
      <c r="N247" s="97"/>
      <c r="O247" s="97"/>
      <c r="P247" s="97"/>
      <c r="Q247" s="97"/>
      <c r="R247" s="97"/>
      <c r="S247" s="97"/>
      <c r="T247" s="97"/>
      <c r="U247" s="97"/>
      <c r="V247" s="97"/>
      <c r="W247" s="97"/>
      <c r="X247" s="97"/>
      <c r="Y247" s="97"/>
      <c r="Z247" s="97"/>
      <c r="AA247" s="97"/>
      <c r="AB247" s="97"/>
      <c r="AC247" s="97"/>
      <c r="AD247" s="97"/>
      <c r="AE247" s="97"/>
    </row>
    <row r="248" ht="14.25" customHeight="1">
      <c r="A248" s="59"/>
      <c r="B248" s="97"/>
      <c r="C248" s="97"/>
      <c r="D248" s="97"/>
      <c r="E248" s="97"/>
      <c r="F248" s="97"/>
      <c r="G248" s="97"/>
      <c r="H248" s="99"/>
      <c r="I248" s="123"/>
      <c r="J248" s="123"/>
      <c r="K248" s="97"/>
      <c r="L248" s="97"/>
      <c r="M248" s="66"/>
      <c r="N248" s="97"/>
      <c r="O248" s="97"/>
      <c r="P248" s="97"/>
      <c r="Q248" s="97"/>
      <c r="R248" s="97"/>
      <c r="S248" s="97"/>
      <c r="T248" s="97"/>
      <c r="U248" s="97"/>
      <c r="V248" s="97"/>
      <c r="W248" s="97"/>
      <c r="X248" s="97"/>
      <c r="Y248" s="97"/>
      <c r="Z248" s="97"/>
      <c r="AA248" s="97"/>
      <c r="AB248" s="97"/>
      <c r="AC248" s="97"/>
      <c r="AD248" s="97"/>
      <c r="AE248" s="97"/>
    </row>
    <row r="249" ht="14.25" customHeight="1">
      <c r="A249" s="59"/>
      <c r="B249" s="97"/>
      <c r="C249" s="97"/>
      <c r="D249" s="97"/>
      <c r="E249" s="97"/>
      <c r="F249" s="97"/>
      <c r="G249" s="97"/>
      <c r="H249" s="99"/>
      <c r="I249" s="123"/>
      <c r="J249" s="123"/>
      <c r="K249" s="97"/>
      <c r="L249" s="97"/>
      <c r="M249" s="66"/>
      <c r="N249" s="97"/>
      <c r="O249" s="97"/>
      <c r="P249" s="97"/>
      <c r="Q249" s="97"/>
      <c r="R249" s="97"/>
      <c r="S249" s="97"/>
      <c r="T249" s="97"/>
      <c r="U249" s="97"/>
      <c r="V249" s="97"/>
      <c r="W249" s="97"/>
      <c r="X249" s="97"/>
      <c r="Y249" s="97"/>
      <c r="Z249" s="97"/>
      <c r="AA249" s="97"/>
      <c r="AB249" s="97"/>
      <c r="AC249" s="97"/>
      <c r="AD249" s="97"/>
      <c r="AE249" s="97"/>
    </row>
    <row r="250" ht="14.25" customHeight="1">
      <c r="A250" s="59"/>
      <c r="B250" s="97"/>
      <c r="C250" s="97"/>
      <c r="D250" s="97"/>
      <c r="E250" s="97"/>
      <c r="F250" s="97"/>
      <c r="G250" s="97"/>
      <c r="H250" s="99"/>
      <c r="I250" s="123"/>
      <c r="J250" s="123"/>
      <c r="K250" s="97"/>
      <c r="L250" s="97"/>
      <c r="M250" s="66"/>
      <c r="N250" s="97"/>
      <c r="O250" s="97"/>
      <c r="P250" s="97"/>
      <c r="Q250" s="97"/>
      <c r="R250" s="97"/>
      <c r="S250" s="97"/>
      <c r="T250" s="97"/>
      <c r="U250" s="97"/>
      <c r="V250" s="97"/>
      <c r="W250" s="97"/>
      <c r="X250" s="97"/>
      <c r="Y250" s="97"/>
      <c r="Z250" s="97"/>
      <c r="AA250" s="97"/>
      <c r="AB250" s="97"/>
      <c r="AC250" s="97"/>
      <c r="AD250" s="97"/>
      <c r="AE250" s="97"/>
    </row>
    <row r="251" ht="14.25" customHeight="1">
      <c r="A251" s="59"/>
      <c r="B251" s="97"/>
      <c r="C251" s="97"/>
      <c r="D251" s="97"/>
      <c r="E251" s="97"/>
      <c r="F251" s="97"/>
      <c r="G251" s="97"/>
      <c r="H251" s="99"/>
      <c r="I251" s="123"/>
      <c r="J251" s="123"/>
      <c r="K251" s="97"/>
      <c r="L251" s="97"/>
      <c r="M251" s="66"/>
      <c r="N251" s="97"/>
      <c r="O251" s="97"/>
      <c r="P251" s="97"/>
      <c r="Q251" s="97"/>
      <c r="R251" s="97"/>
      <c r="S251" s="97"/>
      <c r="T251" s="97"/>
      <c r="U251" s="97"/>
      <c r="V251" s="97"/>
      <c r="W251" s="97"/>
      <c r="X251" s="97"/>
      <c r="Y251" s="97"/>
      <c r="Z251" s="97"/>
      <c r="AA251" s="97"/>
      <c r="AB251" s="97"/>
      <c r="AC251" s="97"/>
      <c r="AD251" s="97"/>
      <c r="AE251" s="97"/>
    </row>
    <row r="252" ht="14.25" customHeight="1">
      <c r="A252" s="59"/>
      <c r="B252" s="97"/>
      <c r="C252" s="97"/>
      <c r="D252" s="97"/>
      <c r="E252" s="97"/>
      <c r="F252" s="97"/>
      <c r="G252" s="97"/>
      <c r="H252" s="99"/>
      <c r="I252" s="123"/>
      <c r="J252" s="123"/>
      <c r="K252" s="97"/>
      <c r="L252" s="97"/>
      <c r="M252" s="66"/>
      <c r="N252" s="97"/>
      <c r="O252" s="97"/>
      <c r="P252" s="97"/>
      <c r="Q252" s="97"/>
      <c r="R252" s="97"/>
      <c r="S252" s="97"/>
      <c r="T252" s="97"/>
      <c r="U252" s="97"/>
      <c r="V252" s="97"/>
      <c r="W252" s="97"/>
      <c r="X252" s="97"/>
      <c r="Y252" s="97"/>
      <c r="Z252" s="97"/>
      <c r="AA252" s="97"/>
      <c r="AB252" s="97"/>
      <c r="AC252" s="97"/>
      <c r="AD252" s="97"/>
      <c r="AE252" s="97"/>
    </row>
    <row r="253" ht="14.25" customHeight="1">
      <c r="A253" s="59"/>
      <c r="B253" s="97"/>
      <c r="C253" s="97"/>
      <c r="D253" s="97"/>
      <c r="E253" s="97"/>
      <c r="F253" s="97"/>
      <c r="G253" s="97"/>
      <c r="H253" s="99"/>
      <c r="I253" s="123"/>
      <c r="J253" s="123"/>
      <c r="K253" s="97"/>
      <c r="L253" s="97"/>
      <c r="M253" s="66"/>
      <c r="N253" s="97"/>
      <c r="O253" s="97"/>
      <c r="P253" s="97"/>
      <c r="Q253" s="97"/>
      <c r="R253" s="97"/>
      <c r="S253" s="97"/>
      <c r="T253" s="97"/>
      <c r="U253" s="97"/>
      <c r="V253" s="97"/>
      <c r="W253" s="97"/>
      <c r="X253" s="97"/>
      <c r="Y253" s="97"/>
      <c r="Z253" s="97"/>
      <c r="AA253" s="97"/>
      <c r="AB253" s="97"/>
      <c r="AC253" s="97"/>
      <c r="AD253" s="97"/>
      <c r="AE253" s="97"/>
    </row>
    <row r="254" ht="14.25" customHeight="1">
      <c r="A254" s="59"/>
      <c r="B254" s="97"/>
      <c r="C254" s="97"/>
      <c r="D254" s="97"/>
      <c r="E254" s="97"/>
      <c r="F254" s="97"/>
      <c r="G254" s="97"/>
      <c r="H254" s="99"/>
      <c r="I254" s="123"/>
      <c r="J254" s="123"/>
      <c r="K254" s="97"/>
      <c r="L254" s="97"/>
      <c r="M254" s="66"/>
      <c r="N254" s="97"/>
      <c r="O254" s="97"/>
      <c r="P254" s="97"/>
      <c r="Q254" s="97"/>
      <c r="R254" s="97"/>
      <c r="S254" s="97"/>
      <c r="T254" s="97"/>
      <c r="U254" s="97"/>
      <c r="V254" s="97"/>
      <c r="W254" s="97"/>
      <c r="X254" s="97"/>
      <c r="Y254" s="97"/>
      <c r="Z254" s="97"/>
      <c r="AA254" s="97"/>
      <c r="AB254" s="97"/>
      <c r="AC254" s="97"/>
      <c r="AD254" s="97"/>
      <c r="AE254" s="97"/>
    </row>
    <row r="255" ht="14.25" customHeight="1">
      <c r="A255" s="59"/>
      <c r="B255" s="97"/>
      <c r="C255" s="97"/>
      <c r="D255" s="97"/>
      <c r="E255" s="97"/>
      <c r="F255" s="97"/>
      <c r="G255" s="97"/>
      <c r="H255" s="99"/>
      <c r="I255" s="123"/>
      <c r="J255" s="123"/>
      <c r="K255" s="97"/>
      <c r="L255" s="97"/>
      <c r="M255" s="66"/>
      <c r="N255" s="97"/>
      <c r="O255" s="97"/>
      <c r="P255" s="97"/>
      <c r="Q255" s="97"/>
      <c r="R255" s="97"/>
      <c r="S255" s="97"/>
      <c r="T255" s="97"/>
      <c r="U255" s="97"/>
      <c r="V255" s="97"/>
      <c r="W255" s="97"/>
      <c r="X255" s="97"/>
      <c r="Y255" s="97"/>
      <c r="Z255" s="97"/>
      <c r="AA255" s="97"/>
      <c r="AB255" s="97"/>
      <c r="AC255" s="97"/>
      <c r="AD255" s="97"/>
      <c r="AE255" s="97"/>
    </row>
    <row r="256" ht="14.25" customHeight="1">
      <c r="A256" s="59"/>
      <c r="B256" s="97"/>
      <c r="C256" s="97"/>
      <c r="D256" s="97"/>
      <c r="E256" s="97"/>
      <c r="F256" s="97"/>
      <c r="G256" s="97"/>
      <c r="H256" s="99"/>
      <c r="I256" s="123"/>
      <c r="J256" s="123"/>
      <c r="K256" s="97"/>
      <c r="L256" s="97"/>
      <c r="M256" s="66"/>
      <c r="N256" s="97"/>
      <c r="O256" s="97"/>
      <c r="P256" s="97"/>
      <c r="Q256" s="97"/>
      <c r="R256" s="97"/>
      <c r="S256" s="97"/>
      <c r="T256" s="97"/>
      <c r="U256" s="97"/>
      <c r="V256" s="97"/>
      <c r="W256" s="97"/>
      <c r="X256" s="97"/>
      <c r="Y256" s="97"/>
      <c r="Z256" s="97"/>
      <c r="AA256" s="97"/>
      <c r="AB256" s="97"/>
      <c r="AC256" s="97"/>
      <c r="AD256" s="97"/>
      <c r="AE256" s="97"/>
    </row>
    <row r="257" ht="14.25" customHeight="1">
      <c r="A257" s="59"/>
      <c r="B257" s="97"/>
      <c r="C257" s="97"/>
      <c r="D257" s="97"/>
      <c r="E257" s="97"/>
      <c r="F257" s="97"/>
      <c r="G257" s="97"/>
      <c r="H257" s="99"/>
      <c r="I257" s="123"/>
      <c r="J257" s="123"/>
      <c r="K257" s="97"/>
      <c r="L257" s="97"/>
      <c r="M257" s="66"/>
      <c r="N257" s="97"/>
      <c r="O257" s="97"/>
      <c r="P257" s="97"/>
      <c r="Q257" s="97"/>
      <c r="R257" s="97"/>
      <c r="S257" s="97"/>
      <c r="T257" s="97"/>
      <c r="U257" s="97"/>
      <c r="V257" s="97"/>
      <c r="W257" s="97"/>
      <c r="X257" s="97"/>
      <c r="Y257" s="97"/>
      <c r="Z257" s="97"/>
      <c r="AA257" s="97"/>
      <c r="AB257" s="97"/>
      <c r="AC257" s="97"/>
      <c r="AD257" s="97"/>
      <c r="AE257" s="97"/>
    </row>
    <row r="258" ht="14.25" customHeight="1">
      <c r="A258" s="59"/>
      <c r="B258" s="97"/>
      <c r="C258" s="97"/>
      <c r="D258" s="97"/>
      <c r="E258" s="97"/>
      <c r="F258" s="97"/>
      <c r="G258" s="97"/>
      <c r="H258" s="99"/>
      <c r="I258" s="123"/>
      <c r="J258" s="123"/>
      <c r="K258" s="97"/>
      <c r="L258" s="97"/>
      <c r="M258" s="66"/>
      <c r="N258" s="97"/>
      <c r="O258" s="97"/>
      <c r="P258" s="97"/>
      <c r="Q258" s="97"/>
      <c r="R258" s="97"/>
      <c r="S258" s="97"/>
      <c r="T258" s="97"/>
      <c r="U258" s="97"/>
      <c r="V258" s="97"/>
      <c r="W258" s="97"/>
      <c r="X258" s="97"/>
      <c r="Y258" s="97"/>
      <c r="Z258" s="97"/>
      <c r="AA258" s="97"/>
      <c r="AB258" s="97"/>
      <c r="AC258" s="97"/>
      <c r="AD258" s="97"/>
      <c r="AE258" s="97"/>
    </row>
    <row r="259" ht="14.25" customHeight="1">
      <c r="A259" s="59"/>
      <c r="B259" s="97"/>
      <c r="C259" s="97"/>
      <c r="D259" s="97"/>
      <c r="E259" s="97"/>
      <c r="F259" s="97"/>
      <c r="G259" s="97"/>
      <c r="H259" s="99"/>
      <c r="I259" s="123"/>
      <c r="J259" s="123"/>
      <c r="K259" s="97"/>
      <c r="L259" s="97"/>
      <c r="M259" s="66"/>
      <c r="N259" s="97"/>
      <c r="O259" s="97"/>
      <c r="P259" s="97"/>
      <c r="Q259" s="97"/>
      <c r="R259" s="97"/>
      <c r="S259" s="97"/>
      <c r="T259" s="97"/>
      <c r="U259" s="97"/>
      <c r="V259" s="97"/>
      <c r="W259" s="97"/>
      <c r="X259" s="97"/>
      <c r="Y259" s="97"/>
      <c r="Z259" s="97"/>
      <c r="AA259" s="97"/>
      <c r="AB259" s="97"/>
      <c r="AC259" s="97"/>
      <c r="AD259" s="97"/>
      <c r="AE259" s="97"/>
    </row>
    <row r="260" ht="14.25" customHeight="1">
      <c r="A260" s="59"/>
      <c r="B260" s="97"/>
      <c r="C260" s="97"/>
      <c r="D260" s="97"/>
      <c r="E260" s="97"/>
      <c r="F260" s="97"/>
      <c r="G260" s="97"/>
      <c r="H260" s="99"/>
      <c r="I260" s="123"/>
      <c r="J260" s="123"/>
      <c r="K260" s="97"/>
      <c r="L260" s="97"/>
      <c r="M260" s="66"/>
      <c r="N260" s="97"/>
      <c r="O260" s="97"/>
      <c r="P260" s="97"/>
      <c r="Q260" s="97"/>
      <c r="R260" s="97"/>
      <c r="S260" s="97"/>
      <c r="T260" s="97"/>
      <c r="U260" s="97"/>
      <c r="V260" s="97"/>
      <c r="W260" s="97"/>
      <c r="X260" s="97"/>
      <c r="Y260" s="97"/>
      <c r="Z260" s="97"/>
      <c r="AA260" s="97"/>
      <c r="AB260" s="97"/>
      <c r="AC260" s="97"/>
      <c r="AD260" s="97"/>
      <c r="AE260" s="97"/>
    </row>
    <row r="261" ht="14.25" customHeight="1">
      <c r="A261" s="59"/>
      <c r="B261" s="97"/>
      <c r="C261" s="97"/>
      <c r="D261" s="97"/>
      <c r="E261" s="97"/>
      <c r="F261" s="97"/>
      <c r="G261" s="97"/>
      <c r="H261" s="99"/>
      <c r="I261" s="123"/>
      <c r="J261" s="123"/>
      <c r="K261" s="97"/>
      <c r="L261" s="97"/>
      <c r="M261" s="66"/>
      <c r="N261" s="97"/>
      <c r="O261" s="97"/>
      <c r="P261" s="97"/>
      <c r="Q261" s="97"/>
      <c r="R261" s="97"/>
      <c r="S261" s="97"/>
      <c r="T261" s="97"/>
      <c r="U261" s="97"/>
      <c r="V261" s="97"/>
      <c r="W261" s="97"/>
      <c r="X261" s="97"/>
      <c r="Y261" s="97"/>
      <c r="Z261" s="97"/>
      <c r="AA261" s="97"/>
      <c r="AB261" s="97"/>
      <c r="AC261" s="97"/>
      <c r="AD261" s="97"/>
      <c r="AE261" s="97"/>
    </row>
    <row r="262" ht="14.25" customHeight="1">
      <c r="A262" s="59"/>
      <c r="B262" s="97"/>
      <c r="C262" s="97"/>
      <c r="D262" s="97"/>
      <c r="E262" s="97"/>
      <c r="F262" s="97"/>
      <c r="G262" s="97"/>
      <c r="H262" s="99"/>
      <c r="I262" s="123"/>
      <c r="J262" s="123"/>
      <c r="K262" s="97"/>
      <c r="L262" s="97"/>
      <c r="M262" s="66"/>
      <c r="N262" s="97"/>
      <c r="O262" s="97"/>
      <c r="P262" s="97"/>
      <c r="Q262" s="97"/>
      <c r="R262" s="97"/>
      <c r="S262" s="97"/>
      <c r="T262" s="97"/>
      <c r="U262" s="97"/>
      <c r="V262" s="97"/>
      <c r="W262" s="97"/>
      <c r="X262" s="97"/>
      <c r="Y262" s="97"/>
      <c r="Z262" s="97"/>
      <c r="AA262" s="97"/>
      <c r="AB262" s="97"/>
      <c r="AC262" s="97"/>
      <c r="AD262" s="97"/>
      <c r="AE262" s="97"/>
    </row>
    <row r="263" ht="14.25" customHeight="1">
      <c r="A263" s="59"/>
      <c r="B263" s="97"/>
      <c r="C263" s="97"/>
      <c r="D263" s="97"/>
      <c r="E263" s="97"/>
      <c r="F263" s="97"/>
      <c r="G263" s="97"/>
      <c r="H263" s="99"/>
      <c r="I263" s="123"/>
      <c r="J263" s="123"/>
      <c r="K263" s="97"/>
      <c r="L263" s="97"/>
      <c r="M263" s="66"/>
      <c r="N263" s="97"/>
      <c r="O263" s="97"/>
      <c r="P263" s="97"/>
      <c r="Q263" s="97"/>
      <c r="R263" s="97"/>
      <c r="S263" s="97"/>
      <c r="T263" s="97"/>
      <c r="U263" s="97"/>
      <c r="V263" s="97"/>
      <c r="W263" s="97"/>
      <c r="X263" s="97"/>
      <c r="Y263" s="97"/>
      <c r="Z263" s="97"/>
      <c r="AA263" s="97"/>
      <c r="AB263" s="97"/>
      <c r="AC263" s="97"/>
      <c r="AD263" s="97"/>
      <c r="AE263" s="97"/>
    </row>
    <row r="264" ht="14.25" customHeight="1">
      <c r="A264" s="59"/>
      <c r="B264" s="97"/>
      <c r="C264" s="97"/>
      <c r="D264" s="97"/>
      <c r="E264" s="97"/>
      <c r="F264" s="97"/>
      <c r="G264" s="97"/>
      <c r="H264" s="99"/>
      <c r="I264" s="123"/>
      <c r="J264" s="123"/>
      <c r="K264" s="97"/>
      <c r="L264" s="97"/>
      <c r="M264" s="66"/>
      <c r="N264" s="97"/>
      <c r="O264" s="97"/>
      <c r="P264" s="97"/>
      <c r="Q264" s="97"/>
      <c r="R264" s="97"/>
      <c r="S264" s="97"/>
      <c r="T264" s="97"/>
      <c r="U264" s="97"/>
      <c r="V264" s="97"/>
      <c r="W264" s="97"/>
      <c r="X264" s="97"/>
      <c r="Y264" s="97"/>
      <c r="Z264" s="97"/>
      <c r="AA264" s="97"/>
      <c r="AB264" s="97"/>
      <c r="AC264" s="97"/>
      <c r="AD264" s="97"/>
      <c r="AE264" s="97"/>
    </row>
    <row r="265" ht="14.25" customHeight="1">
      <c r="A265" s="59"/>
      <c r="B265" s="97"/>
      <c r="C265" s="97"/>
      <c r="D265" s="97"/>
      <c r="E265" s="97"/>
      <c r="F265" s="97"/>
      <c r="G265" s="97"/>
      <c r="H265" s="99"/>
      <c r="I265" s="123"/>
      <c r="J265" s="123"/>
      <c r="K265" s="97"/>
      <c r="L265" s="97"/>
      <c r="M265" s="66"/>
      <c r="N265" s="97"/>
      <c r="O265" s="97"/>
      <c r="P265" s="97"/>
      <c r="Q265" s="97"/>
      <c r="R265" s="97"/>
      <c r="S265" s="97"/>
      <c r="T265" s="97"/>
      <c r="U265" s="97"/>
      <c r="V265" s="97"/>
      <c r="W265" s="97"/>
      <c r="X265" s="97"/>
      <c r="Y265" s="97"/>
      <c r="Z265" s="97"/>
      <c r="AA265" s="97"/>
      <c r="AB265" s="97"/>
      <c r="AC265" s="97"/>
      <c r="AD265" s="97"/>
      <c r="AE265" s="97"/>
    </row>
    <row r="266" ht="14.25" customHeight="1">
      <c r="A266" s="59"/>
      <c r="B266" s="97"/>
      <c r="C266" s="97"/>
      <c r="D266" s="97"/>
      <c r="E266" s="97"/>
      <c r="F266" s="97"/>
      <c r="G266" s="97"/>
      <c r="H266" s="99"/>
      <c r="I266" s="123"/>
      <c r="J266" s="123"/>
      <c r="K266" s="97"/>
      <c r="L266" s="97"/>
      <c r="M266" s="66"/>
      <c r="N266" s="97"/>
      <c r="O266" s="97"/>
      <c r="P266" s="97"/>
      <c r="Q266" s="97"/>
      <c r="R266" s="97"/>
      <c r="S266" s="97"/>
      <c r="T266" s="97"/>
      <c r="U266" s="97"/>
      <c r="V266" s="97"/>
      <c r="W266" s="97"/>
      <c r="X266" s="97"/>
      <c r="Y266" s="97"/>
      <c r="Z266" s="97"/>
      <c r="AA266" s="97"/>
      <c r="AB266" s="97"/>
      <c r="AC266" s="97"/>
      <c r="AD266" s="97"/>
      <c r="AE266" s="97"/>
    </row>
    <row r="267" ht="14.25" customHeight="1">
      <c r="A267" s="59"/>
      <c r="B267" s="97"/>
      <c r="C267" s="97"/>
      <c r="D267" s="97"/>
      <c r="E267" s="97"/>
      <c r="F267" s="97"/>
      <c r="G267" s="97"/>
      <c r="H267" s="99"/>
      <c r="I267" s="123"/>
      <c r="J267" s="123"/>
      <c r="K267" s="97"/>
      <c r="L267" s="97"/>
      <c r="M267" s="66"/>
      <c r="N267" s="97"/>
      <c r="O267" s="97"/>
      <c r="P267" s="97"/>
      <c r="Q267" s="97"/>
      <c r="R267" s="97"/>
      <c r="S267" s="97"/>
      <c r="T267" s="97"/>
      <c r="U267" s="97"/>
      <c r="V267" s="97"/>
      <c r="W267" s="97"/>
      <c r="X267" s="97"/>
      <c r="Y267" s="97"/>
      <c r="Z267" s="97"/>
      <c r="AA267" s="97"/>
      <c r="AB267" s="97"/>
      <c r="AC267" s="97"/>
      <c r="AD267" s="97"/>
      <c r="AE267" s="97"/>
    </row>
    <row r="268" ht="14.25" customHeight="1">
      <c r="A268" s="59"/>
      <c r="B268" s="97"/>
      <c r="C268" s="97"/>
      <c r="D268" s="97"/>
      <c r="E268" s="97"/>
      <c r="F268" s="97"/>
      <c r="G268" s="97"/>
      <c r="H268" s="99"/>
      <c r="I268" s="123"/>
      <c r="J268" s="123"/>
      <c r="K268" s="97"/>
      <c r="L268" s="97"/>
      <c r="M268" s="66"/>
      <c r="N268" s="97"/>
      <c r="O268" s="97"/>
      <c r="P268" s="97"/>
      <c r="Q268" s="97"/>
      <c r="R268" s="97"/>
      <c r="S268" s="97"/>
      <c r="T268" s="97"/>
      <c r="U268" s="97"/>
      <c r="V268" s="97"/>
      <c r="W268" s="97"/>
      <c r="X268" s="97"/>
      <c r="Y268" s="97"/>
      <c r="Z268" s="97"/>
      <c r="AA268" s="97"/>
      <c r="AB268" s="97"/>
      <c r="AC268" s="97"/>
      <c r="AD268" s="97"/>
      <c r="AE268" s="97"/>
    </row>
    <row r="269" ht="14.25" customHeight="1">
      <c r="A269" s="59"/>
      <c r="B269" s="97"/>
      <c r="C269" s="97"/>
      <c r="D269" s="97"/>
      <c r="E269" s="97"/>
      <c r="F269" s="97"/>
      <c r="G269" s="97"/>
      <c r="H269" s="99"/>
      <c r="I269" s="123"/>
      <c r="J269" s="123"/>
      <c r="K269" s="97"/>
      <c r="L269" s="97"/>
      <c r="M269" s="66"/>
      <c r="N269" s="97"/>
      <c r="O269" s="97"/>
      <c r="P269" s="97"/>
      <c r="Q269" s="97"/>
      <c r="R269" s="97"/>
      <c r="S269" s="97"/>
      <c r="T269" s="97"/>
      <c r="U269" s="97"/>
      <c r="V269" s="97"/>
      <c r="W269" s="97"/>
      <c r="X269" s="97"/>
      <c r="Y269" s="97"/>
      <c r="Z269" s="97"/>
      <c r="AA269" s="97"/>
      <c r="AB269" s="97"/>
      <c r="AC269" s="97"/>
      <c r="AD269" s="97"/>
      <c r="AE269" s="97"/>
    </row>
    <row r="270" ht="14.25" customHeight="1">
      <c r="A270" s="59"/>
      <c r="B270" s="97"/>
      <c r="C270" s="97"/>
      <c r="D270" s="97"/>
      <c r="E270" s="97"/>
      <c r="F270" s="97"/>
      <c r="G270" s="97"/>
      <c r="H270" s="99"/>
      <c r="I270" s="123"/>
      <c r="J270" s="123"/>
      <c r="K270" s="97"/>
      <c r="L270" s="97"/>
      <c r="M270" s="66"/>
      <c r="N270" s="97"/>
      <c r="O270" s="97"/>
      <c r="P270" s="97"/>
      <c r="Q270" s="97"/>
      <c r="R270" s="97"/>
      <c r="S270" s="97"/>
      <c r="T270" s="97"/>
      <c r="U270" s="97"/>
      <c r="V270" s="97"/>
      <c r="W270" s="97"/>
      <c r="X270" s="97"/>
      <c r="Y270" s="97"/>
      <c r="Z270" s="97"/>
      <c r="AA270" s="97"/>
      <c r="AB270" s="97"/>
      <c r="AC270" s="97"/>
      <c r="AD270" s="97"/>
      <c r="AE270" s="97"/>
    </row>
    <row r="271" ht="14.25" customHeight="1">
      <c r="A271" s="59"/>
      <c r="B271" s="97"/>
      <c r="C271" s="97"/>
      <c r="D271" s="97"/>
      <c r="E271" s="97"/>
      <c r="F271" s="97"/>
      <c r="G271" s="97"/>
      <c r="H271" s="99"/>
      <c r="I271" s="123"/>
      <c r="J271" s="123"/>
      <c r="K271" s="97"/>
      <c r="L271" s="97"/>
      <c r="M271" s="66"/>
      <c r="N271" s="97"/>
      <c r="O271" s="97"/>
      <c r="P271" s="97"/>
      <c r="Q271" s="97"/>
      <c r="R271" s="97"/>
      <c r="S271" s="97"/>
      <c r="T271" s="97"/>
      <c r="U271" s="97"/>
      <c r="V271" s="97"/>
      <c r="W271" s="97"/>
      <c r="X271" s="97"/>
      <c r="Y271" s="97"/>
      <c r="Z271" s="97"/>
      <c r="AA271" s="97"/>
      <c r="AB271" s="97"/>
      <c r="AC271" s="97"/>
      <c r="AD271" s="97"/>
      <c r="AE271" s="97"/>
    </row>
    <row r="272" ht="14.25" customHeight="1">
      <c r="A272" s="59"/>
      <c r="B272" s="97"/>
      <c r="C272" s="97"/>
      <c r="D272" s="97"/>
      <c r="E272" s="97"/>
      <c r="F272" s="97"/>
      <c r="G272" s="97"/>
      <c r="H272" s="99"/>
      <c r="I272" s="123"/>
      <c r="J272" s="123"/>
      <c r="K272" s="97"/>
      <c r="L272" s="97"/>
      <c r="M272" s="66"/>
      <c r="N272" s="97"/>
      <c r="O272" s="97"/>
      <c r="P272" s="97"/>
      <c r="Q272" s="97"/>
      <c r="R272" s="97"/>
      <c r="S272" s="97"/>
      <c r="T272" s="97"/>
      <c r="U272" s="97"/>
      <c r="V272" s="97"/>
      <c r="W272" s="97"/>
      <c r="X272" s="97"/>
      <c r="Y272" s="97"/>
      <c r="Z272" s="97"/>
      <c r="AA272" s="97"/>
      <c r="AB272" s="97"/>
      <c r="AC272" s="97"/>
      <c r="AD272" s="97"/>
      <c r="AE272" s="97"/>
    </row>
    <row r="273" ht="14.25" customHeight="1">
      <c r="A273" s="59"/>
      <c r="B273" s="97"/>
      <c r="C273" s="97"/>
      <c r="D273" s="97"/>
      <c r="E273" s="97"/>
      <c r="F273" s="97"/>
      <c r="G273" s="97"/>
      <c r="H273" s="99"/>
      <c r="I273" s="123"/>
      <c r="J273" s="123"/>
      <c r="K273" s="97"/>
      <c r="L273" s="97"/>
      <c r="M273" s="66"/>
      <c r="N273" s="97"/>
      <c r="O273" s="97"/>
      <c r="P273" s="97"/>
      <c r="Q273" s="97"/>
      <c r="R273" s="97"/>
      <c r="S273" s="97"/>
      <c r="T273" s="97"/>
      <c r="U273" s="97"/>
      <c r="V273" s="97"/>
      <c r="W273" s="97"/>
      <c r="X273" s="97"/>
      <c r="Y273" s="97"/>
      <c r="Z273" s="97"/>
      <c r="AA273" s="97"/>
      <c r="AB273" s="97"/>
      <c r="AC273" s="97"/>
      <c r="AD273" s="97"/>
      <c r="AE273" s="97"/>
    </row>
    <row r="274" ht="14.25" customHeight="1">
      <c r="A274" s="59"/>
      <c r="B274" s="97"/>
      <c r="C274" s="97"/>
      <c r="D274" s="97"/>
      <c r="E274" s="97"/>
      <c r="F274" s="97"/>
      <c r="G274" s="97"/>
      <c r="H274" s="99"/>
      <c r="I274" s="123"/>
      <c r="J274" s="123"/>
      <c r="K274" s="97"/>
      <c r="L274" s="97"/>
      <c r="M274" s="66"/>
      <c r="N274" s="97"/>
      <c r="O274" s="97"/>
      <c r="P274" s="97"/>
      <c r="Q274" s="97"/>
      <c r="R274" s="97"/>
      <c r="S274" s="97"/>
      <c r="T274" s="97"/>
      <c r="U274" s="97"/>
      <c r="V274" s="97"/>
      <c r="W274" s="97"/>
      <c r="X274" s="97"/>
      <c r="Y274" s="97"/>
      <c r="Z274" s="97"/>
      <c r="AA274" s="97"/>
      <c r="AB274" s="97"/>
      <c r="AC274" s="97"/>
      <c r="AD274" s="97"/>
      <c r="AE274" s="97"/>
    </row>
    <row r="275" ht="14.25" customHeight="1">
      <c r="A275" s="59"/>
      <c r="B275" s="97"/>
      <c r="C275" s="97"/>
      <c r="D275" s="97"/>
      <c r="E275" s="97"/>
      <c r="F275" s="97"/>
      <c r="G275" s="97"/>
      <c r="H275" s="99"/>
      <c r="I275" s="123"/>
      <c r="J275" s="123"/>
      <c r="K275" s="97"/>
      <c r="L275" s="97"/>
      <c r="M275" s="66"/>
      <c r="N275" s="97"/>
      <c r="O275" s="97"/>
      <c r="P275" s="97"/>
      <c r="Q275" s="97"/>
      <c r="R275" s="97"/>
      <c r="S275" s="97"/>
      <c r="T275" s="97"/>
      <c r="U275" s="97"/>
      <c r="V275" s="97"/>
      <c r="W275" s="97"/>
      <c r="X275" s="97"/>
      <c r="Y275" s="97"/>
      <c r="Z275" s="97"/>
      <c r="AA275" s="97"/>
      <c r="AB275" s="97"/>
      <c r="AC275" s="97"/>
      <c r="AD275" s="97"/>
      <c r="AE275" s="97"/>
    </row>
    <row r="276" ht="14.25" customHeight="1">
      <c r="A276" s="59"/>
      <c r="B276" s="97"/>
      <c r="C276" s="97"/>
      <c r="D276" s="97"/>
      <c r="E276" s="97"/>
      <c r="F276" s="97"/>
      <c r="G276" s="97"/>
      <c r="H276" s="99"/>
      <c r="I276" s="123"/>
      <c r="J276" s="123"/>
      <c r="K276" s="97"/>
      <c r="L276" s="97"/>
      <c r="M276" s="66"/>
      <c r="N276" s="97"/>
      <c r="O276" s="97"/>
      <c r="P276" s="97"/>
      <c r="Q276" s="97"/>
      <c r="R276" s="97"/>
      <c r="S276" s="97"/>
      <c r="T276" s="97"/>
      <c r="U276" s="97"/>
      <c r="V276" s="97"/>
      <c r="W276" s="97"/>
      <c r="X276" s="97"/>
      <c r="Y276" s="97"/>
      <c r="Z276" s="97"/>
      <c r="AA276" s="97"/>
      <c r="AB276" s="97"/>
      <c r="AC276" s="97"/>
      <c r="AD276" s="97"/>
      <c r="AE276" s="97"/>
    </row>
    <row r="277" ht="14.25" customHeight="1">
      <c r="A277" s="59"/>
      <c r="B277" s="97"/>
      <c r="C277" s="97"/>
      <c r="D277" s="97"/>
      <c r="E277" s="97"/>
      <c r="F277" s="97"/>
      <c r="G277" s="97"/>
      <c r="H277" s="99"/>
      <c r="I277" s="123"/>
      <c r="J277" s="123"/>
      <c r="K277" s="97"/>
      <c r="L277" s="97"/>
      <c r="M277" s="66"/>
      <c r="N277" s="97"/>
      <c r="O277" s="97"/>
      <c r="P277" s="97"/>
      <c r="Q277" s="97"/>
      <c r="R277" s="97"/>
      <c r="S277" s="97"/>
      <c r="T277" s="97"/>
      <c r="U277" s="97"/>
      <c r="V277" s="97"/>
      <c r="W277" s="97"/>
      <c r="X277" s="97"/>
      <c r="Y277" s="97"/>
      <c r="Z277" s="97"/>
      <c r="AA277" s="97"/>
      <c r="AB277" s="97"/>
      <c r="AC277" s="97"/>
      <c r="AD277" s="97"/>
      <c r="AE277" s="97"/>
    </row>
    <row r="278" ht="14.25" customHeight="1">
      <c r="A278" s="59"/>
      <c r="B278" s="97"/>
      <c r="C278" s="97"/>
      <c r="D278" s="97"/>
      <c r="E278" s="97"/>
      <c r="F278" s="97"/>
      <c r="G278" s="97"/>
      <c r="H278" s="99"/>
      <c r="I278" s="123"/>
      <c r="J278" s="123"/>
      <c r="K278" s="97"/>
      <c r="L278" s="97"/>
      <c r="M278" s="66"/>
      <c r="N278" s="97"/>
      <c r="O278" s="97"/>
      <c r="P278" s="97"/>
      <c r="Q278" s="97"/>
      <c r="R278" s="97"/>
      <c r="S278" s="97"/>
      <c r="T278" s="97"/>
      <c r="U278" s="97"/>
      <c r="V278" s="97"/>
      <c r="W278" s="97"/>
      <c r="X278" s="97"/>
      <c r="Y278" s="97"/>
      <c r="Z278" s="97"/>
      <c r="AA278" s="97"/>
      <c r="AB278" s="97"/>
      <c r="AC278" s="97"/>
      <c r="AD278" s="97"/>
      <c r="AE278" s="97"/>
    </row>
    <row r="279" ht="14.25" customHeight="1">
      <c r="A279" s="59"/>
      <c r="B279" s="97"/>
      <c r="C279" s="97"/>
      <c r="D279" s="97"/>
      <c r="E279" s="97"/>
      <c r="F279" s="97"/>
      <c r="G279" s="97"/>
      <c r="H279" s="99"/>
      <c r="I279" s="123"/>
      <c r="J279" s="123"/>
      <c r="K279" s="97"/>
      <c r="L279" s="97"/>
      <c r="M279" s="66"/>
      <c r="N279" s="97"/>
      <c r="O279" s="97"/>
      <c r="P279" s="97"/>
      <c r="Q279" s="97"/>
      <c r="R279" s="97"/>
      <c r="S279" s="97"/>
      <c r="T279" s="97"/>
      <c r="U279" s="97"/>
      <c r="V279" s="97"/>
      <c r="W279" s="97"/>
      <c r="X279" s="97"/>
      <c r="Y279" s="97"/>
      <c r="Z279" s="97"/>
      <c r="AA279" s="97"/>
      <c r="AB279" s="97"/>
      <c r="AC279" s="97"/>
      <c r="AD279" s="97"/>
      <c r="AE279" s="97"/>
    </row>
    <row r="280" ht="14.25" customHeight="1">
      <c r="A280" s="59"/>
      <c r="B280" s="97"/>
      <c r="C280" s="97"/>
      <c r="D280" s="97"/>
      <c r="E280" s="97"/>
      <c r="F280" s="97"/>
      <c r="G280" s="97"/>
      <c r="H280" s="99"/>
      <c r="I280" s="123"/>
      <c r="J280" s="123"/>
      <c r="K280" s="97"/>
      <c r="L280" s="97"/>
      <c r="M280" s="66"/>
      <c r="N280" s="97"/>
      <c r="O280" s="97"/>
      <c r="P280" s="97"/>
      <c r="Q280" s="97"/>
      <c r="R280" s="97"/>
      <c r="S280" s="97"/>
      <c r="T280" s="97"/>
      <c r="U280" s="97"/>
      <c r="V280" s="97"/>
      <c r="W280" s="97"/>
      <c r="X280" s="97"/>
      <c r="Y280" s="97"/>
      <c r="Z280" s="97"/>
      <c r="AA280" s="97"/>
      <c r="AB280" s="97"/>
      <c r="AC280" s="97"/>
      <c r="AD280" s="97"/>
      <c r="AE280" s="97"/>
    </row>
    <row r="281" ht="14.25" customHeight="1">
      <c r="A281" s="59"/>
      <c r="B281" s="97"/>
      <c r="C281" s="97"/>
      <c r="D281" s="97"/>
      <c r="E281" s="97"/>
      <c r="F281" s="97"/>
      <c r="G281" s="97"/>
      <c r="H281" s="99"/>
      <c r="I281" s="123"/>
      <c r="J281" s="123"/>
      <c r="K281" s="97"/>
      <c r="L281" s="97"/>
      <c r="M281" s="66"/>
      <c r="N281" s="97"/>
      <c r="O281" s="97"/>
      <c r="P281" s="97"/>
      <c r="Q281" s="97"/>
      <c r="R281" s="97"/>
      <c r="S281" s="97"/>
      <c r="T281" s="97"/>
      <c r="U281" s="97"/>
      <c r="V281" s="97"/>
      <c r="W281" s="97"/>
      <c r="X281" s="97"/>
      <c r="Y281" s="97"/>
      <c r="Z281" s="97"/>
      <c r="AA281" s="97"/>
      <c r="AB281" s="97"/>
      <c r="AC281" s="97"/>
      <c r="AD281" s="97"/>
      <c r="AE281" s="97"/>
    </row>
    <row r="282" ht="14.25" customHeight="1">
      <c r="A282" s="59"/>
      <c r="B282" s="97"/>
      <c r="C282" s="97"/>
      <c r="D282" s="97"/>
      <c r="E282" s="97"/>
      <c r="F282" s="97"/>
      <c r="G282" s="97"/>
      <c r="H282" s="99"/>
      <c r="I282" s="123"/>
      <c r="J282" s="123"/>
      <c r="K282" s="97"/>
      <c r="L282" s="97"/>
      <c r="M282" s="66"/>
      <c r="N282" s="97"/>
      <c r="O282" s="97"/>
      <c r="P282" s="97"/>
      <c r="Q282" s="97"/>
      <c r="R282" s="97"/>
      <c r="S282" s="97"/>
      <c r="T282" s="97"/>
      <c r="U282" s="97"/>
      <c r="V282" s="97"/>
      <c r="W282" s="97"/>
      <c r="X282" s="97"/>
      <c r="Y282" s="97"/>
      <c r="Z282" s="97"/>
      <c r="AA282" s="97"/>
      <c r="AB282" s="97"/>
      <c r="AC282" s="97"/>
      <c r="AD282" s="97"/>
      <c r="AE282" s="97"/>
    </row>
    <row r="283" ht="14.25" customHeight="1">
      <c r="A283" s="59"/>
      <c r="B283" s="97"/>
      <c r="C283" s="97"/>
      <c r="D283" s="97"/>
      <c r="E283" s="97"/>
      <c r="F283" s="97"/>
      <c r="G283" s="97"/>
      <c r="H283" s="99"/>
      <c r="I283" s="123"/>
      <c r="J283" s="123"/>
      <c r="K283" s="97"/>
      <c r="L283" s="97"/>
      <c r="M283" s="66"/>
      <c r="N283" s="97"/>
      <c r="O283" s="97"/>
      <c r="P283" s="97"/>
      <c r="Q283" s="97"/>
      <c r="R283" s="97"/>
      <c r="S283" s="97"/>
      <c r="T283" s="97"/>
      <c r="U283" s="97"/>
      <c r="V283" s="97"/>
      <c r="W283" s="97"/>
      <c r="X283" s="97"/>
      <c r="Y283" s="97"/>
      <c r="Z283" s="97"/>
      <c r="AA283" s="97"/>
      <c r="AB283" s="97"/>
      <c r="AC283" s="97"/>
      <c r="AD283" s="97"/>
      <c r="AE283" s="97"/>
    </row>
    <row r="284" ht="14.25" customHeight="1">
      <c r="A284" s="59"/>
      <c r="B284" s="97"/>
      <c r="C284" s="97"/>
      <c r="D284" s="97"/>
      <c r="E284" s="97"/>
      <c r="F284" s="97"/>
      <c r="G284" s="97"/>
      <c r="H284" s="99"/>
      <c r="I284" s="123"/>
      <c r="J284" s="123"/>
      <c r="K284" s="97"/>
      <c r="L284" s="97"/>
      <c r="M284" s="66"/>
      <c r="N284" s="97"/>
      <c r="O284" s="97"/>
      <c r="P284" s="97"/>
      <c r="Q284" s="97"/>
      <c r="R284" s="97"/>
      <c r="S284" s="97"/>
      <c r="T284" s="97"/>
      <c r="U284" s="97"/>
      <c r="V284" s="97"/>
      <c r="W284" s="97"/>
      <c r="X284" s="97"/>
      <c r="Y284" s="97"/>
      <c r="Z284" s="97"/>
      <c r="AA284" s="97"/>
      <c r="AB284" s="97"/>
      <c r="AC284" s="97"/>
      <c r="AD284" s="97"/>
      <c r="AE284" s="97"/>
    </row>
    <row r="285" ht="14.25" customHeight="1">
      <c r="A285" s="59"/>
      <c r="B285" s="97"/>
      <c r="C285" s="97"/>
      <c r="D285" s="97"/>
      <c r="E285" s="97"/>
      <c r="F285" s="97"/>
      <c r="G285" s="97"/>
      <c r="H285" s="99"/>
      <c r="I285" s="123"/>
      <c r="J285" s="123"/>
      <c r="K285" s="97"/>
      <c r="L285" s="97"/>
      <c r="M285" s="66"/>
      <c r="N285" s="97"/>
      <c r="O285" s="97"/>
      <c r="P285" s="97"/>
      <c r="Q285" s="97"/>
      <c r="R285" s="97"/>
      <c r="S285" s="97"/>
      <c r="T285" s="97"/>
      <c r="U285" s="97"/>
      <c r="V285" s="97"/>
      <c r="W285" s="97"/>
      <c r="X285" s="97"/>
      <c r="Y285" s="97"/>
      <c r="Z285" s="97"/>
      <c r="AA285" s="97"/>
      <c r="AB285" s="97"/>
      <c r="AC285" s="97"/>
      <c r="AD285" s="97"/>
      <c r="AE285" s="97"/>
    </row>
    <row r="286" ht="14.25" customHeight="1">
      <c r="A286" s="59"/>
      <c r="B286" s="97"/>
      <c r="C286" s="97"/>
      <c r="D286" s="97"/>
      <c r="E286" s="97"/>
      <c r="F286" s="97"/>
      <c r="G286" s="97"/>
      <c r="H286" s="99"/>
      <c r="I286" s="123"/>
      <c r="J286" s="123"/>
      <c r="K286" s="97"/>
      <c r="L286" s="97"/>
      <c r="M286" s="66"/>
      <c r="N286" s="97"/>
      <c r="O286" s="97"/>
      <c r="P286" s="97"/>
      <c r="Q286" s="97"/>
      <c r="R286" s="97"/>
      <c r="S286" s="97"/>
      <c r="T286" s="97"/>
      <c r="U286" s="97"/>
      <c r="V286" s="97"/>
      <c r="W286" s="97"/>
      <c r="X286" s="97"/>
      <c r="Y286" s="97"/>
      <c r="Z286" s="97"/>
      <c r="AA286" s="97"/>
      <c r="AB286" s="97"/>
      <c r="AC286" s="97"/>
      <c r="AD286" s="97"/>
      <c r="AE286" s="97"/>
    </row>
    <row r="287" ht="14.25" customHeight="1">
      <c r="A287" s="59"/>
      <c r="B287" s="97"/>
      <c r="C287" s="97"/>
      <c r="D287" s="97"/>
      <c r="E287" s="97"/>
      <c r="F287" s="97"/>
      <c r="G287" s="97"/>
      <c r="H287" s="99"/>
      <c r="I287" s="123"/>
      <c r="J287" s="123"/>
      <c r="K287" s="97"/>
      <c r="L287" s="97"/>
      <c r="M287" s="66"/>
      <c r="N287" s="97"/>
      <c r="O287" s="97"/>
      <c r="P287" s="97"/>
      <c r="Q287" s="97"/>
      <c r="R287" s="97"/>
      <c r="S287" s="97"/>
      <c r="T287" s="97"/>
      <c r="U287" s="97"/>
      <c r="V287" s="97"/>
      <c r="W287" s="97"/>
      <c r="X287" s="97"/>
      <c r="Y287" s="97"/>
      <c r="Z287" s="97"/>
      <c r="AA287" s="97"/>
      <c r="AB287" s="97"/>
      <c r="AC287" s="97"/>
      <c r="AD287" s="97"/>
      <c r="AE287" s="97"/>
    </row>
    <row r="288" ht="14.25" customHeight="1">
      <c r="A288" s="59"/>
      <c r="B288" s="97"/>
      <c r="C288" s="97"/>
      <c r="D288" s="97"/>
      <c r="E288" s="97"/>
      <c r="F288" s="97"/>
      <c r="G288" s="97"/>
      <c r="H288" s="99"/>
      <c r="I288" s="123"/>
      <c r="J288" s="123"/>
      <c r="K288" s="97"/>
      <c r="L288" s="97"/>
      <c r="M288" s="66"/>
      <c r="N288" s="97"/>
      <c r="O288" s="97"/>
      <c r="P288" s="97"/>
      <c r="Q288" s="97"/>
      <c r="R288" s="97"/>
      <c r="S288" s="97"/>
      <c r="T288" s="97"/>
      <c r="U288" s="97"/>
      <c r="V288" s="97"/>
      <c r="W288" s="97"/>
      <c r="X288" s="97"/>
      <c r="Y288" s="97"/>
      <c r="Z288" s="97"/>
      <c r="AA288" s="97"/>
      <c r="AB288" s="97"/>
      <c r="AC288" s="97"/>
      <c r="AD288" s="97"/>
      <c r="AE288" s="97"/>
    </row>
    <row r="289" ht="14.25" customHeight="1">
      <c r="A289" s="59"/>
      <c r="B289" s="97"/>
      <c r="C289" s="97"/>
      <c r="D289" s="97"/>
      <c r="E289" s="97"/>
      <c r="F289" s="97"/>
      <c r="G289" s="97"/>
      <c r="H289" s="99"/>
      <c r="I289" s="123"/>
      <c r="J289" s="123"/>
      <c r="K289" s="97"/>
      <c r="L289" s="97"/>
      <c r="M289" s="66"/>
      <c r="N289" s="97"/>
      <c r="O289" s="97"/>
      <c r="P289" s="97"/>
      <c r="Q289" s="97"/>
      <c r="R289" s="97"/>
      <c r="S289" s="97"/>
      <c r="T289" s="97"/>
      <c r="U289" s="97"/>
      <c r="V289" s="97"/>
      <c r="W289" s="97"/>
      <c r="X289" s="97"/>
      <c r="Y289" s="97"/>
      <c r="Z289" s="97"/>
      <c r="AA289" s="97"/>
      <c r="AB289" s="97"/>
      <c r="AC289" s="97"/>
      <c r="AD289" s="97"/>
      <c r="AE289" s="97"/>
    </row>
    <row r="290" ht="14.25" customHeight="1">
      <c r="A290" s="59"/>
      <c r="B290" s="97"/>
      <c r="C290" s="97"/>
      <c r="D290" s="97"/>
      <c r="E290" s="97"/>
      <c r="F290" s="97"/>
      <c r="G290" s="97"/>
      <c r="H290" s="99"/>
      <c r="I290" s="123"/>
      <c r="J290" s="123"/>
      <c r="K290" s="97"/>
      <c r="L290" s="97"/>
      <c r="M290" s="66"/>
      <c r="N290" s="97"/>
      <c r="O290" s="97"/>
      <c r="P290" s="97"/>
      <c r="Q290" s="97"/>
      <c r="R290" s="97"/>
      <c r="S290" s="97"/>
      <c r="T290" s="97"/>
      <c r="U290" s="97"/>
      <c r="V290" s="97"/>
      <c r="W290" s="97"/>
      <c r="X290" s="97"/>
      <c r="Y290" s="97"/>
      <c r="Z290" s="97"/>
      <c r="AA290" s="97"/>
      <c r="AB290" s="97"/>
      <c r="AC290" s="97"/>
      <c r="AD290" s="97"/>
      <c r="AE290" s="97"/>
    </row>
    <row r="291" ht="14.25" customHeight="1">
      <c r="A291" s="59"/>
      <c r="B291" s="97"/>
      <c r="C291" s="97"/>
      <c r="D291" s="97"/>
      <c r="E291" s="97"/>
      <c r="F291" s="97"/>
      <c r="G291" s="97"/>
      <c r="H291" s="99"/>
      <c r="I291" s="123"/>
      <c r="J291" s="123"/>
      <c r="K291" s="97"/>
      <c r="L291" s="97"/>
      <c r="M291" s="66"/>
      <c r="N291" s="97"/>
      <c r="O291" s="97"/>
      <c r="P291" s="97"/>
      <c r="Q291" s="97"/>
      <c r="R291" s="97"/>
      <c r="S291" s="97"/>
      <c r="T291" s="97"/>
      <c r="U291" s="97"/>
      <c r="V291" s="97"/>
      <c r="W291" s="97"/>
      <c r="X291" s="97"/>
      <c r="Y291" s="97"/>
      <c r="Z291" s="97"/>
      <c r="AA291" s="97"/>
      <c r="AB291" s="97"/>
      <c r="AC291" s="97"/>
      <c r="AD291" s="97"/>
      <c r="AE291" s="97"/>
    </row>
    <row r="292" ht="14.25" customHeight="1">
      <c r="A292" s="59"/>
      <c r="B292" s="97"/>
      <c r="C292" s="97"/>
      <c r="D292" s="97"/>
      <c r="E292" s="97"/>
      <c r="F292" s="97"/>
      <c r="G292" s="97"/>
      <c r="H292" s="99"/>
      <c r="I292" s="123"/>
      <c r="J292" s="123"/>
      <c r="K292" s="97"/>
      <c r="L292" s="97"/>
      <c r="M292" s="66"/>
      <c r="N292" s="97"/>
      <c r="O292" s="97"/>
      <c r="P292" s="97"/>
      <c r="Q292" s="97"/>
      <c r="R292" s="97"/>
      <c r="S292" s="97"/>
      <c r="T292" s="97"/>
      <c r="U292" s="97"/>
      <c r="V292" s="97"/>
      <c r="W292" s="97"/>
      <c r="X292" s="97"/>
      <c r="Y292" s="97"/>
      <c r="Z292" s="97"/>
      <c r="AA292" s="97"/>
      <c r="AB292" s="97"/>
      <c r="AC292" s="97"/>
      <c r="AD292" s="97"/>
      <c r="AE292" s="97"/>
    </row>
    <row r="293" ht="14.25" customHeight="1">
      <c r="A293" s="59"/>
      <c r="B293" s="97"/>
      <c r="C293" s="97"/>
      <c r="D293" s="97"/>
      <c r="E293" s="97"/>
      <c r="F293" s="97"/>
      <c r="G293" s="97"/>
      <c r="H293" s="99"/>
      <c r="I293" s="123"/>
      <c r="J293" s="123"/>
      <c r="K293" s="97"/>
      <c r="L293" s="97"/>
      <c r="M293" s="66"/>
      <c r="N293" s="97"/>
      <c r="O293" s="97"/>
      <c r="P293" s="97"/>
      <c r="Q293" s="97"/>
      <c r="R293" s="97"/>
      <c r="S293" s="97"/>
      <c r="T293" s="97"/>
      <c r="U293" s="97"/>
      <c r="V293" s="97"/>
      <c r="W293" s="97"/>
      <c r="X293" s="97"/>
      <c r="Y293" s="97"/>
      <c r="Z293" s="97"/>
      <c r="AA293" s="97"/>
      <c r="AB293" s="97"/>
      <c r="AC293" s="97"/>
      <c r="AD293" s="97"/>
      <c r="AE293" s="97"/>
    </row>
    <row r="294" ht="14.25" customHeight="1">
      <c r="A294" s="59"/>
      <c r="B294" s="97"/>
      <c r="C294" s="97"/>
      <c r="D294" s="97"/>
      <c r="E294" s="97"/>
      <c r="F294" s="97"/>
      <c r="G294" s="97"/>
      <c r="H294" s="99"/>
      <c r="I294" s="123"/>
      <c r="J294" s="123"/>
      <c r="K294" s="97"/>
      <c r="L294" s="97"/>
      <c r="M294" s="66"/>
      <c r="N294" s="97"/>
      <c r="O294" s="97"/>
      <c r="P294" s="97"/>
      <c r="Q294" s="97"/>
      <c r="R294" s="97"/>
      <c r="S294" s="97"/>
      <c r="T294" s="97"/>
      <c r="U294" s="97"/>
      <c r="V294" s="97"/>
      <c r="W294" s="97"/>
      <c r="X294" s="97"/>
      <c r="Y294" s="97"/>
      <c r="Z294" s="97"/>
      <c r="AA294" s="97"/>
      <c r="AB294" s="97"/>
      <c r="AC294" s="97"/>
      <c r="AD294" s="97"/>
      <c r="AE294" s="97"/>
    </row>
    <row r="295" ht="14.25" customHeight="1">
      <c r="A295" s="59"/>
      <c r="B295" s="97"/>
      <c r="C295" s="97"/>
      <c r="D295" s="97"/>
      <c r="E295" s="97"/>
      <c r="F295" s="97"/>
      <c r="G295" s="97"/>
      <c r="H295" s="99"/>
      <c r="I295" s="123"/>
      <c r="J295" s="123"/>
      <c r="K295" s="97"/>
      <c r="L295" s="97"/>
      <c r="M295" s="66"/>
      <c r="N295" s="97"/>
      <c r="O295" s="97"/>
      <c r="P295" s="97"/>
      <c r="Q295" s="97"/>
      <c r="R295" s="97"/>
      <c r="S295" s="97"/>
      <c r="T295" s="97"/>
      <c r="U295" s="97"/>
      <c r="V295" s="97"/>
      <c r="W295" s="97"/>
      <c r="X295" s="97"/>
      <c r="Y295" s="97"/>
      <c r="Z295" s="97"/>
      <c r="AA295" s="97"/>
      <c r="AB295" s="97"/>
      <c r="AC295" s="97"/>
      <c r="AD295" s="97"/>
      <c r="AE295" s="97"/>
    </row>
    <row r="296" ht="14.25" customHeight="1">
      <c r="A296" s="59"/>
      <c r="B296" s="97"/>
      <c r="C296" s="97"/>
      <c r="D296" s="97"/>
      <c r="E296" s="97"/>
      <c r="F296" s="97"/>
      <c r="G296" s="97"/>
      <c r="H296" s="99"/>
      <c r="I296" s="123"/>
      <c r="J296" s="123"/>
      <c r="K296" s="97"/>
      <c r="L296" s="97"/>
      <c r="M296" s="66"/>
      <c r="N296" s="97"/>
      <c r="O296" s="97"/>
      <c r="P296" s="97"/>
      <c r="Q296" s="97"/>
      <c r="R296" s="97"/>
      <c r="S296" s="97"/>
      <c r="T296" s="97"/>
      <c r="U296" s="97"/>
      <c r="V296" s="97"/>
      <c r="W296" s="97"/>
      <c r="X296" s="97"/>
      <c r="Y296" s="97"/>
      <c r="Z296" s="97"/>
      <c r="AA296" s="97"/>
      <c r="AB296" s="97"/>
      <c r="AC296" s="97"/>
      <c r="AD296" s="97"/>
      <c r="AE296" s="97"/>
    </row>
    <row r="297" ht="14.25" customHeight="1">
      <c r="A297" s="59"/>
      <c r="B297" s="97"/>
      <c r="C297" s="97"/>
      <c r="D297" s="97"/>
      <c r="E297" s="97"/>
      <c r="F297" s="97"/>
      <c r="G297" s="97"/>
      <c r="H297" s="99"/>
      <c r="I297" s="123"/>
      <c r="J297" s="123"/>
      <c r="K297" s="97"/>
      <c r="L297" s="97"/>
      <c r="M297" s="66"/>
      <c r="N297" s="97"/>
      <c r="O297" s="97"/>
      <c r="P297" s="97"/>
      <c r="Q297" s="97"/>
      <c r="R297" s="97"/>
      <c r="S297" s="97"/>
      <c r="T297" s="97"/>
      <c r="U297" s="97"/>
      <c r="V297" s="97"/>
      <c r="W297" s="97"/>
      <c r="X297" s="97"/>
      <c r="Y297" s="97"/>
      <c r="Z297" s="97"/>
      <c r="AA297" s="97"/>
      <c r="AB297" s="97"/>
      <c r="AC297" s="97"/>
      <c r="AD297" s="97"/>
      <c r="AE297" s="97"/>
    </row>
    <row r="298" ht="14.25" customHeight="1">
      <c r="A298" s="59"/>
      <c r="B298" s="97"/>
      <c r="C298" s="97"/>
      <c r="D298" s="97"/>
      <c r="E298" s="97"/>
      <c r="F298" s="97"/>
      <c r="G298" s="97"/>
      <c r="H298" s="99"/>
      <c r="I298" s="123"/>
      <c r="J298" s="123"/>
      <c r="K298" s="97"/>
      <c r="L298" s="97"/>
      <c r="M298" s="66"/>
      <c r="N298" s="97"/>
      <c r="O298" s="97"/>
      <c r="P298" s="97"/>
      <c r="Q298" s="97"/>
      <c r="R298" s="97"/>
      <c r="S298" s="97"/>
      <c r="T298" s="97"/>
      <c r="U298" s="97"/>
      <c r="V298" s="97"/>
      <c r="W298" s="97"/>
      <c r="X298" s="97"/>
      <c r="Y298" s="97"/>
      <c r="Z298" s="97"/>
      <c r="AA298" s="97"/>
      <c r="AB298" s="97"/>
      <c r="AC298" s="97"/>
      <c r="AD298" s="97"/>
      <c r="AE298" s="97"/>
    </row>
    <row r="299" ht="14.25" customHeight="1">
      <c r="A299" s="59"/>
      <c r="B299" s="97"/>
      <c r="C299" s="97"/>
      <c r="D299" s="97"/>
      <c r="E299" s="97"/>
      <c r="F299" s="97"/>
      <c r="G299" s="97"/>
      <c r="H299" s="99"/>
      <c r="I299" s="123"/>
      <c r="J299" s="123"/>
      <c r="K299" s="97"/>
      <c r="L299" s="97"/>
      <c r="M299" s="66"/>
      <c r="N299" s="97"/>
      <c r="O299" s="97"/>
      <c r="P299" s="97"/>
      <c r="Q299" s="97"/>
      <c r="R299" s="97"/>
      <c r="S299" s="97"/>
      <c r="T299" s="97"/>
      <c r="U299" s="97"/>
      <c r="V299" s="97"/>
      <c r="W299" s="97"/>
      <c r="X299" s="97"/>
      <c r="Y299" s="97"/>
      <c r="Z299" s="97"/>
      <c r="AA299" s="97"/>
      <c r="AB299" s="97"/>
      <c r="AC299" s="97"/>
      <c r="AD299" s="97"/>
      <c r="AE299" s="97"/>
    </row>
    <row r="300" ht="14.25" customHeight="1">
      <c r="A300" s="59"/>
      <c r="B300" s="97"/>
      <c r="C300" s="97"/>
      <c r="D300" s="97"/>
      <c r="E300" s="97"/>
      <c r="F300" s="97"/>
      <c r="G300" s="97"/>
      <c r="H300" s="99"/>
      <c r="I300" s="123"/>
      <c r="J300" s="123"/>
      <c r="K300" s="97"/>
      <c r="L300" s="97"/>
      <c r="M300" s="66"/>
      <c r="N300" s="97"/>
      <c r="O300" s="97"/>
      <c r="P300" s="97"/>
      <c r="Q300" s="97"/>
      <c r="R300" s="97"/>
      <c r="S300" s="97"/>
      <c r="T300" s="97"/>
      <c r="U300" s="97"/>
      <c r="V300" s="97"/>
      <c r="W300" s="97"/>
      <c r="X300" s="97"/>
      <c r="Y300" s="97"/>
      <c r="Z300" s="97"/>
      <c r="AA300" s="97"/>
      <c r="AB300" s="97"/>
      <c r="AC300" s="97"/>
      <c r="AD300" s="97"/>
      <c r="AE300" s="97"/>
    </row>
    <row r="301" ht="14.25" customHeight="1">
      <c r="A301" s="59"/>
      <c r="B301" s="97"/>
      <c r="C301" s="97"/>
      <c r="D301" s="97"/>
      <c r="E301" s="97"/>
      <c r="F301" s="97"/>
      <c r="G301" s="97"/>
      <c r="H301" s="99"/>
      <c r="I301" s="123"/>
      <c r="J301" s="123"/>
      <c r="K301" s="97"/>
      <c r="L301" s="97"/>
      <c r="M301" s="66"/>
      <c r="N301" s="97"/>
      <c r="O301" s="97"/>
      <c r="P301" s="97"/>
      <c r="Q301" s="97"/>
      <c r="R301" s="97"/>
      <c r="S301" s="97"/>
      <c r="T301" s="97"/>
      <c r="U301" s="97"/>
      <c r="V301" s="97"/>
      <c r="W301" s="97"/>
      <c r="X301" s="97"/>
      <c r="Y301" s="97"/>
      <c r="Z301" s="97"/>
      <c r="AA301" s="97"/>
      <c r="AB301" s="97"/>
      <c r="AC301" s="97"/>
      <c r="AD301" s="97"/>
      <c r="AE301" s="97"/>
    </row>
    <row r="302" ht="14.25" customHeight="1">
      <c r="A302" s="59"/>
      <c r="B302" s="97"/>
      <c r="C302" s="97"/>
      <c r="D302" s="97"/>
      <c r="E302" s="97"/>
      <c r="F302" s="97"/>
      <c r="G302" s="97"/>
      <c r="H302" s="99"/>
      <c r="I302" s="123"/>
      <c r="J302" s="123"/>
      <c r="K302" s="97"/>
      <c r="L302" s="97"/>
      <c r="M302" s="66"/>
      <c r="N302" s="97"/>
      <c r="O302" s="97"/>
      <c r="P302" s="97"/>
      <c r="Q302" s="97"/>
      <c r="R302" s="97"/>
      <c r="S302" s="97"/>
      <c r="T302" s="97"/>
      <c r="U302" s="97"/>
      <c r="V302" s="97"/>
      <c r="W302" s="97"/>
      <c r="X302" s="97"/>
      <c r="Y302" s="97"/>
      <c r="Z302" s="97"/>
      <c r="AA302" s="97"/>
      <c r="AB302" s="97"/>
      <c r="AC302" s="97"/>
      <c r="AD302" s="97"/>
      <c r="AE302" s="97"/>
    </row>
    <row r="303" ht="14.25" customHeight="1">
      <c r="A303" s="59"/>
      <c r="B303" s="97"/>
      <c r="C303" s="97"/>
      <c r="D303" s="97"/>
      <c r="E303" s="97"/>
      <c r="F303" s="97"/>
      <c r="G303" s="97"/>
      <c r="H303" s="99"/>
      <c r="I303" s="123"/>
      <c r="J303" s="123"/>
      <c r="K303" s="97"/>
      <c r="L303" s="97"/>
      <c r="M303" s="66"/>
      <c r="N303" s="97"/>
      <c r="O303" s="97"/>
      <c r="P303" s="97"/>
      <c r="Q303" s="97"/>
      <c r="R303" s="97"/>
      <c r="S303" s="97"/>
      <c r="T303" s="97"/>
      <c r="U303" s="97"/>
      <c r="V303" s="97"/>
      <c r="W303" s="97"/>
      <c r="X303" s="97"/>
      <c r="Y303" s="97"/>
      <c r="Z303" s="97"/>
      <c r="AA303" s="97"/>
      <c r="AB303" s="97"/>
      <c r="AC303" s="97"/>
      <c r="AD303" s="97"/>
      <c r="AE303" s="97"/>
    </row>
    <row r="304" ht="14.25" customHeight="1">
      <c r="A304" s="59"/>
      <c r="B304" s="97"/>
      <c r="C304" s="97"/>
      <c r="D304" s="97"/>
      <c r="E304" s="97"/>
      <c r="F304" s="97"/>
      <c r="G304" s="97"/>
      <c r="H304" s="99"/>
      <c r="I304" s="123"/>
      <c r="J304" s="123"/>
      <c r="K304" s="97"/>
      <c r="L304" s="97"/>
      <c r="M304" s="66"/>
      <c r="N304" s="97"/>
      <c r="O304" s="97"/>
      <c r="P304" s="97"/>
      <c r="Q304" s="97"/>
      <c r="R304" s="97"/>
      <c r="S304" s="97"/>
      <c r="T304" s="97"/>
      <c r="U304" s="97"/>
      <c r="V304" s="97"/>
      <c r="W304" s="97"/>
      <c r="X304" s="97"/>
      <c r="Y304" s="97"/>
      <c r="Z304" s="97"/>
      <c r="AA304" s="97"/>
      <c r="AB304" s="97"/>
      <c r="AC304" s="97"/>
      <c r="AD304" s="97"/>
      <c r="AE304" s="97"/>
    </row>
    <row r="305" ht="14.25" customHeight="1">
      <c r="A305" s="59"/>
      <c r="B305" s="97"/>
      <c r="C305" s="97"/>
      <c r="D305" s="97"/>
      <c r="E305" s="97"/>
      <c r="F305" s="97"/>
      <c r="G305" s="97"/>
      <c r="H305" s="99"/>
      <c r="I305" s="123"/>
      <c r="J305" s="123"/>
      <c r="K305" s="97"/>
      <c r="L305" s="97"/>
      <c r="M305" s="66"/>
      <c r="N305" s="97"/>
      <c r="O305" s="97"/>
      <c r="P305" s="97"/>
      <c r="Q305" s="97"/>
      <c r="R305" s="97"/>
      <c r="S305" s="97"/>
      <c r="T305" s="97"/>
      <c r="U305" s="97"/>
      <c r="V305" s="97"/>
      <c r="W305" s="97"/>
      <c r="X305" s="97"/>
      <c r="Y305" s="97"/>
      <c r="Z305" s="97"/>
      <c r="AA305" s="97"/>
      <c r="AB305" s="97"/>
      <c r="AC305" s="97"/>
      <c r="AD305" s="97"/>
      <c r="AE305" s="97"/>
    </row>
    <row r="306" ht="14.25" customHeight="1">
      <c r="A306" s="59"/>
      <c r="B306" s="97"/>
      <c r="C306" s="97"/>
      <c r="D306" s="97"/>
      <c r="E306" s="97"/>
      <c r="F306" s="97"/>
      <c r="G306" s="97"/>
      <c r="H306" s="99"/>
      <c r="I306" s="123"/>
      <c r="J306" s="123"/>
      <c r="K306" s="97"/>
      <c r="L306" s="97"/>
      <c r="M306" s="66"/>
      <c r="N306" s="97"/>
      <c r="O306" s="97"/>
      <c r="P306" s="97"/>
      <c r="Q306" s="97"/>
      <c r="R306" s="97"/>
      <c r="S306" s="97"/>
      <c r="T306" s="97"/>
      <c r="U306" s="97"/>
      <c r="V306" s="97"/>
      <c r="W306" s="97"/>
      <c r="X306" s="97"/>
      <c r="Y306" s="97"/>
      <c r="Z306" s="97"/>
      <c r="AA306" s="97"/>
      <c r="AB306" s="97"/>
      <c r="AC306" s="97"/>
      <c r="AD306" s="97"/>
      <c r="AE306" s="97"/>
    </row>
    <row r="307" ht="14.25" customHeight="1">
      <c r="A307" s="59"/>
      <c r="B307" s="97"/>
      <c r="C307" s="97"/>
      <c r="D307" s="97"/>
      <c r="E307" s="97"/>
      <c r="F307" s="97"/>
      <c r="G307" s="97"/>
      <c r="H307" s="99"/>
      <c r="I307" s="123"/>
      <c r="J307" s="123"/>
      <c r="K307" s="97"/>
      <c r="L307" s="97"/>
      <c r="M307" s="66"/>
      <c r="N307" s="97"/>
      <c r="O307" s="97"/>
      <c r="P307" s="97"/>
      <c r="Q307" s="97"/>
      <c r="R307" s="97"/>
      <c r="S307" s="97"/>
      <c r="T307" s="97"/>
      <c r="U307" s="97"/>
      <c r="V307" s="97"/>
      <c r="W307" s="97"/>
      <c r="X307" s="97"/>
      <c r="Y307" s="97"/>
      <c r="Z307" s="97"/>
      <c r="AA307" s="97"/>
      <c r="AB307" s="97"/>
      <c r="AC307" s="97"/>
      <c r="AD307" s="97"/>
      <c r="AE307" s="97"/>
    </row>
    <row r="308" ht="14.25" customHeight="1">
      <c r="A308" s="59"/>
      <c r="B308" s="97"/>
      <c r="C308" s="97"/>
      <c r="D308" s="97"/>
      <c r="E308" s="97"/>
      <c r="F308" s="97"/>
      <c r="G308" s="97"/>
      <c r="H308" s="99"/>
      <c r="I308" s="123"/>
      <c r="J308" s="123"/>
      <c r="K308" s="97"/>
      <c r="L308" s="97"/>
      <c r="M308" s="66"/>
      <c r="N308" s="97"/>
      <c r="O308" s="97"/>
      <c r="P308" s="97"/>
      <c r="Q308" s="97"/>
      <c r="R308" s="97"/>
      <c r="S308" s="97"/>
      <c r="T308" s="97"/>
      <c r="U308" s="97"/>
      <c r="V308" s="97"/>
      <c r="W308" s="97"/>
      <c r="X308" s="97"/>
      <c r="Y308" s="97"/>
      <c r="Z308" s="97"/>
      <c r="AA308" s="97"/>
      <c r="AB308" s="97"/>
      <c r="AC308" s="97"/>
      <c r="AD308" s="97"/>
      <c r="AE308" s="97"/>
    </row>
    <row r="309" ht="14.25" customHeight="1">
      <c r="A309" s="59"/>
      <c r="B309" s="97"/>
      <c r="C309" s="97"/>
      <c r="D309" s="97"/>
      <c r="E309" s="97"/>
      <c r="F309" s="97"/>
      <c r="G309" s="97"/>
      <c r="H309" s="99"/>
      <c r="I309" s="123"/>
      <c r="J309" s="123"/>
      <c r="K309" s="97"/>
      <c r="L309" s="97"/>
      <c r="M309" s="66"/>
      <c r="N309" s="97"/>
      <c r="O309" s="97"/>
      <c r="P309" s="97"/>
      <c r="Q309" s="97"/>
      <c r="R309" s="97"/>
      <c r="S309" s="97"/>
      <c r="T309" s="97"/>
      <c r="U309" s="97"/>
      <c r="V309" s="97"/>
      <c r="W309" s="97"/>
      <c r="X309" s="97"/>
      <c r="Y309" s="97"/>
      <c r="Z309" s="97"/>
      <c r="AA309" s="97"/>
      <c r="AB309" s="97"/>
      <c r="AC309" s="97"/>
      <c r="AD309" s="97"/>
      <c r="AE309" s="97"/>
    </row>
    <row r="310" ht="14.25" customHeight="1">
      <c r="A310" s="59"/>
      <c r="B310" s="97"/>
      <c r="C310" s="97"/>
      <c r="D310" s="97"/>
      <c r="E310" s="97"/>
      <c r="F310" s="97"/>
      <c r="G310" s="97"/>
      <c r="H310" s="99"/>
      <c r="I310" s="123"/>
      <c r="J310" s="123"/>
      <c r="K310" s="97"/>
      <c r="L310" s="97"/>
      <c r="M310" s="66"/>
      <c r="N310" s="97"/>
      <c r="O310" s="97"/>
      <c r="P310" s="97"/>
      <c r="Q310" s="97"/>
      <c r="R310" s="97"/>
      <c r="S310" s="97"/>
      <c r="T310" s="97"/>
      <c r="U310" s="97"/>
      <c r="V310" s="97"/>
      <c r="W310" s="97"/>
      <c r="X310" s="97"/>
      <c r="Y310" s="97"/>
      <c r="Z310" s="97"/>
      <c r="AA310" s="97"/>
      <c r="AB310" s="97"/>
      <c r="AC310" s="97"/>
      <c r="AD310" s="97"/>
      <c r="AE310" s="97"/>
    </row>
    <row r="311" ht="14.25" customHeight="1">
      <c r="A311" s="59"/>
      <c r="B311" s="97"/>
      <c r="C311" s="97"/>
      <c r="D311" s="97"/>
      <c r="E311" s="97"/>
      <c r="F311" s="97"/>
      <c r="G311" s="97"/>
      <c r="H311" s="99"/>
      <c r="I311" s="123"/>
      <c r="J311" s="123"/>
      <c r="K311" s="97"/>
      <c r="L311" s="97"/>
      <c r="M311" s="66"/>
      <c r="N311" s="97"/>
      <c r="O311" s="97"/>
      <c r="P311" s="97"/>
      <c r="Q311" s="97"/>
      <c r="R311" s="97"/>
      <c r="S311" s="97"/>
      <c r="T311" s="97"/>
      <c r="U311" s="97"/>
      <c r="V311" s="97"/>
      <c r="W311" s="97"/>
      <c r="X311" s="97"/>
      <c r="Y311" s="97"/>
      <c r="Z311" s="97"/>
      <c r="AA311" s="97"/>
      <c r="AB311" s="97"/>
      <c r="AC311" s="97"/>
      <c r="AD311" s="97"/>
      <c r="AE311" s="97"/>
    </row>
    <row r="312" ht="14.25" customHeight="1">
      <c r="A312" s="59"/>
      <c r="B312" s="97"/>
      <c r="C312" s="97"/>
      <c r="D312" s="97"/>
      <c r="E312" s="97"/>
      <c r="F312" s="97"/>
      <c r="G312" s="97"/>
      <c r="H312" s="99"/>
      <c r="I312" s="123"/>
      <c r="J312" s="123"/>
      <c r="K312" s="97"/>
      <c r="L312" s="97"/>
      <c r="M312" s="66"/>
      <c r="N312" s="97"/>
      <c r="O312" s="97"/>
      <c r="P312" s="97"/>
      <c r="Q312" s="97"/>
      <c r="R312" s="97"/>
      <c r="S312" s="97"/>
      <c r="T312" s="97"/>
      <c r="U312" s="97"/>
      <c r="V312" s="97"/>
      <c r="W312" s="97"/>
      <c r="X312" s="97"/>
      <c r="Y312" s="97"/>
      <c r="Z312" s="97"/>
      <c r="AA312" s="97"/>
      <c r="AB312" s="97"/>
      <c r="AC312" s="97"/>
      <c r="AD312" s="97"/>
      <c r="AE312" s="97"/>
    </row>
    <row r="313" ht="14.25" customHeight="1">
      <c r="A313" s="59"/>
      <c r="B313" s="97"/>
      <c r="C313" s="97"/>
      <c r="D313" s="97"/>
      <c r="E313" s="97"/>
      <c r="F313" s="97"/>
      <c r="G313" s="97"/>
      <c r="H313" s="99"/>
      <c r="I313" s="123"/>
      <c r="J313" s="123"/>
      <c r="K313" s="97"/>
      <c r="L313" s="97"/>
      <c r="M313" s="66"/>
      <c r="N313" s="97"/>
      <c r="O313" s="97"/>
      <c r="P313" s="97"/>
      <c r="Q313" s="97"/>
      <c r="R313" s="97"/>
      <c r="S313" s="97"/>
      <c r="T313" s="97"/>
      <c r="U313" s="97"/>
      <c r="V313" s="97"/>
      <c r="W313" s="97"/>
      <c r="X313" s="97"/>
      <c r="Y313" s="97"/>
      <c r="Z313" s="97"/>
      <c r="AA313" s="97"/>
      <c r="AB313" s="97"/>
      <c r="AC313" s="97"/>
      <c r="AD313" s="97"/>
      <c r="AE313" s="97"/>
    </row>
    <row r="314" ht="14.25" customHeight="1">
      <c r="A314" s="59"/>
      <c r="B314" s="97"/>
      <c r="C314" s="97"/>
      <c r="D314" s="97"/>
      <c r="E314" s="97"/>
      <c r="F314" s="97"/>
      <c r="G314" s="97"/>
      <c r="H314" s="99"/>
      <c r="I314" s="123"/>
      <c r="J314" s="123"/>
      <c r="K314" s="97"/>
      <c r="L314" s="97"/>
      <c r="M314" s="66"/>
      <c r="N314" s="97"/>
      <c r="O314" s="97"/>
      <c r="P314" s="97"/>
      <c r="Q314" s="97"/>
      <c r="R314" s="97"/>
      <c r="S314" s="97"/>
      <c r="T314" s="97"/>
      <c r="U314" s="97"/>
      <c r="V314" s="97"/>
      <c r="W314" s="97"/>
      <c r="X314" s="97"/>
      <c r="Y314" s="97"/>
      <c r="Z314" s="97"/>
      <c r="AA314" s="97"/>
      <c r="AB314" s="97"/>
      <c r="AC314" s="97"/>
      <c r="AD314" s="97"/>
      <c r="AE314" s="97"/>
    </row>
    <row r="315" ht="14.25" customHeight="1">
      <c r="A315" s="59"/>
      <c r="B315" s="97"/>
      <c r="C315" s="97"/>
      <c r="D315" s="97"/>
      <c r="E315" s="97"/>
      <c r="F315" s="97"/>
      <c r="G315" s="97"/>
      <c r="H315" s="99"/>
      <c r="I315" s="123"/>
      <c r="J315" s="123"/>
      <c r="K315" s="97"/>
      <c r="L315" s="97"/>
      <c r="M315" s="66"/>
      <c r="N315" s="97"/>
      <c r="O315" s="97"/>
      <c r="P315" s="97"/>
      <c r="Q315" s="97"/>
      <c r="R315" s="97"/>
      <c r="S315" s="97"/>
      <c r="T315" s="97"/>
      <c r="U315" s="97"/>
      <c r="V315" s="97"/>
      <c r="W315" s="97"/>
      <c r="X315" s="97"/>
      <c r="Y315" s="97"/>
      <c r="Z315" s="97"/>
      <c r="AA315" s="97"/>
      <c r="AB315" s="97"/>
      <c r="AC315" s="97"/>
      <c r="AD315" s="97"/>
      <c r="AE315" s="97"/>
    </row>
    <row r="316" ht="14.25" customHeight="1">
      <c r="A316" s="59"/>
      <c r="B316" s="97"/>
      <c r="C316" s="97"/>
      <c r="D316" s="97"/>
      <c r="E316" s="97"/>
      <c r="F316" s="97"/>
      <c r="G316" s="97"/>
      <c r="H316" s="99"/>
      <c r="I316" s="123"/>
      <c r="J316" s="123"/>
      <c r="K316" s="97"/>
      <c r="L316" s="97"/>
      <c r="M316" s="66"/>
      <c r="N316" s="97"/>
      <c r="O316" s="97"/>
      <c r="P316" s="97"/>
      <c r="Q316" s="97"/>
      <c r="R316" s="97"/>
      <c r="S316" s="97"/>
      <c r="T316" s="97"/>
      <c r="U316" s="97"/>
      <c r="V316" s="97"/>
      <c r="W316" s="97"/>
      <c r="X316" s="97"/>
      <c r="Y316" s="97"/>
      <c r="Z316" s="97"/>
      <c r="AA316" s="97"/>
      <c r="AB316" s="97"/>
      <c r="AC316" s="97"/>
      <c r="AD316" s="97"/>
      <c r="AE316" s="97"/>
    </row>
    <row r="317" ht="14.25" customHeight="1">
      <c r="A317" s="59"/>
      <c r="B317" s="97"/>
      <c r="C317" s="97"/>
      <c r="D317" s="97"/>
      <c r="E317" s="97"/>
      <c r="F317" s="97"/>
      <c r="G317" s="97"/>
      <c r="H317" s="99"/>
      <c r="I317" s="123"/>
      <c r="J317" s="123"/>
      <c r="K317" s="97"/>
      <c r="L317" s="97"/>
      <c r="M317" s="66"/>
      <c r="N317" s="97"/>
      <c r="O317" s="97"/>
      <c r="P317" s="97"/>
      <c r="Q317" s="97"/>
      <c r="R317" s="97"/>
      <c r="S317" s="97"/>
      <c r="T317" s="97"/>
      <c r="U317" s="97"/>
      <c r="V317" s="97"/>
      <c r="W317" s="97"/>
      <c r="X317" s="97"/>
      <c r="Y317" s="97"/>
      <c r="Z317" s="97"/>
      <c r="AA317" s="97"/>
      <c r="AB317" s="97"/>
      <c r="AC317" s="97"/>
      <c r="AD317" s="97"/>
      <c r="AE317" s="97"/>
    </row>
    <row r="318" ht="14.25" customHeight="1">
      <c r="A318" s="59"/>
      <c r="B318" s="97"/>
      <c r="C318" s="97"/>
      <c r="D318" s="97"/>
      <c r="E318" s="97"/>
      <c r="F318" s="97"/>
      <c r="G318" s="97"/>
      <c r="H318" s="99"/>
      <c r="I318" s="123"/>
      <c r="J318" s="123"/>
      <c r="K318" s="97"/>
      <c r="L318" s="97"/>
      <c r="M318" s="66"/>
      <c r="N318" s="97"/>
      <c r="O318" s="97"/>
      <c r="P318" s="97"/>
      <c r="Q318" s="97"/>
      <c r="R318" s="97"/>
      <c r="S318" s="97"/>
      <c r="T318" s="97"/>
      <c r="U318" s="97"/>
      <c r="V318" s="97"/>
      <c r="W318" s="97"/>
      <c r="X318" s="97"/>
      <c r="Y318" s="97"/>
      <c r="Z318" s="97"/>
      <c r="AA318" s="97"/>
      <c r="AB318" s="97"/>
      <c r="AC318" s="97"/>
      <c r="AD318" s="97"/>
      <c r="AE318" s="97"/>
    </row>
    <row r="319" ht="14.25" customHeight="1">
      <c r="A319" s="59"/>
      <c r="B319" s="97"/>
      <c r="C319" s="97"/>
      <c r="D319" s="97"/>
      <c r="E319" s="97"/>
      <c r="F319" s="97"/>
      <c r="G319" s="97"/>
      <c r="H319" s="99"/>
      <c r="I319" s="123"/>
      <c r="J319" s="123"/>
      <c r="K319" s="97"/>
      <c r="L319" s="97"/>
      <c r="M319" s="66"/>
      <c r="N319" s="97"/>
      <c r="O319" s="97"/>
      <c r="P319" s="97"/>
      <c r="Q319" s="97"/>
      <c r="R319" s="97"/>
      <c r="S319" s="97"/>
      <c r="T319" s="97"/>
      <c r="U319" s="97"/>
      <c r="V319" s="97"/>
      <c r="W319" s="97"/>
      <c r="X319" s="97"/>
      <c r="Y319" s="97"/>
      <c r="Z319" s="97"/>
      <c r="AA319" s="97"/>
      <c r="AB319" s="97"/>
      <c r="AC319" s="97"/>
      <c r="AD319" s="97"/>
      <c r="AE319" s="97"/>
    </row>
    <row r="320" ht="14.25" customHeight="1">
      <c r="A320" s="59"/>
      <c r="B320" s="97"/>
      <c r="C320" s="97"/>
      <c r="D320" s="97"/>
      <c r="E320" s="97"/>
      <c r="F320" s="97"/>
      <c r="G320" s="97"/>
      <c r="H320" s="99"/>
      <c r="I320" s="123"/>
      <c r="J320" s="123"/>
      <c r="K320" s="97"/>
      <c r="L320" s="97"/>
      <c r="M320" s="66"/>
      <c r="N320" s="97"/>
      <c r="O320" s="97"/>
      <c r="P320" s="97"/>
      <c r="Q320" s="97"/>
      <c r="R320" s="97"/>
      <c r="S320" s="97"/>
      <c r="T320" s="97"/>
      <c r="U320" s="97"/>
      <c r="V320" s="97"/>
      <c r="W320" s="97"/>
      <c r="X320" s="97"/>
      <c r="Y320" s="97"/>
      <c r="Z320" s="97"/>
      <c r="AA320" s="97"/>
      <c r="AB320" s="97"/>
      <c r="AC320" s="97"/>
      <c r="AD320" s="97"/>
      <c r="AE320" s="97"/>
    </row>
    <row r="321" ht="14.25" customHeight="1">
      <c r="A321" s="59"/>
      <c r="B321" s="97"/>
      <c r="C321" s="97"/>
      <c r="D321" s="97"/>
      <c r="E321" s="97"/>
      <c r="F321" s="97"/>
      <c r="G321" s="97"/>
      <c r="H321" s="99"/>
      <c r="I321" s="123"/>
      <c r="J321" s="123"/>
      <c r="K321" s="97"/>
      <c r="L321" s="97"/>
      <c r="M321" s="66"/>
      <c r="N321" s="97"/>
      <c r="O321" s="97"/>
      <c r="P321" s="97"/>
      <c r="Q321" s="97"/>
      <c r="R321" s="97"/>
      <c r="S321" s="97"/>
      <c r="T321" s="97"/>
      <c r="U321" s="97"/>
      <c r="V321" s="97"/>
      <c r="W321" s="97"/>
      <c r="X321" s="97"/>
      <c r="Y321" s="97"/>
      <c r="Z321" s="97"/>
      <c r="AA321" s="97"/>
      <c r="AB321" s="97"/>
      <c r="AC321" s="97"/>
      <c r="AD321" s="97"/>
      <c r="AE321" s="97"/>
    </row>
    <row r="322" ht="14.25" customHeight="1">
      <c r="A322" s="59"/>
      <c r="B322" s="97"/>
      <c r="C322" s="97"/>
      <c r="D322" s="97"/>
      <c r="E322" s="97"/>
      <c r="F322" s="97"/>
      <c r="G322" s="97"/>
      <c r="H322" s="99"/>
      <c r="I322" s="123"/>
      <c r="J322" s="123"/>
      <c r="K322" s="97"/>
      <c r="L322" s="97"/>
      <c r="M322" s="66"/>
      <c r="N322" s="97"/>
      <c r="O322" s="97"/>
      <c r="P322" s="97"/>
      <c r="Q322" s="97"/>
      <c r="R322" s="97"/>
      <c r="S322" s="97"/>
      <c r="T322" s="97"/>
      <c r="U322" s="97"/>
      <c r="V322" s="97"/>
      <c r="W322" s="97"/>
      <c r="X322" s="97"/>
      <c r="Y322" s="97"/>
      <c r="Z322" s="97"/>
      <c r="AA322" s="97"/>
      <c r="AB322" s="97"/>
      <c r="AC322" s="97"/>
      <c r="AD322" s="97"/>
      <c r="AE322" s="97"/>
    </row>
    <row r="323" ht="14.25" customHeight="1">
      <c r="A323" s="59"/>
      <c r="B323" s="97"/>
      <c r="C323" s="97"/>
      <c r="D323" s="97"/>
      <c r="E323" s="97"/>
      <c r="F323" s="97"/>
      <c r="G323" s="97"/>
      <c r="H323" s="99"/>
      <c r="I323" s="123"/>
      <c r="J323" s="123"/>
      <c r="K323" s="97"/>
      <c r="L323" s="97"/>
      <c r="M323" s="66"/>
      <c r="N323" s="97"/>
      <c r="O323" s="97"/>
      <c r="P323" s="97"/>
      <c r="Q323" s="97"/>
      <c r="R323" s="97"/>
      <c r="S323" s="97"/>
      <c r="T323" s="97"/>
      <c r="U323" s="97"/>
      <c r="V323" s="97"/>
      <c r="W323" s="97"/>
      <c r="X323" s="97"/>
      <c r="Y323" s="97"/>
      <c r="Z323" s="97"/>
      <c r="AA323" s="97"/>
      <c r="AB323" s="97"/>
      <c r="AC323" s="97"/>
      <c r="AD323" s="97"/>
      <c r="AE323" s="97"/>
    </row>
    <row r="324" ht="14.25" customHeight="1">
      <c r="A324" s="59"/>
      <c r="B324" s="97"/>
      <c r="C324" s="97"/>
      <c r="D324" s="97"/>
      <c r="E324" s="97"/>
      <c r="F324" s="97"/>
      <c r="G324" s="97"/>
      <c r="H324" s="99"/>
      <c r="I324" s="123"/>
      <c r="J324" s="123"/>
      <c r="K324" s="97"/>
      <c r="L324" s="97"/>
      <c r="M324" s="66"/>
      <c r="N324" s="97"/>
      <c r="O324" s="97"/>
      <c r="P324" s="97"/>
      <c r="Q324" s="97"/>
      <c r="R324" s="97"/>
      <c r="S324" s="97"/>
      <c r="T324" s="97"/>
      <c r="U324" s="97"/>
      <c r="V324" s="97"/>
      <c r="W324" s="97"/>
      <c r="X324" s="97"/>
      <c r="Y324" s="97"/>
      <c r="Z324" s="97"/>
      <c r="AA324" s="97"/>
      <c r="AB324" s="97"/>
      <c r="AC324" s="97"/>
      <c r="AD324" s="97"/>
      <c r="AE324" s="97"/>
    </row>
    <row r="325" ht="14.25" customHeight="1">
      <c r="A325" s="59"/>
      <c r="B325" s="97"/>
      <c r="C325" s="97"/>
      <c r="D325" s="97"/>
      <c r="E325" s="97"/>
      <c r="F325" s="97"/>
      <c r="G325" s="97"/>
      <c r="H325" s="99"/>
      <c r="I325" s="123"/>
      <c r="J325" s="123"/>
      <c r="K325" s="97"/>
      <c r="L325" s="97"/>
      <c r="M325" s="66"/>
      <c r="N325" s="97"/>
      <c r="O325" s="97"/>
      <c r="P325" s="97"/>
      <c r="Q325" s="97"/>
      <c r="R325" s="97"/>
      <c r="S325" s="97"/>
      <c r="T325" s="97"/>
      <c r="U325" s="97"/>
      <c r="V325" s="97"/>
      <c r="W325" s="97"/>
      <c r="X325" s="97"/>
      <c r="Y325" s="97"/>
      <c r="Z325" s="97"/>
      <c r="AA325" s="97"/>
      <c r="AB325" s="97"/>
      <c r="AC325" s="97"/>
      <c r="AD325" s="97"/>
      <c r="AE325" s="97"/>
    </row>
    <row r="326" ht="14.25" customHeight="1">
      <c r="A326" s="59"/>
      <c r="B326" s="97"/>
      <c r="C326" s="97"/>
      <c r="D326" s="97"/>
      <c r="E326" s="97"/>
      <c r="F326" s="97"/>
      <c r="G326" s="97"/>
      <c r="H326" s="99"/>
      <c r="I326" s="123"/>
      <c r="J326" s="123"/>
      <c r="K326" s="97"/>
      <c r="L326" s="97"/>
      <c r="M326" s="66"/>
      <c r="N326" s="97"/>
      <c r="O326" s="97"/>
      <c r="P326" s="97"/>
      <c r="Q326" s="97"/>
      <c r="R326" s="97"/>
      <c r="S326" s="97"/>
      <c r="T326" s="97"/>
      <c r="U326" s="97"/>
      <c r="V326" s="97"/>
      <c r="W326" s="97"/>
      <c r="X326" s="97"/>
      <c r="Y326" s="97"/>
      <c r="Z326" s="97"/>
      <c r="AA326" s="97"/>
      <c r="AB326" s="97"/>
      <c r="AC326" s="97"/>
      <c r="AD326" s="97"/>
      <c r="AE326" s="97"/>
    </row>
    <row r="327" ht="14.25" customHeight="1">
      <c r="A327" s="59"/>
      <c r="B327" s="97"/>
      <c r="C327" s="97"/>
      <c r="D327" s="97"/>
      <c r="E327" s="97"/>
      <c r="F327" s="97"/>
      <c r="G327" s="97"/>
      <c r="H327" s="99"/>
      <c r="I327" s="123"/>
      <c r="J327" s="123"/>
      <c r="K327" s="97"/>
      <c r="L327" s="97"/>
      <c r="M327" s="66"/>
      <c r="N327" s="97"/>
      <c r="O327" s="97"/>
      <c r="P327" s="97"/>
      <c r="Q327" s="97"/>
      <c r="R327" s="97"/>
      <c r="S327" s="97"/>
      <c r="T327" s="97"/>
      <c r="U327" s="97"/>
      <c r="V327" s="97"/>
      <c r="W327" s="97"/>
      <c r="X327" s="97"/>
      <c r="Y327" s="97"/>
      <c r="Z327" s="97"/>
      <c r="AA327" s="97"/>
      <c r="AB327" s="97"/>
      <c r="AC327" s="97"/>
      <c r="AD327" s="97"/>
      <c r="AE327" s="97"/>
    </row>
    <row r="328" ht="14.25" customHeight="1">
      <c r="A328" s="59"/>
      <c r="B328" s="97"/>
      <c r="C328" s="97"/>
      <c r="D328" s="97"/>
      <c r="E328" s="97"/>
      <c r="F328" s="97"/>
      <c r="G328" s="97"/>
      <c r="H328" s="99"/>
      <c r="I328" s="123"/>
      <c r="J328" s="123"/>
      <c r="K328" s="97"/>
      <c r="L328" s="97"/>
      <c r="M328" s="66"/>
      <c r="N328" s="97"/>
      <c r="O328" s="97"/>
      <c r="P328" s="97"/>
      <c r="Q328" s="97"/>
      <c r="R328" s="97"/>
      <c r="S328" s="97"/>
      <c r="T328" s="97"/>
      <c r="U328" s="97"/>
      <c r="V328" s="97"/>
      <c r="W328" s="97"/>
      <c r="X328" s="97"/>
      <c r="Y328" s="97"/>
      <c r="Z328" s="97"/>
      <c r="AA328" s="97"/>
      <c r="AB328" s="97"/>
      <c r="AC328" s="97"/>
      <c r="AD328" s="97"/>
      <c r="AE328" s="97"/>
    </row>
    <row r="329" ht="14.25" customHeight="1">
      <c r="A329" s="59"/>
      <c r="B329" s="97"/>
      <c r="C329" s="97"/>
      <c r="D329" s="97"/>
      <c r="E329" s="97"/>
      <c r="F329" s="97"/>
      <c r="G329" s="97"/>
      <c r="H329" s="99"/>
      <c r="I329" s="123"/>
      <c r="J329" s="123"/>
      <c r="K329" s="97"/>
      <c r="L329" s="97"/>
      <c r="M329" s="66"/>
      <c r="N329" s="97"/>
      <c r="O329" s="97"/>
      <c r="P329" s="97"/>
      <c r="Q329" s="97"/>
      <c r="R329" s="97"/>
      <c r="S329" s="97"/>
      <c r="T329" s="97"/>
      <c r="U329" s="97"/>
      <c r="V329" s="97"/>
      <c r="W329" s="97"/>
      <c r="X329" s="97"/>
      <c r="Y329" s="97"/>
      <c r="Z329" s="97"/>
      <c r="AA329" s="97"/>
      <c r="AB329" s="97"/>
      <c r="AC329" s="97"/>
      <c r="AD329" s="97"/>
      <c r="AE329" s="97"/>
    </row>
    <row r="330" ht="14.25" customHeight="1">
      <c r="A330" s="59"/>
      <c r="B330" s="97"/>
      <c r="C330" s="97"/>
      <c r="D330" s="97"/>
      <c r="E330" s="97"/>
      <c r="F330" s="97"/>
      <c r="G330" s="97"/>
      <c r="H330" s="99"/>
      <c r="I330" s="123"/>
      <c r="J330" s="123"/>
      <c r="K330" s="97"/>
      <c r="L330" s="97"/>
      <c r="M330" s="66"/>
      <c r="N330" s="97"/>
      <c r="O330" s="97"/>
      <c r="P330" s="97"/>
      <c r="Q330" s="97"/>
      <c r="R330" s="97"/>
      <c r="S330" s="97"/>
      <c r="T330" s="97"/>
      <c r="U330" s="97"/>
      <c r="V330" s="97"/>
      <c r="W330" s="97"/>
      <c r="X330" s="97"/>
      <c r="Y330" s="97"/>
      <c r="Z330" s="97"/>
      <c r="AA330" s="97"/>
      <c r="AB330" s="97"/>
      <c r="AC330" s="97"/>
      <c r="AD330" s="97"/>
      <c r="AE330" s="97"/>
    </row>
    <row r="331" ht="14.25" customHeight="1">
      <c r="A331" s="59"/>
      <c r="B331" s="97"/>
      <c r="C331" s="97"/>
      <c r="D331" s="97"/>
      <c r="E331" s="97"/>
      <c r="F331" s="97"/>
      <c r="G331" s="97"/>
      <c r="H331" s="99"/>
      <c r="I331" s="123"/>
      <c r="J331" s="123"/>
      <c r="K331" s="97"/>
      <c r="L331" s="97"/>
      <c r="M331" s="66"/>
      <c r="N331" s="97"/>
      <c r="O331" s="97"/>
      <c r="P331" s="97"/>
      <c r="Q331" s="97"/>
      <c r="R331" s="97"/>
      <c r="S331" s="97"/>
      <c r="T331" s="97"/>
      <c r="U331" s="97"/>
      <c r="V331" s="97"/>
      <c r="W331" s="97"/>
      <c r="X331" s="97"/>
      <c r="Y331" s="97"/>
      <c r="Z331" s="97"/>
      <c r="AA331" s="97"/>
      <c r="AB331" s="97"/>
      <c r="AC331" s="97"/>
      <c r="AD331" s="97"/>
      <c r="AE331" s="97"/>
    </row>
    <row r="332" ht="14.25" customHeight="1">
      <c r="A332" s="59"/>
      <c r="B332" s="97"/>
      <c r="C332" s="97"/>
      <c r="D332" s="97"/>
      <c r="E332" s="97"/>
      <c r="F332" s="97"/>
      <c r="G332" s="97"/>
      <c r="H332" s="99"/>
      <c r="I332" s="123"/>
      <c r="J332" s="123"/>
      <c r="K332" s="97"/>
      <c r="L332" s="97"/>
      <c r="M332" s="66"/>
      <c r="N332" s="97"/>
      <c r="O332" s="97"/>
      <c r="P332" s="97"/>
      <c r="Q332" s="97"/>
      <c r="R332" s="97"/>
      <c r="S332" s="97"/>
      <c r="T332" s="97"/>
      <c r="U332" s="97"/>
      <c r="V332" s="97"/>
      <c r="W332" s="97"/>
      <c r="X332" s="97"/>
      <c r="Y332" s="97"/>
      <c r="Z332" s="97"/>
      <c r="AA332" s="97"/>
      <c r="AB332" s="97"/>
      <c r="AC332" s="97"/>
      <c r="AD332" s="97"/>
      <c r="AE332" s="97"/>
    </row>
    <row r="333" ht="14.25" customHeight="1">
      <c r="A333" s="59"/>
      <c r="B333" s="97"/>
      <c r="C333" s="97"/>
      <c r="D333" s="97"/>
      <c r="E333" s="97"/>
      <c r="F333" s="97"/>
      <c r="G333" s="97"/>
      <c r="H333" s="99"/>
      <c r="I333" s="123"/>
      <c r="J333" s="123"/>
      <c r="K333" s="97"/>
      <c r="L333" s="97"/>
      <c r="M333" s="66"/>
      <c r="N333" s="97"/>
      <c r="O333" s="97"/>
      <c r="P333" s="97"/>
      <c r="Q333" s="97"/>
      <c r="R333" s="97"/>
      <c r="S333" s="97"/>
      <c r="T333" s="97"/>
      <c r="U333" s="97"/>
      <c r="V333" s="97"/>
      <c r="W333" s="97"/>
      <c r="X333" s="97"/>
      <c r="Y333" s="97"/>
      <c r="Z333" s="97"/>
      <c r="AA333" s="97"/>
      <c r="AB333" s="97"/>
      <c r="AC333" s="97"/>
      <c r="AD333" s="97"/>
      <c r="AE333" s="97"/>
    </row>
    <row r="334" ht="14.25" customHeight="1">
      <c r="A334" s="59"/>
      <c r="B334" s="97"/>
      <c r="C334" s="97"/>
      <c r="D334" s="97"/>
      <c r="E334" s="97"/>
      <c r="F334" s="97"/>
      <c r="G334" s="97"/>
      <c r="H334" s="99"/>
      <c r="I334" s="123"/>
      <c r="J334" s="123"/>
      <c r="K334" s="97"/>
      <c r="L334" s="97"/>
      <c r="M334" s="66"/>
      <c r="N334" s="97"/>
      <c r="O334" s="97"/>
      <c r="P334" s="97"/>
      <c r="Q334" s="97"/>
      <c r="R334" s="97"/>
      <c r="S334" s="97"/>
      <c r="T334" s="97"/>
      <c r="U334" s="97"/>
      <c r="V334" s="97"/>
      <c r="W334" s="97"/>
      <c r="X334" s="97"/>
      <c r="Y334" s="97"/>
      <c r="Z334" s="97"/>
      <c r="AA334" s="97"/>
      <c r="AB334" s="97"/>
      <c r="AC334" s="97"/>
      <c r="AD334" s="97"/>
      <c r="AE334" s="97"/>
    </row>
    <row r="335" ht="14.25" customHeight="1">
      <c r="A335" s="59"/>
      <c r="B335" s="97"/>
      <c r="C335" s="97"/>
      <c r="D335" s="97"/>
      <c r="E335" s="97"/>
      <c r="F335" s="97"/>
      <c r="G335" s="97"/>
      <c r="H335" s="99"/>
      <c r="I335" s="123"/>
      <c r="J335" s="123"/>
      <c r="K335" s="97"/>
      <c r="L335" s="97"/>
      <c r="M335" s="66"/>
      <c r="N335" s="97"/>
      <c r="O335" s="97"/>
      <c r="P335" s="97"/>
      <c r="Q335" s="97"/>
      <c r="R335" s="97"/>
      <c r="S335" s="97"/>
      <c r="T335" s="97"/>
      <c r="U335" s="97"/>
      <c r="V335" s="97"/>
      <c r="W335" s="97"/>
      <c r="X335" s="97"/>
      <c r="Y335" s="97"/>
      <c r="Z335" s="97"/>
      <c r="AA335" s="97"/>
      <c r="AB335" s="97"/>
      <c r="AC335" s="97"/>
      <c r="AD335" s="97"/>
      <c r="AE335" s="97"/>
    </row>
    <row r="336" ht="14.25" customHeight="1">
      <c r="A336" s="59"/>
      <c r="B336" s="97"/>
      <c r="C336" s="97"/>
      <c r="D336" s="97"/>
      <c r="E336" s="97"/>
      <c r="F336" s="97"/>
      <c r="G336" s="97"/>
      <c r="H336" s="99"/>
      <c r="I336" s="123"/>
      <c r="J336" s="123"/>
      <c r="K336" s="97"/>
      <c r="L336" s="97"/>
      <c r="M336" s="66"/>
      <c r="N336" s="97"/>
      <c r="O336" s="97"/>
      <c r="P336" s="97"/>
      <c r="Q336" s="97"/>
      <c r="R336" s="97"/>
      <c r="S336" s="97"/>
      <c r="T336" s="97"/>
      <c r="U336" s="97"/>
      <c r="V336" s="97"/>
      <c r="W336" s="97"/>
      <c r="X336" s="97"/>
      <c r="Y336" s="97"/>
      <c r="Z336" s="97"/>
      <c r="AA336" s="97"/>
      <c r="AB336" s="97"/>
      <c r="AC336" s="97"/>
      <c r="AD336" s="97"/>
      <c r="AE336" s="97"/>
    </row>
    <row r="337" ht="14.25" customHeight="1">
      <c r="A337" s="59"/>
      <c r="B337" s="97"/>
      <c r="C337" s="97"/>
      <c r="D337" s="97"/>
      <c r="E337" s="97"/>
      <c r="F337" s="97"/>
      <c r="G337" s="97"/>
      <c r="H337" s="99"/>
      <c r="I337" s="123"/>
      <c r="J337" s="123"/>
      <c r="K337" s="97"/>
      <c r="L337" s="97"/>
      <c r="M337" s="66"/>
      <c r="N337" s="97"/>
      <c r="O337" s="97"/>
      <c r="P337" s="97"/>
      <c r="Q337" s="97"/>
      <c r="R337" s="97"/>
      <c r="S337" s="97"/>
      <c r="T337" s="97"/>
      <c r="U337" s="97"/>
      <c r="V337" s="97"/>
      <c r="W337" s="97"/>
      <c r="X337" s="97"/>
      <c r="Y337" s="97"/>
      <c r="Z337" s="97"/>
      <c r="AA337" s="97"/>
      <c r="AB337" s="97"/>
      <c r="AC337" s="97"/>
      <c r="AD337" s="97"/>
      <c r="AE337" s="97"/>
    </row>
    <row r="338" ht="14.25" customHeight="1">
      <c r="A338" s="59"/>
      <c r="B338" s="97"/>
      <c r="C338" s="97"/>
      <c r="D338" s="97"/>
      <c r="E338" s="97"/>
      <c r="F338" s="97"/>
      <c r="G338" s="97"/>
      <c r="H338" s="99"/>
      <c r="I338" s="123"/>
      <c r="J338" s="123"/>
      <c r="K338" s="97"/>
      <c r="L338" s="97"/>
      <c r="M338" s="66"/>
      <c r="N338" s="97"/>
      <c r="O338" s="97"/>
      <c r="P338" s="97"/>
      <c r="Q338" s="97"/>
      <c r="R338" s="97"/>
      <c r="S338" s="97"/>
      <c r="T338" s="97"/>
      <c r="U338" s="97"/>
      <c r="V338" s="97"/>
      <c r="W338" s="97"/>
      <c r="X338" s="97"/>
      <c r="Y338" s="97"/>
      <c r="Z338" s="97"/>
      <c r="AA338" s="97"/>
      <c r="AB338" s="97"/>
      <c r="AC338" s="97"/>
      <c r="AD338" s="97"/>
      <c r="AE338" s="97"/>
    </row>
    <row r="339" ht="14.25" customHeight="1">
      <c r="A339" s="59"/>
      <c r="B339" s="97"/>
      <c r="C339" s="97"/>
      <c r="D339" s="97"/>
      <c r="E339" s="97"/>
      <c r="F339" s="97"/>
      <c r="G339" s="97"/>
      <c r="H339" s="99"/>
      <c r="I339" s="123"/>
      <c r="J339" s="123"/>
      <c r="K339" s="97"/>
      <c r="L339" s="97"/>
      <c r="M339" s="66"/>
      <c r="N339" s="97"/>
      <c r="O339" s="97"/>
      <c r="P339" s="97"/>
      <c r="Q339" s="97"/>
      <c r="R339" s="97"/>
      <c r="S339" s="97"/>
      <c r="T339" s="97"/>
      <c r="U339" s="97"/>
      <c r="V339" s="97"/>
      <c r="W339" s="97"/>
      <c r="X339" s="97"/>
      <c r="Y339" s="97"/>
      <c r="Z339" s="97"/>
      <c r="AA339" s="97"/>
      <c r="AB339" s="97"/>
      <c r="AC339" s="97"/>
      <c r="AD339" s="97"/>
      <c r="AE339" s="97"/>
    </row>
    <row r="340" ht="14.25" customHeight="1">
      <c r="A340" s="59"/>
      <c r="B340" s="97"/>
      <c r="C340" s="97"/>
      <c r="D340" s="97"/>
      <c r="E340" s="97"/>
      <c r="F340" s="97"/>
      <c r="G340" s="97"/>
      <c r="H340" s="99"/>
      <c r="I340" s="123"/>
      <c r="J340" s="123"/>
      <c r="K340" s="97"/>
      <c r="L340" s="97"/>
      <c r="M340" s="66"/>
      <c r="N340" s="97"/>
      <c r="O340" s="97"/>
      <c r="P340" s="97"/>
      <c r="Q340" s="97"/>
      <c r="R340" s="97"/>
      <c r="S340" s="97"/>
      <c r="T340" s="97"/>
      <c r="U340" s="97"/>
      <c r="V340" s="97"/>
      <c r="W340" s="97"/>
      <c r="X340" s="97"/>
      <c r="Y340" s="97"/>
      <c r="Z340" s="97"/>
      <c r="AA340" s="97"/>
      <c r="AB340" s="97"/>
      <c r="AC340" s="97"/>
      <c r="AD340" s="97"/>
      <c r="AE340" s="97"/>
    </row>
    <row r="341" ht="14.25" customHeight="1">
      <c r="A341" s="59"/>
      <c r="B341" s="97"/>
      <c r="C341" s="97"/>
      <c r="D341" s="97"/>
      <c r="E341" s="97"/>
      <c r="F341" s="97"/>
      <c r="G341" s="97"/>
      <c r="H341" s="99"/>
      <c r="I341" s="123"/>
      <c r="J341" s="123"/>
      <c r="K341" s="97"/>
      <c r="L341" s="97"/>
      <c r="M341" s="66"/>
      <c r="N341" s="97"/>
      <c r="O341" s="97"/>
      <c r="P341" s="97"/>
      <c r="Q341" s="97"/>
      <c r="R341" s="97"/>
      <c r="S341" s="97"/>
      <c r="T341" s="97"/>
      <c r="U341" s="97"/>
      <c r="V341" s="97"/>
      <c r="W341" s="97"/>
      <c r="X341" s="97"/>
      <c r="Y341" s="97"/>
      <c r="Z341" s="97"/>
      <c r="AA341" s="97"/>
      <c r="AB341" s="97"/>
      <c r="AC341" s="97"/>
      <c r="AD341" s="97"/>
      <c r="AE341" s="97"/>
    </row>
    <row r="342" ht="14.25" customHeight="1">
      <c r="A342" s="59"/>
      <c r="B342" s="97"/>
      <c r="C342" s="97"/>
      <c r="D342" s="97"/>
      <c r="E342" s="97"/>
      <c r="F342" s="97"/>
      <c r="G342" s="97"/>
      <c r="H342" s="99"/>
      <c r="I342" s="123"/>
      <c r="J342" s="123"/>
      <c r="K342" s="97"/>
      <c r="L342" s="97"/>
      <c r="M342" s="66"/>
      <c r="N342" s="97"/>
      <c r="O342" s="97"/>
      <c r="P342" s="97"/>
      <c r="Q342" s="97"/>
      <c r="R342" s="97"/>
      <c r="S342" s="97"/>
      <c r="T342" s="97"/>
      <c r="U342" s="97"/>
      <c r="V342" s="97"/>
      <c r="W342" s="97"/>
      <c r="X342" s="97"/>
      <c r="Y342" s="97"/>
      <c r="Z342" s="97"/>
      <c r="AA342" s="97"/>
      <c r="AB342" s="97"/>
      <c r="AC342" s="97"/>
      <c r="AD342" s="97"/>
      <c r="AE342" s="97"/>
    </row>
    <row r="343" ht="14.25" customHeight="1">
      <c r="A343" s="59"/>
      <c r="B343" s="97"/>
      <c r="C343" s="97"/>
      <c r="D343" s="97"/>
      <c r="E343" s="97"/>
      <c r="F343" s="97"/>
      <c r="G343" s="97"/>
      <c r="H343" s="99"/>
      <c r="I343" s="123"/>
      <c r="J343" s="123"/>
      <c r="K343" s="97"/>
      <c r="L343" s="97"/>
      <c r="M343" s="66"/>
      <c r="N343" s="97"/>
      <c r="O343" s="97"/>
      <c r="P343" s="97"/>
      <c r="Q343" s="97"/>
      <c r="R343" s="97"/>
      <c r="S343" s="97"/>
      <c r="T343" s="97"/>
      <c r="U343" s="97"/>
      <c r="V343" s="97"/>
      <c r="W343" s="97"/>
      <c r="X343" s="97"/>
      <c r="Y343" s="97"/>
      <c r="Z343" s="97"/>
      <c r="AA343" s="97"/>
      <c r="AB343" s="97"/>
      <c r="AC343" s="97"/>
      <c r="AD343" s="97"/>
      <c r="AE343" s="97"/>
    </row>
    <row r="344" ht="14.25" customHeight="1">
      <c r="A344" s="59"/>
      <c r="B344" s="97"/>
      <c r="C344" s="97"/>
      <c r="D344" s="97"/>
      <c r="E344" s="97"/>
      <c r="F344" s="97"/>
      <c r="G344" s="97"/>
      <c r="H344" s="99"/>
      <c r="I344" s="123"/>
      <c r="J344" s="123"/>
      <c r="K344" s="97"/>
      <c r="L344" s="97"/>
      <c r="M344" s="66"/>
      <c r="N344" s="97"/>
      <c r="O344" s="97"/>
      <c r="P344" s="97"/>
      <c r="Q344" s="97"/>
      <c r="R344" s="97"/>
      <c r="S344" s="97"/>
      <c r="T344" s="97"/>
      <c r="U344" s="97"/>
      <c r="V344" s="97"/>
      <c r="W344" s="97"/>
      <c r="X344" s="97"/>
      <c r="Y344" s="97"/>
      <c r="Z344" s="97"/>
      <c r="AA344" s="97"/>
      <c r="AB344" s="97"/>
      <c r="AC344" s="97"/>
      <c r="AD344" s="97"/>
      <c r="AE344" s="97"/>
    </row>
    <row r="345" ht="14.25" customHeight="1">
      <c r="A345" s="59"/>
      <c r="B345" s="97"/>
      <c r="C345" s="97"/>
      <c r="D345" s="97"/>
      <c r="E345" s="97"/>
      <c r="F345" s="97"/>
      <c r="G345" s="97"/>
      <c r="H345" s="99"/>
      <c r="I345" s="123"/>
      <c r="J345" s="123"/>
      <c r="K345" s="97"/>
      <c r="L345" s="97"/>
      <c r="M345" s="66"/>
      <c r="N345" s="97"/>
      <c r="O345" s="97"/>
      <c r="P345" s="97"/>
      <c r="Q345" s="97"/>
      <c r="R345" s="97"/>
      <c r="S345" s="97"/>
      <c r="T345" s="97"/>
      <c r="U345" s="97"/>
      <c r="V345" s="97"/>
      <c r="W345" s="97"/>
      <c r="X345" s="97"/>
      <c r="Y345" s="97"/>
      <c r="Z345" s="97"/>
      <c r="AA345" s="97"/>
      <c r="AB345" s="97"/>
      <c r="AC345" s="97"/>
      <c r="AD345" s="97"/>
      <c r="AE345" s="97"/>
    </row>
    <row r="346" ht="14.25" customHeight="1">
      <c r="A346" s="59"/>
      <c r="B346" s="97"/>
      <c r="C346" s="97"/>
      <c r="D346" s="97"/>
      <c r="E346" s="97"/>
      <c r="F346" s="97"/>
      <c r="G346" s="97"/>
      <c r="H346" s="99"/>
      <c r="I346" s="123"/>
      <c r="J346" s="123"/>
      <c r="K346" s="97"/>
      <c r="L346" s="97"/>
      <c r="M346" s="66"/>
      <c r="N346" s="97"/>
      <c r="O346" s="97"/>
      <c r="P346" s="97"/>
      <c r="Q346" s="97"/>
      <c r="R346" s="97"/>
      <c r="S346" s="97"/>
      <c r="T346" s="97"/>
      <c r="U346" s="97"/>
      <c r="V346" s="97"/>
      <c r="W346" s="97"/>
      <c r="X346" s="97"/>
      <c r="Y346" s="97"/>
      <c r="Z346" s="97"/>
      <c r="AA346" s="97"/>
      <c r="AB346" s="97"/>
      <c r="AC346" s="97"/>
      <c r="AD346" s="97"/>
      <c r="AE346" s="97"/>
    </row>
    <row r="347" ht="14.25" customHeight="1">
      <c r="A347" s="59"/>
      <c r="B347" s="97"/>
      <c r="C347" s="97"/>
      <c r="D347" s="97"/>
      <c r="E347" s="97"/>
      <c r="F347" s="97"/>
      <c r="G347" s="97"/>
      <c r="H347" s="99"/>
      <c r="I347" s="123"/>
      <c r="J347" s="123"/>
      <c r="K347" s="97"/>
      <c r="L347" s="97"/>
      <c r="M347" s="66"/>
      <c r="N347" s="97"/>
      <c r="O347" s="97"/>
      <c r="P347" s="97"/>
      <c r="Q347" s="97"/>
      <c r="R347" s="97"/>
      <c r="S347" s="97"/>
      <c r="T347" s="97"/>
      <c r="U347" s="97"/>
      <c r="V347" s="97"/>
      <c r="W347" s="97"/>
      <c r="X347" s="97"/>
      <c r="Y347" s="97"/>
      <c r="Z347" s="97"/>
      <c r="AA347" s="97"/>
      <c r="AB347" s="97"/>
      <c r="AC347" s="97"/>
      <c r="AD347" s="97"/>
      <c r="AE347" s="97"/>
    </row>
    <row r="348" ht="14.25" customHeight="1">
      <c r="A348" s="59"/>
      <c r="B348" s="97"/>
      <c r="C348" s="97"/>
      <c r="D348" s="97"/>
      <c r="E348" s="97"/>
      <c r="F348" s="97"/>
      <c r="G348" s="97"/>
      <c r="H348" s="99"/>
      <c r="I348" s="123"/>
      <c r="J348" s="123"/>
      <c r="K348" s="97"/>
      <c r="L348" s="97"/>
      <c r="M348" s="66"/>
      <c r="N348" s="97"/>
      <c r="O348" s="97"/>
      <c r="P348" s="97"/>
      <c r="Q348" s="97"/>
      <c r="R348" s="97"/>
      <c r="S348" s="97"/>
      <c r="T348" s="97"/>
      <c r="U348" s="97"/>
      <c r="V348" s="97"/>
      <c r="W348" s="97"/>
      <c r="X348" s="97"/>
      <c r="Y348" s="97"/>
      <c r="Z348" s="97"/>
      <c r="AA348" s="97"/>
      <c r="AB348" s="97"/>
      <c r="AC348" s="97"/>
      <c r="AD348" s="97"/>
      <c r="AE348" s="97"/>
    </row>
    <row r="349" ht="14.25" customHeight="1">
      <c r="A349" s="59"/>
      <c r="B349" s="97"/>
      <c r="C349" s="97"/>
      <c r="D349" s="97"/>
      <c r="E349" s="97"/>
      <c r="F349" s="97"/>
      <c r="G349" s="97"/>
      <c r="H349" s="99"/>
      <c r="I349" s="123"/>
      <c r="J349" s="123"/>
      <c r="K349" s="97"/>
      <c r="L349" s="97"/>
      <c r="M349" s="66"/>
      <c r="N349" s="97"/>
      <c r="O349" s="97"/>
      <c r="P349" s="97"/>
      <c r="Q349" s="97"/>
      <c r="R349" s="97"/>
      <c r="S349" s="97"/>
      <c r="T349" s="97"/>
      <c r="U349" s="97"/>
      <c r="V349" s="97"/>
      <c r="W349" s="97"/>
      <c r="X349" s="97"/>
      <c r="Y349" s="97"/>
      <c r="Z349" s="97"/>
      <c r="AA349" s="97"/>
      <c r="AB349" s="97"/>
      <c r="AC349" s="97"/>
      <c r="AD349" s="97"/>
      <c r="AE349" s="97"/>
    </row>
    <row r="350" ht="14.25" customHeight="1">
      <c r="A350" s="59"/>
      <c r="B350" s="97"/>
      <c r="C350" s="97"/>
      <c r="D350" s="97"/>
      <c r="E350" s="97"/>
      <c r="F350" s="97"/>
      <c r="G350" s="97"/>
      <c r="H350" s="99"/>
      <c r="I350" s="123"/>
      <c r="J350" s="123"/>
      <c r="K350" s="97"/>
      <c r="L350" s="97"/>
      <c r="M350" s="66"/>
      <c r="N350" s="97"/>
      <c r="O350" s="97"/>
      <c r="P350" s="97"/>
      <c r="Q350" s="97"/>
      <c r="R350" s="97"/>
      <c r="S350" s="97"/>
      <c r="T350" s="97"/>
      <c r="U350" s="97"/>
      <c r="V350" s="97"/>
      <c r="W350" s="97"/>
      <c r="X350" s="97"/>
      <c r="Y350" s="97"/>
      <c r="Z350" s="97"/>
      <c r="AA350" s="97"/>
      <c r="AB350" s="97"/>
      <c r="AC350" s="97"/>
      <c r="AD350" s="97"/>
      <c r="AE350" s="97"/>
    </row>
    <row r="351" ht="14.25" customHeight="1">
      <c r="A351" s="59"/>
      <c r="B351" s="97"/>
      <c r="C351" s="97"/>
      <c r="D351" s="97"/>
      <c r="E351" s="97"/>
      <c r="F351" s="97"/>
      <c r="G351" s="97"/>
      <c r="H351" s="99"/>
      <c r="I351" s="123"/>
      <c r="J351" s="123"/>
      <c r="K351" s="97"/>
      <c r="L351" s="97"/>
      <c r="M351" s="66"/>
      <c r="N351" s="97"/>
      <c r="O351" s="97"/>
      <c r="P351" s="97"/>
      <c r="Q351" s="97"/>
      <c r="R351" s="97"/>
      <c r="S351" s="97"/>
      <c r="T351" s="97"/>
      <c r="U351" s="97"/>
      <c r="V351" s="97"/>
      <c r="W351" s="97"/>
      <c r="X351" s="97"/>
      <c r="Y351" s="97"/>
      <c r="Z351" s="97"/>
      <c r="AA351" s="97"/>
      <c r="AB351" s="97"/>
      <c r="AC351" s="97"/>
      <c r="AD351" s="97"/>
      <c r="AE351" s="97"/>
    </row>
    <row r="352" ht="14.25" customHeight="1">
      <c r="A352" s="59"/>
      <c r="B352" s="97"/>
      <c r="C352" s="97"/>
      <c r="D352" s="97"/>
      <c r="E352" s="97"/>
      <c r="F352" s="97"/>
      <c r="G352" s="97"/>
      <c r="H352" s="99"/>
      <c r="I352" s="123"/>
      <c r="J352" s="123"/>
      <c r="K352" s="97"/>
      <c r="L352" s="97"/>
      <c r="M352" s="66"/>
      <c r="N352" s="97"/>
      <c r="O352" s="97"/>
      <c r="P352" s="97"/>
      <c r="Q352" s="97"/>
      <c r="R352" s="97"/>
      <c r="S352" s="97"/>
      <c r="T352" s="97"/>
      <c r="U352" s="97"/>
      <c r="V352" s="97"/>
      <c r="W352" s="97"/>
      <c r="X352" s="97"/>
      <c r="Y352" s="97"/>
      <c r="Z352" s="97"/>
      <c r="AA352" s="97"/>
      <c r="AB352" s="97"/>
      <c r="AC352" s="97"/>
      <c r="AD352" s="97"/>
      <c r="AE352" s="97"/>
    </row>
    <row r="353" ht="14.25" customHeight="1">
      <c r="A353" s="59"/>
      <c r="B353" s="97"/>
      <c r="C353" s="97"/>
      <c r="D353" s="97"/>
      <c r="E353" s="97"/>
      <c r="F353" s="97"/>
      <c r="G353" s="97"/>
      <c r="H353" s="99"/>
      <c r="I353" s="123"/>
      <c r="J353" s="123"/>
      <c r="K353" s="97"/>
      <c r="L353" s="97"/>
      <c r="M353" s="66"/>
      <c r="N353" s="97"/>
      <c r="O353" s="97"/>
      <c r="P353" s="97"/>
      <c r="Q353" s="97"/>
      <c r="R353" s="97"/>
      <c r="S353" s="97"/>
      <c r="T353" s="97"/>
      <c r="U353" s="97"/>
      <c r="V353" s="97"/>
      <c r="W353" s="97"/>
      <c r="X353" s="97"/>
      <c r="Y353" s="97"/>
      <c r="Z353" s="97"/>
      <c r="AA353" s="97"/>
      <c r="AB353" s="97"/>
      <c r="AC353" s="97"/>
      <c r="AD353" s="97"/>
      <c r="AE353" s="97"/>
    </row>
    <row r="354" ht="14.25" customHeight="1">
      <c r="A354" s="59"/>
      <c r="B354" s="97"/>
      <c r="C354" s="97"/>
      <c r="D354" s="97"/>
      <c r="E354" s="97"/>
      <c r="F354" s="97"/>
      <c r="G354" s="97"/>
      <c r="H354" s="99"/>
      <c r="I354" s="123"/>
      <c r="J354" s="123"/>
      <c r="K354" s="97"/>
      <c r="L354" s="97"/>
      <c r="M354" s="66"/>
      <c r="N354" s="97"/>
      <c r="O354" s="97"/>
      <c r="P354" s="97"/>
      <c r="Q354" s="97"/>
      <c r="R354" s="97"/>
      <c r="S354" s="97"/>
      <c r="T354" s="97"/>
      <c r="U354" s="97"/>
      <c r="V354" s="97"/>
      <c r="W354" s="97"/>
      <c r="X354" s="97"/>
      <c r="Y354" s="97"/>
      <c r="Z354" s="97"/>
      <c r="AA354" s="97"/>
      <c r="AB354" s="97"/>
      <c r="AC354" s="97"/>
      <c r="AD354" s="97"/>
      <c r="AE354" s="97"/>
    </row>
    <row r="355" ht="14.25" customHeight="1">
      <c r="A355" s="59"/>
      <c r="B355" s="97"/>
      <c r="C355" s="97"/>
      <c r="D355" s="97"/>
      <c r="E355" s="97"/>
      <c r="F355" s="97"/>
      <c r="G355" s="97"/>
      <c r="H355" s="99"/>
      <c r="I355" s="123"/>
      <c r="J355" s="123"/>
      <c r="K355" s="97"/>
      <c r="L355" s="97"/>
      <c r="M355" s="66"/>
      <c r="N355" s="97"/>
      <c r="O355" s="97"/>
      <c r="P355" s="97"/>
      <c r="Q355" s="97"/>
      <c r="R355" s="97"/>
      <c r="S355" s="97"/>
      <c r="T355" s="97"/>
      <c r="U355" s="97"/>
      <c r="V355" s="97"/>
      <c r="W355" s="97"/>
      <c r="X355" s="97"/>
      <c r="Y355" s="97"/>
      <c r="Z355" s="97"/>
      <c r="AA355" s="97"/>
      <c r="AB355" s="97"/>
      <c r="AC355" s="97"/>
      <c r="AD355" s="97"/>
      <c r="AE355" s="97"/>
    </row>
    <row r="356" ht="14.25" customHeight="1">
      <c r="A356" s="59"/>
      <c r="B356" s="97"/>
      <c r="C356" s="97"/>
      <c r="D356" s="97"/>
      <c r="E356" s="97"/>
      <c r="F356" s="97"/>
      <c r="G356" s="97"/>
      <c r="H356" s="99"/>
      <c r="I356" s="123"/>
      <c r="J356" s="123"/>
      <c r="K356" s="97"/>
      <c r="L356" s="97"/>
      <c r="M356" s="66"/>
      <c r="N356" s="97"/>
      <c r="O356" s="97"/>
      <c r="P356" s="97"/>
      <c r="Q356" s="97"/>
      <c r="R356" s="97"/>
      <c r="S356" s="97"/>
      <c r="T356" s="97"/>
      <c r="U356" s="97"/>
      <c r="V356" s="97"/>
      <c r="W356" s="97"/>
      <c r="X356" s="97"/>
      <c r="Y356" s="97"/>
      <c r="Z356" s="97"/>
      <c r="AA356" s="97"/>
      <c r="AB356" s="97"/>
      <c r="AC356" s="97"/>
      <c r="AD356" s="97"/>
      <c r="AE356" s="97"/>
    </row>
    <row r="357" ht="14.25" customHeight="1">
      <c r="A357" s="59"/>
      <c r="B357" s="97"/>
      <c r="C357" s="97"/>
      <c r="D357" s="97"/>
      <c r="E357" s="97"/>
      <c r="F357" s="97"/>
      <c r="G357" s="97"/>
      <c r="H357" s="99"/>
      <c r="I357" s="123"/>
      <c r="J357" s="123"/>
      <c r="K357" s="97"/>
      <c r="L357" s="97"/>
      <c r="M357" s="66"/>
      <c r="N357" s="97"/>
      <c r="O357" s="97"/>
      <c r="P357" s="97"/>
      <c r="Q357" s="97"/>
      <c r="R357" s="97"/>
      <c r="S357" s="97"/>
      <c r="T357" s="97"/>
      <c r="U357" s="97"/>
      <c r="V357" s="97"/>
      <c r="W357" s="97"/>
      <c r="X357" s="97"/>
      <c r="Y357" s="97"/>
      <c r="Z357" s="97"/>
      <c r="AA357" s="97"/>
      <c r="AB357" s="97"/>
      <c r="AC357" s="97"/>
      <c r="AD357" s="97"/>
      <c r="AE357" s="97"/>
    </row>
    <row r="358" ht="14.25" customHeight="1">
      <c r="A358" s="59"/>
      <c r="B358" s="97"/>
      <c r="C358" s="97"/>
      <c r="D358" s="97"/>
      <c r="E358" s="97"/>
      <c r="F358" s="97"/>
      <c r="G358" s="97"/>
      <c r="H358" s="99"/>
      <c r="I358" s="123"/>
      <c r="J358" s="123"/>
      <c r="K358" s="97"/>
      <c r="L358" s="97"/>
      <c r="M358" s="66"/>
      <c r="N358" s="97"/>
      <c r="O358" s="97"/>
      <c r="P358" s="97"/>
      <c r="Q358" s="97"/>
      <c r="R358" s="97"/>
      <c r="S358" s="97"/>
      <c r="T358" s="97"/>
      <c r="U358" s="97"/>
      <c r="V358" s="97"/>
      <c r="W358" s="97"/>
      <c r="X358" s="97"/>
      <c r="Y358" s="97"/>
      <c r="Z358" s="97"/>
      <c r="AA358" s="97"/>
      <c r="AB358" s="97"/>
      <c r="AC358" s="97"/>
      <c r="AD358" s="97"/>
      <c r="AE358" s="97"/>
    </row>
    <row r="359" ht="14.25" customHeight="1">
      <c r="A359" s="59"/>
      <c r="B359" s="97"/>
      <c r="C359" s="97"/>
      <c r="D359" s="97"/>
      <c r="E359" s="97"/>
      <c r="F359" s="97"/>
      <c r="G359" s="97"/>
      <c r="H359" s="99"/>
      <c r="I359" s="123"/>
      <c r="J359" s="123"/>
      <c r="K359" s="97"/>
      <c r="L359" s="97"/>
      <c r="M359" s="66"/>
      <c r="N359" s="97"/>
      <c r="O359" s="97"/>
      <c r="P359" s="97"/>
      <c r="Q359" s="97"/>
      <c r="R359" s="97"/>
      <c r="S359" s="97"/>
      <c r="T359" s="97"/>
      <c r="U359" s="97"/>
      <c r="V359" s="97"/>
      <c r="W359" s="97"/>
      <c r="X359" s="97"/>
      <c r="Y359" s="97"/>
      <c r="Z359" s="97"/>
      <c r="AA359" s="97"/>
      <c r="AB359" s="97"/>
      <c r="AC359" s="97"/>
      <c r="AD359" s="97"/>
      <c r="AE359" s="97"/>
    </row>
    <row r="360" ht="14.25" customHeight="1">
      <c r="A360" s="59"/>
      <c r="B360" s="97"/>
      <c r="C360" s="97"/>
      <c r="D360" s="97"/>
      <c r="E360" s="97"/>
      <c r="F360" s="97"/>
      <c r="G360" s="97"/>
      <c r="H360" s="99"/>
      <c r="I360" s="123"/>
      <c r="J360" s="123"/>
      <c r="K360" s="97"/>
      <c r="L360" s="97"/>
      <c r="M360" s="66"/>
      <c r="N360" s="97"/>
      <c r="O360" s="97"/>
      <c r="P360" s="97"/>
      <c r="Q360" s="97"/>
      <c r="R360" s="97"/>
      <c r="S360" s="97"/>
      <c r="T360" s="97"/>
      <c r="U360" s="97"/>
      <c r="V360" s="97"/>
      <c r="W360" s="97"/>
      <c r="X360" s="97"/>
      <c r="Y360" s="97"/>
      <c r="Z360" s="97"/>
      <c r="AA360" s="97"/>
      <c r="AB360" s="97"/>
      <c r="AC360" s="97"/>
      <c r="AD360" s="97"/>
      <c r="AE360" s="97"/>
    </row>
    <row r="361" ht="14.25" customHeight="1">
      <c r="A361" s="59"/>
      <c r="B361" s="97"/>
      <c r="C361" s="97"/>
      <c r="D361" s="97"/>
      <c r="E361" s="97"/>
      <c r="F361" s="97"/>
      <c r="G361" s="97"/>
      <c r="H361" s="99"/>
      <c r="I361" s="123"/>
      <c r="J361" s="123"/>
      <c r="K361" s="97"/>
      <c r="L361" s="97"/>
      <c r="M361" s="66"/>
      <c r="N361" s="97"/>
      <c r="O361" s="97"/>
      <c r="P361" s="97"/>
      <c r="Q361" s="97"/>
      <c r="R361" s="97"/>
      <c r="S361" s="97"/>
      <c r="T361" s="97"/>
      <c r="U361" s="97"/>
      <c r="V361" s="97"/>
      <c r="W361" s="97"/>
      <c r="X361" s="97"/>
      <c r="Y361" s="97"/>
      <c r="Z361" s="97"/>
      <c r="AA361" s="97"/>
      <c r="AB361" s="97"/>
      <c r="AC361" s="97"/>
      <c r="AD361" s="97"/>
      <c r="AE361" s="97"/>
    </row>
    <row r="362" ht="14.25" customHeight="1">
      <c r="A362" s="59"/>
      <c r="B362" s="97"/>
      <c r="C362" s="97"/>
      <c r="D362" s="97"/>
      <c r="E362" s="97"/>
      <c r="F362" s="97"/>
      <c r="G362" s="97"/>
      <c r="H362" s="99"/>
      <c r="I362" s="123"/>
      <c r="J362" s="123"/>
      <c r="K362" s="97"/>
      <c r="L362" s="97"/>
      <c r="M362" s="66"/>
      <c r="N362" s="97"/>
      <c r="O362" s="97"/>
      <c r="P362" s="97"/>
      <c r="Q362" s="97"/>
      <c r="R362" s="97"/>
      <c r="S362" s="97"/>
      <c r="T362" s="97"/>
      <c r="U362" s="97"/>
      <c r="V362" s="97"/>
      <c r="W362" s="97"/>
      <c r="X362" s="97"/>
      <c r="Y362" s="97"/>
      <c r="Z362" s="97"/>
      <c r="AA362" s="97"/>
      <c r="AB362" s="97"/>
      <c r="AC362" s="97"/>
      <c r="AD362" s="97"/>
      <c r="AE362" s="97"/>
    </row>
    <row r="363" ht="14.25" customHeight="1">
      <c r="A363" s="59"/>
      <c r="B363" s="97"/>
      <c r="C363" s="97"/>
      <c r="D363" s="97"/>
      <c r="E363" s="97"/>
      <c r="F363" s="97"/>
      <c r="G363" s="97"/>
      <c r="H363" s="99"/>
      <c r="I363" s="123"/>
      <c r="J363" s="123"/>
      <c r="K363" s="97"/>
      <c r="L363" s="97"/>
      <c r="M363" s="66"/>
      <c r="N363" s="97"/>
      <c r="O363" s="97"/>
      <c r="P363" s="97"/>
      <c r="Q363" s="97"/>
      <c r="R363" s="97"/>
      <c r="S363" s="97"/>
      <c r="T363" s="97"/>
      <c r="U363" s="97"/>
      <c r="V363" s="97"/>
      <c r="W363" s="97"/>
      <c r="X363" s="97"/>
      <c r="Y363" s="97"/>
      <c r="Z363" s="97"/>
      <c r="AA363" s="97"/>
      <c r="AB363" s="97"/>
      <c r="AC363" s="97"/>
      <c r="AD363" s="97"/>
      <c r="AE363" s="97"/>
    </row>
    <row r="364" ht="14.25" customHeight="1">
      <c r="A364" s="59"/>
      <c r="B364" s="97"/>
      <c r="C364" s="97"/>
      <c r="D364" s="97"/>
      <c r="E364" s="97"/>
      <c r="F364" s="97"/>
      <c r="G364" s="97"/>
      <c r="H364" s="99"/>
      <c r="I364" s="123"/>
      <c r="J364" s="123"/>
      <c r="K364" s="97"/>
      <c r="L364" s="97"/>
      <c r="M364" s="66"/>
      <c r="N364" s="97"/>
      <c r="O364" s="97"/>
      <c r="P364" s="97"/>
      <c r="Q364" s="97"/>
      <c r="R364" s="97"/>
      <c r="S364" s="97"/>
      <c r="T364" s="97"/>
      <c r="U364" s="97"/>
      <c r="V364" s="97"/>
      <c r="W364" s="97"/>
      <c r="X364" s="97"/>
      <c r="Y364" s="97"/>
      <c r="Z364" s="97"/>
      <c r="AA364" s="97"/>
      <c r="AB364" s="97"/>
      <c r="AC364" s="97"/>
      <c r="AD364" s="97"/>
      <c r="AE364" s="97"/>
    </row>
    <row r="365" ht="14.25" customHeight="1">
      <c r="A365" s="59"/>
      <c r="B365" s="97"/>
      <c r="C365" s="97"/>
      <c r="D365" s="97"/>
      <c r="E365" s="97"/>
      <c r="F365" s="97"/>
      <c r="G365" s="97"/>
      <c r="H365" s="99"/>
      <c r="I365" s="123"/>
      <c r="J365" s="123"/>
      <c r="K365" s="97"/>
      <c r="L365" s="97"/>
      <c r="M365" s="66"/>
      <c r="N365" s="97"/>
      <c r="O365" s="97"/>
      <c r="P365" s="97"/>
      <c r="Q365" s="97"/>
      <c r="R365" s="97"/>
      <c r="S365" s="97"/>
      <c r="T365" s="97"/>
      <c r="U365" s="97"/>
      <c r="V365" s="97"/>
      <c r="W365" s="97"/>
      <c r="X365" s="97"/>
      <c r="Y365" s="97"/>
      <c r="Z365" s="97"/>
      <c r="AA365" s="97"/>
      <c r="AB365" s="97"/>
      <c r="AC365" s="97"/>
      <c r="AD365" s="97"/>
      <c r="AE365" s="97"/>
    </row>
    <row r="366" ht="14.25" customHeight="1">
      <c r="A366" s="59"/>
      <c r="B366" s="97"/>
      <c r="C366" s="97"/>
      <c r="D366" s="97"/>
      <c r="E366" s="97"/>
      <c r="F366" s="97"/>
      <c r="G366" s="97"/>
      <c r="H366" s="99"/>
      <c r="I366" s="123"/>
      <c r="J366" s="123"/>
      <c r="K366" s="97"/>
      <c r="L366" s="97"/>
      <c r="M366" s="66"/>
      <c r="N366" s="97"/>
      <c r="O366" s="97"/>
      <c r="P366" s="97"/>
      <c r="Q366" s="97"/>
      <c r="R366" s="97"/>
      <c r="S366" s="97"/>
      <c r="T366" s="97"/>
      <c r="U366" s="97"/>
      <c r="V366" s="97"/>
      <c r="W366" s="97"/>
      <c r="X366" s="97"/>
      <c r="Y366" s="97"/>
      <c r="Z366" s="97"/>
      <c r="AA366" s="97"/>
      <c r="AB366" s="97"/>
      <c r="AC366" s="97"/>
      <c r="AD366" s="97"/>
      <c r="AE366" s="97"/>
    </row>
    <row r="367" ht="14.25" customHeight="1">
      <c r="A367" s="59"/>
      <c r="B367" s="97"/>
      <c r="C367" s="97"/>
      <c r="D367" s="97"/>
      <c r="E367" s="97"/>
      <c r="F367" s="97"/>
      <c r="G367" s="97"/>
      <c r="H367" s="99"/>
      <c r="I367" s="123"/>
      <c r="J367" s="123"/>
      <c r="K367" s="97"/>
      <c r="L367" s="97"/>
      <c r="M367" s="66"/>
      <c r="N367" s="97"/>
      <c r="O367" s="97"/>
      <c r="P367" s="97"/>
      <c r="Q367" s="97"/>
      <c r="R367" s="97"/>
      <c r="S367" s="97"/>
      <c r="T367" s="97"/>
      <c r="U367" s="97"/>
      <c r="V367" s="97"/>
      <c r="W367" s="97"/>
      <c r="X367" s="97"/>
      <c r="Y367" s="97"/>
      <c r="Z367" s="97"/>
      <c r="AA367" s="97"/>
      <c r="AB367" s="97"/>
      <c r="AC367" s="97"/>
      <c r="AD367" s="97"/>
      <c r="AE367" s="97"/>
    </row>
    <row r="368" ht="14.25" customHeight="1">
      <c r="A368" s="59"/>
      <c r="B368" s="97"/>
      <c r="C368" s="97"/>
      <c r="D368" s="97"/>
      <c r="E368" s="97"/>
      <c r="F368" s="97"/>
      <c r="G368" s="97"/>
      <c r="H368" s="99"/>
      <c r="I368" s="123"/>
      <c r="J368" s="123"/>
      <c r="K368" s="97"/>
      <c r="L368" s="97"/>
      <c r="M368" s="66"/>
      <c r="N368" s="97"/>
      <c r="O368" s="97"/>
      <c r="P368" s="97"/>
      <c r="Q368" s="97"/>
      <c r="R368" s="97"/>
      <c r="S368" s="97"/>
      <c r="T368" s="97"/>
      <c r="U368" s="97"/>
      <c r="V368" s="97"/>
      <c r="W368" s="97"/>
      <c r="X368" s="97"/>
      <c r="Y368" s="97"/>
      <c r="Z368" s="97"/>
      <c r="AA368" s="97"/>
      <c r="AB368" s="97"/>
      <c r="AC368" s="97"/>
      <c r="AD368" s="97"/>
      <c r="AE368" s="97"/>
    </row>
    <row r="369" ht="14.25" customHeight="1">
      <c r="A369" s="59"/>
      <c r="B369" s="97"/>
      <c r="C369" s="97"/>
      <c r="D369" s="97"/>
      <c r="E369" s="97"/>
      <c r="F369" s="97"/>
      <c r="G369" s="97"/>
      <c r="H369" s="99"/>
      <c r="I369" s="123"/>
      <c r="J369" s="123"/>
      <c r="K369" s="97"/>
      <c r="L369" s="97"/>
      <c r="M369" s="66"/>
      <c r="N369" s="97"/>
      <c r="O369" s="97"/>
      <c r="P369" s="97"/>
      <c r="Q369" s="97"/>
      <c r="R369" s="97"/>
      <c r="S369" s="97"/>
      <c r="T369" s="97"/>
      <c r="U369" s="97"/>
      <c r="V369" s="97"/>
      <c r="W369" s="97"/>
      <c r="X369" s="97"/>
      <c r="Y369" s="97"/>
      <c r="Z369" s="97"/>
      <c r="AA369" s="97"/>
      <c r="AB369" s="97"/>
      <c r="AC369" s="97"/>
      <c r="AD369" s="97"/>
      <c r="AE369" s="97"/>
    </row>
    <row r="370" ht="14.25" customHeight="1">
      <c r="A370" s="59"/>
      <c r="B370" s="97"/>
      <c r="C370" s="97"/>
      <c r="D370" s="97"/>
      <c r="E370" s="97"/>
      <c r="F370" s="97"/>
      <c r="G370" s="97"/>
      <c r="H370" s="99"/>
      <c r="I370" s="123"/>
      <c r="J370" s="123"/>
      <c r="K370" s="97"/>
      <c r="L370" s="97"/>
      <c r="M370" s="66"/>
      <c r="N370" s="97"/>
      <c r="O370" s="97"/>
      <c r="P370" s="97"/>
      <c r="Q370" s="97"/>
      <c r="R370" s="97"/>
      <c r="S370" s="97"/>
      <c r="T370" s="97"/>
      <c r="U370" s="97"/>
      <c r="V370" s="97"/>
      <c r="W370" s="97"/>
      <c r="X370" s="97"/>
      <c r="Y370" s="97"/>
      <c r="Z370" s="97"/>
      <c r="AA370" s="97"/>
      <c r="AB370" s="97"/>
      <c r="AC370" s="97"/>
      <c r="AD370" s="97"/>
      <c r="AE370" s="97"/>
    </row>
    <row r="371" ht="14.25" customHeight="1">
      <c r="A371" s="59"/>
      <c r="B371" s="97"/>
      <c r="C371" s="97"/>
      <c r="D371" s="97"/>
      <c r="E371" s="97"/>
      <c r="F371" s="97"/>
      <c r="G371" s="97"/>
      <c r="H371" s="99"/>
      <c r="I371" s="123"/>
      <c r="J371" s="123"/>
      <c r="K371" s="97"/>
      <c r="L371" s="97"/>
      <c r="M371" s="66"/>
      <c r="N371" s="97"/>
      <c r="O371" s="97"/>
      <c r="P371" s="97"/>
      <c r="Q371" s="97"/>
      <c r="R371" s="97"/>
      <c r="S371" s="97"/>
      <c r="T371" s="97"/>
      <c r="U371" s="97"/>
      <c r="V371" s="97"/>
      <c r="W371" s="97"/>
      <c r="X371" s="97"/>
      <c r="Y371" s="97"/>
      <c r="Z371" s="97"/>
      <c r="AA371" s="97"/>
      <c r="AB371" s="97"/>
      <c r="AC371" s="97"/>
      <c r="AD371" s="97"/>
      <c r="AE371" s="97"/>
    </row>
    <row r="372" ht="14.25" customHeight="1">
      <c r="A372" s="59"/>
      <c r="B372" s="97"/>
      <c r="C372" s="97"/>
      <c r="D372" s="97"/>
      <c r="E372" s="97"/>
      <c r="F372" s="97"/>
      <c r="G372" s="97"/>
      <c r="H372" s="99"/>
      <c r="I372" s="123"/>
      <c r="J372" s="123"/>
      <c r="K372" s="97"/>
      <c r="L372" s="97"/>
      <c r="M372" s="66"/>
      <c r="N372" s="97"/>
      <c r="O372" s="97"/>
      <c r="P372" s="97"/>
      <c r="Q372" s="97"/>
      <c r="R372" s="97"/>
      <c r="S372" s="97"/>
      <c r="T372" s="97"/>
      <c r="U372" s="97"/>
      <c r="V372" s="97"/>
      <c r="W372" s="97"/>
      <c r="X372" s="97"/>
      <c r="Y372" s="97"/>
      <c r="Z372" s="97"/>
      <c r="AA372" s="97"/>
      <c r="AB372" s="97"/>
      <c r="AC372" s="97"/>
      <c r="AD372" s="97"/>
      <c r="AE372" s="97"/>
    </row>
    <row r="373" ht="14.25" customHeight="1">
      <c r="A373" s="59"/>
      <c r="B373" s="97"/>
      <c r="C373" s="97"/>
      <c r="D373" s="97"/>
      <c r="E373" s="97"/>
      <c r="F373" s="97"/>
      <c r="G373" s="97"/>
      <c r="H373" s="99"/>
      <c r="I373" s="123"/>
      <c r="J373" s="123"/>
      <c r="K373" s="97"/>
      <c r="L373" s="97"/>
      <c r="M373" s="66"/>
      <c r="N373" s="97"/>
      <c r="O373" s="97"/>
      <c r="P373" s="97"/>
      <c r="Q373" s="97"/>
      <c r="R373" s="97"/>
      <c r="S373" s="97"/>
      <c r="T373" s="97"/>
      <c r="U373" s="97"/>
      <c r="V373" s="97"/>
      <c r="W373" s="97"/>
      <c r="X373" s="97"/>
      <c r="Y373" s="97"/>
      <c r="Z373" s="97"/>
      <c r="AA373" s="97"/>
      <c r="AB373" s="97"/>
      <c r="AC373" s="97"/>
      <c r="AD373" s="97"/>
      <c r="AE373" s="97"/>
    </row>
    <row r="374" ht="14.25" customHeight="1">
      <c r="A374" s="59"/>
      <c r="B374" s="97"/>
      <c r="C374" s="97"/>
      <c r="D374" s="97"/>
      <c r="E374" s="97"/>
      <c r="F374" s="97"/>
      <c r="G374" s="97"/>
      <c r="H374" s="99"/>
      <c r="I374" s="123"/>
      <c r="J374" s="123"/>
      <c r="K374" s="97"/>
      <c r="L374" s="97"/>
      <c r="M374" s="66"/>
      <c r="N374" s="97"/>
      <c r="O374" s="97"/>
      <c r="P374" s="97"/>
      <c r="Q374" s="97"/>
      <c r="R374" s="97"/>
      <c r="S374" s="97"/>
      <c r="T374" s="97"/>
      <c r="U374" s="97"/>
      <c r="V374" s="97"/>
      <c r="W374" s="97"/>
      <c r="X374" s="97"/>
      <c r="Y374" s="97"/>
      <c r="Z374" s="97"/>
      <c r="AA374" s="97"/>
      <c r="AB374" s="97"/>
      <c r="AC374" s="97"/>
      <c r="AD374" s="97"/>
      <c r="AE374" s="97"/>
    </row>
    <row r="375" ht="14.25" customHeight="1">
      <c r="A375" s="59"/>
      <c r="B375" s="97"/>
      <c r="C375" s="97"/>
      <c r="D375" s="97"/>
      <c r="E375" s="97"/>
      <c r="F375" s="97"/>
      <c r="G375" s="97"/>
      <c r="H375" s="99"/>
      <c r="I375" s="123"/>
      <c r="J375" s="123"/>
      <c r="K375" s="97"/>
      <c r="L375" s="97"/>
      <c r="M375" s="66"/>
      <c r="N375" s="97"/>
      <c r="O375" s="97"/>
      <c r="P375" s="97"/>
      <c r="Q375" s="97"/>
      <c r="R375" s="97"/>
      <c r="S375" s="97"/>
      <c r="T375" s="97"/>
      <c r="U375" s="97"/>
      <c r="V375" s="97"/>
      <c r="W375" s="97"/>
      <c r="X375" s="97"/>
      <c r="Y375" s="97"/>
      <c r="Z375" s="97"/>
      <c r="AA375" s="97"/>
      <c r="AB375" s="97"/>
      <c r="AC375" s="97"/>
      <c r="AD375" s="97"/>
      <c r="AE375" s="97"/>
    </row>
    <row r="376" ht="14.25" customHeight="1">
      <c r="A376" s="59"/>
      <c r="B376" s="97"/>
      <c r="C376" s="97"/>
      <c r="D376" s="97"/>
      <c r="E376" s="97"/>
      <c r="F376" s="97"/>
      <c r="G376" s="97"/>
      <c r="H376" s="99"/>
      <c r="I376" s="123"/>
      <c r="J376" s="123"/>
      <c r="K376" s="97"/>
      <c r="L376" s="97"/>
      <c r="M376" s="66"/>
      <c r="N376" s="97"/>
      <c r="O376" s="97"/>
      <c r="P376" s="97"/>
      <c r="Q376" s="97"/>
      <c r="R376" s="97"/>
      <c r="S376" s="97"/>
      <c r="T376" s="97"/>
      <c r="U376" s="97"/>
      <c r="V376" s="97"/>
      <c r="W376" s="97"/>
      <c r="X376" s="97"/>
      <c r="Y376" s="97"/>
      <c r="Z376" s="97"/>
      <c r="AA376" s="97"/>
      <c r="AB376" s="97"/>
      <c r="AC376" s="97"/>
      <c r="AD376" s="97"/>
      <c r="AE376" s="97"/>
    </row>
    <row r="377" ht="14.25" customHeight="1">
      <c r="A377" s="59"/>
      <c r="B377" s="97"/>
      <c r="C377" s="97"/>
      <c r="D377" s="97"/>
      <c r="E377" s="97"/>
      <c r="F377" s="97"/>
      <c r="G377" s="97"/>
      <c r="H377" s="99"/>
      <c r="I377" s="123"/>
      <c r="J377" s="123"/>
      <c r="K377" s="97"/>
      <c r="L377" s="97"/>
      <c r="M377" s="66"/>
      <c r="N377" s="97"/>
      <c r="O377" s="97"/>
      <c r="P377" s="97"/>
      <c r="Q377" s="97"/>
      <c r="R377" s="97"/>
      <c r="S377" s="97"/>
      <c r="T377" s="97"/>
      <c r="U377" s="97"/>
      <c r="V377" s="97"/>
      <c r="W377" s="97"/>
      <c r="X377" s="97"/>
      <c r="Y377" s="97"/>
      <c r="Z377" s="97"/>
      <c r="AA377" s="97"/>
      <c r="AB377" s="97"/>
      <c r="AC377" s="97"/>
      <c r="AD377" s="97"/>
      <c r="AE377" s="97"/>
    </row>
    <row r="378" ht="14.25" customHeight="1">
      <c r="A378" s="59"/>
      <c r="B378" s="97"/>
      <c r="C378" s="97"/>
      <c r="D378" s="97"/>
      <c r="E378" s="97"/>
      <c r="F378" s="97"/>
      <c r="G378" s="97"/>
      <c r="H378" s="99"/>
      <c r="I378" s="123"/>
      <c r="J378" s="123"/>
      <c r="K378" s="97"/>
      <c r="L378" s="97"/>
      <c r="M378" s="66"/>
      <c r="N378" s="97"/>
      <c r="O378" s="97"/>
      <c r="P378" s="97"/>
      <c r="Q378" s="97"/>
      <c r="R378" s="97"/>
      <c r="S378" s="97"/>
      <c r="T378" s="97"/>
      <c r="U378" s="97"/>
      <c r="V378" s="97"/>
      <c r="W378" s="97"/>
      <c r="X378" s="97"/>
      <c r="Y378" s="97"/>
      <c r="Z378" s="97"/>
      <c r="AA378" s="97"/>
      <c r="AB378" s="97"/>
      <c r="AC378" s="97"/>
      <c r="AD378" s="97"/>
      <c r="AE378" s="97"/>
    </row>
    <row r="379" ht="14.25" customHeight="1">
      <c r="A379" s="59"/>
      <c r="B379" s="97"/>
      <c r="C379" s="97"/>
      <c r="D379" s="97"/>
      <c r="E379" s="97"/>
      <c r="F379" s="97"/>
      <c r="G379" s="97"/>
      <c r="H379" s="99"/>
      <c r="I379" s="123"/>
      <c r="J379" s="123"/>
      <c r="K379" s="97"/>
      <c r="L379" s="97"/>
      <c r="M379" s="66"/>
      <c r="N379" s="97"/>
      <c r="O379" s="97"/>
      <c r="P379" s="97"/>
      <c r="Q379" s="97"/>
      <c r="R379" s="97"/>
      <c r="S379" s="97"/>
      <c r="T379" s="97"/>
      <c r="U379" s="97"/>
      <c r="V379" s="97"/>
      <c r="W379" s="97"/>
      <c r="X379" s="97"/>
      <c r="Y379" s="97"/>
      <c r="Z379" s="97"/>
      <c r="AA379" s="97"/>
      <c r="AB379" s="97"/>
      <c r="AC379" s="97"/>
      <c r="AD379" s="97"/>
      <c r="AE379" s="97"/>
    </row>
    <row r="380" ht="14.25" customHeight="1">
      <c r="A380" s="59"/>
      <c r="B380" s="97"/>
      <c r="C380" s="97"/>
      <c r="D380" s="97"/>
      <c r="E380" s="97"/>
      <c r="F380" s="97"/>
      <c r="G380" s="97"/>
      <c r="H380" s="99"/>
      <c r="I380" s="123"/>
      <c r="J380" s="123"/>
      <c r="K380" s="97"/>
      <c r="L380" s="97"/>
      <c r="M380" s="66"/>
      <c r="N380" s="97"/>
      <c r="O380" s="97"/>
      <c r="P380" s="97"/>
      <c r="Q380" s="97"/>
      <c r="R380" s="97"/>
      <c r="S380" s="97"/>
      <c r="T380" s="97"/>
      <c r="U380" s="97"/>
      <c r="V380" s="97"/>
      <c r="W380" s="97"/>
      <c r="X380" s="97"/>
      <c r="Y380" s="97"/>
      <c r="Z380" s="97"/>
      <c r="AA380" s="97"/>
      <c r="AB380" s="97"/>
      <c r="AC380" s="97"/>
      <c r="AD380" s="97"/>
      <c r="AE380" s="97"/>
    </row>
    <row r="381" ht="14.25" customHeight="1">
      <c r="A381" s="59"/>
      <c r="B381" s="97"/>
      <c r="C381" s="97"/>
      <c r="D381" s="97"/>
      <c r="E381" s="97"/>
      <c r="F381" s="97"/>
      <c r="G381" s="97"/>
      <c r="H381" s="99"/>
      <c r="I381" s="123"/>
      <c r="J381" s="123"/>
      <c r="K381" s="97"/>
      <c r="L381" s="97"/>
      <c r="M381" s="66"/>
      <c r="N381" s="97"/>
      <c r="O381" s="97"/>
      <c r="P381" s="97"/>
      <c r="Q381" s="97"/>
      <c r="R381" s="97"/>
      <c r="S381" s="97"/>
      <c r="T381" s="97"/>
      <c r="U381" s="97"/>
      <c r="V381" s="97"/>
      <c r="W381" s="97"/>
      <c r="X381" s="97"/>
      <c r="Y381" s="97"/>
      <c r="Z381" s="97"/>
      <c r="AA381" s="97"/>
      <c r="AB381" s="97"/>
      <c r="AC381" s="97"/>
      <c r="AD381" s="97"/>
      <c r="AE381" s="97"/>
    </row>
    <row r="382" ht="14.25" customHeight="1">
      <c r="A382" s="59"/>
      <c r="B382" s="97"/>
      <c r="C382" s="97"/>
      <c r="D382" s="97"/>
      <c r="E382" s="97"/>
      <c r="F382" s="97"/>
      <c r="G382" s="97"/>
      <c r="H382" s="99"/>
      <c r="I382" s="123"/>
      <c r="J382" s="123"/>
      <c r="K382" s="97"/>
      <c r="L382" s="97"/>
      <c r="M382" s="66"/>
      <c r="N382" s="97"/>
      <c r="O382" s="97"/>
      <c r="P382" s="97"/>
      <c r="Q382" s="97"/>
      <c r="R382" s="97"/>
      <c r="S382" s="97"/>
      <c r="T382" s="97"/>
      <c r="U382" s="97"/>
      <c r="V382" s="97"/>
      <c r="W382" s="97"/>
      <c r="X382" s="97"/>
      <c r="Y382" s="97"/>
      <c r="Z382" s="97"/>
      <c r="AA382" s="97"/>
      <c r="AB382" s="97"/>
      <c r="AC382" s="97"/>
      <c r="AD382" s="97"/>
      <c r="AE382" s="97"/>
    </row>
    <row r="383" ht="14.25" customHeight="1">
      <c r="A383" s="59"/>
      <c r="B383" s="97"/>
      <c r="C383" s="97"/>
      <c r="D383" s="97"/>
      <c r="E383" s="97"/>
      <c r="F383" s="97"/>
      <c r="G383" s="97"/>
      <c r="H383" s="99"/>
      <c r="I383" s="123"/>
      <c r="J383" s="123"/>
      <c r="K383" s="97"/>
      <c r="L383" s="97"/>
      <c r="M383" s="66"/>
      <c r="N383" s="97"/>
      <c r="O383" s="97"/>
      <c r="P383" s="97"/>
      <c r="Q383" s="97"/>
      <c r="R383" s="97"/>
      <c r="S383" s="97"/>
      <c r="T383" s="97"/>
      <c r="U383" s="97"/>
      <c r="V383" s="97"/>
      <c r="W383" s="97"/>
      <c r="X383" s="97"/>
      <c r="Y383" s="97"/>
      <c r="Z383" s="97"/>
      <c r="AA383" s="97"/>
      <c r="AB383" s="97"/>
      <c r="AC383" s="97"/>
      <c r="AD383" s="97"/>
      <c r="AE383" s="97"/>
    </row>
    <row r="384" ht="14.25" customHeight="1">
      <c r="A384" s="59"/>
      <c r="B384" s="97"/>
      <c r="C384" s="97"/>
      <c r="D384" s="97"/>
      <c r="E384" s="97"/>
      <c r="F384" s="97"/>
      <c r="G384" s="97"/>
      <c r="H384" s="99"/>
      <c r="I384" s="123"/>
      <c r="J384" s="123"/>
      <c r="K384" s="97"/>
      <c r="L384" s="97"/>
      <c r="M384" s="66"/>
      <c r="N384" s="97"/>
      <c r="O384" s="97"/>
      <c r="P384" s="97"/>
      <c r="Q384" s="97"/>
      <c r="R384" s="97"/>
      <c r="S384" s="97"/>
      <c r="T384" s="97"/>
      <c r="U384" s="97"/>
      <c r="V384" s="97"/>
      <c r="W384" s="97"/>
      <c r="X384" s="97"/>
      <c r="Y384" s="97"/>
      <c r="Z384" s="97"/>
      <c r="AA384" s="97"/>
      <c r="AB384" s="97"/>
      <c r="AC384" s="97"/>
      <c r="AD384" s="97"/>
      <c r="AE384" s="97"/>
    </row>
    <row r="385" ht="14.25" customHeight="1">
      <c r="A385" s="59"/>
      <c r="B385" s="97"/>
      <c r="C385" s="97"/>
      <c r="D385" s="97"/>
      <c r="E385" s="97"/>
      <c r="F385" s="97"/>
      <c r="G385" s="97"/>
      <c r="H385" s="99"/>
      <c r="I385" s="123"/>
      <c r="J385" s="123"/>
      <c r="K385" s="97"/>
      <c r="L385" s="97"/>
      <c r="M385" s="66"/>
      <c r="N385" s="97"/>
      <c r="O385" s="97"/>
      <c r="P385" s="97"/>
      <c r="Q385" s="97"/>
      <c r="R385" s="97"/>
      <c r="S385" s="97"/>
      <c r="T385" s="97"/>
      <c r="U385" s="97"/>
      <c r="V385" s="97"/>
      <c r="W385" s="97"/>
      <c r="X385" s="97"/>
      <c r="Y385" s="97"/>
      <c r="Z385" s="97"/>
      <c r="AA385" s="97"/>
      <c r="AB385" s="97"/>
      <c r="AC385" s="97"/>
      <c r="AD385" s="97"/>
      <c r="AE385" s="97"/>
    </row>
    <row r="386" ht="14.25" customHeight="1">
      <c r="A386" s="59"/>
      <c r="B386" s="97"/>
      <c r="C386" s="97"/>
      <c r="D386" s="97"/>
      <c r="E386" s="97"/>
      <c r="F386" s="97"/>
      <c r="G386" s="97"/>
      <c r="H386" s="99"/>
      <c r="I386" s="123"/>
      <c r="J386" s="123"/>
      <c r="K386" s="97"/>
      <c r="L386" s="97"/>
      <c r="M386" s="66"/>
      <c r="N386" s="97"/>
      <c r="O386" s="97"/>
      <c r="P386" s="97"/>
      <c r="Q386" s="97"/>
      <c r="R386" s="97"/>
      <c r="S386" s="97"/>
      <c r="T386" s="97"/>
      <c r="U386" s="97"/>
      <c r="V386" s="97"/>
      <c r="W386" s="97"/>
      <c r="X386" s="97"/>
      <c r="Y386" s="97"/>
      <c r="Z386" s="97"/>
      <c r="AA386" s="97"/>
      <c r="AB386" s="97"/>
      <c r="AC386" s="97"/>
      <c r="AD386" s="97"/>
      <c r="AE386" s="97"/>
    </row>
    <row r="387" ht="14.25" customHeight="1">
      <c r="A387" s="59"/>
      <c r="B387" s="97"/>
      <c r="C387" s="97"/>
      <c r="D387" s="97"/>
      <c r="E387" s="97"/>
      <c r="F387" s="97"/>
      <c r="G387" s="97"/>
      <c r="H387" s="99"/>
      <c r="I387" s="123"/>
      <c r="J387" s="123"/>
      <c r="K387" s="97"/>
      <c r="L387" s="97"/>
      <c r="M387" s="66"/>
      <c r="N387" s="97"/>
      <c r="O387" s="97"/>
      <c r="P387" s="97"/>
      <c r="Q387" s="97"/>
      <c r="R387" s="97"/>
      <c r="S387" s="97"/>
      <c r="T387" s="97"/>
      <c r="U387" s="97"/>
      <c r="V387" s="97"/>
      <c r="W387" s="97"/>
      <c r="X387" s="97"/>
      <c r="Y387" s="97"/>
      <c r="Z387" s="97"/>
      <c r="AA387" s="97"/>
      <c r="AB387" s="97"/>
      <c r="AC387" s="97"/>
      <c r="AD387" s="97"/>
      <c r="AE387" s="97"/>
    </row>
    <row r="388" ht="14.25" customHeight="1">
      <c r="A388" s="59"/>
      <c r="B388" s="97"/>
      <c r="C388" s="97"/>
      <c r="D388" s="97"/>
      <c r="E388" s="97"/>
      <c r="F388" s="97"/>
      <c r="G388" s="97"/>
      <c r="H388" s="99"/>
      <c r="I388" s="123"/>
      <c r="J388" s="123"/>
      <c r="K388" s="97"/>
      <c r="L388" s="97"/>
      <c r="M388" s="66"/>
      <c r="N388" s="97"/>
      <c r="O388" s="97"/>
      <c r="P388" s="97"/>
      <c r="Q388" s="97"/>
      <c r="R388" s="97"/>
      <c r="S388" s="97"/>
      <c r="T388" s="97"/>
      <c r="U388" s="97"/>
      <c r="V388" s="97"/>
      <c r="W388" s="97"/>
      <c r="X388" s="97"/>
      <c r="Y388" s="97"/>
      <c r="Z388" s="97"/>
      <c r="AA388" s="97"/>
      <c r="AB388" s="97"/>
      <c r="AC388" s="97"/>
      <c r="AD388" s="97"/>
      <c r="AE388" s="97"/>
    </row>
    <row r="389" ht="14.25" customHeight="1">
      <c r="A389" s="59"/>
      <c r="B389" s="97"/>
      <c r="C389" s="97"/>
      <c r="D389" s="97"/>
      <c r="E389" s="97"/>
      <c r="F389" s="97"/>
      <c r="G389" s="97"/>
      <c r="H389" s="99"/>
      <c r="I389" s="123"/>
      <c r="J389" s="123"/>
      <c r="K389" s="97"/>
      <c r="L389" s="97"/>
      <c r="M389" s="66"/>
      <c r="N389" s="97"/>
      <c r="O389" s="97"/>
      <c r="P389" s="97"/>
      <c r="Q389" s="97"/>
      <c r="R389" s="97"/>
      <c r="S389" s="97"/>
      <c r="T389" s="97"/>
      <c r="U389" s="97"/>
      <c r="V389" s="97"/>
      <c r="W389" s="97"/>
      <c r="X389" s="97"/>
      <c r="Y389" s="97"/>
      <c r="Z389" s="97"/>
      <c r="AA389" s="97"/>
      <c r="AB389" s="97"/>
      <c r="AC389" s="97"/>
      <c r="AD389" s="97"/>
      <c r="AE389" s="97"/>
    </row>
    <row r="390" ht="14.25" customHeight="1">
      <c r="A390" s="59"/>
      <c r="B390" s="97"/>
      <c r="C390" s="97"/>
      <c r="D390" s="97"/>
      <c r="E390" s="97"/>
      <c r="F390" s="97"/>
      <c r="G390" s="97"/>
      <c r="H390" s="99"/>
      <c r="I390" s="123"/>
      <c r="J390" s="123"/>
      <c r="K390" s="97"/>
      <c r="L390" s="97"/>
      <c r="M390" s="66"/>
      <c r="N390" s="97"/>
      <c r="O390" s="97"/>
      <c r="P390" s="97"/>
      <c r="Q390" s="97"/>
      <c r="R390" s="97"/>
      <c r="S390" s="97"/>
      <c r="T390" s="97"/>
      <c r="U390" s="97"/>
      <c r="V390" s="97"/>
      <c r="W390" s="97"/>
      <c r="X390" s="97"/>
      <c r="Y390" s="97"/>
      <c r="Z390" s="97"/>
      <c r="AA390" s="97"/>
      <c r="AB390" s="97"/>
      <c r="AC390" s="97"/>
      <c r="AD390" s="97"/>
      <c r="AE390" s="97"/>
    </row>
    <row r="391" ht="14.25" customHeight="1">
      <c r="A391" s="59"/>
      <c r="B391" s="97"/>
      <c r="C391" s="97"/>
      <c r="D391" s="97"/>
      <c r="E391" s="97"/>
      <c r="F391" s="97"/>
      <c r="G391" s="97"/>
      <c r="H391" s="99"/>
      <c r="I391" s="123"/>
      <c r="J391" s="123"/>
      <c r="K391" s="97"/>
      <c r="L391" s="97"/>
      <c r="M391" s="66"/>
      <c r="N391" s="97"/>
      <c r="O391" s="97"/>
      <c r="P391" s="97"/>
      <c r="Q391" s="97"/>
      <c r="R391" s="97"/>
      <c r="S391" s="97"/>
      <c r="T391" s="97"/>
      <c r="U391" s="97"/>
      <c r="V391" s="97"/>
      <c r="W391" s="97"/>
      <c r="X391" s="97"/>
      <c r="Y391" s="97"/>
      <c r="Z391" s="97"/>
      <c r="AA391" s="97"/>
      <c r="AB391" s="97"/>
      <c r="AC391" s="97"/>
      <c r="AD391" s="97"/>
      <c r="AE391" s="97"/>
    </row>
    <row r="392" ht="14.25" customHeight="1">
      <c r="A392" s="59"/>
      <c r="B392" s="97"/>
      <c r="C392" s="97"/>
      <c r="D392" s="97"/>
      <c r="E392" s="97"/>
      <c r="F392" s="97"/>
      <c r="G392" s="97"/>
      <c r="H392" s="99"/>
      <c r="I392" s="123"/>
      <c r="J392" s="123"/>
      <c r="K392" s="97"/>
      <c r="L392" s="97"/>
      <c r="M392" s="66"/>
      <c r="N392" s="97"/>
      <c r="O392" s="97"/>
      <c r="P392" s="97"/>
      <c r="Q392" s="97"/>
      <c r="R392" s="97"/>
      <c r="S392" s="97"/>
      <c r="T392" s="97"/>
      <c r="U392" s="97"/>
      <c r="V392" s="97"/>
      <c r="W392" s="97"/>
      <c r="X392" s="97"/>
      <c r="Y392" s="97"/>
      <c r="Z392" s="97"/>
      <c r="AA392" s="97"/>
      <c r="AB392" s="97"/>
      <c r="AC392" s="97"/>
      <c r="AD392" s="97"/>
      <c r="AE392" s="97"/>
    </row>
    <row r="393" ht="14.25" customHeight="1">
      <c r="A393" s="59"/>
      <c r="B393" s="97"/>
      <c r="C393" s="97"/>
      <c r="D393" s="97"/>
      <c r="E393" s="97"/>
      <c r="F393" s="97"/>
      <c r="G393" s="97"/>
      <c r="H393" s="99"/>
      <c r="I393" s="123"/>
      <c r="J393" s="123"/>
      <c r="K393" s="97"/>
      <c r="L393" s="97"/>
      <c r="M393" s="66"/>
      <c r="N393" s="97"/>
      <c r="O393" s="97"/>
      <c r="P393" s="97"/>
      <c r="Q393" s="97"/>
      <c r="R393" s="97"/>
      <c r="S393" s="97"/>
      <c r="T393" s="97"/>
      <c r="U393" s="97"/>
      <c r="V393" s="97"/>
      <c r="W393" s="97"/>
      <c r="X393" s="97"/>
      <c r="Y393" s="97"/>
      <c r="Z393" s="97"/>
      <c r="AA393" s="97"/>
      <c r="AB393" s="97"/>
      <c r="AC393" s="97"/>
      <c r="AD393" s="97"/>
      <c r="AE393" s="97"/>
    </row>
    <row r="394" ht="14.25" customHeight="1">
      <c r="A394" s="59"/>
      <c r="B394" s="97"/>
      <c r="C394" s="97"/>
      <c r="D394" s="97"/>
      <c r="E394" s="97"/>
      <c r="F394" s="97"/>
      <c r="G394" s="97"/>
      <c r="H394" s="99"/>
      <c r="I394" s="123"/>
      <c r="J394" s="123"/>
      <c r="K394" s="97"/>
      <c r="L394" s="97"/>
      <c r="M394" s="66"/>
      <c r="N394" s="97"/>
      <c r="O394" s="97"/>
      <c r="P394" s="97"/>
      <c r="Q394" s="97"/>
      <c r="R394" s="97"/>
      <c r="S394" s="97"/>
      <c r="T394" s="97"/>
      <c r="U394" s="97"/>
      <c r="V394" s="97"/>
      <c r="W394" s="97"/>
      <c r="X394" s="97"/>
      <c r="Y394" s="97"/>
      <c r="Z394" s="97"/>
      <c r="AA394" s="97"/>
      <c r="AB394" s="97"/>
      <c r="AC394" s="97"/>
      <c r="AD394" s="97"/>
      <c r="AE394" s="97"/>
    </row>
    <row r="395" ht="14.25" customHeight="1">
      <c r="A395" s="59"/>
      <c r="B395" s="97"/>
      <c r="C395" s="97"/>
      <c r="D395" s="97"/>
      <c r="E395" s="97"/>
      <c r="F395" s="97"/>
      <c r="G395" s="97"/>
      <c r="H395" s="99"/>
      <c r="I395" s="123"/>
      <c r="J395" s="123"/>
      <c r="K395" s="97"/>
      <c r="L395" s="97"/>
      <c r="M395" s="66"/>
      <c r="N395" s="97"/>
      <c r="O395" s="97"/>
      <c r="P395" s="97"/>
      <c r="Q395" s="97"/>
      <c r="R395" s="97"/>
      <c r="S395" s="97"/>
      <c r="T395" s="97"/>
      <c r="U395" s="97"/>
      <c r="V395" s="97"/>
      <c r="W395" s="97"/>
      <c r="X395" s="97"/>
      <c r="Y395" s="97"/>
      <c r="Z395" s="97"/>
      <c r="AA395" s="97"/>
      <c r="AB395" s="97"/>
      <c r="AC395" s="97"/>
      <c r="AD395" s="97"/>
      <c r="AE395" s="97"/>
    </row>
    <row r="396" ht="14.25" customHeight="1">
      <c r="A396" s="59"/>
      <c r="B396" s="97"/>
      <c r="C396" s="97"/>
      <c r="D396" s="97"/>
      <c r="E396" s="97"/>
      <c r="F396" s="97"/>
      <c r="G396" s="97"/>
      <c r="H396" s="99"/>
      <c r="I396" s="123"/>
      <c r="J396" s="123"/>
      <c r="K396" s="97"/>
      <c r="L396" s="97"/>
      <c r="M396" s="66"/>
      <c r="N396" s="97"/>
      <c r="O396" s="97"/>
      <c r="P396" s="97"/>
      <c r="Q396" s="97"/>
      <c r="R396" s="97"/>
      <c r="S396" s="97"/>
      <c r="T396" s="97"/>
      <c r="U396" s="97"/>
      <c r="V396" s="97"/>
      <c r="W396" s="97"/>
      <c r="X396" s="97"/>
      <c r="Y396" s="97"/>
      <c r="Z396" s="97"/>
      <c r="AA396" s="97"/>
      <c r="AB396" s="97"/>
      <c r="AC396" s="97"/>
      <c r="AD396" s="97"/>
      <c r="AE396" s="97"/>
    </row>
    <row r="397" ht="14.25" customHeight="1">
      <c r="A397" s="59"/>
      <c r="B397" s="97"/>
      <c r="C397" s="97"/>
      <c r="D397" s="97"/>
      <c r="E397" s="97"/>
      <c r="F397" s="97"/>
      <c r="G397" s="97"/>
      <c r="H397" s="99"/>
      <c r="I397" s="123"/>
      <c r="J397" s="123"/>
      <c r="K397" s="97"/>
      <c r="L397" s="97"/>
      <c r="M397" s="66"/>
      <c r="N397" s="97"/>
      <c r="O397" s="97"/>
      <c r="P397" s="97"/>
      <c r="Q397" s="97"/>
      <c r="R397" s="97"/>
      <c r="S397" s="97"/>
      <c r="T397" s="97"/>
      <c r="U397" s="97"/>
      <c r="V397" s="97"/>
      <c r="W397" s="97"/>
      <c r="X397" s="97"/>
      <c r="Y397" s="97"/>
      <c r="Z397" s="97"/>
      <c r="AA397" s="97"/>
      <c r="AB397" s="97"/>
      <c r="AC397" s="97"/>
      <c r="AD397" s="97"/>
      <c r="AE397" s="97"/>
    </row>
    <row r="398" ht="14.25" customHeight="1">
      <c r="A398" s="59"/>
      <c r="B398" s="97"/>
      <c r="C398" s="97"/>
      <c r="D398" s="97"/>
      <c r="E398" s="97"/>
      <c r="F398" s="97"/>
      <c r="G398" s="97"/>
      <c r="H398" s="99"/>
      <c r="I398" s="123"/>
      <c r="J398" s="123"/>
      <c r="K398" s="97"/>
      <c r="L398" s="97"/>
      <c r="M398" s="66"/>
      <c r="N398" s="97"/>
      <c r="O398" s="97"/>
      <c r="P398" s="97"/>
      <c r="Q398" s="97"/>
      <c r="R398" s="97"/>
      <c r="S398" s="97"/>
      <c r="T398" s="97"/>
      <c r="U398" s="97"/>
      <c r="V398" s="97"/>
      <c r="W398" s="97"/>
      <c r="X398" s="97"/>
      <c r="Y398" s="97"/>
      <c r="Z398" s="97"/>
      <c r="AA398" s="97"/>
      <c r="AB398" s="97"/>
      <c r="AC398" s="97"/>
      <c r="AD398" s="97"/>
      <c r="AE398" s="97"/>
    </row>
    <row r="399" ht="14.25" customHeight="1">
      <c r="A399" s="59"/>
      <c r="B399" s="97"/>
      <c r="C399" s="97"/>
      <c r="D399" s="97"/>
      <c r="E399" s="97"/>
      <c r="F399" s="97"/>
      <c r="G399" s="97"/>
      <c r="H399" s="99"/>
      <c r="I399" s="123"/>
      <c r="J399" s="123"/>
      <c r="K399" s="97"/>
      <c r="L399" s="97"/>
      <c r="M399" s="66"/>
      <c r="N399" s="97"/>
      <c r="O399" s="97"/>
      <c r="P399" s="97"/>
      <c r="Q399" s="97"/>
      <c r="R399" s="97"/>
      <c r="S399" s="97"/>
      <c r="T399" s="97"/>
      <c r="U399" s="97"/>
      <c r="V399" s="97"/>
      <c r="W399" s="97"/>
      <c r="X399" s="97"/>
      <c r="Y399" s="97"/>
      <c r="Z399" s="97"/>
      <c r="AA399" s="97"/>
      <c r="AB399" s="97"/>
      <c r="AC399" s="97"/>
      <c r="AD399" s="97"/>
      <c r="AE399" s="97"/>
    </row>
    <row r="400" ht="14.25" customHeight="1">
      <c r="A400" s="59"/>
      <c r="B400" s="97"/>
      <c r="C400" s="97"/>
      <c r="D400" s="97"/>
      <c r="E400" s="97"/>
      <c r="F400" s="97"/>
      <c r="G400" s="97"/>
      <c r="H400" s="99"/>
      <c r="I400" s="123"/>
      <c r="J400" s="123"/>
      <c r="K400" s="97"/>
      <c r="L400" s="97"/>
      <c r="M400" s="66"/>
      <c r="N400" s="97"/>
      <c r="O400" s="97"/>
      <c r="P400" s="97"/>
      <c r="Q400" s="97"/>
      <c r="R400" s="97"/>
      <c r="S400" s="97"/>
      <c r="T400" s="97"/>
      <c r="U400" s="97"/>
      <c r="V400" s="97"/>
      <c r="W400" s="97"/>
      <c r="X400" s="97"/>
      <c r="Y400" s="97"/>
      <c r="Z400" s="97"/>
      <c r="AA400" s="97"/>
      <c r="AB400" s="97"/>
      <c r="AC400" s="97"/>
      <c r="AD400" s="97"/>
      <c r="AE400" s="97"/>
    </row>
    <row r="401" ht="14.25" customHeight="1">
      <c r="A401" s="59"/>
      <c r="B401" s="97"/>
      <c r="C401" s="97"/>
      <c r="D401" s="97"/>
      <c r="E401" s="97"/>
      <c r="F401" s="97"/>
      <c r="G401" s="97"/>
      <c r="H401" s="99"/>
      <c r="I401" s="123"/>
      <c r="J401" s="123"/>
      <c r="K401" s="97"/>
      <c r="L401" s="97"/>
      <c r="M401" s="66"/>
      <c r="N401" s="97"/>
      <c r="O401" s="97"/>
      <c r="P401" s="97"/>
      <c r="Q401" s="97"/>
      <c r="R401" s="97"/>
      <c r="S401" s="97"/>
      <c r="T401" s="97"/>
      <c r="U401" s="97"/>
      <c r="V401" s="97"/>
      <c r="W401" s="97"/>
      <c r="X401" s="97"/>
      <c r="Y401" s="97"/>
      <c r="Z401" s="97"/>
      <c r="AA401" s="97"/>
      <c r="AB401" s="97"/>
      <c r="AC401" s="97"/>
      <c r="AD401" s="97"/>
      <c r="AE401" s="97"/>
    </row>
    <row r="402" ht="14.25" customHeight="1">
      <c r="A402" s="59"/>
      <c r="B402" s="97"/>
      <c r="C402" s="97"/>
      <c r="D402" s="97"/>
      <c r="E402" s="97"/>
      <c r="F402" s="97"/>
      <c r="G402" s="97"/>
      <c r="H402" s="99"/>
      <c r="I402" s="123"/>
      <c r="J402" s="123"/>
      <c r="K402" s="97"/>
      <c r="L402" s="97"/>
      <c r="M402" s="66"/>
      <c r="N402" s="97"/>
      <c r="O402" s="97"/>
      <c r="P402" s="97"/>
      <c r="Q402" s="97"/>
      <c r="R402" s="97"/>
      <c r="S402" s="97"/>
      <c r="T402" s="97"/>
      <c r="U402" s="97"/>
      <c r="V402" s="97"/>
      <c r="W402" s="97"/>
      <c r="X402" s="97"/>
      <c r="Y402" s="97"/>
      <c r="Z402" s="97"/>
      <c r="AA402" s="97"/>
      <c r="AB402" s="97"/>
      <c r="AC402" s="97"/>
      <c r="AD402" s="97"/>
      <c r="AE402" s="97"/>
    </row>
    <row r="403" ht="14.25" customHeight="1">
      <c r="A403" s="59"/>
      <c r="B403" s="97"/>
      <c r="C403" s="97"/>
      <c r="D403" s="97"/>
      <c r="E403" s="97"/>
      <c r="F403" s="97"/>
      <c r="G403" s="97"/>
      <c r="H403" s="99"/>
      <c r="I403" s="123"/>
      <c r="J403" s="123"/>
      <c r="K403" s="97"/>
      <c r="L403" s="97"/>
      <c r="M403" s="66"/>
      <c r="N403" s="97"/>
      <c r="O403" s="97"/>
      <c r="P403" s="97"/>
      <c r="Q403" s="97"/>
      <c r="R403" s="97"/>
      <c r="S403" s="97"/>
      <c r="T403" s="97"/>
      <c r="U403" s="97"/>
      <c r="V403" s="97"/>
      <c r="W403" s="97"/>
      <c r="X403" s="97"/>
      <c r="Y403" s="97"/>
      <c r="Z403" s="97"/>
      <c r="AA403" s="97"/>
      <c r="AB403" s="97"/>
      <c r="AC403" s="97"/>
      <c r="AD403" s="97"/>
      <c r="AE403" s="97"/>
    </row>
    <row r="404" ht="14.25" customHeight="1">
      <c r="A404" s="59"/>
      <c r="B404" s="97"/>
      <c r="C404" s="97"/>
      <c r="D404" s="97"/>
      <c r="E404" s="97"/>
      <c r="F404" s="97"/>
      <c r="G404" s="97"/>
      <c r="H404" s="99"/>
      <c r="I404" s="123"/>
      <c r="J404" s="123"/>
      <c r="K404" s="97"/>
      <c r="L404" s="97"/>
      <c r="M404" s="66"/>
      <c r="N404" s="97"/>
      <c r="O404" s="97"/>
      <c r="P404" s="97"/>
      <c r="Q404" s="97"/>
      <c r="R404" s="97"/>
      <c r="S404" s="97"/>
      <c r="T404" s="97"/>
      <c r="U404" s="97"/>
      <c r="V404" s="97"/>
      <c r="W404" s="97"/>
      <c r="X404" s="97"/>
      <c r="Y404" s="97"/>
      <c r="Z404" s="97"/>
      <c r="AA404" s="97"/>
      <c r="AB404" s="97"/>
      <c r="AC404" s="97"/>
      <c r="AD404" s="97"/>
      <c r="AE404" s="97"/>
    </row>
    <row r="405" ht="14.25" customHeight="1">
      <c r="A405" s="59"/>
      <c r="B405" s="97"/>
      <c r="C405" s="97"/>
      <c r="D405" s="97"/>
      <c r="E405" s="97"/>
      <c r="F405" s="97"/>
      <c r="G405" s="97"/>
      <c r="H405" s="99"/>
      <c r="I405" s="123"/>
      <c r="J405" s="123"/>
      <c r="K405" s="97"/>
      <c r="L405" s="97"/>
      <c r="M405" s="66"/>
      <c r="N405" s="97"/>
      <c r="O405" s="97"/>
      <c r="P405" s="97"/>
      <c r="Q405" s="97"/>
      <c r="R405" s="97"/>
      <c r="S405" s="97"/>
      <c r="T405" s="97"/>
      <c r="U405" s="97"/>
      <c r="V405" s="97"/>
      <c r="W405" s="97"/>
      <c r="X405" s="97"/>
      <c r="Y405" s="97"/>
      <c r="Z405" s="97"/>
      <c r="AA405" s="97"/>
      <c r="AB405" s="97"/>
      <c r="AC405" s="97"/>
      <c r="AD405" s="97"/>
      <c r="AE405" s="97"/>
    </row>
    <row r="406" ht="14.25" customHeight="1">
      <c r="A406" s="59"/>
      <c r="B406" s="97"/>
      <c r="C406" s="97"/>
      <c r="D406" s="97"/>
      <c r="E406" s="97"/>
      <c r="F406" s="97"/>
      <c r="G406" s="97"/>
      <c r="H406" s="99"/>
      <c r="I406" s="123"/>
      <c r="J406" s="123"/>
      <c r="K406" s="97"/>
      <c r="L406" s="97"/>
      <c r="M406" s="66"/>
      <c r="N406" s="97"/>
      <c r="O406" s="97"/>
      <c r="P406" s="97"/>
      <c r="Q406" s="97"/>
      <c r="R406" s="97"/>
      <c r="S406" s="97"/>
      <c r="T406" s="97"/>
      <c r="U406" s="97"/>
      <c r="V406" s="97"/>
      <c r="W406" s="97"/>
      <c r="X406" s="97"/>
      <c r="Y406" s="97"/>
      <c r="Z406" s="97"/>
      <c r="AA406" s="97"/>
      <c r="AB406" s="97"/>
      <c r="AC406" s="97"/>
      <c r="AD406" s="97"/>
      <c r="AE406" s="97"/>
    </row>
    <row r="407" ht="14.25" customHeight="1">
      <c r="A407" s="59"/>
      <c r="B407" s="97"/>
      <c r="C407" s="97"/>
      <c r="D407" s="97"/>
      <c r="E407" s="97"/>
      <c r="F407" s="97"/>
      <c r="G407" s="97"/>
      <c r="H407" s="99"/>
      <c r="I407" s="123"/>
      <c r="J407" s="123"/>
      <c r="K407" s="97"/>
      <c r="L407" s="97"/>
      <c r="M407" s="66"/>
      <c r="N407" s="97"/>
      <c r="O407" s="97"/>
      <c r="P407" s="97"/>
      <c r="Q407" s="97"/>
      <c r="R407" s="97"/>
      <c r="S407" s="97"/>
      <c r="T407" s="97"/>
      <c r="U407" s="97"/>
      <c r="V407" s="97"/>
      <c r="W407" s="97"/>
      <c r="X407" s="97"/>
      <c r="Y407" s="97"/>
      <c r="Z407" s="97"/>
      <c r="AA407" s="97"/>
      <c r="AB407" s="97"/>
      <c r="AC407" s="97"/>
      <c r="AD407" s="97"/>
      <c r="AE407" s="97"/>
    </row>
    <row r="408" ht="14.25" customHeight="1">
      <c r="A408" s="59"/>
      <c r="B408" s="97"/>
      <c r="C408" s="97"/>
      <c r="D408" s="97"/>
      <c r="E408" s="97"/>
      <c r="F408" s="97"/>
      <c r="G408" s="97"/>
      <c r="H408" s="99"/>
      <c r="I408" s="123"/>
      <c r="J408" s="123"/>
      <c r="K408" s="97"/>
      <c r="L408" s="97"/>
      <c r="M408" s="66"/>
      <c r="N408" s="97"/>
      <c r="O408" s="97"/>
      <c r="P408" s="97"/>
      <c r="Q408" s="97"/>
      <c r="R408" s="97"/>
      <c r="S408" s="97"/>
      <c r="T408" s="97"/>
      <c r="U408" s="97"/>
      <c r="V408" s="97"/>
      <c r="W408" s="97"/>
      <c r="X408" s="97"/>
      <c r="Y408" s="97"/>
      <c r="Z408" s="97"/>
      <c r="AA408" s="97"/>
      <c r="AB408" s="97"/>
      <c r="AC408" s="97"/>
      <c r="AD408" s="97"/>
      <c r="AE408" s="97"/>
    </row>
    <row r="409" ht="14.25" customHeight="1">
      <c r="A409" s="59"/>
      <c r="B409" s="97"/>
      <c r="C409" s="97"/>
      <c r="D409" s="97"/>
      <c r="E409" s="97"/>
      <c r="F409" s="97"/>
      <c r="G409" s="97"/>
      <c r="H409" s="99"/>
      <c r="I409" s="123"/>
      <c r="J409" s="123"/>
      <c r="K409" s="97"/>
      <c r="L409" s="97"/>
      <c r="M409" s="66"/>
      <c r="N409" s="97"/>
      <c r="O409" s="97"/>
      <c r="P409" s="97"/>
      <c r="Q409" s="97"/>
      <c r="R409" s="97"/>
      <c r="S409" s="97"/>
      <c r="T409" s="97"/>
      <c r="U409" s="97"/>
      <c r="V409" s="97"/>
      <c r="W409" s="97"/>
      <c r="X409" s="97"/>
      <c r="Y409" s="97"/>
      <c r="Z409" s="97"/>
      <c r="AA409" s="97"/>
      <c r="AB409" s="97"/>
      <c r="AC409" s="97"/>
      <c r="AD409" s="97"/>
      <c r="AE409" s="97"/>
    </row>
    <row r="410" ht="14.25" customHeight="1">
      <c r="A410" s="59"/>
      <c r="B410" s="97"/>
      <c r="C410" s="97"/>
      <c r="D410" s="97"/>
      <c r="E410" s="97"/>
      <c r="F410" s="97"/>
      <c r="G410" s="97"/>
      <c r="H410" s="99"/>
      <c r="I410" s="123"/>
      <c r="J410" s="123"/>
      <c r="K410" s="97"/>
      <c r="L410" s="97"/>
      <c r="M410" s="66"/>
      <c r="N410" s="97"/>
      <c r="O410" s="97"/>
      <c r="P410" s="97"/>
      <c r="Q410" s="97"/>
      <c r="R410" s="97"/>
      <c r="S410" s="97"/>
      <c r="T410" s="97"/>
      <c r="U410" s="97"/>
      <c r="V410" s="97"/>
      <c r="W410" s="97"/>
      <c r="X410" s="97"/>
      <c r="Y410" s="97"/>
      <c r="Z410" s="97"/>
      <c r="AA410" s="97"/>
      <c r="AB410" s="97"/>
      <c r="AC410" s="97"/>
      <c r="AD410" s="97"/>
      <c r="AE410" s="97"/>
    </row>
    <row r="411" ht="14.25" customHeight="1">
      <c r="A411" s="59"/>
      <c r="B411" s="97"/>
      <c r="C411" s="97"/>
      <c r="D411" s="97"/>
      <c r="E411" s="97"/>
      <c r="F411" s="97"/>
      <c r="G411" s="97"/>
      <c r="H411" s="99"/>
      <c r="I411" s="123"/>
      <c r="J411" s="123"/>
      <c r="K411" s="97"/>
      <c r="L411" s="97"/>
      <c r="M411" s="66"/>
      <c r="N411" s="97"/>
      <c r="O411" s="97"/>
      <c r="P411" s="97"/>
      <c r="Q411" s="97"/>
      <c r="R411" s="97"/>
      <c r="S411" s="97"/>
      <c r="T411" s="97"/>
      <c r="U411" s="97"/>
      <c r="V411" s="97"/>
      <c r="W411" s="97"/>
      <c r="X411" s="97"/>
      <c r="Y411" s="97"/>
      <c r="Z411" s="97"/>
      <c r="AA411" s="97"/>
      <c r="AB411" s="97"/>
      <c r="AC411" s="97"/>
      <c r="AD411" s="97"/>
      <c r="AE411" s="97"/>
    </row>
    <row r="412" ht="14.25" customHeight="1">
      <c r="A412" s="59"/>
      <c r="B412" s="97"/>
      <c r="C412" s="97"/>
      <c r="D412" s="97"/>
      <c r="E412" s="97"/>
      <c r="F412" s="97"/>
      <c r="G412" s="97"/>
      <c r="H412" s="99"/>
      <c r="I412" s="123"/>
      <c r="J412" s="123"/>
      <c r="K412" s="97"/>
      <c r="L412" s="97"/>
      <c r="M412" s="66"/>
      <c r="N412" s="97"/>
      <c r="O412" s="97"/>
      <c r="P412" s="97"/>
      <c r="Q412" s="97"/>
      <c r="R412" s="97"/>
      <c r="S412" s="97"/>
      <c r="T412" s="97"/>
      <c r="U412" s="97"/>
      <c r="V412" s="97"/>
      <c r="W412" s="97"/>
      <c r="X412" s="97"/>
      <c r="Y412" s="97"/>
      <c r="Z412" s="97"/>
      <c r="AA412" s="97"/>
      <c r="AB412" s="97"/>
      <c r="AC412" s="97"/>
      <c r="AD412" s="97"/>
      <c r="AE412" s="97"/>
    </row>
    <row r="413" ht="14.25" customHeight="1">
      <c r="A413" s="59"/>
      <c r="B413" s="97"/>
      <c r="C413" s="97"/>
      <c r="D413" s="97"/>
      <c r="E413" s="97"/>
      <c r="F413" s="97"/>
      <c r="G413" s="97"/>
      <c r="H413" s="99"/>
      <c r="I413" s="123"/>
      <c r="J413" s="123"/>
      <c r="K413" s="97"/>
      <c r="L413" s="97"/>
      <c r="M413" s="66"/>
      <c r="N413" s="97"/>
      <c r="O413" s="97"/>
      <c r="P413" s="97"/>
      <c r="Q413" s="97"/>
      <c r="R413" s="97"/>
      <c r="S413" s="97"/>
      <c r="T413" s="97"/>
      <c r="U413" s="97"/>
      <c r="V413" s="97"/>
      <c r="W413" s="97"/>
      <c r="X413" s="97"/>
      <c r="Y413" s="97"/>
      <c r="Z413" s="97"/>
      <c r="AA413" s="97"/>
      <c r="AB413" s="97"/>
      <c r="AC413" s="97"/>
      <c r="AD413" s="97"/>
      <c r="AE413" s="97"/>
    </row>
    <row r="414" ht="14.25" customHeight="1">
      <c r="A414" s="59"/>
      <c r="B414" s="97"/>
      <c r="C414" s="97"/>
      <c r="D414" s="97"/>
      <c r="E414" s="97"/>
      <c r="F414" s="97"/>
      <c r="G414" s="97"/>
      <c r="H414" s="99"/>
      <c r="I414" s="123"/>
      <c r="J414" s="123"/>
      <c r="K414" s="97"/>
      <c r="L414" s="97"/>
      <c r="M414" s="66"/>
      <c r="N414" s="97"/>
      <c r="O414" s="97"/>
      <c r="P414" s="97"/>
      <c r="Q414" s="97"/>
      <c r="R414" s="97"/>
      <c r="S414" s="97"/>
      <c r="T414" s="97"/>
      <c r="U414" s="97"/>
      <c r="V414" s="97"/>
      <c r="W414" s="97"/>
      <c r="X414" s="97"/>
      <c r="Y414" s="97"/>
      <c r="Z414" s="97"/>
      <c r="AA414" s="97"/>
      <c r="AB414" s="97"/>
      <c r="AC414" s="97"/>
      <c r="AD414" s="97"/>
      <c r="AE414" s="97"/>
    </row>
    <row r="415" ht="14.25" customHeight="1">
      <c r="A415" s="59"/>
      <c r="B415" s="97"/>
      <c r="C415" s="97"/>
      <c r="D415" s="97"/>
      <c r="E415" s="97"/>
      <c r="F415" s="97"/>
      <c r="G415" s="97"/>
      <c r="H415" s="99"/>
      <c r="I415" s="123"/>
      <c r="J415" s="123"/>
      <c r="K415" s="97"/>
      <c r="L415" s="97"/>
      <c r="M415" s="66"/>
      <c r="N415" s="97"/>
      <c r="O415" s="97"/>
      <c r="P415" s="97"/>
      <c r="Q415" s="97"/>
      <c r="R415" s="97"/>
      <c r="S415" s="97"/>
      <c r="T415" s="97"/>
      <c r="U415" s="97"/>
      <c r="V415" s="97"/>
      <c r="W415" s="97"/>
      <c r="X415" s="97"/>
      <c r="Y415" s="97"/>
      <c r="Z415" s="97"/>
      <c r="AA415" s="97"/>
      <c r="AB415" s="97"/>
      <c r="AC415" s="97"/>
      <c r="AD415" s="97"/>
      <c r="AE415" s="97"/>
    </row>
    <row r="416" ht="14.25" customHeight="1">
      <c r="A416" s="59"/>
      <c r="B416" s="97"/>
      <c r="C416" s="97"/>
      <c r="D416" s="97"/>
      <c r="E416" s="97"/>
      <c r="F416" s="97"/>
      <c r="G416" s="97"/>
      <c r="H416" s="99"/>
      <c r="I416" s="123"/>
      <c r="J416" s="123"/>
      <c r="K416" s="97"/>
      <c r="L416" s="97"/>
      <c r="M416" s="66"/>
      <c r="N416" s="97"/>
      <c r="O416" s="97"/>
      <c r="P416" s="97"/>
      <c r="Q416" s="97"/>
      <c r="R416" s="97"/>
      <c r="S416" s="97"/>
      <c r="T416" s="97"/>
      <c r="U416" s="97"/>
      <c r="V416" s="97"/>
      <c r="W416" s="97"/>
      <c r="X416" s="97"/>
      <c r="Y416" s="97"/>
      <c r="Z416" s="97"/>
      <c r="AA416" s="97"/>
      <c r="AB416" s="97"/>
      <c r="AC416" s="97"/>
      <c r="AD416" s="97"/>
      <c r="AE416" s="97"/>
    </row>
    <row r="417" ht="14.25" customHeight="1">
      <c r="A417" s="59"/>
      <c r="B417" s="97"/>
      <c r="C417" s="97"/>
      <c r="D417" s="97"/>
      <c r="E417" s="97"/>
      <c r="F417" s="97"/>
      <c r="G417" s="97"/>
      <c r="H417" s="99"/>
      <c r="I417" s="123"/>
      <c r="J417" s="123"/>
      <c r="K417" s="97"/>
      <c r="L417" s="97"/>
      <c r="M417" s="66"/>
      <c r="N417" s="97"/>
      <c r="O417" s="97"/>
      <c r="P417" s="97"/>
      <c r="Q417" s="97"/>
      <c r="R417" s="97"/>
      <c r="S417" s="97"/>
      <c r="T417" s="97"/>
      <c r="U417" s="97"/>
      <c r="V417" s="97"/>
      <c r="W417" s="97"/>
      <c r="X417" s="97"/>
      <c r="Y417" s="97"/>
      <c r="Z417" s="97"/>
      <c r="AA417" s="97"/>
      <c r="AB417" s="97"/>
      <c r="AC417" s="97"/>
      <c r="AD417" s="97"/>
      <c r="AE417" s="97"/>
    </row>
    <row r="418" ht="14.25" customHeight="1">
      <c r="A418" s="59"/>
      <c r="B418" s="97"/>
      <c r="C418" s="97"/>
      <c r="D418" s="97"/>
      <c r="E418" s="97"/>
      <c r="F418" s="97"/>
      <c r="G418" s="97"/>
      <c r="H418" s="99"/>
      <c r="I418" s="123"/>
      <c r="J418" s="123"/>
      <c r="K418" s="97"/>
      <c r="L418" s="97"/>
      <c r="M418" s="66"/>
      <c r="N418" s="97"/>
      <c r="O418" s="97"/>
      <c r="P418" s="97"/>
      <c r="Q418" s="97"/>
      <c r="R418" s="97"/>
      <c r="S418" s="97"/>
      <c r="T418" s="97"/>
      <c r="U418" s="97"/>
      <c r="V418" s="97"/>
      <c r="W418" s="97"/>
      <c r="X418" s="97"/>
      <c r="Y418" s="97"/>
      <c r="Z418" s="97"/>
      <c r="AA418" s="97"/>
      <c r="AB418" s="97"/>
      <c r="AC418" s="97"/>
      <c r="AD418" s="97"/>
      <c r="AE418" s="97"/>
    </row>
    <row r="419" ht="14.25" customHeight="1">
      <c r="A419" s="59"/>
      <c r="B419" s="97"/>
      <c r="C419" s="97"/>
      <c r="D419" s="97"/>
      <c r="E419" s="97"/>
      <c r="F419" s="97"/>
      <c r="G419" s="97"/>
      <c r="H419" s="99"/>
      <c r="I419" s="123"/>
      <c r="J419" s="123"/>
      <c r="K419" s="97"/>
      <c r="L419" s="97"/>
      <c r="M419" s="66"/>
      <c r="N419" s="97"/>
      <c r="O419" s="97"/>
      <c r="P419" s="97"/>
      <c r="Q419" s="97"/>
      <c r="R419" s="97"/>
      <c r="S419" s="97"/>
      <c r="T419" s="97"/>
      <c r="U419" s="97"/>
      <c r="V419" s="97"/>
      <c r="W419" s="97"/>
      <c r="X419" s="97"/>
      <c r="Y419" s="97"/>
      <c r="Z419" s="97"/>
      <c r="AA419" s="97"/>
      <c r="AB419" s="97"/>
      <c r="AC419" s="97"/>
      <c r="AD419" s="97"/>
      <c r="AE419" s="97"/>
    </row>
    <row r="420" ht="14.25" customHeight="1">
      <c r="A420" s="59"/>
      <c r="B420" s="97"/>
      <c r="C420" s="97"/>
      <c r="D420" s="97"/>
      <c r="E420" s="97"/>
      <c r="F420" s="97"/>
      <c r="G420" s="97"/>
      <c r="H420" s="99"/>
      <c r="I420" s="123"/>
      <c r="J420" s="123"/>
      <c r="K420" s="97"/>
      <c r="L420" s="97"/>
      <c r="M420" s="66"/>
      <c r="N420" s="97"/>
      <c r="O420" s="97"/>
      <c r="P420" s="97"/>
      <c r="Q420" s="97"/>
      <c r="R420" s="97"/>
      <c r="S420" s="97"/>
      <c r="T420" s="97"/>
      <c r="U420" s="97"/>
      <c r="V420" s="97"/>
      <c r="W420" s="97"/>
      <c r="X420" s="97"/>
      <c r="Y420" s="97"/>
      <c r="Z420" s="97"/>
      <c r="AA420" s="97"/>
      <c r="AB420" s="97"/>
      <c r="AC420" s="97"/>
      <c r="AD420" s="97"/>
      <c r="AE420" s="97"/>
    </row>
    <row r="421" ht="14.25" customHeight="1">
      <c r="A421" s="59"/>
      <c r="B421" s="97"/>
      <c r="C421" s="97"/>
      <c r="D421" s="97"/>
      <c r="E421" s="97"/>
      <c r="F421" s="97"/>
      <c r="G421" s="97"/>
      <c r="H421" s="99"/>
      <c r="I421" s="123"/>
      <c r="J421" s="123"/>
      <c r="K421" s="97"/>
      <c r="L421" s="97"/>
      <c r="M421" s="66"/>
      <c r="N421" s="97"/>
      <c r="O421" s="97"/>
      <c r="P421" s="97"/>
      <c r="Q421" s="97"/>
      <c r="R421" s="97"/>
      <c r="S421" s="97"/>
      <c r="T421" s="97"/>
      <c r="U421" s="97"/>
      <c r="V421" s="97"/>
      <c r="W421" s="97"/>
      <c r="X421" s="97"/>
      <c r="Y421" s="97"/>
      <c r="Z421" s="97"/>
      <c r="AA421" s="97"/>
      <c r="AB421" s="97"/>
      <c r="AC421" s="97"/>
      <c r="AD421" s="97"/>
      <c r="AE421" s="97"/>
    </row>
    <row r="422" ht="14.25" customHeight="1">
      <c r="A422" s="59"/>
      <c r="B422" s="97"/>
      <c r="C422" s="97"/>
      <c r="D422" s="97"/>
      <c r="E422" s="97"/>
      <c r="F422" s="97"/>
      <c r="G422" s="97"/>
      <c r="H422" s="99"/>
      <c r="I422" s="123"/>
      <c r="J422" s="123"/>
      <c r="K422" s="97"/>
      <c r="L422" s="97"/>
      <c r="M422" s="66"/>
      <c r="N422" s="97"/>
      <c r="O422" s="97"/>
      <c r="P422" s="97"/>
      <c r="Q422" s="97"/>
      <c r="R422" s="97"/>
      <c r="S422" s="97"/>
      <c r="T422" s="97"/>
      <c r="U422" s="97"/>
      <c r="V422" s="97"/>
      <c r="W422" s="97"/>
      <c r="X422" s="97"/>
      <c r="Y422" s="97"/>
      <c r="Z422" s="97"/>
      <c r="AA422" s="97"/>
      <c r="AB422" s="97"/>
      <c r="AC422" s="97"/>
      <c r="AD422" s="97"/>
      <c r="AE422" s="97"/>
    </row>
    <row r="423" ht="14.25" customHeight="1">
      <c r="A423" s="59"/>
      <c r="B423" s="97"/>
      <c r="C423" s="97"/>
      <c r="D423" s="97"/>
      <c r="E423" s="97"/>
      <c r="F423" s="97"/>
      <c r="G423" s="97"/>
      <c r="H423" s="99"/>
      <c r="I423" s="123"/>
      <c r="J423" s="123"/>
      <c r="K423" s="97"/>
      <c r="L423" s="97"/>
      <c r="M423" s="66"/>
      <c r="N423" s="97"/>
      <c r="O423" s="97"/>
      <c r="P423" s="97"/>
      <c r="Q423" s="97"/>
      <c r="R423" s="97"/>
      <c r="S423" s="97"/>
      <c r="T423" s="97"/>
      <c r="U423" s="97"/>
      <c r="V423" s="97"/>
      <c r="W423" s="97"/>
      <c r="X423" s="97"/>
      <c r="Y423" s="97"/>
      <c r="Z423" s="97"/>
      <c r="AA423" s="97"/>
      <c r="AB423" s="97"/>
      <c r="AC423" s="97"/>
      <c r="AD423" s="97"/>
      <c r="AE423" s="97"/>
    </row>
    <row r="424" ht="14.25" customHeight="1">
      <c r="A424" s="59"/>
      <c r="B424" s="97"/>
      <c r="C424" s="97"/>
      <c r="D424" s="97"/>
      <c r="E424" s="97"/>
      <c r="F424" s="97"/>
      <c r="G424" s="97"/>
      <c r="H424" s="99"/>
      <c r="I424" s="123"/>
      <c r="J424" s="123"/>
      <c r="K424" s="97"/>
      <c r="L424" s="97"/>
      <c r="M424" s="66"/>
      <c r="N424" s="97"/>
      <c r="O424" s="97"/>
      <c r="P424" s="97"/>
      <c r="Q424" s="97"/>
      <c r="R424" s="97"/>
      <c r="S424" s="97"/>
      <c r="T424" s="97"/>
      <c r="U424" s="97"/>
      <c r="V424" s="97"/>
      <c r="W424" s="97"/>
      <c r="X424" s="97"/>
      <c r="Y424" s="97"/>
      <c r="Z424" s="97"/>
      <c r="AA424" s="97"/>
      <c r="AB424" s="97"/>
      <c r="AC424" s="97"/>
      <c r="AD424" s="97"/>
      <c r="AE424" s="97"/>
    </row>
    <row r="425" ht="14.25" customHeight="1">
      <c r="A425" s="59"/>
      <c r="B425" s="97"/>
      <c r="C425" s="97"/>
      <c r="D425" s="97"/>
      <c r="E425" s="97"/>
      <c r="F425" s="97"/>
      <c r="G425" s="97"/>
      <c r="H425" s="99"/>
      <c r="I425" s="123"/>
      <c r="J425" s="123"/>
      <c r="K425" s="97"/>
      <c r="L425" s="97"/>
      <c r="M425" s="66"/>
      <c r="N425" s="97"/>
      <c r="O425" s="97"/>
      <c r="P425" s="97"/>
      <c r="Q425" s="97"/>
      <c r="R425" s="97"/>
      <c r="S425" s="97"/>
      <c r="T425" s="97"/>
      <c r="U425" s="97"/>
      <c r="V425" s="97"/>
      <c r="W425" s="97"/>
      <c r="X425" s="97"/>
      <c r="Y425" s="97"/>
      <c r="Z425" s="97"/>
      <c r="AA425" s="97"/>
      <c r="AB425" s="97"/>
      <c r="AC425" s="97"/>
      <c r="AD425" s="97"/>
      <c r="AE425" s="97"/>
    </row>
    <row r="426" ht="14.25" customHeight="1">
      <c r="A426" s="59"/>
      <c r="B426" s="97"/>
      <c r="C426" s="97"/>
      <c r="D426" s="97"/>
      <c r="E426" s="97"/>
      <c r="F426" s="97"/>
      <c r="G426" s="97"/>
      <c r="H426" s="99"/>
      <c r="I426" s="123"/>
      <c r="J426" s="123"/>
      <c r="K426" s="97"/>
      <c r="L426" s="97"/>
      <c r="M426" s="66"/>
      <c r="N426" s="97"/>
      <c r="O426" s="97"/>
      <c r="P426" s="97"/>
      <c r="Q426" s="97"/>
      <c r="R426" s="97"/>
      <c r="S426" s="97"/>
      <c r="T426" s="97"/>
      <c r="U426" s="97"/>
      <c r="V426" s="97"/>
      <c r="W426" s="97"/>
      <c r="X426" s="97"/>
      <c r="Y426" s="97"/>
      <c r="Z426" s="97"/>
      <c r="AA426" s="97"/>
      <c r="AB426" s="97"/>
      <c r="AC426" s="97"/>
      <c r="AD426" s="97"/>
      <c r="AE426" s="97"/>
    </row>
    <row r="427" ht="14.25" customHeight="1">
      <c r="A427" s="59"/>
      <c r="B427" s="97"/>
      <c r="C427" s="97"/>
      <c r="D427" s="97"/>
      <c r="E427" s="97"/>
      <c r="F427" s="97"/>
      <c r="G427" s="97"/>
      <c r="H427" s="99"/>
      <c r="I427" s="123"/>
      <c r="J427" s="123"/>
      <c r="K427" s="97"/>
      <c r="L427" s="97"/>
      <c r="M427" s="66"/>
      <c r="N427" s="97"/>
      <c r="O427" s="97"/>
      <c r="P427" s="97"/>
      <c r="Q427" s="97"/>
      <c r="R427" s="97"/>
      <c r="S427" s="97"/>
      <c r="T427" s="97"/>
      <c r="U427" s="97"/>
      <c r="V427" s="97"/>
      <c r="W427" s="97"/>
      <c r="X427" s="97"/>
      <c r="Y427" s="97"/>
      <c r="Z427" s="97"/>
      <c r="AA427" s="97"/>
      <c r="AB427" s="97"/>
      <c r="AC427" s="97"/>
      <c r="AD427" s="97"/>
      <c r="AE427" s="97"/>
    </row>
    <row r="428" ht="14.25" customHeight="1">
      <c r="A428" s="59"/>
      <c r="B428" s="97"/>
      <c r="C428" s="97"/>
      <c r="D428" s="97"/>
      <c r="E428" s="97"/>
      <c r="F428" s="97"/>
      <c r="G428" s="97"/>
      <c r="H428" s="99"/>
      <c r="I428" s="123"/>
      <c r="J428" s="123"/>
      <c r="K428" s="97"/>
      <c r="L428" s="97"/>
      <c r="M428" s="66"/>
      <c r="N428" s="97"/>
      <c r="O428" s="97"/>
      <c r="P428" s="97"/>
      <c r="Q428" s="97"/>
      <c r="R428" s="97"/>
      <c r="S428" s="97"/>
      <c r="T428" s="97"/>
      <c r="U428" s="97"/>
      <c r="V428" s="97"/>
      <c r="W428" s="97"/>
      <c r="X428" s="97"/>
      <c r="Y428" s="97"/>
      <c r="Z428" s="97"/>
      <c r="AA428" s="97"/>
      <c r="AB428" s="97"/>
      <c r="AC428" s="97"/>
      <c r="AD428" s="97"/>
      <c r="AE428" s="97"/>
    </row>
    <row r="429" ht="14.25" customHeight="1">
      <c r="A429" s="59"/>
      <c r="B429" s="97"/>
      <c r="C429" s="97"/>
      <c r="D429" s="97"/>
      <c r="E429" s="97"/>
      <c r="F429" s="97"/>
      <c r="G429" s="97"/>
      <c r="H429" s="99"/>
      <c r="I429" s="123"/>
      <c r="J429" s="123"/>
      <c r="K429" s="97"/>
      <c r="L429" s="97"/>
      <c r="M429" s="66"/>
      <c r="N429" s="97"/>
      <c r="O429" s="97"/>
      <c r="P429" s="97"/>
      <c r="Q429" s="97"/>
      <c r="R429" s="97"/>
      <c r="S429" s="97"/>
      <c r="T429" s="97"/>
      <c r="U429" s="97"/>
      <c r="V429" s="97"/>
      <c r="W429" s="97"/>
      <c r="X429" s="97"/>
      <c r="Y429" s="97"/>
      <c r="Z429" s="97"/>
      <c r="AA429" s="97"/>
      <c r="AB429" s="97"/>
      <c r="AC429" s="97"/>
      <c r="AD429" s="97"/>
      <c r="AE429" s="97"/>
    </row>
    <row r="430" ht="14.25" customHeight="1">
      <c r="A430" s="59"/>
      <c r="B430" s="97"/>
      <c r="C430" s="97"/>
      <c r="D430" s="97"/>
      <c r="E430" s="97"/>
      <c r="F430" s="97"/>
      <c r="G430" s="97"/>
      <c r="H430" s="99"/>
      <c r="I430" s="123"/>
      <c r="J430" s="123"/>
      <c r="K430" s="97"/>
      <c r="L430" s="97"/>
      <c r="M430" s="66"/>
      <c r="N430" s="97"/>
      <c r="O430" s="97"/>
      <c r="P430" s="97"/>
      <c r="Q430" s="97"/>
      <c r="R430" s="97"/>
      <c r="S430" s="97"/>
      <c r="T430" s="97"/>
      <c r="U430" s="97"/>
      <c r="V430" s="97"/>
      <c r="W430" s="97"/>
      <c r="X430" s="97"/>
      <c r="Y430" s="97"/>
      <c r="Z430" s="97"/>
      <c r="AA430" s="97"/>
      <c r="AB430" s="97"/>
      <c r="AC430" s="97"/>
      <c r="AD430" s="97"/>
      <c r="AE430" s="97"/>
    </row>
    <row r="431" ht="14.25" customHeight="1">
      <c r="A431" s="59"/>
      <c r="B431" s="97"/>
      <c r="C431" s="97"/>
      <c r="D431" s="97"/>
      <c r="E431" s="97"/>
      <c r="F431" s="97"/>
      <c r="G431" s="97"/>
      <c r="H431" s="99"/>
      <c r="I431" s="123"/>
      <c r="J431" s="123"/>
      <c r="K431" s="97"/>
      <c r="L431" s="97"/>
      <c r="M431" s="66"/>
      <c r="N431" s="97"/>
      <c r="O431" s="97"/>
      <c r="P431" s="97"/>
      <c r="Q431" s="97"/>
      <c r="R431" s="97"/>
      <c r="S431" s="97"/>
      <c r="T431" s="97"/>
      <c r="U431" s="97"/>
      <c r="V431" s="97"/>
      <c r="W431" s="97"/>
      <c r="X431" s="97"/>
      <c r="Y431" s="97"/>
      <c r="Z431" s="97"/>
      <c r="AA431" s="97"/>
      <c r="AB431" s="97"/>
      <c r="AC431" s="97"/>
      <c r="AD431" s="97"/>
      <c r="AE431" s="97"/>
    </row>
    <row r="432" ht="14.25" customHeight="1">
      <c r="A432" s="59"/>
      <c r="B432" s="97"/>
      <c r="C432" s="97"/>
      <c r="D432" s="97"/>
      <c r="E432" s="97"/>
      <c r="F432" s="97"/>
      <c r="G432" s="97"/>
      <c r="H432" s="99"/>
      <c r="I432" s="123"/>
      <c r="J432" s="123"/>
      <c r="K432" s="97"/>
      <c r="L432" s="97"/>
      <c r="M432" s="66"/>
      <c r="N432" s="97"/>
      <c r="O432" s="97"/>
      <c r="P432" s="97"/>
      <c r="Q432" s="97"/>
      <c r="R432" s="97"/>
      <c r="S432" s="97"/>
      <c r="T432" s="97"/>
      <c r="U432" s="97"/>
      <c r="V432" s="97"/>
      <c r="W432" s="97"/>
      <c r="X432" s="97"/>
      <c r="Y432" s="97"/>
      <c r="Z432" s="97"/>
      <c r="AA432" s="97"/>
      <c r="AB432" s="97"/>
      <c r="AC432" s="97"/>
      <c r="AD432" s="97"/>
      <c r="AE432" s="97"/>
    </row>
    <row r="433" ht="14.25" customHeight="1">
      <c r="A433" s="59"/>
      <c r="B433" s="97"/>
      <c r="C433" s="97"/>
      <c r="D433" s="97"/>
      <c r="E433" s="97"/>
      <c r="F433" s="97"/>
      <c r="G433" s="97"/>
      <c r="H433" s="99"/>
      <c r="I433" s="123"/>
      <c r="J433" s="123"/>
      <c r="K433" s="97"/>
      <c r="L433" s="97"/>
      <c r="M433" s="66"/>
      <c r="N433" s="97"/>
      <c r="O433" s="97"/>
      <c r="P433" s="97"/>
      <c r="Q433" s="97"/>
      <c r="R433" s="97"/>
      <c r="S433" s="97"/>
      <c r="T433" s="97"/>
      <c r="U433" s="97"/>
      <c r="V433" s="97"/>
      <c r="W433" s="97"/>
      <c r="X433" s="97"/>
      <c r="Y433" s="97"/>
      <c r="Z433" s="97"/>
      <c r="AA433" s="97"/>
      <c r="AB433" s="97"/>
      <c r="AC433" s="97"/>
      <c r="AD433" s="97"/>
      <c r="AE433" s="97"/>
    </row>
    <row r="434" ht="14.25" customHeight="1">
      <c r="A434" s="59"/>
      <c r="B434" s="97"/>
      <c r="C434" s="97"/>
      <c r="D434" s="97"/>
      <c r="E434" s="97"/>
      <c r="F434" s="97"/>
      <c r="G434" s="97"/>
      <c r="H434" s="99"/>
      <c r="I434" s="123"/>
      <c r="J434" s="123"/>
      <c r="K434" s="97"/>
      <c r="L434" s="97"/>
      <c r="M434" s="66"/>
      <c r="N434" s="97"/>
      <c r="O434" s="97"/>
      <c r="P434" s="97"/>
      <c r="Q434" s="97"/>
      <c r="R434" s="97"/>
      <c r="S434" s="97"/>
      <c r="T434" s="97"/>
      <c r="U434" s="97"/>
      <c r="V434" s="97"/>
      <c r="W434" s="97"/>
      <c r="X434" s="97"/>
      <c r="Y434" s="97"/>
      <c r="Z434" s="97"/>
      <c r="AA434" s="97"/>
      <c r="AB434" s="97"/>
      <c r="AC434" s="97"/>
      <c r="AD434" s="97"/>
      <c r="AE434" s="97"/>
    </row>
    <row r="435" ht="14.25" customHeight="1">
      <c r="A435" s="59"/>
      <c r="B435" s="97"/>
      <c r="C435" s="97"/>
      <c r="D435" s="97"/>
      <c r="E435" s="97"/>
      <c r="F435" s="97"/>
      <c r="G435" s="97"/>
      <c r="H435" s="99"/>
      <c r="I435" s="123"/>
      <c r="J435" s="123"/>
      <c r="K435" s="97"/>
      <c r="L435" s="97"/>
      <c r="M435" s="66"/>
      <c r="N435" s="97"/>
      <c r="O435" s="97"/>
      <c r="P435" s="97"/>
      <c r="Q435" s="97"/>
      <c r="R435" s="97"/>
      <c r="S435" s="97"/>
      <c r="T435" s="97"/>
      <c r="U435" s="97"/>
      <c r="V435" s="97"/>
      <c r="W435" s="97"/>
      <c r="X435" s="97"/>
      <c r="Y435" s="97"/>
      <c r="Z435" s="97"/>
      <c r="AA435" s="97"/>
      <c r="AB435" s="97"/>
      <c r="AC435" s="97"/>
      <c r="AD435" s="97"/>
      <c r="AE435" s="97"/>
    </row>
    <row r="436" ht="14.25" customHeight="1">
      <c r="A436" s="59"/>
      <c r="B436" s="97"/>
      <c r="C436" s="97"/>
      <c r="D436" s="97"/>
      <c r="E436" s="97"/>
      <c r="F436" s="97"/>
      <c r="G436" s="97"/>
      <c r="H436" s="99"/>
      <c r="I436" s="123"/>
      <c r="J436" s="123"/>
      <c r="K436" s="97"/>
      <c r="L436" s="97"/>
      <c r="M436" s="66"/>
      <c r="N436" s="97"/>
      <c r="O436" s="97"/>
      <c r="P436" s="97"/>
      <c r="Q436" s="97"/>
      <c r="R436" s="97"/>
      <c r="S436" s="97"/>
      <c r="T436" s="97"/>
      <c r="U436" s="97"/>
      <c r="V436" s="97"/>
      <c r="W436" s="97"/>
      <c r="X436" s="97"/>
      <c r="Y436" s="97"/>
      <c r="Z436" s="97"/>
      <c r="AA436" s="97"/>
      <c r="AB436" s="97"/>
      <c r="AC436" s="97"/>
      <c r="AD436" s="97"/>
      <c r="AE436" s="97"/>
    </row>
    <row r="437" ht="14.25" customHeight="1">
      <c r="A437" s="59"/>
      <c r="B437" s="97"/>
      <c r="C437" s="97"/>
      <c r="D437" s="97"/>
      <c r="E437" s="97"/>
      <c r="F437" s="97"/>
      <c r="G437" s="97"/>
      <c r="H437" s="99"/>
      <c r="I437" s="123"/>
      <c r="J437" s="123"/>
      <c r="K437" s="97"/>
      <c r="L437" s="97"/>
      <c r="M437" s="66"/>
      <c r="N437" s="97"/>
      <c r="O437" s="97"/>
      <c r="P437" s="97"/>
      <c r="Q437" s="97"/>
      <c r="R437" s="97"/>
      <c r="S437" s="97"/>
      <c r="T437" s="97"/>
      <c r="U437" s="97"/>
      <c r="V437" s="97"/>
      <c r="W437" s="97"/>
      <c r="X437" s="97"/>
      <c r="Y437" s="97"/>
      <c r="Z437" s="97"/>
      <c r="AA437" s="97"/>
      <c r="AB437" s="97"/>
      <c r="AC437" s="97"/>
      <c r="AD437" s="97"/>
      <c r="AE437" s="97"/>
    </row>
    <row r="438" ht="14.25" customHeight="1">
      <c r="A438" s="59"/>
      <c r="B438" s="97"/>
      <c r="C438" s="97"/>
      <c r="D438" s="97"/>
      <c r="E438" s="97"/>
      <c r="F438" s="97"/>
      <c r="G438" s="97"/>
      <c r="H438" s="99"/>
      <c r="I438" s="123"/>
      <c r="J438" s="123"/>
      <c r="K438" s="97"/>
      <c r="L438" s="97"/>
      <c r="M438" s="66"/>
      <c r="N438" s="97"/>
      <c r="O438" s="97"/>
      <c r="P438" s="97"/>
      <c r="Q438" s="97"/>
      <c r="R438" s="97"/>
      <c r="S438" s="97"/>
      <c r="T438" s="97"/>
      <c r="U438" s="97"/>
      <c r="V438" s="97"/>
      <c r="W438" s="97"/>
      <c r="X438" s="97"/>
      <c r="Y438" s="97"/>
      <c r="Z438" s="97"/>
      <c r="AA438" s="97"/>
      <c r="AB438" s="97"/>
      <c r="AC438" s="97"/>
      <c r="AD438" s="97"/>
      <c r="AE438" s="97"/>
    </row>
    <row r="439" ht="14.25" customHeight="1">
      <c r="A439" s="59"/>
      <c r="B439" s="97"/>
      <c r="C439" s="97"/>
      <c r="D439" s="97"/>
      <c r="E439" s="97"/>
      <c r="F439" s="97"/>
      <c r="G439" s="97"/>
      <c r="H439" s="99"/>
      <c r="I439" s="123"/>
      <c r="J439" s="123"/>
      <c r="K439" s="97"/>
      <c r="L439" s="97"/>
      <c r="M439" s="66"/>
      <c r="N439" s="97"/>
      <c r="O439" s="97"/>
      <c r="P439" s="97"/>
      <c r="Q439" s="97"/>
      <c r="R439" s="97"/>
      <c r="S439" s="97"/>
      <c r="T439" s="97"/>
      <c r="U439" s="97"/>
      <c r="V439" s="97"/>
      <c r="W439" s="97"/>
      <c r="X439" s="97"/>
      <c r="Y439" s="97"/>
      <c r="Z439" s="97"/>
      <c r="AA439" s="97"/>
      <c r="AB439" s="97"/>
      <c r="AC439" s="97"/>
      <c r="AD439" s="97"/>
      <c r="AE439" s="97"/>
    </row>
    <row r="440" ht="14.25" customHeight="1">
      <c r="A440" s="59"/>
      <c r="B440" s="97"/>
      <c r="C440" s="97"/>
      <c r="D440" s="97"/>
      <c r="E440" s="97"/>
      <c r="F440" s="97"/>
      <c r="G440" s="97"/>
      <c r="H440" s="99"/>
      <c r="I440" s="123"/>
      <c r="J440" s="123"/>
      <c r="K440" s="97"/>
      <c r="L440" s="97"/>
      <c r="M440" s="66"/>
      <c r="N440" s="97"/>
      <c r="O440" s="97"/>
      <c r="P440" s="97"/>
      <c r="Q440" s="97"/>
      <c r="R440" s="97"/>
      <c r="S440" s="97"/>
      <c r="T440" s="97"/>
      <c r="U440" s="97"/>
      <c r="V440" s="97"/>
      <c r="W440" s="97"/>
      <c r="X440" s="97"/>
      <c r="Y440" s="97"/>
      <c r="Z440" s="97"/>
      <c r="AA440" s="97"/>
      <c r="AB440" s="97"/>
      <c r="AC440" s="97"/>
      <c r="AD440" s="97"/>
      <c r="AE440" s="97"/>
    </row>
    <row r="441" ht="14.25" customHeight="1">
      <c r="A441" s="59"/>
      <c r="B441" s="97"/>
      <c r="C441" s="97"/>
      <c r="D441" s="97"/>
      <c r="E441" s="97"/>
      <c r="F441" s="97"/>
      <c r="G441" s="97"/>
      <c r="H441" s="99"/>
      <c r="I441" s="123"/>
      <c r="J441" s="123"/>
      <c r="K441" s="97"/>
      <c r="L441" s="97"/>
      <c r="M441" s="66"/>
      <c r="N441" s="97"/>
      <c r="O441" s="97"/>
      <c r="P441" s="97"/>
      <c r="Q441" s="97"/>
      <c r="R441" s="97"/>
      <c r="S441" s="97"/>
      <c r="T441" s="97"/>
      <c r="U441" s="97"/>
      <c r="V441" s="97"/>
      <c r="W441" s="97"/>
      <c r="X441" s="97"/>
      <c r="Y441" s="97"/>
      <c r="Z441" s="97"/>
      <c r="AA441" s="97"/>
      <c r="AB441" s="97"/>
      <c r="AC441" s="97"/>
      <c r="AD441" s="97"/>
      <c r="AE441" s="97"/>
    </row>
    <row r="442" ht="14.25" customHeight="1">
      <c r="A442" s="59"/>
      <c r="B442" s="97"/>
      <c r="C442" s="97"/>
      <c r="D442" s="97"/>
      <c r="E442" s="97"/>
      <c r="F442" s="97"/>
      <c r="G442" s="97"/>
      <c r="H442" s="99"/>
      <c r="I442" s="123"/>
      <c r="J442" s="123"/>
      <c r="K442" s="97"/>
      <c r="L442" s="97"/>
      <c r="M442" s="66"/>
      <c r="N442" s="97"/>
      <c r="O442" s="97"/>
      <c r="P442" s="97"/>
      <c r="Q442" s="97"/>
      <c r="R442" s="97"/>
      <c r="S442" s="97"/>
      <c r="T442" s="97"/>
      <c r="U442" s="97"/>
      <c r="V442" s="97"/>
      <c r="W442" s="97"/>
      <c r="X442" s="97"/>
      <c r="Y442" s="97"/>
      <c r="Z442" s="97"/>
      <c r="AA442" s="97"/>
      <c r="AB442" s="97"/>
      <c r="AC442" s="97"/>
      <c r="AD442" s="97"/>
      <c r="AE442" s="97"/>
    </row>
    <row r="443" ht="14.25" customHeight="1">
      <c r="A443" s="59"/>
      <c r="B443" s="97"/>
      <c r="C443" s="97"/>
      <c r="D443" s="97"/>
      <c r="E443" s="97"/>
      <c r="F443" s="97"/>
      <c r="G443" s="97"/>
      <c r="H443" s="99"/>
      <c r="I443" s="123"/>
      <c r="J443" s="123"/>
      <c r="K443" s="97"/>
      <c r="L443" s="97"/>
      <c r="M443" s="66"/>
      <c r="N443" s="97"/>
      <c r="O443" s="97"/>
      <c r="P443" s="97"/>
      <c r="Q443" s="97"/>
      <c r="R443" s="97"/>
      <c r="S443" s="97"/>
      <c r="T443" s="97"/>
      <c r="U443" s="97"/>
      <c r="V443" s="97"/>
      <c r="W443" s="97"/>
      <c r="X443" s="97"/>
      <c r="Y443" s="97"/>
      <c r="Z443" s="97"/>
      <c r="AA443" s="97"/>
      <c r="AB443" s="97"/>
      <c r="AC443" s="97"/>
      <c r="AD443" s="97"/>
      <c r="AE443" s="97"/>
    </row>
    <row r="444" ht="14.25" customHeight="1">
      <c r="A444" s="59"/>
      <c r="B444" s="97"/>
      <c r="C444" s="97"/>
      <c r="D444" s="97"/>
      <c r="E444" s="97"/>
      <c r="F444" s="97"/>
      <c r="G444" s="97"/>
      <c r="H444" s="99"/>
      <c r="I444" s="123"/>
      <c r="J444" s="123"/>
      <c r="K444" s="97"/>
      <c r="L444" s="97"/>
      <c r="M444" s="66"/>
      <c r="N444" s="97"/>
      <c r="O444" s="97"/>
      <c r="P444" s="97"/>
      <c r="Q444" s="97"/>
      <c r="R444" s="97"/>
      <c r="S444" s="97"/>
      <c r="T444" s="97"/>
      <c r="U444" s="97"/>
      <c r="V444" s="97"/>
      <c r="W444" s="97"/>
      <c r="X444" s="97"/>
      <c r="Y444" s="97"/>
      <c r="Z444" s="97"/>
      <c r="AA444" s="97"/>
      <c r="AB444" s="97"/>
      <c r="AC444" s="97"/>
      <c r="AD444" s="97"/>
      <c r="AE444" s="97"/>
    </row>
    <row r="445" ht="14.25" customHeight="1">
      <c r="A445" s="59"/>
      <c r="B445" s="97"/>
      <c r="C445" s="97"/>
      <c r="D445" s="97"/>
      <c r="E445" s="97"/>
      <c r="F445" s="97"/>
      <c r="G445" s="97"/>
      <c r="H445" s="99"/>
      <c r="I445" s="123"/>
      <c r="J445" s="123"/>
      <c r="K445" s="97"/>
      <c r="L445" s="97"/>
      <c r="M445" s="66"/>
      <c r="N445" s="97"/>
      <c r="O445" s="97"/>
      <c r="P445" s="97"/>
      <c r="Q445" s="97"/>
      <c r="R445" s="97"/>
      <c r="S445" s="97"/>
      <c r="T445" s="97"/>
      <c r="U445" s="97"/>
      <c r="V445" s="97"/>
      <c r="W445" s="97"/>
      <c r="X445" s="97"/>
      <c r="Y445" s="97"/>
      <c r="Z445" s="97"/>
      <c r="AA445" s="97"/>
      <c r="AB445" s="97"/>
      <c r="AC445" s="97"/>
      <c r="AD445" s="97"/>
      <c r="AE445" s="97"/>
    </row>
    <row r="446" ht="14.25" customHeight="1">
      <c r="A446" s="59"/>
      <c r="B446" s="97"/>
      <c r="C446" s="97"/>
      <c r="D446" s="97"/>
      <c r="E446" s="97"/>
      <c r="F446" s="97"/>
      <c r="G446" s="97"/>
      <c r="H446" s="99"/>
      <c r="I446" s="123"/>
      <c r="J446" s="123"/>
      <c r="K446" s="97"/>
      <c r="L446" s="97"/>
      <c r="M446" s="66"/>
      <c r="N446" s="97"/>
      <c r="O446" s="97"/>
      <c r="P446" s="97"/>
      <c r="Q446" s="97"/>
      <c r="R446" s="97"/>
      <c r="S446" s="97"/>
      <c r="T446" s="97"/>
      <c r="U446" s="97"/>
      <c r="V446" s="97"/>
      <c r="W446" s="97"/>
      <c r="X446" s="97"/>
      <c r="Y446" s="97"/>
      <c r="Z446" s="97"/>
      <c r="AA446" s="97"/>
      <c r="AB446" s="97"/>
      <c r="AC446" s="97"/>
      <c r="AD446" s="97"/>
      <c r="AE446" s="97"/>
    </row>
    <row r="447" ht="14.25" customHeight="1">
      <c r="A447" s="59"/>
      <c r="B447" s="97"/>
      <c r="C447" s="97"/>
      <c r="D447" s="97"/>
      <c r="E447" s="97"/>
      <c r="F447" s="97"/>
      <c r="G447" s="97"/>
      <c r="H447" s="99"/>
      <c r="I447" s="123"/>
      <c r="J447" s="123"/>
      <c r="K447" s="97"/>
      <c r="L447" s="97"/>
      <c r="M447" s="66"/>
      <c r="N447" s="97"/>
      <c r="O447" s="97"/>
      <c r="P447" s="97"/>
      <c r="Q447" s="97"/>
      <c r="R447" s="97"/>
      <c r="S447" s="97"/>
      <c r="T447" s="97"/>
      <c r="U447" s="97"/>
      <c r="V447" s="97"/>
      <c r="W447" s="97"/>
      <c r="X447" s="97"/>
      <c r="Y447" s="97"/>
      <c r="Z447" s="97"/>
      <c r="AA447" s="97"/>
      <c r="AB447" s="97"/>
      <c r="AC447" s="97"/>
      <c r="AD447" s="97"/>
      <c r="AE447" s="97"/>
    </row>
    <row r="448" ht="14.25" customHeight="1">
      <c r="A448" s="59"/>
      <c r="B448" s="97"/>
      <c r="C448" s="97"/>
      <c r="D448" s="97"/>
      <c r="E448" s="97"/>
      <c r="F448" s="97"/>
      <c r="G448" s="97"/>
      <c r="H448" s="99"/>
      <c r="I448" s="123"/>
      <c r="J448" s="123"/>
      <c r="K448" s="97"/>
      <c r="L448" s="97"/>
      <c r="M448" s="66"/>
      <c r="N448" s="97"/>
      <c r="O448" s="97"/>
      <c r="P448" s="97"/>
      <c r="Q448" s="97"/>
      <c r="R448" s="97"/>
      <c r="S448" s="97"/>
      <c r="T448" s="97"/>
      <c r="U448" s="97"/>
      <c r="V448" s="97"/>
      <c r="W448" s="97"/>
      <c r="X448" s="97"/>
      <c r="Y448" s="97"/>
      <c r="Z448" s="97"/>
      <c r="AA448" s="97"/>
      <c r="AB448" s="97"/>
      <c r="AC448" s="97"/>
      <c r="AD448" s="97"/>
      <c r="AE448" s="97"/>
    </row>
    <row r="449" ht="14.25" customHeight="1">
      <c r="A449" s="59"/>
      <c r="B449" s="97"/>
      <c r="C449" s="97"/>
      <c r="D449" s="97"/>
      <c r="E449" s="97"/>
      <c r="F449" s="97"/>
      <c r="G449" s="97"/>
      <c r="H449" s="99"/>
      <c r="I449" s="123"/>
      <c r="J449" s="123"/>
      <c r="K449" s="97"/>
      <c r="L449" s="97"/>
      <c r="M449" s="66"/>
      <c r="N449" s="97"/>
      <c r="O449" s="97"/>
      <c r="P449" s="97"/>
      <c r="Q449" s="97"/>
      <c r="R449" s="97"/>
      <c r="S449" s="97"/>
      <c r="T449" s="97"/>
      <c r="U449" s="97"/>
      <c r="V449" s="97"/>
      <c r="W449" s="97"/>
      <c r="X449" s="97"/>
      <c r="Y449" s="97"/>
      <c r="Z449" s="97"/>
      <c r="AA449" s="97"/>
      <c r="AB449" s="97"/>
      <c r="AC449" s="97"/>
      <c r="AD449" s="97"/>
      <c r="AE449" s="97"/>
    </row>
    <row r="450" ht="14.25" customHeight="1">
      <c r="A450" s="59"/>
      <c r="B450" s="97"/>
      <c r="C450" s="97"/>
      <c r="D450" s="97"/>
      <c r="E450" s="97"/>
      <c r="F450" s="97"/>
      <c r="G450" s="97"/>
      <c r="H450" s="99"/>
      <c r="I450" s="123"/>
      <c r="J450" s="123"/>
      <c r="K450" s="97"/>
      <c r="L450" s="97"/>
      <c r="M450" s="66"/>
      <c r="N450" s="97"/>
      <c r="O450" s="97"/>
      <c r="P450" s="97"/>
      <c r="Q450" s="97"/>
      <c r="R450" s="97"/>
      <c r="S450" s="97"/>
      <c r="T450" s="97"/>
      <c r="U450" s="97"/>
      <c r="V450" s="97"/>
      <c r="W450" s="97"/>
      <c r="X450" s="97"/>
      <c r="Y450" s="97"/>
      <c r="Z450" s="97"/>
      <c r="AA450" s="97"/>
      <c r="AB450" s="97"/>
      <c r="AC450" s="97"/>
      <c r="AD450" s="97"/>
      <c r="AE450" s="97"/>
    </row>
    <row r="451" ht="14.25" customHeight="1">
      <c r="A451" s="59"/>
      <c r="B451" s="97"/>
      <c r="C451" s="97"/>
      <c r="D451" s="97"/>
      <c r="E451" s="97"/>
      <c r="F451" s="97"/>
      <c r="G451" s="97"/>
      <c r="H451" s="99"/>
      <c r="I451" s="123"/>
      <c r="J451" s="123"/>
      <c r="K451" s="97"/>
      <c r="L451" s="97"/>
      <c r="M451" s="66"/>
      <c r="N451" s="97"/>
      <c r="O451" s="97"/>
      <c r="P451" s="97"/>
      <c r="Q451" s="97"/>
      <c r="R451" s="97"/>
      <c r="S451" s="97"/>
      <c r="T451" s="97"/>
      <c r="U451" s="97"/>
      <c r="V451" s="97"/>
      <c r="W451" s="97"/>
      <c r="X451" s="97"/>
      <c r="Y451" s="97"/>
      <c r="Z451" s="97"/>
      <c r="AA451" s="97"/>
      <c r="AB451" s="97"/>
      <c r="AC451" s="97"/>
      <c r="AD451" s="97"/>
      <c r="AE451" s="97"/>
    </row>
    <row r="452" ht="14.25" customHeight="1">
      <c r="A452" s="59"/>
      <c r="B452" s="97"/>
      <c r="C452" s="97"/>
      <c r="D452" s="97"/>
      <c r="E452" s="97"/>
      <c r="F452" s="97"/>
      <c r="G452" s="97"/>
      <c r="H452" s="99"/>
      <c r="I452" s="123"/>
      <c r="J452" s="123"/>
      <c r="K452" s="97"/>
      <c r="L452" s="97"/>
      <c r="M452" s="66"/>
      <c r="N452" s="97"/>
      <c r="O452" s="97"/>
      <c r="P452" s="97"/>
      <c r="Q452" s="97"/>
      <c r="R452" s="97"/>
      <c r="S452" s="97"/>
      <c r="T452" s="97"/>
      <c r="U452" s="97"/>
      <c r="V452" s="97"/>
      <c r="W452" s="97"/>
      <c r="X452" s="97"/>
      <c r="Y452" s="97"/>
      <c r="Z452" s="97"/>
      <c r="AA452" s="97"/>
      <c r="AB452" s="97"/>
      <c r="AC452" s="97"/>
      <c r="AD452" s="97"/>
      <c r="AE452" s="97"/>
    </row>
    <row r="453" ht="14.25" customHeight="1">
      <c r="A453" s="59"/>
      <c r="B453" s="97"/>
      <c r="C453" s="97"/>
      <c r="D453" s="97"/>
      <c r="E453" s="97"/>
      <c r="F453" s="97"/>
      <c r="G453" s="97"/>
      <c r="H453" s="99"/>
      <c r="I453" s="123"/>
      <c r="J453" s="123"/>
      <c r="K453" s="97"/>
      <c r="L453" s="97"/>
      <c r="M453" s="66"/>
      <c r="N453" s="97"/>
      <c r="O453" s="97"/>
      <c r="P453" s="97"/>
      <c r="Q453" s="97"/>
      <c r="R453" s="97"/>
      <c r="S453" s="97"/>
      <c r="T453" s="97"/>
      <c r="U453" s="97"/>
      <c r="V453" s="97"/>
      <c r="W453" s="97"/>
      <c r="X453" s="97"/>
      <c r="Y453" s="97"/>
      <c r="Z453" s="97"/>
      <c r="AA453" s="97"/>
      <c r="AB453" s="97"/>
      <c r="AC453" s="97"/>
      <c r="AD453" s="97"/>
      <c r="AE453" s="97"/>
    </row>
    <row r="454" ht="14.25" customHeight="1">
      <c r="A454" s="59"/>
      <c r="B454" s="97"/>
      <c r="C454" s="97"/>
      <c r="D454" s="97"/>
      <c r="E454" s="97"/>
      <c r="F454" s="97"/>
      <c r="G454" s="97"/>
      <c r="H454" s="99"/>
      <c r="I454" s="123"/>
      <c r="J454" s="123"/>
      <c r="K454" s="97"/>
      <c r="L454" s="97"/>
      <c r="M454" s="66"/>
      <c r="N454" s="97"/>
      <c r="O454" s="97"/>
      <c r="P454" s="97"/>
      <c r="Q454" s="97"/>
      <c r="R454" s="97"/>
      <c r="S454" s="97"/>
      <c r="T454" s="97"/>
      <c r="U454" s="97"/>
      <c r="V454" s="97"/>
      <c r="W454" s="97"/>
      <c r="X454" s="97"/>
      <c r="Y454" s="97"/>
      <c r="Z454" s="97"/>
      <c r="AA454" s="97"/>
      <c r="AB454" s="97"/>
      <c r="AC454" s="97"/>
      <c r="AD454" s="97"/>
      <c r="AE454" s="97"/>
    </row>
    <row r="455" ht="14.25" customHeight="1">
      <c r="A455" s="59"/>
      <c r="B455" s="97"/>
      <c r="C455" s="97"/>
      <c r="D455" s="97"/>
      <c r="E455" s="97"/>
      <c r="F455" s="97"/>
      <c r="G455" s="97"/>
      <c r="H455" s="99"/>
      <c r="I455" s="123"/>
      <c r="J455" s="123"/>
      <c r="K455" s="97"/>
      <c r="L455" s="97"/>
      <c r="M455" s="66"/>
      <c r="N455" s="97"/>
      <c r="O455" s="97"/>
      <c r="P455" s="97"/>
      <c r="Q455" s="97"/>
      <c r="R455" s="97"/>
      <c r="S455" s="97"/>
      <c r="T455" s="97"/>
      <c r="U455" s="97"/>
      <c r="V455" s="97"/>
      <c r="W455" s="97"/>
      <c r="X455" s="97"/>
      <c r="Y455" s="97"/>
      <c r="Z455" s="97"/>
      <c r="AA455" s="97"/>
      <c r="AB455" s="97"/>
      <c r="AC455" s="97"/>
      <c r="AD455" s="97"/>
      <c r="AE455" s="97"/>
    </row>
    <row r="456" ht="14.25" customHeight="1">
      <c r="A456" s="59"/>
      <c r="B456" s="97"/>
      <c r="C456" s="97"/>
      <c r="D456" s="97"/>
      <c r="E456" s="97"/>
      <c r="F456" s="97"/>
      <c r="G456" s="97"/>
      <c r="H456" s="99"/>
      <c r="I456" s="123"/>
      <c r="J456" s="123"/>
      <c r="K456" s="97"/>
      <c r="L456" s="97"/>
      <c r="M456" s="66"/>
      <c r="N456" s="97"/>
      <c r="O456" s="97"/>
      <c r="P456" s="97"/>
      <c r="Q456" s="97"/>
      <c r="R456" s="97"/>
      <c r="S456" s="97"/>
      <c r="T456" s="97"/>
      <c r="U456" s="97"/>
      <c r="V456" s="97"/>
      <c r="W456" s="97"/>
      <c r="X456" s="97"/>
      <c r="Y456" s="97"/>
      <c r="Z456" s="97"/>
      <c r="AA456" s="97"/>
      <c r="AB456" s="97"/>
      <c r="AC456" s="97"/>
      <c r="AD456" s="97"/>
      <c r="AE456" s="97"/>
    </row>
    <row r="457" ht="14.25" customHeight="1">
      <c r="A457" s="59"/>
      <c r="B457" s="97"/>
      <c r="C457" s="97"/>
      <c r="D457" s="97"/>
      <c r="E457" s="97"/>
      <c r="F457" s="97"/>
      <c r="G457" s="97"/>
      <c r="H457" s="99"/>
      <c r="I457" s="123"/>
      <c r="J457" s="123"/>
      <c r="K457" s="97"/>
      <c r="L457" s="97"/>
      <c r="M457" s="66"/>
      <c r="N457" s="97"/>
      <c r="O457" s="97"/>
      <c r="P457" s="97"/>
      <c r="Q457" s="97"/>
      <c r="R457" s="97"/>
      <c r="S457" s="97"/>
      <c r="T457" s="97"/>
      <c r="U457" s="97"/>
      <c r="V457" s="97"/>
      <c r="W457" s="97"/>
      <c r="X457" s="97"/>
      <c r="Y457" s="97"/>
      <c r="Z457" s="97"/>
      <c r="AA457" s="97"/>
      <c r="AB457" s="97"/>
      <c r="AC457" s="97"/>
      <c r="AD457" s="97"/>
      <c r="AE457" s="97"/>
    </row>
    <row r="458" ht="14.25" customHeight="1">
      <c r="A458" s="59"/>
      <c r="B458" s="97"/>
      <c r="C458" s="97"/>
      <c r="D458" s="97"/>
      <c r="E458" s="97"/>
      <c r="F458" s="97"/>
      <c r="G458" s="97"/>
      <c r="H458" s="99"/>
      <c r="I458" s="123"/>
      <c r="J458" s="123"/>
      <c r="K458" s="97"/>
      <c r="L458" s="97"/>
      <c r="M458" s="66"/>
      <c r="N458" s="97"/>
      <c r="O458" s="97"/>
      <c r="P458" s="97"/>
      <c r="Q458" s="97"/>
      <c r="R458" s="97"/>
      <c r="S458" s="97"/>
      <c r="T458" s="97"/>
      <c r="U458" s="97"/>
      <c r="V458" s="97"/>
      <c r="W458" s="97"/>
      <c r="X458" s="97"/>
      <c r="Y458" s="97"/>
      <c r="Z458" s="97"/>
      <c r="AA458" s="97"/>
      <c r="AB458" s="97"/>
      <c r="AC458" s="97"/>
      <c r="AD458" s="97"/>
      <c r="AE458" s="97"/>
    </row>
    <row r="459" ht="14.25" customHeight="1">
      <c r="A459" s="59"/>
      <c r="B459" s="97"/>
      <c r="C459" s="97"/>
      <c r="D459" s="97"/>
      <c r="E459" s="97"/>
      <c r="F459" s="97"/>
      <c r="G459" s="97"/>
      <c r="H459" s="99"/>
      <c r="I459" s="123"/>
      <c r="J459" s="123"/>
      <c r="K459" s="97"/>
      <c r="L459" s="97"/>
      <c r="M459" s="66"/>
      <c r="N459" s="97"/>
      <c r="O459" s="97"/>
      <c r="P459" s="97"/>
      <c r="Q459" s="97"/>
      <c r="R459" s="97"/>
      <c r="S459" s="97"/>
      <c r="T459" s="97"/>
      <c r="U459" s="97"/>
      <c r="V459" s="97"/>
      <c r="W459" s="97"/>
      <c r="X459" s="97"/>
      <c r="Y459" s="97"/>
      <c r="Z459" s="97"/>
      <c r="AA459" s="97"/>
      <c r="AB459" s="97"/>
      <c r="AC459" s="97"/>
      <c r="AD459" s="97"/>
      <c r="AE459" s="97"/>
    </row>
    <row r="460" ht="14.25" customHeight="1">
      <c r="A460" s="59"/>
      <c r="B460" s="97"/>
      <c r="C460" s="97"/>
      <c r="D460" s="97"/>
      <c r="E460" s="97"/>
      <c r="F460" s="97"/>
      <c r="G460" s="97"/>
      <c r="H460" s="99"/>
      <c r="I460" s="123"/>
      <c r="J460" s="123"/>
      <c r="K460" s="97"/>
      <c r="L460" s="97"/>
      <c r="M460" s="66"/>
      <c r="N460" s="97"/>
      <c r="O460" s="97"/>
      <c r="P460" s="97"/>
      <c r="Q460" s="97"/>
      <c r="R460" s="97"/>
      <c r="S460" s="97"/>
      <c r="T460" s="97"/>
      <c r="U460" s="97"/>
      <c r="V460" s="97"/>
      <c r="W460" s="97"/>
      <c r="X460" s="97"/>
      <c r="Y460" s="97"/>
      <c r="Z460" s="97"/>
      <c r="AA460" s="97"/>
      <c r="AB460" s="97"/>
      <c r="AC460" s="97"/>
      <c r="AD460" s="97"/>
      <c r="AE460" s="97"/>
    </row>
    <row r="461" ht="14.25" customHeight="1">
      <c r="A461" s="59"/>
      <c r="B461" s="97"/>
      <c r="C461" s="97"/>
      <c r="D461" s="97"/>
      <c r="E461" s="97"/>
      <c r="F461" s="97"/>
      <c r="G461" s="97"/>
      <c r="H461" s="99"/>
      <c r="I461" s="123"/>
      <c r="J461" s="123"/>
      <c r="K461" s="97"/>
      <c r="L461" s="97"/>
      <c r="M461" s="66"/>
      <c r="N461" s="97"/>
      <c r="O461" s="97"/>
      <c r="P461" s="97"/>
      <c r="Q461" s="97"/>
      <c r="R461" s="97"/>
      <c r="S461" s="97"/>
      <c r="T461" s="97"/>
      <c r="U461" s="97"/>
      <c r="V461" s="97"/>
      <c r="W461" s="97"/>
      <c r="X461" s="97"/>
      <c r="Y461" s="97"/>
      <c r="Z461" s="97"/>
      <c r="AA461" s="97"/>
      <c r="AB461" s="97"/>
      <c r="AC461" s="97"/>
      <c r="AD461" s="97"/>
      <c r="AE461" s="97"/>
    </row>
    <row r="462" ht="14.25" customHeight="1">
      <c r="A462" s="59"/>
      <c r="B462" s="97"/>
      <c r="C462" s="97"/>
      <c r="D462" s="97"/>
      <c r="E462" s="97"/>
      <c r="F462" s="97"/>
      <c r="G462" s="97"/>
      <c r="H462" s="99"/>
      <c r="I462" s="123"/>
      <c r="J462" s="123"/>
      <c r="K462" s="97"/>
      <c r="L462" s="97"/>
      <c r="M462" s="66"/>
      <c r="N462" s="97"/>
      <c r="O462" s="97"/>
      <c r="P462" s="97"/>
      <c r="Q462" s="97"/>
      <c r="R462" s="97"/>
      <c r="S462" s="97"/>
      <c r="T462" s="97"/>
      <c r="U462" s="97"/>
      <c r="V462" s="97"/>
      <c r="W462" s="97"/>
      <c r="X462" s="97"/>
      <c r="Y462" s="97"/>
      <c r="Z462" s="97"/>
      <c r="AA462" s="97"/>
      <c r="AB462" s="97"/>
      <c r="AC462" s="97"/>
      <c r="AD462" s="97"/>
      <c r="AE462" s="97"/>
    </row>
    <row r="463" ht="14.25" customHeight="1">
      <c r="A463" s="59"/>
      <c r="B463" s="97"/>
      <c r="C463" s="97"/>
      <c r="D463" s="97"/>
      <c r="E463" s="97"/>
      <c r="F463" s="97"/>
      <c r="G463" s="97"/>
      <c r="H463" s="99"/>
      <c r="I463" s="123"/>
      <c r="J463" s="123"/>
      <c r="K463" s="97"/>
      <c r="L463" s="97"/>
      <c r="M463" s="66"/>
      <c r="N463" s="97"/>
      <c r="O463" s="97"/>
      <c r="P463" s="97"/>
      <c r="Q463" s="97"/>
      <c r="R463" s="97"/>
      <c r="S463" s="97"/>
      <c r="T463" s="97"/>
      <c r="U463" s="97"/>
      <c r="V463" s="97"/>
      <c r="W463" s="97"/>
      <c r="X463" s="97"/>
      <c r="Y463" s="97"/>
      <c r="Z463" s="97"/>
      <c r="AA463" s="97"/>
      <c r="AB463" s="97"/>
      <c r="AC463" s="97"/>
      <c r="AD463" s="97"/>
      <c r="AE463" s="97"/>
    </row>
    <row r="464" ht="14.25" customHeight="1">
      <c r="A464" s="59"/>
      <c r="B464" s="97"/>
      <c r="C464" s="97"/>
      <c r="D464" s="97"/>
      <c r="E464" s="97"/>
      <c r="F464" s="97"/>
      <c r="G464" s="97"/>
      <c r="H464" s="99"/>
      <c r="I464" s="123"/>
      <c r="J464" s="123"/>
      <c r="K464" s="97"/>
      <c r="L464" s="97"/>
      <c r="M464" s="66"/>
      <c r="N464" s="97"/>
      <c r="O464" s="97"/>
      <c r="P464" s="97"/>
      <c r="Q464" s="97"/>
      <c r="R464" s="97"/>
      <c r="S464" s="97"/>
      <c r="T464" s="97"/>
      <c r="U464" s="97"/>
      <c r="V464" s="97"/>
      <c r="W464" s="97"/>
      <c r="X464" s="97"/>
      <c r="Y464" s="97"/>
      <c r="Z464" s="97"/>
      <c r="AA464" s="97"/>
      <c r="AB464" s="97"/>
      <c r="AC464" s="97"/>
      <c r="AD464" s="97"/>
      <c r="AE464" s="97"/>
    </row>
    <row r="465" ht="14.25" customHeight="1">
      <c r="A465" s="59"/>
      <c r="B465" s="97"/>
      <c r="C465" s="97"/>
      <c r="D465" s="97"/>
      <c r="E465" s="97"/>
      <c r="F465" s="97"/>
      <c r="G465" s="97"/>
      <c r="H465" s="99"/>
      <c r="I465" s="123"/>
      <c r="J465" s="123"/>
      <c r="K465" s="97"/>
      <c r="L465" s="97"/>
      <c r="M465" s="66"/>
      <c r="N465" s="97"/>
      <c r="O465" s="97"/>
      <c r="P465" s="97"/>
      <c r="Q465" s="97"/>
      <c r="R465" s="97"/>
      <c r="S465" s="97"/>
      <c r="T465" s="97"/>
      <c r="U465" s="97"/>
      <c r="V465" s="97"/>
      <c r="W465" s="97"/>
      <c r="X465" s="97"/>
      <c r="Y465" s="97"/>
      <c r="Z465" s="97"/>
      <c r="AA465" s="97"/>
      <c r="AB465" s="97"/>
      <c r="AC465" s="97"/>
      <c r="AD465" s="97"/>
      <c r="AE465" s="97"/>
    </row>
    <row r="466" ht="14.25" customHeight="1">
      <c r="A466" s="59"/>
      <c r="B466" s="97"/>
      <c r="C466" s="97"/>
      <c r="D466" s="97"/>
      <c r="E466" s="97"/>
      <c r="F466" s="97"/>
      <c r="G466" s="97"/>
      <c r="H466" s="99"/>
      <c r="I466" s="123"/>
      <c r="J466" s="123"/>
      <c r="K466" s="97"/>
      <c r="L466" s="97"/>
      <c r="M466" s="66"/>
      <c r="N466" s="97"/>
      <c r="O466" s="97"/>
      <c r="P466" s="97"/>
      <c r="Q466" s="97"/>
      <c r="R466" s="97"/>
      <c r="S466" s="97"/>
      <c r="T466" s="97"/>
      <c r="U466" s="97"/>
      <c r="V466" s="97"/>
      <c r="W466" s="97"/>
      <c r="X466" s="97"/>
      <c r="Y466" s="97"/>
      <c r="Z466" s="97"/>
      <c r="AA466" s="97"/>
      <c r="AB466" s="97"/>
      <c r="AC466" s="97"/>
      <c r="AD466" s="97"/>
      <c r="AE466" s="97"/>
    </row>
    <row r="467" ht="14.25" customHeight="1">
      <c r="A467" s="59"/>
      <c r="B467" s="97"/>
      <c r="C467" s="97"/>
      <c r="D467" s="97"/>
      <c r="E467" s="97"/>
      <c r="F467" s="97"/>
      <c r="G467" s="97"/>
      <c r="H467" s="99"/>
      <c r="I467" s="123"/>
      <c r="J467" s="123"/>
      <c r="K467" s="97"/>
      <c r="L467" s="97"/>
      <c r="M467" s="66"/>
      <c r="N467" s="97"/>
      <c r="O467" s="97"/>
      <c r="P467" s="97"/>
      <c r="Q467" s="97"/>
      <c r="R467" s="97"/>
      <c r="S467" s="97"/>
      <c r="T467" s="97"/>
      <c r="U467" s="97"/>
      <c r="V467" s="97"/>
      <c r="W467" s="97"/>
      <c r="X467" s="97"/>
      <c r="Y467" s="97"/>
      <c r="Z467" s="97"/>
      <c r="AA467" s="97"/>
      <c r="AB467" s="97"/>
      <c r="AC467" s="97"/>
      <c r="AD467" s="97"/>
      <c r="AE467" s="97"/>
    </row>
    <row r="468" ht="14.25" customHeight="1">
      <c r="A468" s="59"/>
      <c r="B468" s="97"/>
      <c r="C468" s="97"/>
      <c r="D468" s="97"/>
      <c r="E468" s="97"/>
      <c r="F468" s="97"/>
      <c r="G468" s="97"/>
      <c r="H468" s="99"/>
      <c r="I468" s="123"/>
      <c r="J468" s="123"/>
      <c r="K468" s="97"/>
      <c r="L468" s="97"/>
      <c r="M468" s="66"/>
      <c r="N468" s="97"/>
      <c r="O468" s="97"/>
      <c r="P468" s="97"/>
      <c r="Q468" s="97"/>
      <c r="R468" s="97"/>
      <c r="S468" s="97"/>
      <c r="T468" s="97"/>
      <c r="U468" s="97"/>
      <c r="V468" s="97"/>
      <c r="W468" s="97"/>
      <c r="X468" s="97"/>
      <c r="Y468" s="97"/>
      <c r="Z468" s="97"/>
      <c r="AA468" s="97"/>
      <c r="AB468" s="97"/>
      <c r="AC468" s="97"/>
      <c r="AD468" s="97"/>
      <c r="AE468" s="97"/>
    </row>
    <row r="469" ht="14.25" customHeight="1">
      <c r="A469" s="59"/>
      <c r="B469" s="97"/>
      <c r="C469" s="97"/>
      <c r="D469" s="97"/>
      <c r="E469" s="97"/>
      <c r="F469" s="97"/>
      <c r="G469" s="97"/>
      <c r="H469" s="99"/>
      <c r="I469" s="123"/>
      <c r="J469" s="123"/>
      <c r="K469" s="97"/>
      <c r="L469" s="97"/>
      <c r="M469" s="66"/>
      <c r="N469" s="97"/>
      <c r="O469" s="97"/>
      <c r="P469" s="97"/>
      <c r="Q469" s="97"/>
      <c r="R469" s="97"/>
      <c r="S469" s="97"/>
      <c r="T469" s="97"/>
      <c r="U469" s="97"/>
      <c r="V469" s="97"/>
      <c r="W469" s="97"/>
      <c r="X469" s="97"/>
      <c r="Y469" s="97"/>
      <c r="Z469" s="97"/>
      <c r="AA469" s="97"/>
      <c r="AB469" s="97"/>
      <c r="AC469" s="97"/>
      <c r="AD469" s="97"/>
      <c r="AE469" s="97"/>
    </row>
    <row r="470" ht="14.25" customHeight="1">
      <c r="A470" s="59"/>
      <c r="B470" s="97"/>
      <c r="C470" s="97"/>
      <c r="D470" s="97"/>
      <c r="E470" s="97"/>
      <c r="F470" s="97"/>
      <c r="G470" s="97"/>
      <c r="H470" s="99"/>
      <c r="I470" s="123"/>
      <c r="J470" s="123"/>
      <c r="K470" s="97"/>
      <c r="L470" s="97"/>
      <c r="M470" s="66"/>
      <c r="N470" s="97"/>
      <c r="O470" s="97"/>
      <c r="P470" s="97"/>
      <c r="Q470" s="97"/>
      <c r="R470" s="97"/>
      <c r="S470" s="97"/>
      <c r="T470" s="97"/>
      <c r="U470" s="97"/>
      <c r="V470" s="97"/>
      <c r="W470" s="97"/>
      <c r="X470" s="97"/>
      <c r="Y470" s="97"/>
      <c r="Z470" s="97"/>
      <c r="AA470" s="97"/>
      <c r="AB470" s="97"/>
      <c r="AC470" s="97"/>
      <c r="AD470" s="97"/>
      <c r="AE470" s="97"/>
    </row>
    <row r="471" ht="14.25" customHeight="1">
      <c r="A471" s="59"/>
      <c r="B471" s="97"/>
      <c r="C471" s="97"/>
      <c r="D471" s="97"/>
      <c r="E471" s="97"/>
      <c r="F471" s="97"/>
      <c r="G471" s="97"/>
      <c r="H471" s="99"/>
      <c r="I471" s="123"/>
      <c r="J471" s="123"/>
      <c r="K471" s="97"/>
      <c r="L471" s="97"/>
      <c r="M471" s="66"/>
      <c r="N471" s="97"/>
      <c r="O471" s="97"/>
      <c r="P471" s="97"/>
      <c r="Q471" s="97"/>
      <c r="R471" s="97"/>
      <c r="S471" s="97"/>
      <c r="T471" s="97"/>
      <c r="U471" s="97"/>
      <c r="V471" s="97"/>
      <c r="W471" s="97"/>
      <c r="X471" s="97"/>
      <c r="Y471" s="97"/>
      <c r="Z471" s="97"/>
      <c r="AA471" s="97"/>
      <c r="AB471" s="97"/>
      <c r="AC471" s="97"/>
      <c r="AD471" s="97"/>
      <c r="AE471" s="97"/>
    </row>
    <row r="472" ht="14.25" customHeight="1">
      <c r="A472" s="59"/>
      <c r="B472" s="97"/>
      <c r="C472" s="97"/>
      <c r="D472" s="97"/>
      <c r="E472" s="97"/>
      <c r="F472" s="97"/>
      <c r="G472" s="97"/>
      <c r="H472" s="99"/>
      <c r="I472" s="123"/>
      <c r="J472" s="123"/>
      <c r="K472" s="97"/>
      <c r="L472" s="97"/>
      <c r="M472" s="66"/>
      <c r="N472" s="97"/>
      <c r="O472" s="97"/>
      <c r="P472" s="97"/>
      <c r="Q472" s="97"/>
      <c r="R472" s="97"/>
      <c r="S472" s="97"/>
      <c r="T472" s="97"/>
      <c r="U472" s="97"/>
      <c r="V472" s="97"/>
      <c r="W472" s="97"/>
      <c r="X472" s="97"/>
      <c r="Y472" s="97"/>
      <c r="Z472" s="97"/>
      <c r="AA472" s="97"/>
      <c r="AB472" s="97"/>
      <c r="AC472" s="97"/>
      <c r="AD472" s="97"/>
      <c r="AE472" s="97"/>
    </row>
    <row r="473" ht="14.25" customHeight="1">
      <c r="A473" s="59"/>
      <c r="B473" s="97"/>
      <c r="C473" s="97"/>
      <c r="D473" s="97"/>
      <c r="E473" s="97"/>
      <c r="F473" s="97"/>
      <c r="G473" s="97"/>
      <c r="H473" s="99"/>
      <c r="I473" s="123"/>
      <c r="J473" s="123"/>
      <c r="K473" s="97"/>
      <c r="L473" s="97"/>
      <c r="M473" s="66"/>
      <c r="N473" s="97"/>
      <c r="O473" s="97"/>
      <c r="P473" s="97"/>
      <c r="Q473" s="97"/>
      <c r="R473" s="97"/>
      <c r="S473" s="97"/>
      <c r="T473" s="97"/>
      <c r="U473" s="97"/>
      <c r="V473" s="97"/>
      <c r="W473" s="97"/>
      <c r="X473" s="97"/>
      <c r="Y473" s="97"/>
      <c r="Z473" s="97"/>
      <c r="AA473" s="97"/>
      <c r="AB473" s="97"/>
      <c r="AC473" s="97"/>
      <c r="AD473" s="97"/>
      <c r="AE473" s="97"/>
    </row>
    <row r="474" ht="14.25" customHeight="1">
      <c r="A474" s="59"/>
      <c r="B474" s="97"/>
      <c r="C474" s="97"/>
      <c r="D474" s="97"/>
      <c r="E474" s="97"/>
      <c r="F474" s="97"/>
      <c r="G474" s="97"/>
      <c r="H474" s="99"/>
      <c r="I474" s="123"/>
      <c r="J474" s="123"/>
      <c r="K474" s="97"/>
      <c r="L474" s="97"/>
      <c r="M474" s="66"/>
      <c r="N474" s="97"/>
      <c r="O474" s="97"/>
      <c r="P474" s="97"/>
      <c r="Q474" s="97"/>
      <c r="R474" s="97"/>
      <c r="S474" s="97"/>
      <c r="T474" s="97"/>
      <c r="U474" s="97"/>
      <c r="V474" s="97"/>
      <c r="W474" s="97"/>
      <c r="X474" s="97"/>
      <c r="Y474" s="97"/>
      <c r="Z474" s="97"/>
      <c r="AA474" s="97"/>
      <c r="AB474" s="97"/>
      <c r="AC474" s="97"/>
      <c r="AD474" s="97"/>
      <c r="AE474" s="97"/>
    </row>
    <row r="475" ht="14.25" customHeight="1">
      <c r="A475" s="59"/>
      <c r="B475" s="97"/>
      <c r="C475" s="97"/>
      <c r="D475" s="97"/>
      <c r="E475" s="97"/>
      <c r="F475" s="97"/>
      <c r="G475" s="97"/>
      <c r="H475" s="99"/>
      <c r="I475" s="123"/>
      <c r="J475" s="123"/>
      <c r="K475" s="97"/>
      <c r="L475" s="97"/>
      <c r="M475" s="66"/>
      <c r="N475" s="97"/>
      <c r="O475" s="97"/>
      <c r="P475" s="97"/>
      <c r="Q475" s="97"/>
      <c r="R475" s="97"/>
      <c r="S475" s="97"/>
      <c r="T475" s="97"/>
      <c r="U475" s="97"/>
      <c r="V475" s="97"/>
      <c r="W475" s="97"/>
      <c r="X475" s="97"/>
      <c r="Y475" s="97"/>
      <c r="Z475" s="97"/>
      <c r="AA475" s="97"/>
      <c r="AB475" s="97"/>
      <c r="AC475" s="97"/>
      <c r="AD475" s="97"/>
      <c r="AE475" s="97"/>
    </row>
    <row r="476" ht="14.25" customHeight="1">
      <c r="A476" s="59"/>
      <c r="B476" s="97"/>
      <c r="C476" s="97"/>
      <c r="D476" s="97"/>
      <c r="E476" s="97"/>
      <c r="F476" s="97"/>
      <c r="G476" s="97"/>
      <c r="H476" s="99"/>
      <c r="I476" s="123"/>
      <c r="J476" s="123"/>
      <c r="K476" s="97"/>
      <c r="L476" s="97"/>
      <c r="M476" s="66"/>
      <c r="N476" s="97"/>
      <c r="O476" s="97"/>
      <c r="P476" s="97"/>
      <c r="Q476" s="97"/>
      <c r="R476" s="97"/>
      <c r="S476" s="97"/>
      <c r="T476" s="97"/>
      <c r="U476" s="97"/>
      <c r="V476" s="97"/>
      <c r="W476" s="97"/>
      <c r="X476" s="97"/>
      <c r="Y476" s="97"/>
      <c r="Z476" s="97"/>
      <c r="AA476" s="97"/>
      <c r="AB476" s="97"/>
      <c r="AC476" s="97"/>
      <c r="AD476" s="97"/>
      <c r="AE476" s="97"/>
    </row>
    <row r="477" ht="14.25" customHeight="1">
      <c r="A477" s="59"/>
      <c r="B477" s="97"/>
      <c r="C477" s="97"/>
      <c r="D477" s="97"/>
      <c r="E477" s="97"/>
      <c r="F477" s="97"/>
      <c r="G477" s="97"/>
      <c r="H477" s="99"/>
      <c r="I477" s="123"/>
      <c r="J477" s="123"/>
      <c r="K477" s="97"/>
      <c r="L477" s="97"/>
      <c r="M477" s="66"/>
      <c r="N477" s="97"/>
      <c r="O477" s="97"/>
      <c r="P477" s="97"/>
      <c r="Q477" s="97"/>
      <c r="R477" s="97"/>
      <c r="S477" s="97"/>
      <c r="T477" s="97"/>
      <c r="U477" s="97"/>
      <c r="V477" s="97"/>
      <c r="W477" s="97"/>
      <c r="X477" s="97"/>
      <c r="Y477" s="97"/>
      <c r="Z477" s="97"/>
      <c r="AA477" s="97"/>
      <c r="AB477" s="97"/>
      <c r="AC477" s="97"/>
      <c r="AD477" s="97"/>
      <c r="AE477" s="97"/>
    </row>
    <row r="478" ht="14.25" customHeight="1">
      <c r="A478" s="59"/>
      <c r="B478" s="97"/>
      <c r="C478" s="97"/>
      <c r="D478" s="97"/>
      <c r="E478" s="97"/>
      <c r="F478" s="97"/>
      <c r="G478" s="97"/>
      <c r="H478" s="99"/>
      <c r="I478" s="123"/>
      <c r="J478" s="123"/>
      <c r="K478" s="97"/>
      <c r="L478" s="97"/>
      <c r="M478" s="66"/>
      <c r="N478" s="97"/>
      <c r="O478" s="97"/>
      <c r="P478" s="97"/>
      <c r="Q478" s="97"/>
      <c r="R478" s="97"/>
      <c r="S478" s="97"/>
      <c r="T478" s="97"/>
      <c r="U478" s="97"/>
      <c r="V478" s="97"/>
      <c r="W478" s="97"/>
      <c r="X478" s="97"/>
      <c r="Y478" s="97"/>
      <c r="Z478" s="97"/>
      <c r="AA478" s="97"/>
      <c r="AB478" s="97"/>
      <c r="AC478" s="97"/>
      <c r="AD478" s="97"/>
      <c r="AE478" s="97"/>
    </row>
    <row r="479" ht="14.25" customHeight="1">
      <c r="A479" s="59"/>
      <c r="B479" s="97"/>
      <c r="C479" s="97"/>
      <c r="D479" s="97"/>
      <c r="E479" s="97"/>
      <c r="F479" s="97"/>
      <c r="G479" s="97"/>
      <c r="H479" s="99"/>
      <c r="I479" s="123"/>
      <c r="J479" s="123"/>
      <c r="K479" s="97"/>
      <c r="L479" s="97"/>
      <c r="M479" s="66"/>
      <c r="N479" s="97"/>
      <c r="O479" s="97"/>
      <c r="P479" s="97"/>
      <c r="Q479" s="97"/>
      <c r="R479" s="97"/>
      <c r="S479" s="97"/>
      <c r="T479" s="97"/>
      <c r="U479" s="97"/>
      <c r="V479" s="97"/>
      <c r="W479" s="97"/>
      <c r="X479" s="97"/>
      <c r="Y479" s="97"/>
      <c r="Z479" s="97"/>
      <c r="AA479" s="97"/>
      <c r="AB479" s="97"/>
      <c r="AC479" s="97"/>
      <c r="AD479" s="97"/>
      <c r="AE479" s="97"/>
    </row>
    <row r="480" ht="14.25" customHeight="1">
      <c r="A480" s="59"/>
      <c r="B480" s="97"/>
      <c r="C480" s="97"/>
      <c r="D480" s="97"/>
      <c r="E480" s="97"/>
      <c r="F480" s="97"/>
      <c r="G480" s="97"/>
      <c r="H480" s="99"/>
      <c r="I480" s="123"/>
      <c r="J480" s="123"/>
      <c r="K480" s="97"/>
      <c r="L480" s="97"/>
      <c r="M480" s="66"/>
      <c r="N480" s="97"/>
      <c r="O480" s="97"/>
      <c r="P480" s="97"/>
      <c r="Q480" s="97"/>
      <c r="R480" s="97"/>
      <c r="S480" s="97"/>
      <c r="T480" s="97"/>
      <c r="U480" s="97"/>
      <c r="V480" s="97"/>
      <c r="W480" s="97"/>
      <c r="X480" s="97"/>
      <c r="Y480" s="97"/>
      <c r="Z480" s="97"/>
      <c r="AA480" s="97"/>
      <c r="AB480" s="97"/>
      <c r="AC480" s="97"/>
      <c r="AD480" s="97"/>
      <c r="AE480" s="97"/>
    </row>
    <row r="481" ht="14.25" customHeight="1">
      <c r="A481" s="59"/>
      <c r="B481" s="97"/>
      <c r="C481" s="97"/>
      <c r="D481" s="97"/>
      <c r="E481" s="97"/>
      <c r="F481" s="97"/>
      <c r="G481" s="97"/>
      <c r="H481" s="99"/>
      <c r="I481" s="123"/>
      <c r="J481" s="123"/>
      <c r="K481" s="97"/>
      <c r="L481" s="97"/>
      <c r="M481" s="66"/>
      <c r="N481" s="97"/>
      <c r="O481" s="97"/>
      <c r="P481" s="97"/>
      <c r="Q481" s="97"/>
      <c r="R481" s="97"/>
      <c r="S481" s="97"/>
      <c r="T481" s="97"/>
      <c r="U481" s="97"/>
      <c r="V481" s="97"/>
      <c r="W481" s="97"/>
      <c r="X481" s="97"/>
      <c r="Y481" s="97"/>
      <c r="Z481" s="97"/>
      <c r="AA481" s="97"/>
      <c r="AB481" s="97"/>
      <c r="AC481" s="97"/>
      <c r="AD481" s="97"/>
      <c r="AE481" s="97"/>
    </row>
    <row r="482" ht="14.25" customHeight="1">
      <c r="A482" s="59"/>
      <c r="B482" s="97"/>
      <c r="C482" s="97"/>
      <c r="D482" s="97"/>
      <c r="E482" s="97"/>
      <c r="F482" s="97"/>
      <c r="G482" s="97"/>
      <c r="H482" s="99"/>
      <c r="I482" s="123"/>
      <c r="J482" s="123"/>
      <c r="K482" s="97"/>
      <c r="L482" s="97"/>
      <c r="M482" s="66"/>
      <c r="N482" s="97"/>
      <c r="O482" s="97"/>
      <c r="P482" s="97"/>
      <c r="Q482" s="97"/>
      <c r="R482" s="97"/>
      <c r="S482" s="97"/>
      <c r="T482" s="97"/>
      <c r="U482" s="97"/>
      <c r="V482" s="97"/>
      <c r="W482" s="97"/>
      <c r="X482" s="97"/>
      <c r="Y482" s="97"/>
      <c r="Z482" s="97"/>
      <c r="AA482" s="97"/>
      <c r="AB482" s="97"/>
      <c r="AC482" s="97"/>
      <c r="AD482" s="97"/>
      <c r="AE482" s="97"/>
    </row>
    <row r="483" ht="14.25" customHeight="1">
      <c r="A483" s="59"/>
      <c r="B483" s="97"/>
      <c r="C483" s="97"/>
      <c r="D483" s="97"/>
      <c r="E483" s="97"/>
      <c r="F483" s="97"/>
      <c r="G483" s="97"/>
      <c r="H483" s="99"/>
      <c r="I483" s="123"/>
      <c r="J483" s="123"/>
      <c r="K483" s="97"/>
      <c r="L483" s="97"/>
      <c r="M483" s="66"/>
      <c r="N483" s="97"/>
      <c r="O483" s="97"/>
      <c r="P483" s="97"/>
      <c r="Q483" s="97"/>
      <c r="R483" s="97"/>
      <c r="S483" s="97"/>
      <c r="T483" s="97"/>
      <c r="U483" s="97"/>
      <c r="V483" s="97"/>
      <c r="W483" s="97"/>
      <c r="X483" s="97"/>
      <c r="Y483" s="97"/>
      <c r="Z483" s="97"/>
      <c r="AA483" s="97"/>
      <c r="AB483" s="97"/>
      <c r="AC483" s="97"/>
      <c r="AD483" s="97"/>
      <c r="AE483" s="97"/>
    </row>
    <row r="484" ht="14.25" customHeight="1">
      <c r="A484" s="59"/>
      <c r="B484" s="97"/>
      <c r="C484" s="97"/>
      <c r="D484" s="97"/>
      <c r="E484" s="97"/>
      <c r="F484" s="97"/>
      <c r="G484" s="97"/>
      <c r="H484" s="99"/>
      <c r="I484" s="123"/>
      <c r="J484" s="123"/>
      <c r="K484" s="97"/>
      <c r="L484" s="97"/>
      <c r="M484" s="66"/>
      <c r="N484" s="97"/>
      <c r="O484" s="97"/>
      <c r="P484" s="97"/>
      <c r="Q484" s="97"/>
      <c r="R484" s="97"/>
      <c r="S484" s="97"/>
      <c r="T484" s="97"/>
      <c r="U484" s="97"/>
      <c r="V484" s="97"/>
      <c r="W484" s="97"/>
      <c r="X484" s="97"/>
      <c r="Y484" s="97"/>
      <c r="Z484" s="97"/>
      <c r="AA484" s="97"/>
      <c r="AB484" s="97"/>
      <c r="AC484" s="97"/>
      <c r="AD484" s="97"/>
      <c r="AE484" s="97"/>
    </row>
    <row r="485" ht="14.25" customHeight="1">
      <c r="A485" s="59"/>
      <c r="B485" s="97"/>
      <c r="C485" s="97"/>
      <c r="D485" s="97"/>
      <c r="E485" s="97"/>
      <c r="F485" s="97"/>
      <c r="G485" s="97"/>
      <c r="H485" s="99"/>
      <c r="I485" s="123"/>
      <c r="J485" s="123"/>
      <c r="K485" s="97"/>
      <c r="L485" s="97"/>
      <c r="M485" s="66"/>
      <c r="N485" s="97"/>
      <c r="O485" s="97"/>
      <c r="P485" s="97"/>
      <c r="Q485" s="97"/>
      <c r="R485" s="97"/>
      <c r="S485" s="97"/>
      <c r="T485" s="97"/>
      <c r="U485" s="97"/>
      <c r="V485" s="97"/>
      <c r="W485" s="97"/>
      <c r="X485" s="97"/>
      <c r="Y485" s="97"/>
      <c r="Z485" s="97"/>
      <c r="AA485" s="97"/>
      <c r="AB485" s="97"/>
      <c r="AC485" s="97"/>
      <c r="AD485" s="97"/>
      <c r="AE485" s="97"/>
    </row>
    <row r="486" ht="14.25" customHeight="1">
      <c r="A486" s="59"/>
      <c r="B486" s="97"/>
      <c r="C486" s="97"/>
      <c r="D486" s="97"/>
      <c r="E486" s="97"/>
      <c r="F486" s="97"/>
      <c r="G486" s="97"/>
      <c r="H486" s="99"/>
      <c r="I486" s="123"/>
      <c r="J486" s="123"/>
      <c r="K486" s="97"/>
      <c r="L486" s="97"/>
      <c r="M486" s="66"/>
      <c r="N486" s="97"/>
      <c r="O486" s="97"/>
      <c r="P486" s="97"/>
      <c r="Q486" s="97"/>
      <c r="R486" s="97"/>
      <c r="S486" s="97"/>
      <c r="T486" s="97"/>
      <c r="U486" s="97"/>
      <c r="V486" s="97"/>
      <c r="W486" s="97"/>
      <c r="X486" s="97"/>
      <c r="Y486" s="97"/>
      <c r="Z486" s="97"/>
      <c r="AA486" s="97"/>
      <c r="AB486" s="97"/>
      <c r="AC486" s="97"/>
      <c r="AD486" s="97"/>
      <c r="AE486" s="97"/>
    </row>
    <row r="487" ht="14.25" customHeight="1">
      <c r="A487" s="59"/>
      <c r="B487" s="97"/>
      <c r="C487" s="97"/>
      <c r="D487" s="97"/>
      <c r="E487" s="97"/>
      <c r="F487" s="97"/>
      <c r="G487" s="97"/>
      <c r="H487" s="99"/>
      <c r="I487" s="123"/>
      <c r="J487" s="123"/>
      <c r="K487" s="97"/>
      <c r="L487" s="97"/>
      <c r="M487" s="66"/>
      <c r="N487" s="97"/>
      <c r="O487" s="97"/>
      <c r="P487" s="97"/>
      <c r="Q487" s="97"/>
      <c r="R487" s="97"/>
      <c r="S487" s="97"/>
      <c r="T487" s="97"/>
      <c r="U487" s="97"/>
      <c r="V487" s="97"/>
      <c r="W487" s="97"/>
      <c r="X487" s="97"/>
      <c r="Y487" s="97"/>
      <c r="Z487" s="97"/>
      <c r="AA487" s="97"/>
      <c r="AB487" s="97"/>
      <c r="AC487" s="97"/>
      <c r="AD487" s="97"/>
      <c r="AE487" s="97"/>
    </row>
    <row r="488" ht="14.25" customHeight="1">
      <c r="A488" s="59"/>
      <c r="B488" s="97"/>
      <c r="C488" s="97"/>
      <c r="D488" s="97"/>
      <c r="E488" s="97"/>
      <c r="F488" s="97"/>
      <c r="G488" s="97"/>
      <c r="H488" s="99"/>
      <c r="I488" s="123"/>
      <c r="J488" s="123"/>
      <c r="K488" s="97"/>
      <c r="L488" s="97"/>
      <c r="M488" s="66"/>
      <c r="N488" s="97"/>
      <c r="O488" s="97"/>
      <c r="P488" s="97"/>
      <c r="Q488" s="97"/>
      <c r="R488" s="97"/>
      <c r="S488" s="97"/>
      <c r="T488" s="97"/>
      <c r="U488" s="97"/>
      <c r="V488" s="97"/>
      <c r="W488" s="97"/>
      <c r="X488" s="97"/>
      <c r="Y488" s="97"/>
      <c r="Z488" s="97"/>
      <c r="AA488" s="97"/>
      <c r="AB488" s="97"/>
      <c r="AC488" s="97"/>
      <c r="AD488" s="97"/>
      <c r="AE488" s="97"/>
    </row>
    <row r="489" ht="14.25" customHeight="1">
      <c r="A489" s="59"/>
      <c r="B489" s="97"/>
      <c r="C489" s="97"/>
      <c r="D489" s="97"/>
      <c r="E489" s="97"/>
      <c r="F489" s="97"/>
      <c r="G489" s="97"/>
      <c r="H489" s="99"/>
      <c r="I489" s="123"/>
      <c r="J489" s="123"/>
      <c r="K489" s="97"/>
      <c r="L489" s="97"/>
      <c r="M489" s="66"/>
      <c r="N489" s="97"/>
      <c r="O489" s="97"/>
      <c r="P489" s="97"/>
      <c r="Q489" s="97"/>
      <c r="R489" s="97"/>
      <c r="S489" s="97"/>
      <c r="T489" s="97"/>
      <c r="U489" s="97"/>
      <c r="V489" s="97"/>
      <c r="W489" s="97"/>
      <c r="X489" s="97"/>
      <c r="Y489" s="97"/>
      <c r="Z489" s="97"/>
      <c r="AA489" s="97"/>
      <c r="AB489" s="97"/>
      <c r="AC489" s="97"/>
      <c r="AD489" s="97"/>
      <c r="AE489" s="97"/>
    </row>
    <row r="490" ht="14.25" customHeight="1">
      <c r="A490" s="59"/>
      <c r="B490" s="97"/>
      <c r="C490" s="97"/>
      <c r="D490" s="97"/>
      <c r="E490" s="97"/>
      <c r="F490" s="97"/>
      <c r="G490" s="97"/>
      <c r="H490" s="99"/>
      <c r="I490" s="123"/>
      <c r="J490" s="123"/>
      <c r="K490" s="97"/>
      <c r="L490" s="97"/>
      <c r="M490" s="66"/>
      <c r="N490" s="97"/>
      <c r="O490" s="97"/>
      <c r="P490" s="97"/>
      <c r="Q490" s="97"/>
      <c r="R490" s="97"/>
      <c r="S490" s="97"/>
      <c r="T490" s="97"/>
      <c r="U490" s="97"/>
      <c r="V490" s="97"/>
      <c r="W490" s="97"/>
      <c r="X490" s="97"/>
      <c r="Y490" s="97"/>
      <c r="Z490" s="97"/>
      <c r="AA490" s="97"/>
      <c r="AB490" s="97"/>
      <c r="AC490" s="97"/>
      <c r="AD490" s="97"/>
      <c r="AE490" s="97"/>
    </row>
    <row r="491" ht="14.25" customHeight="1">
      <c r="A491" s="59"/>
      <c r="B491" s="97"/>
      <c r="C491" s="97"/>
      <c r="D491" s="97"/>
      <c r="E491" s="97"/>
      <c r="F491" s="97"/>
      <c r="G491" s="97"/>
      <c r="H491" s="99"/>
      <c r="I491" s="123"/>
      <c r="J491" s="123"/>
      <c r="K491" s="97"/>
      <c r="L491" s="97"/>
      <c r="M491" s="66"/>
      <c r="N491" s="97"/>
      <c r="O491" s="97"/>
      <c r="P491" s="97"/>
      <c r="Q491" s="97"/>
      <c r="R491" s="97"/>
      <c r="S491" s="97"/>
      <c r="T491" s="97"/>
      <c r="U491" s="97"/>
      <c r="V491" s="97"/>
      <c r="W491" s="97"/>
      <c r="X491" s="97"/>
      <c r="Y491" s="97"/>
      <c r="Z491" s="97"/>
      <c r="AA491" s="97"/>
      <c r="AB491" s="97"/>
      <c r="AC491" s="97"/>
      <c r="AD491" s="97"/>
      <c r="AE491" s="97"/>
    </row>
    <row r="492" ht="14.25" customHeight="1">
      <c r="A492" s="59"/>
      <c r="B492" s="97"/>
      <c r="C492" s="97"/>
      <c r="D492" s="97"/>
      <c r="E492" s="97"/>
      <c r="F492" s="97"/>
      <c r="G492" s="97"/>
      <c r="H492" s="99"/>
      <c r="I492" s="123"/>
      <c r="J492" s="123"/>
      <c r="K492" s="97"/>
      <c r="L492" s="97"/>
      <c r="M492" s="66"/>
      <c r="N492" s="97"/>
      <c r="O492" s="97"/>
      <c r="P492" s="97"/>
      <c r="Q492" s="97"/>
      <c r="R492" s="97"/>
      <c r="S492" s="97"/>
      <c r="T492" s="97"/>
      <c r="U492" s="97"/>
      <c r="V492" s="97"/>
      <c r="W492" s="97"/>
      <c r="X492" s="97"/>
      <c r="Y492" s="97"/>
      <c r="Z492" s="97"/>
      <c r="AA492" s="97"/>
      <c r="AB492" s="97"/>
      <c r="AC492" s="97"/>
      <c r="AD492" s="97"/>
      <c r="AE492" s="97"/>
    </row>
    <row r="493" ht="14.25" customHeight="1">
      <c r="A493" s="59"/>
      <c r="B493" s="97"/>
      <c r="C493" s="97"/>
      <c r="D493" s="97"/>
      <c r="E493" s="97"/>
      <c r="F493" s="97"/>
      <c r="G493" s="97"/>
      <c r="H493" s="99"/>
      <c r="I493" s="123"/>
      <c r="J493" s="123"/>
      <c r="K493" s="97"/>
      <c r="L493" s="97"/>
      <c r="M493" s="66"/>
      <c r="N493" s="97"/>
      <c r="O493" s="97"/>
      <c r="P493" s="97"/>
      <c r="Q493" s="97"/>
      <c r="R493" s="97"/>
      <c r="S493" s="97"/>
      <c r="T493" s="97"/>
      <c r="U493" s="97"/>
      <c r="V493" s="97"/>
      <c r="W493" s="97"/>
      <c r="X493" s="97"/>
      <c r="Y493" s="97"/>
      <c r="Z493" s="97"/>
      <c r="AA493" s="97"/>
      <c r="AB493" s="97"/>
      <c r="AC493" s="97"/>
      <c r="AD493" s="97"/>
      <c r="AE493" s="97"/>
    </row>
    <row r="494" ht="14.25" customHeight="1">
      <c r="A494" s="59"/>
      <c r="B494" s="97"/>
      <c r="C494" s="97"/>
      <c r="D494" s="97"/>
      <c r="E494" s="97"/>
      <c r="F494" s="97"/>
      <c r="G494" s="97"/>
      <c r="H494" s="99"/>
      <c r="I494" s="123"/>
      <c r="J494" s="123"/>
      <c r="K494" s="97"/>
      <c r="L494" s="97"/>
      <c r="M494" s="66"/>
      <c r="N494" s="97"/>
      <c r="O494" s="97"/>
      <c r="P494" s="97"/>
      <c r="Q494" s="97"/>
      <c r="R494" s="97"/>
      <c r="S494" s="97"/>
      <c r="T494" s="97"/>
      <c r="U494" s="97"/>
      <c r="V494" s="97"/>
      <c r="W494" s="97"/>
      <c r="X494" s="97"/>
      <c r="Y494" s="97"/>
      <c r="Z494" s="97"/>
      <c r="AA494" s="97"/>
      <c r="AB494" s="97"/>
      <c r="AC494" s="97"/>
      <c r="AD494" s="97"/>
      <c r="AE494" s="97"/>
    </row>
    <row r="495" ht="14.25" customHeight="1">
      <c r="A495" s="59"/>
      <c r="B495" s="97"/>
      <c r="C495" s="97"/>
      <c r="D495" s="97"/>
      <c r="E495" s="97"/>
      <c r="F495" s="97"/>
      <c r="G495" s="97"/>
      <c r="H495" s="99"/>
      <c r="I495" s="123"/>
      <c r="J495" s="123"/>
      <c r="K495" s="97"/>
      <c r="L495" s="97"/>
      <c r="M495" s="66"/>
      <c r="N495" s="97"/>
      <c r="O495" s="97"/>
      <c r="P495" s="97"/>
      <c r="Q495" s="97"/>
      <c r="R495" s="97"/>
      <c r="S495" s="97"/>
      <c r="T495" s="97"/>
      <c r="U495" s="97"/>
      <c r="V495" s="97"/>
      <c r="W495" s="97"/>
      <c r="X495" s="97"/>
      <c r="Y495" s="97"/>
      <c r="Z495" s="97"/>
      <c r="AA495" s="97"/>
      <c r="AB495" s="97"/>
      <c r="AC495" s="97"/>
      <c r="AD495" s="97"/>
      <c r="AE495" s="97"/>
    </row>
    <row r="496" ht="14.25" customHeight="1">
      <c r="A496" s="59"/>
      <c r="B496" s="97"/>
      <c r="C496" s="97"/>
      <c r="D496" s="97"/>
      <c r="E496" s="97"/>
      <c r="F496" s="97"/>
      <c r="G496" s="97"/>
      <c r="H496" s="99"/>
      <c r="I496" s="123"/>
      <c r="J496" s="123"/>
      <c r="K496" s="97"/>
      <c r="L496" s="97"/>
      <c r="M496" s="66"/>
      <c r="N496" s="97"/>
      <c r="O496" s="97"/>
      <c r="P496" s="97"/>
      <c r="Q496" s="97"/>
      <c r="R496" s="97"/>
      <c r="S496" s="97"/>
      <c r="T496" s="97"/>
      <c r="U496" s="97"/>
      <c r="V496" s="97"/>
      <c r="W496" s="97"/>
      <c r="X496" s="97"/>
      <c r="Y496" s="97"/>
      <c r="Z496" s="97"/>
      <c r="AA496" s="97"/>
      <c r="AB496" s="97"/>
      <c r="AC496" s="97"/>
      <c r="AD496" s="97"/>
      <c r="AE496" s="97"/>
    </row>
    <row r="497" ht="14.25" customHeight="1">
      <c r="A497" s="59"/>
      <c r="B497" s="97"/>
      <c r="C497" s="97"/>
      <c r="D497" s="97"/>
      <c r="E497" s="97"/>
      <c r="F497" s="97"/>
      <c r="G497" s="97"/>
      <c r="H497" s="99"/>
      <c r="I497" s="123"/>
      <c r="J497" s="123"/>
      <c r="K497" s="97"/>
      <c r="L497" s="97"/>
      <c r="M497" s="66"/>
      <c r="N497" s="97"/>
      <c r="O497" s="97"/>
      <c r="P497" s="97"/>
      <c r="Q497" s="97"/>
      <c r="R497" s="97"/>
      <c r="S497" s="97"/>
      <c r="T497" s="97"/>
      <c r="U497" s="97"/>
      <c r="V497" s="97"/>
      <c r="W497" s="97"/>
      <c r="X497" s="97"/>
      <c r="Y497" s="97"/>
      <c r="Z497" s="97"/>
      <c r="AA497" s="97"/>
      <c r="AB497" s="97"/>
      <c r="AC497" s="97"/>
      <c r="AD497" s="97"/>
      <c r="AE497" s="97"/>
    </row>
    <row r="498" ht="14.25" customHeight="1">
      <c r="A498" s="59"/>
      <c r="B498" s="97"/>
      <c r="C498" s="97"/>
      <c r="D498" s="97"/>
      <c r="E498" s="97"/>
      <c r="F498" s="97"/>
      <c r="G498" s="97"/>
      <c r="H498" s="99"/>
      <c r="I498" s="123"/>
      <c r="J498" s="123"/>
      <c r="K498" s="97"/>
      <c r="L498" s="97"/>
      <c r="M498" s="66"/>
      <c r="N498" s="97"/>
      <c r="O498" s="97"/>
      <c r="P498" s="97"/>
      <c r="Q498" s="97"/>
      <c r="R498" s="97"/>
      <c r="S498" s="97"/>
      <c r="T498" s="97"/>
      <c r="U498" s="97"/>
      <c r="V498" s="97"/>
      <c r="W498" s="97"/>
      <c r="X498" s="97"/>
      <c r="Y498" s="97"/>
      <c r="Z498" s="97"/>
      <c r="AA498" s="97"/>
      <c r="AB498" s="97"/>
      <c r="AC498" s="97"/>
      <c r="AD498" s="97"/>
      <c r="AE498" s="97"/>
    </row>
    <row r="499" ht="14.25" customHeight="1">
      <c r="A499" s="59"/>
      <c r="B499" s="97"/>
      <c r="C499" s="97"/>
      <c r="D499" s="97"/>
      <c r="E499" s="97"/>
      <c r="F499" s="97"/>
      <c r="G499" s="97"/>
      <c r="H499" s="99"/>
      <c r="I499" s="123"/>
      <c r="J499" s="123"/>
      <c r="K499" s="97"/>
      <c r="L499" s="97"/>
      <c r="M499" s="66"/>
      <c r="N499" s="97"/>
      <c r="O499" s="97"/>
      <c r="P499" s="97"/>
      <c r="Q499" s="97"/>
      <c r="R499" s="97"/>
      <c r="S499" s="97"/>
      <c r="T499" s="97"/>
      <c r="U499" s="97"/>
      <c r="V499" s="97"/>
      <c r="W499" s="97"/>
      <c r="X499" s="97"/>
      <c r="Y499" s="97"/>
      <c r="Z499" s="97"/>
      <c r="AA499" s="97"/>
      <c r="AB499" s="97"/>
      <c r="AC499" s="97"/>
      <c r="AD499" s="97"/>
      <c r="AE499" s="97"/>
    </row>
    <row r="500" ht="14.25" customHeight="1">
      <c r="A500" s="59"/>
      <c r="B500" s="97"/>
      <c r="C500" s="97"/>
      <c r="D500" s="97"/>
      <c r="E500" s="97"/>
      <c r="F500" s="97"/>
      <c r="G500" s="97"/>
      <c r="H500" s="99"/>
      <c r="I500" s="123"/>
      <c r="J500" s="123"/>
      <c r="K500" s="97"/>
      <c r="L500" s="97"/>
      <c r="M500" s="66"/>
      <c r="N500" s="97"/>
      <c r="O500" s="97"/>
      <c r="P500" s="97"/>
      <c r="Q500" s="97"/>
      <c r="R500" s="97"/>
      <c r="S500" s="97"/>
      <c r="T500" s="97"/>
      <c r="U500" s="97"/>
      <c r="V500" s="97"/>
      <c r="W500" s="97"/>
      <c r="X500" s="97"/>
      <c r="Y500" s="97"/>
      <c r="Z500" s="97"/>
      <c r="AA500" s="97"/>
      <c r="AB500" s="97"/>
      <c r="AC500" s="97"/>
      <c r="AD500" s="97"/>
      <c r="AE500" s="97"/>
    </row>
    <row r="501" ht="14.25" customHeight="1">
      <c r="A501" s="59"/>
      <c r="B501" s="97"/>
      <c r="C501" s="97"/>
      <c r="D501" s="97"/>
      <c r="E501" s="97"/>
      <c r="F501" s="97"/>
      <c r="G501" s="97"/>
      <c r="H501" s="99"/>
      <c r="I501" s="123"/>
      <c r="J501" s="123"/>
      <c r="K501" s="97"/>
      <c r="L501" s="97"/>
      <c r="M501" s="66"/>
      <c r="N501" s="97"/>
      <c r="O501" s="97"/>
      <c r="P501" s="97"/>
      <c r="Q501" s="97"/>
      <c r="R501" s="97"/>
      <c r="S501" s="97"/>
      <c r="T501" s="97"/>
      <c r="U501" s="97"/>
      <c r="V501" s="97"/>
      <c r="W501" s="97"/>
      <c r="X501" s="97"/>
      <c r="Y501" s="97"/>
      <c r="Z501" s="97"/>
      <c r="AA501" s="97"/>
      <c r="AB501" s="97"/>
      <c r="AC501" s="97"/>
      <c r="AD501" s="97"/>
      <c r="AE501" s="97"/>
    </row>
    <row r="502" ht="14.25" customHeight="1">
      <c r="A502" s="59"/>
      <c r="B502" s="97"/>
      <c r="C502" s="97"/>
      <c r="D502" s="97"/>
      <c r="E502" s="97"/>
      <c r="F502" s="97"/>
      <c r="G502" s="97"/>
      <c r="H502" s="99"/>
      <c r="I502" s="123"/>
      <c r="J502" s="123"/>
      <c r="K502" s="97"/>
      <c r="L502" s="97"/>
      <c r="M502" s="66"/>
      <c r="N502" s="97"/>
      <c r="O502" s="97"/>
      <c r="P502" s="97"/>
      <c r="Q502" s="97"/>
      <c r="R502" s="97"/>
      <c r="S502" s="97"/>
      <c r="T502" s="97"/>
      <c r="U502" s="97"/>
      <c r="V502" s="97"/>
      <c r="W502" s="97"/>
      <c r="X502" s="97"/>
      <c r="Y502" s="97"/>
      <c r="Z502" s="97"/>
      <c r="AA502" s="97"/>
      <c r="AB502" s="97"/>
      <c r="AC502" s="97"/>
      <c r="AD502" s="97"/>
      <c r="AE502" s="97"/>
    </row>
    <row r="503" ht="14.25" customHeight="1">
      <c r="A503" s="59"/>
      <c r="B503" s="97"/>
      <c r="C503" s="97"/>
      <c r="D503" s="97"/>
      <c r="E503" s="97"/>
      <c r="F503" s="97"/>
      <c r="G503" s="97"/>
      <c r="H503" s="99"/>
      <c r="I503" s="123"/>
      <c r="J503" s="123"/>
      <c r="K503" s="97"/>
      <c r="L503" s="97"/>
      <c r="M503" s="66"/>
      <c r="N503" s="97"/>
      <c r="O503" s="97"/>
      <c r="P503" s="97"/>
      <c r="Q503" s="97"/>
      <c r="R503" s="97"/>
      <c r="S503" s="97"/>
      <c r="T503" s="97"/>
      <c r="U503" s="97"/>
      <c r="V503" s="97"/>
      <c r="W503" s="97"/>
      <c r="X503" s="97"/>
      <c r="Y503" s="97"/>
      <c r="Z503" s="97"/>
      <c r="AA503" s="97"/>
      <c r="AB503" s="97"/>
      <c r="AC503" s="97"/>
      <c r="AD503" s="97"/>
      <c r="AE503" s="97"/>
    </row>
    <row r="504" ht="14.25" customHeight="1">
      <c r="A504" s="59"/>
      <c r="B504" s="97"/>
      <c r="C504" s="97"/>
      <c r="D504" s="97"/>
      <c r="E504" s="97"/>
      <c r="F504" s="97"/>
      <c r="G504" s="97"/>
      <c r="H504" s="99"/>
      <c r="I504" s="123"/>
      <c r="J504" s="123"/>
      <c r="K504" s="97"/>
      <c r="L504" s="97"/>
      <c r="M504" s="66"/>
      <c r="N504" s="97"/>
      <c r="O504" s="97"/>
      <c r="P504" s="97"/>
      <c r="Q504" s="97"/>
      <c r="R504" s="97"/>
      <c r="S504" s="97"/>
      <c r="T504" s="97"/>
      <c r="U504" s="97"/>
      <c r="V504" s="97"/>
      <c r="W504" s="97"/>
      <c r="X504" s="97"/>
      <c r="Y504" s="97"/>
      <c r="Z504" s="97"/>
      <c r="AA504" s="97"/>
      <c r="AB504" s="97"/>
      <c r="AC504" s="97"/>
      <c r="AD504" s="97"/>
      <c r="AE504" s="97"/>
    </row>
    <row r="505" ht="14.25" customHeight="1">
      <c r="A505" s="59"/>
      <c r="B505" s="97"/>
      <c r="C505" s="97"/>
      <c r="D505" s="97"/>
      <c r="E505" s="97"/>
      <c r="F505" s="97"/>
      <c r="G505" s="97"/>
      <c r="H505" s="99"/>
      <c r="I505" s="123"/>
      <c r="J505" s="123"/>
      <c r="K505" s="97"/>
      <c r="L505" s="97"/>
      <c r="M505" s="66"/>
      <c r="N505" s="97"/>
      <c r="O505" s="97"/>
      <c r="P505" s="97"/>
      <c r="Q505" s="97"/>
      <c r="R505" s="97"/>
      <c r="S505" s="97"/>
      <c r="T505" s="97"/>
      <c r="U505" s="97"/>
      <c r="V505" s="97"/>
      <c r="W505" s="97"/>
      <c r="X505" s="97"/>
      <c r="Y505" s="97"/>
      <c r="Z505" s="97"/>
      <c r="AA505" s="97"/>
      <c r="AB505" s="97"/>
      <c r="AC505" s="97"/>
      <c r="AD505" s="97"/>
      <c r="AE505" s="97"/>
    </row>
    <row r="506" ht="14.25" customHeight="1">
      <c r="A506" s="59"/>
      <c r="B506" s="97"/>
      <c r="C506" s="97"/>
      <c r="D506" s="97"/>
      <c r="E506" s="97"/>
      <c r="F506" s="97"/>
      <c r="G506" s="97"/>
      <c r="H506" s="99"/>
      <c r="I506" s="123"/>
      <c r="J506" s="123"/>
      <c r="K506" s="97"/>
      <c r="L506" s="97"/>
      <c r="M506" s="66"/>
      <c r="N506" s="97"/>
      <c r="O506" s="97"/>
      <c r="P506" s="97"/>
      <c r="Q506" s="97"/>
      <c r="R506" s="97"/>
      <c r="S506" s="97"/>
      <c r="T506" s="97"/>
      <c r="U506" s="97"/>
      <c r="V506" s="97"/>
      <c r="W506" s="97"/>
      <c r="X506" s="97"/>
      <c r="Y506" s="97"/>
      <c r="Z506" s="97"/>
      <c r="AA506" s="97"/>
      <c r="AB506" s="97"/>
      <c r="AC506" s="97"/>
      <c r="AD506" s="97"/>
      <c r="AE506" s="97"/>
    </row>
    <row r="507" ht="14.25" customHeight="1">
      <c r="A507" s="59"/>
      <c r="B507" s="97"/>
      <c r="C507" s="97"/>
      <c r="D507" s="97"/>
      <c r="E507" s="97"/>
      <c r="F507" s="97"/>
      <c r="G507" s="97"/>
      <c r="H507" s="99"/>
      <c r="I507" s="123"/>
      <c r="J507" s="123"/>
      <c r="K507" s="97"/>
      <c r="L507" s="97"/>
      <c r="M507" s="66"/>
      <c r="N507" s="97"/>
      <c r="O507" s="97"/>
      <c r="P507" s="97"/>
      <c r="Q507" s="97"/>
      <c r="R507" s="97"/>
      <c r="S507" s="97"/>
      <c r="T507" s="97"/>
      <c r="U507" s="97"/>
      <c r="V507" s="97"/>
      <c r="W507" s="97"/>
      <c r="X507" s="97"/>
      <c r="Y507" s="97"/>
      <c r="Z507" s="97"/>
      <c r="AA507" s="97"/>
      <c r="AB507" s="97"/>
      <c r="AC507" s="97"/>
      <c r="AD507" s="97"/>
      <c r="AE507" s="97"/>
    </row>
    <row r="508" ht="14.25" customHeight="1">
      <c r="A508" s="59"/>
      <c r="B508" s="97"/>
      <c r="C508" s="97"/>
      <c r="D508" s="97"/>
      <c r="E508" s="97"/>
      <c r="F508" s="97"/>
      <c r="G508" s="97"/>
      <c r="H508" s="99"/>
      <c r="I508" s="123"/>
      <c r="J508" s="123"/>
      <c r="K508" s="97"/>
      <c r="L508" s="97"/>
      <c r="M508" s="66"/>
      <c r="N508" s="97"/>
      <c r="O508" s="97"/>
      <c r="P508" s="97"/>
      <c r="Q508" s="97"/>
      <c r="R508" s="97"/>
      <c r="S508" s="97"/>
      <c r="T508" s="97"/>
      <c r="U508" s="97"/>
      <c r="V508" s="97"/>
      <c r="W508" s="97"/>
      <c r="X508" s="97"/>
      <c r="Y508" s="97"/>
      <c r="Z508" s="97"/>
      <c r="AA508" s="97"/>
      <c r="AB508" s="97"/>
      <c r="AC508" s="97"/>
      <c r="AD508" s="97"/>
      <c r="AE508" s="97"/>
    </row>
    <row r="509" ht="14.25" customHeight="1">
      <c r="A509" s="59"/>
      <c r="B509" s="97"/>
      <c r="C509" s="97"/>
      <c r="D509" s="97"/>
      <c r="E509" s="97"/>
      <c r="F509" s="97"/>
      <c r="G509" s="97"/>
      <c r="H509" s="99"/>
      <c r="I509" s="123"/>
      <c r="J509" s="123"/>
      <c r="K509" s="97"/>
      <c r="L509" s="97"/>
      <c r="M509" s="66"/>
      <c r="N509" s="97"/>
      <c r="O509" s="97"/>
      <c r="P509" s="97"/>
      <c r="Q509" s="97"/>
      <c r="R509" s="97"/>
      <c r="S509" s="97"/>
      <c r="T509" s="97"/>
      <c r="U509" s="97"/>
      <c r="V509" s="97"/>
      <c r="W509" s="97"/>
      <c r="X509" s="97"/>
      <c r="Y509" s="97"/>
      <c r="Z509" s="97"/>
      <c r="AA509" s="97"/>
      <c r="AB509" s="97"/>
      <c r="AC509" s="97"/>
      <c r="AD509" s="97"/>
      <c r="AE509" s="97"/>
    </row>
    <row r="510" ht="14.25" customHeight="1">
      <c r="A510" s="59"/>
      <c r="B510" s="97"/>
      <c r="C510" s="97"/>
      <c r="D510" s="97"/>
      <c r="E510" s="97"/>
      <c r="F510" s="97"/>
      <c r="G510" s="97"/>
      <c r="H510" s="99"/>
      <c r="I510" s="123"/>
      <c r="J510" s="123"/>
      <c r="K510" s="97"/>
      <c r="L510" s="97"/>
      <c r="M510" s="66"/>
      <c r="N510" s="97"/>
      <c r="O510" s="97"/>
      <c r="P510" s="97"/>
      <c r="Q510" s="97"/>
      <c r="R510" s="97"/>
      <c r="S510" s="97"/>
      <c r="T510" s="97"/>
      <c r="U510" s="97"/>
      <c r="V510" s="97"/>
      <c r="W510" s="97"/>
      <c r="X510" s="97"/>
      <c r="Y510" s="97"/>
      <c r="Z510" s="97"/>
      <c r="AA510" s="97"/>
      <c r="AB510" s="97"/>
      <c r="AC510" s="97"/>
      <c r="AD510" s="97"/>
      <c r="AE510" s="97"/>
    </row>
    <row r="511" ht="14.25" customHeight="1">
      <c r="A511" s="59"/>
      <c r="B511" s="97"/>
      <c r="C511" s="97"/>
      <c r="D511" s="97"/>
      <c r="E511" s="97"/>
      <c r="F511" s="97"/>
      <c r="G511" s="97"/>
      <c r="H511" s="99"/>
      <c r="I511" s="123"/>
      <c r="J511" s="123"/>
      <c r="K511" s="97"/>
      <c r="L511" s="97"/>
      <c r="M511" s="66"/>
      <c r="N511" s="97"/>
      <c r="O511" s="97"/>
      <c r="P511" s="97"/>
      <c r="Q511" s="97"/>
      <c r="R511" s="97"/>
      <c r="S511" s="97"/>
      <c r="T511" s="97"/>
      <c r="U511" s="97"/>
      <c r="V511" s="97"/>
      <c r="W511" s="97"/>
      <c r="X511" s="97"/>
      <c r="Y511" s="97"/>
      <c r="Z511" s="97"/>
      <c r="AA511" s="97"/>
      <c r="AB511" s="97"/>
      <c r="AC511" s="97"/>
      <c r="AD511" s="97"/>
      <c r="AE511" s="97"/>
    </row>
    <row r="512" ht="14.25" customHeight="1">
      <c r="A512" s="59"/>
      <c r="B512" s="97"/>
      <c r="C512" s="97"/>
      <c r="D512" s="97"/>
      <c r="E512" s="97"/>
      <c r="F512" s="97"/>
      <c r="G512" s="97"/>
      <c r="H512" s="99"/>
      <c r="I512" s="123"/>
      <c r="J512" s="123"/>
      <c r="K512" s="97"/>
      <c r="L512" s="97"/>
      <c r="M512" s="66"/>
      <c r="N512" s="97"/>
      <c r="O512" s="97"/>
      <c r="P512" s="97"/>
      <c r="Q512" s="97"/>
      <c r="R512" s="97"/>
      <c r="S512" s="97"/>
      <c r="T512" s="97"/>
      <c r="U512" s="97"/>
      <c r="V512" s="97"/>
      <c r="W512" s="97"/>
      <c r="X512" s="97"/>
      <c r="Y512" s="97"/>
      <c r="Z512" s="97"/>
      <c r="AA512" s="97"/>
      <c r="AB512" s="97"/>
      <c r="AC512" s="97"/>
      <c r="AD512" s="97"/>
      <c r="AE512" s="97"/>
    </row>
    <row r="513" ht="14.25" customHeight="1">
      <c r="A513" s="59"/>
      <c r="B513" s="97"/>
      <c r="C513" s="97"/>
      <c r="D513" s="97"/>
      <c r="E513" s="97"/>
      <c r="F513" s="97"/>
      <c r="G513" s="97"/>
      <c r="H513" s="99"/>
      <c r="I513" s="123"/>
      <c r="J513" s="123"/>
      <c r="K513" s="97"/>
      <c r="L513" s="97"/>
      <c r="M513" s="66"/>
      <c r="N513" s="97"/>
      <c r="O513" s="97"/>
      <c r="P513" s="97"/>
      <c r="Q513" s="97"/>
      <c r="R513" s="97"/>
      <c r="S513" s="97"/>
      <c r="T513" s="97"/>
      <c r="U513" s="97"/>
      <c r="V513" s="97"/>
      <c r="W513" s="97"/>
      <c r="X513" s="97"/>
      <c r="Y513" s="97"/>
      <c r="Z513" s="97"/>
      <c r="AA513" s="97"/>
      <c r="AB513" s="97"/>
      <c r="AC513" s="97"/>
      <c r="AD513" s="97"/>
      <c r="AE513" s="97"/>
    </row>
    <row r="514" ht="14.25" customHeight="1">
      <c r="A514" s="59"/>
      <c r="B514" s="97"/>
      <c r="C514" s="97"/>
      <c r="D514" s="97"/>
      <c r="E514" s="97"/>
      <c r="F514" s="97"/>
      <c r="G514" s="97"/>
      <c r="H514" s="99"/>
      <c r="I514" s="123"/>
      <c r="J514" s="123"/>
      <c r="K514" s="97"/>
      <c r="L514" s="97"/>
      <c r="M514" s="66"/>
      <c r="N514" s="97"/>
      <c r="O514" s="97"/>
      <c r="P514" s="97"/>
      <c r="Q514" s="97"/>
      <c r="R514" s="97"/>
      <c r="S514" s="97"/>
      <c r="T514" s="97"/>
      <c r="U514" s="97"/>
      <c r="V514" s="97"/>
      <c r="W514" s="97"/>
      <c r="X514" s="97"/>
      <c r="Y514" s="97"/>
      <c r="Z514" s="97"/>
      <c r="AA514" s="97"/>
      <c r="AB514" s="97"/>
      <c r="AC514" s="97"/>
      <c r="AD514" s="97"/>
      <c r="AE514" s="97"/>
    </row>
    <row r="515" ht="14.25" customHeight="1">
      <c r="A515" s="59"/>
      <c r="B515" s="97"/>
      <c r="C515" s="97"/>
      <c r="D515" s="97"/>
      <c r="E515" s="97"/>
      <c r="F515" s="97"/>
      <c r="G515" s="97"/>
      <c r="H515" s="99"/>
      <c r="I515" s="123"/>
      <c r="J515" s="123"/>
      <c r="K515" s="97"/>
      <c r="L515" s="97"/>
      <c r="M515" s="66"/>
      <c r="N515" s="97"/>
      <c r="O515" s="97"/>
      <c r="P515" s="97"/>
      <c r="Q515" s="97"/>
      <c r="R515" s="97"/>
      <c r="S515" s="97"/>
      <c r="T515" s="97"/>
      <c r="U515" s="97"/>
      <c r="V515" s="97"/>
      <c r="W515" s="97"/>
      <c r="X515" s="97"/>
      <c r="Y515" s="97"/>
      <c r="Z515" s="97"/>
      <c r="AA515" s="97"/>
      <c r="AB515" s="97"/>
      <c r="AC515" s="97"/>
      <c r="AD515" s="97"/>
      <c r="AE515" s="97"/>
    </row>
    <row r="516" ht="14.25" customHeight="1">
      <c r="A516" s="59"/>
      <c r="B516" s="97"/>
      <c r="C516" s="97"/>
      <c r="D516" s="97"/>
      <c r="E516" s="97"/>
      <c r="F516" s="97"/>
      <c r="G516" s="97"/>
      <c r="H516" s="99"/>
      <c r="I516" s="123"/>
      <c r="J516" s="123"/>
      <c r="K516" s="97"/>
      <c r="L516" s="97"/>
      <c r="M516" s="66"/>
      <c r="N516" s="97"/>
      <c r="O516" s="97"/>
      <c r="P516" s="97"/>
      <c r="Q516" s="97"/>
      <c r="R516" s="97"/>
      <c r="S516" s="97"/>
      <c r="T516" s="97"/>
      <c r="U516" s="97"/>
      <c r="V516" s="97"/>
      <c r="W516" s="97"/>
      <c r="X516" s="97"/>
      <c r="Y516" s="97"/>
      <c r="Z516" s="97"/>
      <c r="AA516" s="97"/>
      <c r="AB516" s="97"/>
      <c r="AC516" s="97"/>
      <c r="AD516" s="97"/>
      <c r="AE516" s="97"/>
    </row>
    <row r="517" ht="14.25" customHeight="1">
      <c r="A517" s="59"/>
      <c r="B517" s="97"/>
      <c r="C517" s="97"/>
      <c r="D517" s="97"/>
      <c r="E517" s="97"/>
      <c r="F517" s="97"/>
      <c r="G517" s="97"/>
      <c r="H517" s="99"/>
      <c r="I517" s="123"/>
      <c r="J517" s="123"/>
      <c r="K517" s="97"/>
      <c r="L517" s="97"/>
      <c r="M517" s="66"/>
      <c r="N517" s="97"/>
      <c r="O517" s="97"/>
      <c r="P517" s="97"/>
      <c r="Q517" s="97"/>
      <c r="R517" s="97"/>
      <c r="S517" s="97"/>
      <c r="T517" s="97"/>
      <c r="U517" s="97"/>
      <c r="V517" s="97"/>
      <c r="W517" s="97"/>
      <c r="X517" s="97"/>
      <c r="Y517" s="97"/>
      <c r="Z517" s="97"/>
      <c r="AA517" s="97"/>
      <c r="AB517" s="97"/>
      <c r="AC517" s="97"/>
      <c r="AD517" s="97"/>
      <c r="AE517" s="97"/>
    </row>
    <row r="518" ht="14.25" customHeight="1">
      <c r="A518" s="59"/>
      <c r="B518" s="97"/>
      <c r="C518" s="97"/>
      <c r="D518" s="97"/>
      <c r="E518" s="97"/>
      <c r="F518" s="97"/>
      <c r="G518" s="97"/>
      <c r="H518" s="99"/>
      <c r="I518" s="123"/>
      <c r="J518" s="123"/>
      <c r="K518" s="97"/>
      <c r="L518" s="97"/>
      <c r="M518" s="66"/>
      <c r="N518" s="97"/>
      <c r="O518" s="97"/>
      <c r="P518" s="97"/>
      <c r="Q518" s="97"/>
      <c r="R518" s="97"/>
      <c r="S518" s="97"/>
      <c r="T518" s="97"/>
      <c r="U518" s="97"/>
      <c r="V518" s="97"/>
      <c r="W518" s="97"/>
      <c r="X518" s="97"/>
      <c r="Y518" s="97"/>
      <c r="Z518" s="97"/>
      <c r="AA518" s="97"/>
      <c r="AB518" s="97"/>
      <c r="AC518" s="97"/>
      <c r="AD518" s="97"/>
      <c r="AE518" s="97"/>
    </row>
    <row r="519" ht="14.25" customHeight="1">
      <c r="A519" s="59"/>
      <c r="B519" s="97"/>
      <c r="C519" s="97"/>
      <c r="D519" s="97"/>
      <c r="E519" s="97"/>
      <c r="F519" s="97"/>
      <c r="G519" s="97"/>
      <c r="H519" s="99"/>
      <c r="I519" s="123"/>
      <c r="J519" s="123"/>
      <c r="K519" s="97"/>
      <c r="L519" s="97"/>
      <c r="M519" s="66"/>
      <c r="N519" s="97"/>
      <c r="O519" s="97"/>
      <c r="P519" s="97"/>
      <c r="Q519" s="97"/>
      <c r="R519" s="97"/>
      <c r="S519" s="97"/>
      <c r="T519" s="97"/>
      <c r="U519" s="97"/>
      <c r="V519" s="97"/>
      <c r="W519" s="97"/>
      <c r="X519" s="97"/>
      <c r="Y519" s="97"/>
      <c r="Z519" s="97"/>
      <c r="AA519" s="97"/>
      <c r="AB519" s="97"/>
      <c r="AC519" s="97"/>
      <c r="AD519" s="97"/>
      <c r="AE519" s="97"/>
    </row>
    <row r="520" ht="14.25" customHeight="1">
      <c r="A520" s="59"/>
      <c r="B520" s="97"/>
      <c r="C520" s="97"/>
      <c r="D520" s="97"/>
      <c r="E520" s="97"/>
      <c r="F520" s="97"/>
      <c r="G520" s="97"/>
      <c r="H520" s="99"/>
      <c r="I520" s="123"/>
      <c r="J520" s="123"/>
      <c r="K520" s="97"/>
      <c r="L520" s="97"/>
      <c r="M520" s="66"/>
      <c r="N520" s="97"/>
      <c r="O520" s="97"/>
      <c r="P520" s="97"/>
      <c r="Q520" s="97"/>
      <c r="R520" s="97"/>
      <c r="S520" s="97"/>
      <c r="T520" s="97"/>
      <c r="U520" s="97"/>
      <c r="V520" s="97"/>
      <c r="W520" s="97"/>
      <c r="X520" s="97"/>
      <c r="Y520" s="97"/>
      <c r="Z520" s="97"/>
      <c r="AA520" s="97"/>
      <c r="AB520" s="97"/>
      <c r="AC520" s="97"/>
      <c r="AD520" s="97"/>
      <c r="AE520" s="97"/>
    </row>
    <row r="521" ht="14.25" customHeight="1">
      <c r="A521" s="59"/>
      <c r="B521" s="97"/>
      <c r="C521" s="97"/>
      <c r="D521" s="97"/>
      <c r="E521" s="97"/>
      <c r="F521" s="97"/>
      <c r="G521" s="97"/>
      <c r="H521" s="99"/>
      <c r="I521" s="123"/>
      <c r="J521" s="123"/>
      <c r="K521" s="97"/>
      <c r="L521" s="97"/>
      <c r="M521" s="66"/>
      <c r="N521" s="97"/>
      <c r="O521" s="97"/>
      <c r="P521" s="97"/>
      <c r="Q521" s="97"/>
      <c r="R521" s="97"/>
      <c r="S521" s="97"/>
      <c r="T521" s="97"/>
      <c r="U521" s="97"/>
      <c r="V521" s="97"/>
      <c r="W521" s="97"/>
      <c r="X521" s="97"/>
      <c r="Y521" s="97"/>
      <c r="Z521" s="97"/>
      <c r="AA521" s="97"/>
      <c r="AB521" s="97"/>
      <c r="AC521" s="97"/>
      <c r="AD521" s="97"/>
      <c r="AE521" s="97"/>
    </row>
    <row r="522" ht="14.25" customHeight="1">
      <c r="A522" s="59"/>
      <c r="B522" s="97"/>
      <c r="C522" s="97"/>
      <c r="D522" s="97"/>
      <c r="E522" s="97"/>
      <c r="F522" s="97"/>
      <c r="G522" s="97"/>
      <c r="H522" s="99"/>
      <c r="I522" s="123"/>
      <c r="J522" s="123"/>
      <c r="K522" s="97"/>
      <c r="L522" s="97"/>
      <c r="M522" s="66"/>
      <c r="N522" s="97"/>
      <c r="O522" s="97"/>
      <c r="P522" s="97"/>
      <c r="Q522" s="97"/>
      <c r="R522" s="97"/>
      <c r="S522" s="97"/>
      <c r="T522" s="97"/>
      <c r="U522" s="97"/>
      <c r="V522" s="97"/>
      <c r="W522" s="97"/>
      <c r="X522" s="97"/>
      <c r="Y522" s="97"/>
      <c r="Z522" s="97"/>
      <c r="AA522" s="97"/>
      <c r="AB522" s="97"/>
      <c r="AC522" s="97"/>
      <c r="AD522" s="97"/>
      <c r="AE522" s="97"/>
    </row>
    <row r="523" ht="14.25" customHeight="1">
      <c r="A523" s="59"/>
      <c r="B523" s="97"/>
      <c r="C523" s="97"/>
      <c r="D523" s="97"/>
      <c r="E523" s="97"/>
      <c r="F523" s="97"/>
      <c r="G523" s="97"/>
      <c r="H523" s="99"/>
      <c r="I523" s="123"/>
      <c r="J523" s="123"/>
      <c r="K523" s="97"/>
      <c r="L523" s="97"/>
      <c r="M523" s="66"/>
      <c r="N523" s="97"/>
      <c r="O523" s="97"/>
      <c r="P523" s="97"/>
      <c r="Q523" s="97"/>
      <c r="R523" s="97"/>
      <c r="S523" s="97"/>
      <c r="T523" s="97"/>
      <c r="U523" s="97"/>
      <c r="V523" s="97"/>
      <c r="W523" s="97"/>
      <c r="X523" s="97"/>
      <c r="Y523" s="97"/>
      <c r="Z523" s="97"/>
      <c r="AA523" s="97"/>
      <c r="AB523" s="97"/>
      <c r="AC523" s="97"/>
      <c r="AD523" s="97"/>
      <c r="AE523" s="97"/>
    </row>
    <row r="524" ht="14.25" customHeight="1">
      <c r="A524" s="59"/>
      <c r="B524" s="97"/>
      <c r="C524" s="97"/>
      <c r="D524" s="97"/>
      <c r="E524" s="97"/>
      <c r="F524" s="97"/>
      <c r="G524" s="97"/>
      <c r="H524" s="99"/>
      <c r="I524" s="123"/>
      <c r="J524" s="123"/>
      <c r="K524" s="97"/>
      <c r="L524" s="97"/>
      <c r="M524" s="66"/>
      <c r="N524" s="97"/>
      <c r="O524" s="97"/>
      <c r="P524" s="97"/>
      <c r="Q524" s="97"/>
      <c r="R524" s="97"/>
      <c r="S524" s="97"/>
      <c r="T524" s="97"/>
      <c r="U524" s="97"/>
      <c r="V524" s="97"/>
      <c r="W524" s="97"/>
      <c r="X524" s="97"/>
      <c r="Y524" s="97"/>
      <c r="Z524" s="97"/>
      <c r="AA524" s="97"/>
      <c r="AB524" s="97"/>
      <c r="AC524" s="97"/>
      <c r="AD524" s="97"/>
      <c r="AE524" s="97"/>
    </row>
    <row r="525" ht="14.25" customHeight="1">
      <c r="A525" s="59"/>
      <c r="B525" s="97"/>
      <c r="C525" s="97"/>
      <c r="D525" s="97"/>
      <c r="E525" s="97"/>
      <c r="F525" s="97"/>
      <c r="G525" s="97"/>
      <c r="H525" s="99"/>
      <c r="I525" s="123"/>
      <c r="J525" s="123"/>
      <c r="K525" s="97"/>
      <c r="L525" s="97"/>
      <c r="M525" s="66"/>
      <c r="N525" s="97"/>
      <c r="O525" s="97"/>
      <c r="P525" s="97"/>
      <c r="Q525" s="97"/>
      <c r="R525" s="97"/>
      <c r="S525" s="97"/>
      <c r="T525" s="97"/>
      <c r="U525" s="97"/>
      <c r="V525" s="97"/>
      <c r="W525" s="97"/>
      <c r="X525" s="97"/>
      <c r="Y525" s="97"/>
      <c r="Z525" s="97"/>
      <c r="AA525" s="97"/>
      <c r="AB525" s="97"/>
      <c r="AC525" s="97"/>
      <c r="AD525" s="97"/>
      <c r="AE525" s="97"/>
    </row>
    <row r="526" ht="14.25" customHeight="1">
      <c r="A526" s="59"/>
      <c r="B526" s="97"/>
      <c r="C526" s="97"/>
      <c r="D526" s="97"/>
      <c r="E526" s="97"/>
      <c r="F526" s="97"/>
      <c r="G526" s="97"/>
      <c r="H526" s="99"/>
      <c r="I526" s="123"/>
      <c r="J526" s="123"/>
      <c r="K526" s="97"/>
      <c r="L526" s="97"/>
      <c r="M526" s="66"/>
      <c r="N526" s="97"/>
      <c r="O526" s="97"/>
      <c r="P526" s="97"/>
      <c r="Q526" s="97"/>
      <c r="R526" s="97"/>
      <c r="S526" s="97"/>
      <c r="T526" s="97"/>
      <c r="U526" s="97"/>
      <c r="V526" s="97"/>
      <c r="W526" s="97"/>
      <c r="X526" s="97"/>
      <c r="Y526" s="97"/>
      <c r="Z526" s="97"/>
      <c r="AA526" s="97"/>
      <c r="AB526" s="97"/>
      <c r="AC526" s="97"/>
      <c r="AD526" s="97"/>
      <c r="AE526" s="97"/>
    </row>
    <row r="527" ht="14.25" customHeight="1">
      <c r="A527" s="59"/>
      <c r="B527" s="97"/>
      <c r="C527" s="97"/>
      <c r="D527" s="97"/>
      <c r="E527" s="97"/>
      <c r="F527" s="97"/>
      <c r="G527" s="97"/>
      <c r="H527" s="99"/>
      <c r="I527" s="123"/>
      <c r="J527" s="123"/>
      <c r="K527" s="97"/>
      <c r="L527" s="97"/>
      <c r="M527" s="66"/>
      <c r="N527" s="97"/>
      <c r="O527" s="97"/>
      <c r="P527" s="97"/>
      <c r="Q527" s="97"/>
      <c r="R527" s="97"/>
      <c r="S527" s="97"/>
      <c r="T527" s="97"/>
      <c r="U527" s="97"/>
      <c r="V527" s="97"/>
      <c r="W527" s="97"/>
      <c r="X527" s="97"/>
      <c r="Y527" s="97"/>
      <c r="Z527" s="97"/>
      <c r="AA527" s="97"/>
      <c r="AB527" s="97"/>
      <c r="AC527" s="97"/>
      <c r="AD527" s="97"/>
      <c r="AE527" s="97"/>
    </row>
    <row r="528" ht="14.25" customHeight="1">
      <c r="A528" s="59"/>
      <c r="B528" s="97"/>
      <c r="C528" s="97"/>
      <c r="D528" s="97"/>
      <c r="E528" s="97"/>
      <c r="F528" s="97"/>
      <c r="G528" s="97"/>
      <c r="H528" s="99"/>
      <c r="I528" s="123"/>
      <c r="J528" s="123"/>
      <c r="K528" s="97"/>
      <c r="L528" s="97"/>
      <c r="M528" s="66"/>
      <c r="N528" s="97"/>
      <c r="O528" s="97"/>
      <c r="P528" s="97"/>
      <c r="Q528" s="97"/>
      <c r="R528" s="97"/>
      <c r="S528" s="97"/>
      <c r="T528" s="97"/>
      <c r="U528" s="97"/>
      <c r="V528" s="97"/>
      <c r="W528" s="97"/>
      <c r="X528" s="97"/>
      <c r="Y528" s="97"/>
      <c r="Z528" s="97"/>
      <c r="AA528" s="97"/>
      <c r="AB528" s="97"/>
      <c r="AC528" s="97"/>
      <c r="AD528" s="97"/>
      <c r="AE528" s="97"/>
    </row>
    <row r="529" ht="14.25" customHeight="1">
      <c r="A529" s="59"/>
      <c r="B529" s="97"/>
      <c r="C529" s="97"/>
      <c r="D529" s="97"/>
      <c r="E529" s="97"/>
      <c r="F529" s="97"/>
      <c r="G529" s="97"/>
      <c r="H529" s="99"/>
      <c r="I529" s="123"/>
      <c r="J529" s="123"/>
      <c r="K529" s="97"/>
      <c r="L529" s="97"/>
      <c r="M529" s="66"/>
      <c r="N529" s="97"/>
      <c r="O529" s="97"/>
      <c r="P529" s="97"/>
      <c r="Q529" s="97"/>
      <c r="R529" s="97"/>
      <c r="S529" s="97"/>
      <c r="T529" s="97"/>
      <c r="U529" s="97"/>
      <c r="V529" s="97"/>
      <c r="W529" s="97"/>
      <c r="X529" s="97"/>
      <c r="Y529" s="97"/>
      <c r="Z529" s="97"/>
      <c r="AA529" s="97"/>
      <c r="AB529" s="97"/>
      <c r="AC529" s="97"/>
      <c r="AD529" s="97"/>
      <c r="AE529" s="97"/>
    </row>
    <row r="530" ht="14.25" customHeight="1">
      <c r="A530" s="59"/>
      <c r="B530" s="97"/>
      <c r="C530" s="97"/>
      <c r="D530" s="97"/>
      <c r="E530" s="97"/>
      <c r="F530" s="97"/>
      <c r="G530" s="97"/>
      <c r="H530" s="99"/>
      <c r="I530" s="123"/>
      <c r="J530" s="123"/>
      <c r="K530" s="97"/>
      <c r="L530" s="97"/>
      <c r="M530" s="66"/>
      <c r="N530" s="97"/>
      <c r="O530" s="97"/>
      <c r="P530" s="97"/>
      <c r="Q530" s="97"/>
      <c r="R530" s="97"/>
      <c r="S530" s="97"/>
      <c r="T530" s="97"/>
      <c r="U530" s="97"/>
      <c r="V530" s="97"/>
      <c r="W530" s="97"/>
      <c r="X530" s="97"/>
      <c r="Y530" s="97"/>
      <c r="Z530" s="97"/>
      <c r="AA530" s="97"/>
      <c r="AB530" s="97"/>
      <c r="AC530" s="97"/>
      <c r="AD530" s="97"/>
      <c r="AE530" s="97"/>
    </row>
    <row r="531" ht="14.25" customHeight="1">
      <c r="A531" s="59"/>
      <c r="B531" s="97"/>
      <c r="C531" s="97"/>
      <c r="D531" s="97"/>
      <c r="E531" s="97"/>
      <c r="F531" s="97"/>
      <c r="G531" s="97"/>
      <c r="H531" s="99"/>
      <c r="I531" s="123"/>
      <c r="J531" s="123"/>
      <c r="K531" s="97"/>
      <c r="L531" s="97"/>
      <c r="M531" s="66"/>
      <c r="N531" s="97"/>
      <c r="O531" s="97"/>
      <c r="P531" s="97"/>
      <c r="Q531" s="97"/>
      <c r="R531" s="97"/>
      <c r="S531" s="97"/>
      <c r="T531" s="97"/>
      <c r="U531" s="97"/>
      <c r="V531" s="97"/>
      <c r="W531" s="97"/>
      <c r="X531" s="97"/>
      <c r="Y531" s="97"/>
      <c r="Z531" s="97"/>
      <c r="AA531" s="97"/>
      <c r="AB531" s="97"/>
      <c r="AC531" s="97"/>
      <c r="AD531" s="97"/>
      <c r="AE531" s="97"/>
    </row>
    <row r="532" ht="14.25" customHeight="1">
      <c r="A532" s="59"/>
      <c r="B532" s="97"/>
      <c r="C532" s="97"/>
      <c r="D532" s="97"/>
      <c r="E532" s="97"/>
      <c r="F532" s="97"/>
      <c r="G532" s="97"/>
      <c r="H532" s="99"/>
      <c r="I532" s="123"/>
      <c r="J532" s="123"/>
      <c r="K532" s="97"/>
      <c r="L532" s="97"/>
      <c r="M532" s="66"/>
      <c r="N532" s="97"/>
      <c r="O532" s="97"/>
      <c r="P532" s="97"/>
      <c r="Q532" s="97"/>
      <c r="R532" s="97"/>
      <c r="S532" s="97"/>
      <c r="T532" s="97"/>
      <c r="U532" s="97"/>
      <c r="V532" s="97"/>
      <c r="W532" s="97"/>
      <c r="X532" s="97"/>
      <c r="Y532" s="97"/>
      <c r="Z532" s="97"/>
      <c r="AA532" s="97"/>
      <c r="AB532" s="97"/>
      <c r="AC532" s="97"/>
      <c r="AD532" s="97"/>
      <c r="AE532" s="97"/>
    </row>
    <row r="533" ht="14.25" customHeight="1">
      <c r="A533" s="59"/>
      <c r="B533" s="97"/>
      <c r="C533" s="97"/>
      <c r="D533" s="97"/>
      <c r="E533" s="97"/>
      <c r="F533" s="97"/>
      <c r="G533" s="97"/>
      <c r="H533" s="99"/>
      <c r="I533" s="123"/>
      <c r="J533" s="123"/>
      <c r="K533" s="97"/>
      <c r="L533" s="97"/>
      <c r="M533" s="66"/>
      <c r="N533" s="97"/>
      <c r="O533" s="97"/>
      <c r="P533" s="97"/>
      <c r="Q533" s="97"/>
      <c r="R533" s="97"/>
      <c r="S533" s="97"/>
      <c r="T533" s="97"/>
      <c r="U533" s="97"/>
      <c r="V533" s="97"/>
      <c r="W533" s="97"/>
      <c r="X533" s="97"/>
      <c r="Y533" s="97"/>
      <c r="Z533" s="97"/>
      <c r="AA533" s="97"/>
      <c r="AB533" s="97"/>
      <c r="AC533" s="97"/>
      <c r="AD533" s="97"/>
      <c r="AE533" s="97"/>
    </row>
    <row r="534" ht="14.25" customHeight="1">
      <c r="A534" s="59"/>
      <c r="B534" s="97"/>
      <c r="C534" s="97"/>
      <c r="D534" s="97"/>
      <c r="E534" s="97"/>
      <c r="F534" s="97"/>
      <c r="G534" s="97"/>
      <c r="H534" s="99"/>
      <c r="I534" s="123"/>
      <c r="J534" s="123"/>
      <c r="K534" s="97"/>
      <c r="L534" s="97"/>
      <c r="M534" s="66"/>
      <c r="N534" s="97"/>
      <c r="O534" s="97"/>
      <c r="P534" s="97"/>
      <c r="Q534" s="97"/>
      <c r="R534" s="97"/>
      <c r="S534" s="97"/>
      <c r="T534" s="97"/>
      <c r="U534" s="97"/>
      <c r="V534" s="97"/>
      <c r="W534" s="97"/>
      <c r="X534" s="97"/>
      <c r="Y534" s="97"/>
      <c r="Z534" s="97"/>
      <c r="AA534" s="97"/>
      <c r="AB534" s="97"/>
      <c r="AC534" s="97"/>
      <c r="AD534" s="97"/>
      <c r="AE534" s="97"/>
    </row>
    <row r="535" ht="14.25" customHeight="1">
      <c r="A535" s="59"/>
      <c r="B535" s="97"/>
      <c r="C535" s="97"/>
      <c r="D535" s="97"/>
      <c r="E535" s="97"/>
      <c r="F535" s="97"/>
      <c r="G535" s="97"/>
      <c r="H535" s="99"/>
      <c r="I535" s="123"/>
      <c r="J535" s="123"/>
      <c r="K535" s="97"/>
      <c r="L535" s="97"/>
      <c r="M535" s="66"/>
      <c r="N535" s="97"/>
      <c r="O535" s="97"/>
      <c r="P535" s="97"/>
      <c r="Q535" s="97"/>
      <c r="R535" s="97"/>
      <c r="S535" s="97"/>
      <c r="T535" s="97"/>
      <c r="U535" s="97"/>
      <c r="V535" s="97"/>
      <c r="W535" s="97"/>
      <c r="X535" s="97"/>
      <c r="Y535" s="97"/>
      <c r="Z535" s="97"/>
      <c r="AA535" s="97"/>
      <c r="AB535" s="97"/>
      <c r="AC535" s="97"/>
      <c r="AD535" s="97"/>
      <c r="AE535" s="97"/>
    </row>
    <row r="536" ht="14.25" customHeight="1">
      <c r="A536" s="59"/>
      <c r="B536" s="97"/>
      <c r="C536" s="97"/>
      <c r="D536" s="97"/>
      <c r="E536" s="97"/>
      <c r="F536" s="97"/>
      <c r="G536" s="97"/>
      <c r="H536" s="99"/>
      <c r="I536" s="123"/>
      <c r="J536" s="123"/>
      <c r="K536" s="97"/>
      <c r="L536" s="97"/>
      <c r="M536" s="66"/>
      <c r="N536" s="97"/>
      <c r="O536" s="97"/>
      <c r="P536" s="97"/>
      <c r="Q536" s="97"/>
      <c r="R536" s="97"/>
      <c r="S536" s="97"/>
      <c r="T536" s="97"/>
      <c r="U536" s="97"/>
      <c r="V536" s="97"/>
      <c r="W536" s="97"/>
      <c r="X536" s="97"/>
      <c r="Y536" s="97"/>
      <c r="Z536" s="97"/>
      <c r="AA536" s="97"/>
      <c r="AB536" s="97"/>
      <c r="AC536" s="97"/>
      <c r="AD536" s="97"/>
      <c r="AE536" s="97"/>
    </row>
    <row r="537" ht="14.25" customHeight="1">
      <c r="A537" s="59"/>
      <c r="B537" s="97"/>
      <c r="C537" s="97"/>
      <c r="D537" s="97"/>
      <c r="E537" s="97"/>
      <c r="F537" s="97"/>
      <c r="G537" s="97"/>
      <c r="H537" s="99"/>
      <c r="I537" s="123"/>
      <c r="J537" s="123"/>
      <c r="K537" s="97"/>
      <c r="L537" s="97"/>
      <c r="M537" s="66"/>
      <c r="N537" s="97"/>
      <c r="O537" s="97"/>
      <c r="P537" s="97"/>
      <c r="Q537" s="97"/>
      <c r="R537" s="97"/>
      <c r="S537" s="97"/>
      <c r="T537" s="97"/>
      <c r="U537" s="97"/>
      <c r="V537" s="97"/>
      <c r="W537" s="97"/>
      <c r="X537" s="97"/>
      <c r="Y537" s="97"/>
      <c r="Z537" s="97"/>
      <c r="AA537" s="97"/>
      <c r="AB537" s="97"/>
      <c r="AC537" s="97"/>
      <c r="AD537" s="97"/>
      <c r="AE537" s="97"/>
    </row>
    <row r="538" ht="14.25" customHeight="1">
      <c r="A538" s="59"/>
      <c r="B538" s="97"/>
      <c r="C538" s="97"/>
      <c r="D538" s="97"/>
      <c r="E538" s="97"/>
      <c r="F538" s="97"/>
      <c r="G538" s="97"/>
      <c r="H538" s="99"/>
      <c r="I538" s="123"/>
      <c r="J538" s="123"/>
      <c r="K538" s="97"/>
      <c r="L538" s="97"/>
      <c r="M538" s="66"/>
      <c r="N538" s="97"/>
      <c r="O538" s="97"/>
      <c r="P538" s="97"/>
      <c r="Q538" s="97"/>
      <c r="R538" s="97"/>
      <c r="S538" s="97"/>
      <c r="T538" s="97"/>
      <c r="U538" s="97"/>
      <c r="V538" s="97"/>
      <c r="W538" s="97"/>
      <c r="X538" s="97"/>
      <c r="Y538" s="97"/>
      <c r="Z538" s="97"/>
      <c r="AA538" s="97"/>
      <c r="AB538" s="97"/>
      <c r="AC538" s="97"/>
      <c r="AD538" s="97"/>
      <c r="AE538" s="97"/>
    </row>
    <row r="539" ht="14.25" customHeight="1">
      <c r="A539" s="59"/>
      <c r="B539" s="97"/>
      <c r="C539" s="97"/>
      <c r="D539" s="97"/>
      <c r="E539" s="97"/>
      <c r="F539" s="97"/>
      <c r="G539" s="97"/>
      <c r="H539" s="99"/>
      <c r="I539" s="123"/>
      <c r="J539" s="123"/>
      <c r="K539" s="97"/>
      <c r="L539" s="97"/>
      <c r="M539" s="66"/>
      <c r="N539" s="97"/>
      <c r="O539" s="97"/>
      <c r="P539" s="97"/>
      <c r="Q539" s="97"/>
      <c r="R539" s="97"/>
      <c r="S539" s="97"/>
      <c r="T539" s="97"/>
      <c r="U539" s="97"/>
      <c r="V539" s="97"/>
      <c r="W539" s="97"/>
      <c r="X539" s="97"/>
      <c r="Y539" s="97"/>
      <c r="Z539" s="97"/>
      <c r="AA539" s="97"/>
      <c r="AB539" s="97"/>
      <c r="AC539" s="97"/>
      <c r="AD539" s="97"/>
      <c r="AE539" s="97"/>
    </row>
    <row r="540" ht="14.25" customHeight="1">
      <c r="A540" s="59"/>
      <c r="B540" s="97"/>
      <c r="C540" s="97"/>
      <c r="D540" s="97"/>
      <c r="E540" s="97"/>
      <c r="F540" s="97"/>
      <c r="G540" s="97"/>
      <c r="H540" s="99"/>
      <c r="I540" s="123"/>
      <c r="J540" s="123"/>
      <c r="K540" s="97"/>
      <c r="L540" s="97"/>
      <c r="M540" s="66"/>
      <c r="N540" s="97"/>
      <c r="O540" s="97"/>
      <c r="P540" s="97"/>
      <c r="Q540" s="97"/>
      <c r="R540" s="97"/>
      <c r="S540" s="97"/>
      <c r="T540" s="97"/>
      <c r="U540" s="97"/>
      <c r="V540" s="97"/>
      <c r="W540" s="97"/>
      <c r="X540" s="97"/>
      <c r="Y540" s="97"/>
      <c r="Z540" s="97"/>
      <c r="AA540" s="97"/>
      <c r="AB540" s="97"/>
      <c r="AC540" s="97"/>
      <c r="AD540" s="97"/>
      <c r="AE540" s="97"/>
    </row>
    <row r="541" ht="14.25" customHeight="1">
      <c r="A541" s="59"/>
      <c r="B541" s="97"/>
      <c r="C541" s="97"/>
      <c r="D541" s="97"/>
      <c r="E541" s="97"/>
      <c r="F541" s="97"/>
      <c r="G541" s="97"/>
      <c r="H541" s="99"/>
      <c r="I541" s="123"/>
      <c r="J541" s="123"/>
      <c r="K541" s="97"/>
      <c r="L541" s="97"/>
      <c r="M541" s="66"/>
      <c r="N541" s="97"/>
      <c r="O541" s="97"/>
      <c r="P541" s="97"/>
      <c r="Q541" s="97"/>
      <c r="R541" s="97"/>
      <c r="S541" s="97"/>
      <c r="T541" s="97"/>
      <c r="U541" s="97"/>
      <c r="V541" s="97"/>
      <c r="W541" s="97"/>
      <c r="X541" s="97"/>
      <c r="Y541" s="97"/>
      <c r="Z541" s="97"/>
      <c r="AA541" s="97"/>
      <c r="AB541" s="97"/>
      <c r="AC541" s="97"/>
      <c r="AD541" s="97"/>
      <c r="AE541" s="97"/>
    </row>
    <row r="542" ht="14.25" customHeight="1">
      <c r="A542" s="59"/>
      <c r="B542" s="97"/>
      <c r="C542" s="97"/>
      <c r="D542" s="97"/>
      <c r="E542" s="97"/>
      <c r="F542" s="97"/>
      <c r="G542" s="97"/>
      <c r="H542" s="99"/>
      <c r="I542" s="123"/>
      <c r="J542" s="123"/>
      <c r="K542" s="97"/>
      <c r="L542" s="97"/>
      <c r="M542" s="66"/>
      <c r="N542" s="97"/>
      <c r="O542" s="97"/>
      <c r="P542" s="97"/>
      <c r="Q542" s="97"/>
      <c r="R542" s="97"/>
      <c r="S542" s="97"/>
      <c r="T542" s="97"/>
      <c r="U542" s="97"/>
      <c r="V542" s="97"/>
      <c r="W542" s="97"/>
      <c r="X542" s="97"/>
      <c r="Y542" s="97"/>
      <c r="Z542" s="97"/>
      <c r="AA542" s="97"/>
      <c r="AB542" s="97"/>
      <c r="AC542" s="97"/>
      <c r="AD542" s="97"/>
      <c r="AE542" s="97"/>
    </row>
    <row r="543" ht="14.25" customHeight="1">
      <c r="A543" s="59"/>
      <c r="B543" s="97"/>
      <c r="C543" s="97"/>
      <c r="D543" s="97"/>
      <c r="E543" s="97"/>
      <c r="F543" s="97"/>
      <c r="G543" s="97"/>
      <c r="H543" s="99"/>
      <c r="I543" s="123"/>
      <c r="J543" s="123"/>
      <c r="K543" s="97"/>
      <c r="L543" s="97"/>
      <c r="M543" s="66"/>
      <c r="N543" s="97"/>
      <c r="O543" s="97"/>
      <c r="P543" s="97"/>
      <c r="Q543" s="97"/>
      <c r="R543" s="97"/>
      <c r="S543" s="97"/>
      <c r="T543" s="97"/>
      <c r="U543" s="97"/>
      <c r="V543" s="97"/>
      <c r="W543" s="97"/>
      <c r="X543" s="97"/>
      <c r="Y543" s="97"/>
      <c r="Z543" s="97"/>
      <c r="AA543" s="97"/>
      <c r="AB543" s="97"/>
      <c r="AC543" s="97"/>
      <c r="AD543" s="97"/>
      <c r="AE543" s="97"/>
    </row>
    <row r="544" ht="14.25" customHeight="1">
      <c r="A544" s="59"/>
      <c r="B544" s="97"/>
      <c r="C544" s="97"/>
      <c r="D544" s="97"/>
      <c r="E544" s="97"/>
      <c r="F544" s="97"/>
      <c r="G544" s="97"/>
      <c r="H544" s="99"/>
      <c r="I544" s="123"/>
      <c r="J544" s="123"/>
      <c r="K544" s="97"/>
      <c r="L544" s="97"/>
      <c r="M544" s="66"/>
      <c r="N544" s="97"/>
      <c r="O544" s="97"/>
      <c r="P544" s="97"/>
      <c r="Q544" s="97"/>
      <c r="R544" s="97"/>
      <c r="S544" s="97"/>
      <c r="T544" s="97"/>
      <c r="U544" s="97"/>
      <c r="V544" s="97"/>
      <c r="W544" s="97"/>
      <c r="X544" s="97"/>
      <c r="Y544" s="97"/>
      <c r="Z544" s="97"/>
      <c r="AA544" s="97"/>
      <c r="AB544" s="97"/>
      <c r="AC544" s="97"/>
      <c r="AD544" s="97"/>
      <c r="AE544" s="97"/>
    </row>
    <row r="545" ht="14.25" customHeight="1">
      <c r="A545" s="59"/>
      <c r="B545" s="97"/>
      <c r="C545" s="97"/>
      <c r="D545" s="97"/>
      <c r="E545" s="97"/>
      <c r="F545" s="97"/>
      <c r="G545" s="97"/>
      <c r="H545" s="99"/>
      <c r="I545" s="123"/>
      <c r="J545" s="123"/>
      <c r="K545" s="97"/>
      <c r="L545" s="97"/>
      <c r="M545" s="66"/>
      <c r="N545" s="97"/>
      <c r="O545" s="97"/>
      <c r="P545" s="97"/>
      <c r="Q545" s="97"/>
      <c r="R545" s="97"/>
      <c r="S545" s="97"/>
      <c r="T545" s="97"/>
      <c r="U545" s="97"/>
      <c r="V545" s="97"/>
      <c r="W545" s="97"/>
      <c r="X545" s="97"/>
      <c r="Y545" s="97"/>
      <c r="Z545" s="97"/>
      <c r="AA545" s="97"/>
      <c r="AB545" s="97"/>
      <c r="AC545" s="97"/>
      <c r="AD545" s="97"/>
      <c r="AE545" s="97"/>
    </row>
    <row r="546" ht="14.25" customHeight="1">
      <c r="A546" s="59"/>
      <c r="B546" s="97"/>
      <c r="C546" s="97"/>
      <c r="D546" s="97"/>
      <c r="E546" s="97"/>
      <c r="F546" s="97"/>
      <c r="G546" s="97"/>
      <c r="H546" s="99"/>
      <c r="I546" s="123"/>
      <c r="J546" s="123"/>
      <c r="K546" s="97"/>
      <c r="L546" s="97"/>
      <c r="M546" s="66"/>
      <c r="N546" s="97"/>
      <c r="O546" s="97"/>
      <c r="P546" s="97"/>
      <c r="Q546" s="97"/>
      <c r="R546" s="97"/>
      <c r="S546" s="97"/>
      <c r="T546" s="97"/>
      <c r="U546" s="97"/>
      <c r="V546" s="97"/>
      <c r="W546" s="97"/>
      <c r="X546" s="97"/>
      <c r="Y546" s="97"/>
      <c r="Z546" s="97"/>
      <c r="AA546" s="97"/>
      <c r="AB546" s="97"/>
      <c r="AC546" s="97"/>
      <c r="AD546" s="97"/>
      <c r="AE546" s="97"/>
    </row>
    <row r="547" ht="14.25" customHeight="1">
      <c r="A547" s="59"/>
      <c r="B547" s="97"/>
      <c r="C547" s="97"/>
      <c r="D547" s="97"/>
      <c r="E547" s="97"/>
      <c r="F547" s="97"/>
      <c r="G547" s="97"/>
      <c r="H547" s="99"/>
      <c r="I547" s="123"/>
      <c r="J547" s="123"/>
      <c r="K547" s="97"/>
      <c r="L547" s="97"/>
      <c r="M547" s="66"/>
      <c r="N547" s="97"/>
      <c r="O547" s="97"/>
      <c r="P547" s="97"/>
      <c r="Q547" s="97"/>
      <c r="R547" s="97"/>
      <c r="S547" s="97"/>
      <c r="T547" s="97"/>
      <c r="U547" s="97"/>
      <c r="V547" s="97"/>
      <c r="W547" s="97"/>
      <c r="X547" s="97"/>
      <c r="Y547" s="97"/>
      <c r="Z547" s="97"/>
      <c r="AA547" s="97"/>
      <c r="AB547" s="97"/>
      <c r="AC547" s="97"/>
      <c r="AD547" s="97"/>
      <c r="AE547" s="97"/>
    </row>
    <row r="548" ht="14.25" customHeight="1">
      <c r="A548" s="59"/>
      <c r="B548" s="97"/>
      <c r="C548" s="97"/>
      <c r="D548" s="97"/>
      <c r="E548" s="97"/>
      <c r="F548" s="97"/>
      <c r="G548" s="97"/>
      <c r="H548" s="99"/>
      <c r="I548" s="123"/>
      <c r="J548" s="123"/>
      <c r="K548" s="97"/>
      <c r="L548" s="97"/>
      <c r="M548" s="66"/>
      <c r="N548" s="97"/>
      <c r="O548" s="97"/>
      <c r="P548" s="97"/>
      <c r="Q548" s="97"/>
      <c r="R548" s="97"/>
      <c r="S548" s="97"/>
      <c r="T548" s="97"/>
      <c r="U548" s="97"/>
      <c r="V548" s="97"/>
      <c r="W548" s="97"/>
      <c r="X548" s="97"/>
      <c r="Y548" s="97"/>
      <c r="Z548" s="97"/>
      <c r="AA548" s="97"/>
      <c r="AB548" s="97"/>
      <c r="AC548" s="97"/>
      <c r="AD548" s="97"/>
      <c r="AE548" s="97"/>
    </row>
    <row r="549" ht="14.25" customHeight="1">
      <c r="A549" s="59"/>
      <c r="B549" s="97"/>
      <c r="C549" s="97"/>
      <c r="D549" s="97"/>
      <c r="E549" s="97"/>
      <c r="F549" s="97"/>
      <c r="G549" s="97"/>
      <c r="H549" s="99"/>
      <c r="I549" s="123"/>
      <c r="J549" s="123"/>
      <c r="K549" s="97"/>
      <c r="L549" s="97"/>
      <c r="M549" s="66"/>
      <c r="N549" s="97"/>
      <c r="O549" s="97"/>
      <c r="P549" s="97"/>
      <c r="Q549" s="97"/>
      <c r="R549" s="97"/>
      <c r="S549" s="97"/>
      <c r="T549" s="97"/>
      <c r="U549" s="97"/>
      <c r="V549" s="97"/>
      <c r="W549" s="97"/>
      <c r="X549" s="97"/>
      <c r="Y549" s="97"/>
      <c r="Z549" s="97"/>
      <c r="AA549" s="97"/>
      <c r="AB549" s="97"/>
      <c r="AC549" s="97"/>
      <c r="AD549" s="97"/>
      <c r="AE549" s="97"/>
    </row>
    <row r="550" ht="14.25" customHeight="1">
      <c r="A550" s="59"/>
      <c r="B550" s="97"/>
      <c r="C550" s="97"/>
      <c r="D550" s="97"/>
      <c r="E550" s="97"/>
      <c r="F550" s="97"/>
      <c r="G550" s="97"/>
      <c r="H550" s="99"/>
      <c r="I550" s="123"/>
      <c r="J550" s="123"/>
      <c r="K550" s="97"/>
      <c r="L550" s="97"/>
      <c r="M550" s="66"/>
      <c r="N550" s="97"/>
      <c r="O550" s="97"/>
      <c r="P550" s="97"/>
      <c r="Q550" s="97"/>
      <c r="R550" s="97"/>
      <c r="S550" s="97"/>
      <c r="T550" s="97"/>
      <c r="U550" s="97"/>
      <c r="V550" s="97"/>
      <c r="W550" s="97"/>
      <c r="X550" s="97"/>
      <c r="Y550" s="97"/>
      <c r="Z550" s="97"/>
      <c r="AA550" s="97"/>
      <c r="AB550" s="97"/>
      <c r="AC550" s="97"/>
      <c r="AD550" s="97"/>
      <c r="AE550" s="97"/>
    </row>
    <row r="551" ht="14.25" customHeight="1">
      <c r="A551" s="59"/>
      <c r="B551" s="97"/>
      <c r="C551" s="97"/>
      <c r="D551" s="97"/>
      <c r="E551" s="97"/>
      <c r="F551" s="97"/>
      <c r="G551" s="97"/>
      <c r="H551" s="99"/>
      <c r="I551" s="123"/>
      <c r="J551" s="123"/>
      <c r="K551" s="97"/>
      <c r="L551" s="97"/>
      <c r="M551" s="66"/>
      <c r="N551" s="97"/>
      <c r="O551" s="97"/>
      <c r="P551" s="97"/>
      <c r="Q551" s="97"/>
      <c r="R551" s="97"/>
      <c r="S551" s="97"/>
      <c r="T551" s="97"/>
      <c r="U551" s="97"/>
      <c r="V551" s="97"/>
      <c r="W551" s="97"/>
      <c r="X551" s="97"/>
      <c r="Y551" s="97"/>
      <c r="Z551" s="97"/>
      <c r="AA551" s="97"/>
      <c r="AB551" s="97"/>
      <c r="AC551" s="97"/>
      <c r="AD551" s="97"/>
      <c r="AE551" s="97"/>
    </row>
    <row r="552" ht="14.25" customHeight="1">
      <c r="A552" s="59"/>
      <c r="B552" s="97"/>
      <c r="C552" s="97"/>
      <c r="D552" s="97"/>
      <c r="E552" s="97"/>
      <c r="F552" s="97"/>
      <c r="G552" s="97"/>
      <c r="H552" s="99"/>
      <c r="I552" s="123"/>
      <c r="J552" s="123"/>
      <c r="K552" s="97"/>
      <c r="L552" s="97"/>
      <c r="M552" s="66"/>
      <c r="N552" s="97"/>
      <c r="O552" s="97"/>
      <c r="P552" s="97"/>
      <c r="Q552" s="97"/>
      <c r="R552" s="97"/>
      <c r="S552" s="97"/>
      <c r="T552" s="97"/>
      <c r="U552" s="97"/>
      <c r="V552" s="97"/>
      <c r="W552" s="97"/>
      <c r="X552" s="97"/>
      <c r="Y552" s="97"/>
      <c r="Z552" s="97"/>
      <c r="AA552" s="97"/>
      <c r="AB552" s="97"/>
      <c r="AC552" s="97"/>
      <c r="AD552" s="97"/>
      <c r="AE552" s="97"/>
    </row>
    <row r="553" ht="14.25" customHeight="1">
      <c r="A553" s="59"/>
      <c r="B553" s="97"/>
      <c r="C553" s="97"/>
      <c r="D553" s="97"/>
      <c r="E553" s="97"/>
      <c r="F553" s="97"/>
      <c r="G553" s="97"/>
      <c r="H553" s="99"/>
      <c r="I553" s="123"/>
      <c r="J553" s="123"/>
      <c r="K553" s="97"/>
      <c r="L553" s="97"/>
      <c r="M553" s="66"/>
      <c r="N553" s="97"/>
      <c r="O553" s="97"/>
      <c r="P553" s="97"/>
      <c r="Q553" s="97"/>
      <c r="R553" s="97"/>
      <c r="S553" s="97"/>
      <c r="T553" s="97"/>
      <c r="U553" s="97"/>
      <c r="V553" s="97"/>
      <c r="W553" s="97"/>
      <c r="X553" s="97"/>
      <c r="Y553" s="97"/>
      <c r="Z553" s="97"/>
      <c r="AA553" s="97"/>
      <c r="AB553" s="97"/>
      <c r="AC553" s="97"/>
      <c r="AD553" s="97"/>
      <c r="AE553" s="97"/>
    </row>
    <row r="554" ht="14.25" customHeight="1">
      <c r="A554" s="59"/>
      <c r="B554" s="97"/>
      <c r="C554" s="97"/>
      <c r="D554" s="97"/>
      <c r="E554" s="97"/>
      <c r="F554" s="97"/>
      <c r="G554" s="97"/>
      <c r="H554" s="99"/>
      <c r="I554" s="123"/>
      <c r="J554" s="123"/>
      <c r="K554" s="97"/>
      <c r="L554" s="97"/>
      <c r="M554" s="66"/>
      <c r="N554" s="97"/>
      <c r="O554" s="97"/>
      <c r="P554" s="97"/>
      <c r="Q554" s="97"/>
      <c r="R554" s="97"/>
      <c r="S554" s="97"/>
      <c r="T554" s="97"/>
      <c r="U554" s="97"/>
      <c r="V554" s="97"/>
      <c r="W554" s="97"/>
      <c r="X554" s="97"/>
      <c r="Y554" s="97"/>
      <c r="Z554" s="97"/>
      <c r="AA554" s="97"/>
      <c r="AB554" s="97"/>
      <c r="AC554" s="97"/>
      <c r="AD554" s="97"/>
      <c r="AE554" s="97"/>
    </row>
    <row r="555" ht="14.25" customHeight="1">
      <c r="A555" s="59"/>
      <c r="B555" s="97"/>
      <c r="C555" s="97"/>
      <c r="D555" s="97"/>
      <c r="E555" s="97"/>
      <c r="F555" s="97"/>
      <c r="G555" s="97"/>
      <c r="H555" s="99"/>
      <c r="I555" s="123"/>
      <c r="J555" s="123"/>
      <c r="K555" s="97"/>
      <c r="L555" s="97"/>
      <c r="M555" s="66"/>
      <c r="N555" s="97"/>
      <c r="O555" s="97"/>
      <c r="P555" s="97"/>
      <c r="Q555" s="97"/>
      <c r="R555" s="97"/>
      <c r="S555" s="97"/>
      <c r="T555" s="97"/>
      <c r="U555" s="97"/>
      <c r="V555" s="97"/>
      <c r="W555" s="97"/>
      <c r="X555" s="97"/>
      <c r="Y555" s="97"/>
      <c r="Z555" s="97"/>
      <c r="AA555" s="97"/>
      <c r="AB555" s="97"/>
      <c r="AC555" s="97"/>
      <c r="AD555" s="97"/>
      <c r="AE555" s="97"/>
    </row>
    <row r="556" ht="14.25" customHeight="1">
      <c r="A556" s="59"/>
      <c r="B556" s="97"/>
      <c r="C556" s="97"/>
      <c r="D556" s="97"/>
      <c r="E556" s="97"/>
      <c r="F556" s="97"/>
      <c r="G556" s="97"/>
      <c r="H556" s="99"/>
      <c r="I556" s="123"/>
      <c r="J556" s="123"/>
      <c r="K556" s="97"/>
      <c r="L556" s="97"/>
      <c r="M556" s="66"/>
      <c r="N556" s="97"/>
      <c r="O556" s="97"/>
      <c r="P556" s="97"/>
      <c r="Q556" s="97"/>
      <c r="R556" s="97"/>
      <c r="S556" s="97"/>
      <c r="T556" s="97"/>
      <c r="U556" s="97"/>
      <c r="V556" s="97"/>
      <c r="W556" s="97"/>
      <c r="X556" s="97"/>
      <c r="Y556" s="97"/>
      <c r="Z556" s="97"/>
      <c r="AA556" s="97"/>
      <c r="AB556" s="97"/>
      <c r="AC556" s="97"/>
      <c r="AD556" s="97"/>
      <c r="AE556" s="97"/>
    </row>
    <row r="557" ht="14.25" customHeight="1">
      <c r="A557" s="59"/>
      <c r="B557" s="97"/>
      <c r="C557" s="97"/>
      <c r="D557" s="97"/>
      <c r="E557" s="97"/>
      <c r="F557" s="97"/>
      <c r="G557" s="97"/>
      <c r="H557" s="99"/>
      <c r="I557" s="123"/>
      <c r="J557" s="123"/>
      <c r="K557" s="97"/>
      <c r="L557" s="97"/>
      <c r="M557" s="66"/>
      <c r="N557" s="97"/>
      <c r="O557" s="97"/>
      <c r="P557" s="97"/>
      <c r="Q557" s="97"/>
      <c r="R557" s="97"/>
      <c r="S557" s="97"/>
      <c r="T557" s="97"/>
      <c r="U557" s="97"/>
      <c r="V557" s="97"/>
      <c r="W557" s="97"/>
      <c r="X557" s="97"/>
      <c r="Y557" s="97"/>
      <c r="Z557" s="97"/>
      <c r="AA557" s="97"/>
      <c r="AB557" s="97"/>
      <c r="AC557" s="97"/>
      <c r="AD557" s="97"/>
      <c r="AE557" s="97"/>
    </row>
    <row r="558" ht="14.25" customHeight="1">
      <c r="A558" s="59"/>
      <c r="B558" s="97"/>
      <c r="C558" s="97"/>
      <c r="D558" s="97"/>
      <c r="E558" s="97"/>
      <c r="F558" s="97"/>
      <c r="G558" s="97"/>
      <c r="H558" s="99"/>
      <c r="I558" s="123"/>
      <c r="J558" s="123"/>
      <c r="K558" s="97"/>
      <c r="L558" s="97"/>
      <c r="M558" s="66"/>
      <c r="N558" s="97"/>
      <c r="O558" s="97"/>
      <c r="P558" s="97"/>
      <c r="Q558" s="97"/>
      <c r="R558" s="97"/>
      <c r="S558" s="97"/>
      <c r="T558" s="97"/>
      <c r="U558" s="97"/>
      <c r="V558" s="97"/>
      <c r="W558" s="97"/>
      <c r="X558" s="97"/>
      <c r="Y558" s="97"/>
      <c r="Z558" s="97"/>
      <c r="AA558" s="97"/>
      <c r="AB558" s="97"/>
      <c r="AC558" s="97"/>
      <c r="AD558" s="97"/>
      <c r="AE558" s="97"/>
    </row>
    <row r="559" ht="14.25" customHeight="1">
      <c r="A559" s="59"/>
      <c r="B559" s="97"/>
      <c r="C559" s="97"/>
      <c r="D559" s="97"/>
      <c r="E559" s="97"/>
      <c r="F559" s="97"/>
      <c r="G559" s="97"/>
      <c r="H559" s="99"/>
      <c r="I559" s="123"/>
      <c r="J559" s="123"/>
      <c r="K559" s="97"/>
      <c r="L559" s="97"/>
      <c r="M559" s="66"/>
      <c r="N559" s="97"/>
      <c r="O559" s="97"/>
      <c r="P559" s="97"/>
      <c r="Q559" s="97"/>
      <c r="R559" s="97"/>
      <c r="S559" s="97"/>
      <c r="T559" s="97"/>
      <c r="U559" s="97"/>
      <c r="V559" s="97"/>
      <c r="W559" s="97"/>
      <c r="X559" s="97"/>
      <c r="Y559" s="97"/>
      <c r="Z559" s="97"/>
      <c r="AA559" s="97"/>
      <c r="AB559" s="97"/>
      <c r="AC559" s="97"/>
      <c r="AD559" s="97"/>
      <c r="AE559" s="97"/>
    </row>
    <row r="560" ht="14.25" customHeight="1">
      <c r="A560" s="59"/>
      <c r="B560" s="97"/>
      <c r="C560" s="97"/>
      <c r="D560" s="97"/>
      <c r="E560" s="97"/>
      <c r="F560" s="97"/>
      <c r="G560" s="97"/>
      <c r="H560" s="99"/>
      <c r="I560" s="123"/>
      <c r="J560" s="123"/>
      <c r="K560" s="97"/>
      <c r="L560" s="97"/>
      <c r="M560" s="66"/>
      <c r="N560" s="97"/>
      <c r="O560" s="97"/>
      <c r="P560" s="97"/>
      <c r="Q560" s="97"/>
      <c r="R560" s="97"/>
      <c r="S560" s="97"/>
      <c r="T560" s="97"/>
      <c r="U560" s="97"/>
      <c r="V560" s="97"/>
      <c r="W560" s="97"/>
      <c r="X560" s="97"/>
      <c r="Y560" s="97"/>
      <c r="Z560" s="97"/>
      <c r="AA560" s="97"/>
      <c r="AB560" s="97"/>
      <c r="AC560" s="97"/>
      <c r="AD560" s="97"/>
      <c r="AE560" s="97"/>
    </row>
    <row r="561" ht="14.25" customHeight="1">
      <c r="A561" s="59"/>
      <c r="B561" s="97"/>
      <c r="C561" s="97"/>
      <c r="D561" s="97"/>
      <c r="E561" s="97"/>
      <c r="F561" s="97"/>
      <c r="G561" s="97"/>
      <c r="H561" s="99"/>
      <c r="I561" s="123"/>
      <c r="J561" s="123"/>
      <c r="K561" s="97"/>
      <c r="L561" s="97"/>
      <c r="M561" s="66"/>
      <c r="N561" s="97"/>
      <c r="O561" s="97"/>
      <c r="P561" s="97"/>
      <c r="Q561" s="97"/>
      <c r="R561" s="97"/>
      <c r="S561" s="97"/>
      <c r="T561" s="97"/>
      <c r="U561" s="97"/>
      <c r="V561" s="97"/>
      <c r="W561" s="97"/>
      <c r="X561" s="97"/>
      <c r="Y561" s="97"/>
      <c r="Z561" s="97"/>
      <c r="AA561" s="97"/>
      <c r="AB561" s="97"/>
      <c r="AC561" s="97"/>
      <c r="AD561" s="97"/>
      <c r="AE561" s="97"/>
    </row>
    <row r="562" ht="14.25" customHeight="1">
      <c r="A562" s="59"/>
      <c r="B562" s="97"/>
      <c r="C562" s="97"/>
      <c r="D562" s="97"/>
      <c r="E562" s="97"/>
      <c r="F562" s="97"/>
      <c r="G562" s="97"/>
      <c r="H562" s="99"/>
      <c r="I562" s="123"/>
      <c r="J562" s="123"/>
      <c r="K562" s="97"/>
      <c r="L562" s="97"/>
      <c r="M562" s="66"/>
      <c r="N562" s="97"/>
      <c r="O562" s="97"/>
      <c r="P562" s="97"/>
      <c r="Q562" s="97"/>
      <c r="R562" s="97"/>
      <c r="S562" s="97"/>
      <c r="T562" s="97"/>
      <c r="U562" s="97"/>
      <c r="V562" s="97"/>
      <c r="W562" s="97"/>
      <c r="X562" s="97"/>
      <c r="Y562" s="97"/>
      <c r="Z562" s="97"/>
      <c r="AA562" s="97"/>
      <c r="AB562" s="97"/>
      <c r="AC562" s="97"/>
      <c r="AD562" s="97"/>
      <c r="AE562" s="97"/>
    </row>
    <row r="563" ht="14.25" customHeight="1">
      <c r="A563" s="59"/>
      <c r="B563" s="97"/>
      <c r="C563" s="97"/>
      <c r="D563" s="97"/>
      <c r="E563" s="97"/>
      <c r="F563" s="97"/>
      <c r="G563" s="97"/>
      <c r="H563" s="99"/>
      <c r="I563" s="123"/>
      <c r="J563" s="123"/>
      <c r="K563" s="97"/>
      <c r="L563" s="97"/>
      <c r="M563" s="66"/>
      <c r="N563" s="97"/>
      <c r="O563" s="97"/>
      <c r="P563" s="97"/>
      <c r="Q563" s="97"/>
      <c r="R563" s="97"/>
      <c r="S563" s="97"/>
      <c r="T563" s="97"/>
      <c r="U563" s="97"/>
      <c r="V563" s="97"/>
      <c r="W563" s="97"/>
      <c r="X563" s="97"/>
      <c r="Y563" s="97"/>
      <c r="Z563" s="97"/>
      <c r="AA563" s="97"/>
      <c r="AB563" s="97"/>
      <c r="AC563" s="97"/>
      <c r="AD563" s="97"/>
      <c r="AE563" s="97"/>
    </row>
    <row r="564" ht="14.25" customHeight="1">
      <c r="A564" s="59"/>
      <c r="B564" s="97"/>
      <c r="C564" s="97"/>
      <c r="D564" s="97"/>
      <c r="E564" s="97"/>
      <c r="F564" s="97"/>
      <c r="G564" s="97"/>
      <c r="H564" s="99"/>
      <c r="I564" s="123"/>
      <c r="J564" s="123"/>
      <c r="K564" s="97"/>
      <c r="L564" s="97"/>
      <c r="M564" s="66"/>
      <c r="N564" s="97"/>
      <c r="O564" s="97"/>
      <c r="P564" s="97"/>
      <c r="Q564" s="97"/>
      <c r="R564" s="97"/>
      <c r="S564" s="97"/>
      <c r="T564" s="97"/>
      <c r="U564" s="97"/>
      <c r="V564" s="97"/>
      <c r="W564" s="97"/>
      <c r="X564" s="97"/>
      <c r="Y564" s="97"/>
      <c r="Z564" s="97"/>
      <c r="AA564" s="97"/>
      <c r="AB564" s="97"/>
      <c r="AC564" s="97"/>
      <c r="AD564" s="97"/>
      <c r="AE564" s="97"/>
    </row>
    <row r="565" ht="14.25" customHeight="1">
      <c r="A565" s="59"/>
      <c r="B565" s="97"/>
      <c r="C565" s="97"/>
      <c r="D565" s="97"/>
      <c r="E565" s="97"/>
      <c r="F565" s="97"/>
      <c r="G565" s="97"/>
      <c r="H565" s="99"/>
      <c r="I565" s="123"/>
      <c r="J565" s="123"/>
      <c r="K565" s="97"/>
      <c r="L565" s="97"/>
      <c r="M565" s="66"/>
      <c r="N565" s="97"/>
      <c r="O565" s="97"/>
      <c r="P565" s="97"/>
      <c r="Q565" s="97"/>
      <c r="R565" s="97"/>
      <c r="S565" s="97"/>
      <c r="T565" s="97"/>
      <c r="U565" s="97"/>
      <c r="V565" s="97"/>
      <c r="W565" s="97"/>
      <c r="X565" s="97"/>
      <c r="Y565" s="97"/>
      <c r="Z565" s="97"/>
      <c r="AA565" s="97"/>
      <c r="AB565" s="97"/>
      <c r="AC565" s="97"/>
      <c r="AD565" s="97"/>
      <c r="AE565" s="97"/>
    </row>
    <row r="566" ht="14.25" customHeight="1">
      <c r="A566" s="59"/>
      <c r="B566" s="97"/>
      <c r="C566" s="97"/>
      <c r="D566" s="97"/>
      <c r="E566" s="97"/>
      <c r="F566" s="97"/>
      <c r="G566" s="97"/>
      <c r="H566" s="99"/>
      <c r="I566" s="123"/>
      <c r="J566" s="123"/>
      <c r="K566" s="97"/>
      <c r="L566" s="97"/>
      <c r="M566" s="66"/>
      <c r="N566" s="97"/>
      <c r="O566" s="97"/>
      <c r="P566" s="97"/>
      <c r="Q566" s="97"/>
      <c r="R566" s="97"/>
      <c r="S566" s="97"/>
      <c r="T566" s="97"/>
      <c r="U566" s="97"/>
      <c r="V566" s="97"/>
      <c r="W566" s="97"/>
      <c r="X566" s="97"/>
      <c r="Y566" s="97"/>
      <c r="Z566" s="97"/>
      <c r="AA566" s="97"/>
      <c r="AB566" s="97"/>
      <c r="AC566" s="97"/>
      <c r="AD566" s="97"/>
      <c r="AE566" s="97"/>
    </row>
    <row r="567" ht="14.25" customHeight="1">
      <c r="A567" s="59"/>
      <c r="B567" s="97"/>
      <c r="C567" s="97"/>
      <c r="D567" s="97"/>
      <c r="E567" s="97"/>
      <c r="F567" s="97"/>
      <c r="G567" s="97"/>
      <c r="H567" s="99"/>
      <c r="I567" s="123"/>
      <c r="J567" s="123"/>
      <c r="K567" s="97"/>
      <c r="L567" s="97"/>
      <c r="M567" s="66"/>
      <c r="N567" s="97"/>
      <c r="O567" s="97"/>
      <c r="P567" s="97"/>
      <c r="Q567" s="97"/>
      <c r="R567" s="97"/>
      <c r="S567" s="97"/>
      <c r="T567" s="97"/>
      <c r="U567" s="97"/>
      <c r="V567" s="97"/>
      <c r="W567" s="97"/>
      <c r="X567" s="97"/>
      <c r="Y567" s="97"/>
      <c r="Z567" s="97"/>
      <c r="AA567" s="97"/>
      <c r="AB567" s="97"/>
      <c r="AC567" s="97"/>
      <c r="AD567" s="97"/>
      <c r="AE567" s="97"/>
    </row>
    <row r="568" ht="14.25" customHeight="1">
      <c r="A568" s="59"/>
      <c r="B568" s="97"/>
      <c r="C568" s="97"/>
      <c r="D568" s="97"/>
      <c r="E568" s="97"/>
      <c r="F568" s="97"/>
      <c r="G568" s="97"/>
      <c r="H568" s="99"/>
      <c r="I568" s="123"/>
      <c r="J568" s="123"/>
      <c r="K568" s="97"/>
      <c r="L568" s="97"/>
      <c r="M568" s="66"/>
      <c r="N568" s="97"/>
      <c r="O568" s="97"/>
      <c r="P568" s="97"/>
      <c r="Q568" s="97"/>
      <c r="R568" s="97"/>
      <c r="S568" s="97"/>
      <c r="T568" s="97"/>
      <c r="U568" s="97"/>
      <c r="V568" s="97"/>
      <c r="W568" s="97"/>
      <c r="X568" s="97"/>
      <c r="Y568" s="97"/>
      <c r="Z568" s="97"/>
      <c r="AA568" s="97"/>
      <c r="AB568" s="97"/>
      <c r="AC568" s="97"/>
      <c r="AD568" s="97"/>
      <c r="AE568" s="97"/>
    </row>
    <row r="569" ht="14.25" customHeight="1">
      <c r="A569" s="59"/>
      <c r="B569" s="97"/>
      <c r="C569" s="97"/>
      <c r="D569" s="97"/>
      <c r="E569" s="97"/>
      <c r="F569" s="97"/>
      <c r="G569" s="97"/>
      <c r="H569" s="99"/>
      <c r="I569" s="123"/>
      <c r="J569" s="123"/>
      <c r="K569" s="97"/>
      <c r="L569" s="97"/>
      <c r="M569" s="66"/>
      <c r="N569" s="97"/>
      <c r="O569" s="97"/>
      <c r="P569" s="97"/>
      <c r="Q569" s="97"/>
      <c r="R569" s="97"/>
      <c r="S569" s="97"/>
      <c r="T569" s="97"/>
      <c r="U569" s="97"/>
      <c r="V569" s="97"/>
      <c r="W569" s="97"/>
      <c r="X569" s="97"/>
      <c r="Y569" s="97"/>
      <c r="Z569" s="97"/>
      <c r="AA569" s="97"/>
      <c r="AB569" s="97"/>
      <c r="AC569" s="97"/>
      <c r="AD569" s="97"/>
      <c r="AE569" s="97"/>
    </row>
    <row r="570" ht="14.25" customHeight="1">
      <c r="A570" s="59"/>
      <c r="B570" s="97"/>
      <c r="C570" s="97"/>
      <c r="D570" s="97"/>
      <c r="E570" s="97"/>
      <c r="F570" s="97"/>
      <c r="G570" s="97"/>
      <c r="H570" s="99"/>
      <c r="I570" s="123"/>
      <c r="J570" s="123"/>
      <c r="K570" s="97"/>
      <c r="L570" s="97"/>
      <c r="M570" s="66"/>
      <c r="N570" s="97"/>
      <c r="O570" s="97"/>
      <c r="P570" s="97"/>
      <c r="Q570" s="97"/>
      <c r="R570" s="97"/>
      <c r="S570" s="97"/>
      <c r="T570" s="97"/>
      <c r="U570" s="97"/>
      <c r="V570" s="97"/>
      <c r="W570" s="97"/>
      <c r="X570" s="97"/>
      <c r="Y570" s="97"/>
      <c r="Z570" s="97"/>
      <c r="AA570" s="97"/>
      <c r="AB570" s="97"/>
      <c r="AC570" s="97"/>
      <c r="AD570" s="97"/>
      <c r="AE570" s="97"/>
    </row>
    <row r="571" ht="14.25" customHeight="1">
      <c r="A571" s="59"/>
      <c r="B571" s="97"/>
      <c r="C571" s="97"/>
      <c r="D571" s="97"/>
      <c r="E571" s="97"/>
      <c r="F571" s="97"/>
      <c r="G571" s="97"/>
      <c r="H571" s="99"/>
      <c r="I571" s="123"/>
      <c r="J571" s="123"/>
      <c r="K571" s="97"/>
      <c r="L571" s="97"/>
      <c r="M571" s="66"/>
      <c r="N571" s="97"/>
      <c r="O571" s="97"/>
      <c r="P571" s="97"/>
      <c r="Q571" s="97"/>
      <c r="R571" s="97"/>
      <c r="S571" s="97"/>
      <c r="T571" s="97"/>
      <c r="U571" s="97"/>
      <c r="V571" s="97"/>
      <c r="W571" s="97"/>
      <c r="X571" s="97"/>
      <c r="Y571" s="97"/>
      <c r="Z571" s="97"/>
      <c r="AA571" s="97"/>
      <c r="AB571" s="97"/>
      <c r="AC571" s="97"/>
      <c r="AD571" s="97"/>
      <c r="AE571" s="97"/>
    </row>
    <row r="572" ht="14.25" customHeight="1">
      <c r="A572" s="59"/>
      <c r="B572" s="97"/>
      <c r="C572" s="97"/>
      <c r="D572" s="97"/>
      <c r="E572" s="97"/>
      <c r="F572" s="97"/>
      <c r="G572" s="97"/>
      <c r="H572" s="99"/>
      <c r="I572" s="123"/>
      <c r="J572" s="123"/>
      <c r="K572" s="97"/>
      <c r="L572" s="97"/>
      <c r="M572" s="66"/>
      <c r="N572" s="97"/>
      <c r="O572" s="97"/>
      <c r="P572" s="97"/>
      <c r="Q572" s="97"/>
      <c r="R572" s="97"/>
      <c r="S572" s="97"/>
      <c r="T572" s="97"/>
      <c r="U572" s="97"/>
      <c r="V572" s="97"/>
      <c r="W572" s="97"/>
      <c r="X572" s="97"/>
      <c r="Y572" s="97"/>
      <c r="Z572" s="97"/>
      <c r="AA572" s="97"/>
      <c r="AB572" s="97"/>
      <c r="AC572" s="97"/>
      <c r="AD572" s="97"/>
      <c r="AE572" s="97"/>
    </row>
    <row r="573" ht="14.25" customHeight="1">
      <c r="A573" s="59"/>
      <c r="B573" s="97"/>
      <c r="C573" s="97"/>
      <c r="D573" s="97"/>
      <c r="E573" s="97"/>
      <c r="F573" s="97"/>
      <c r="G573" s="97"/>
      <c r="H573" s="99"/>
      <c r="I573" s="123"/>
      <c r="J573" s="123"/>
      <c r="K573" s="97"/>
      <c r="L573" s="97"/>
      <c r="M573" s="66"/>
      <c r="N573" s="97"/>
      <c r="O573" s="97"/>
      <c r="P573" s="97"/>
      <c r="Q573" s="97"/>
      <c r="R573" s="97"/>
      <c r="S573" s="97"/>
      <c r="T573" s="97"/>
      <c r="U573" s="97"/>
      <c r="V573" s="97"/>
      <c r="W573" s="97"/>
      <c r="X573" s="97"/>
      <c r="Y573" s="97"/>
      <c r="Z573" s="97"/>
      <c r="AA573" s="97"/>
      <c r="AB573" s="97"/>
      <c r="AC573" s="97"/>
      <c r="AD573" s="97"/>
      <c r="AE573" s="97"/>
    </row>
    <row r="574" ht="14.25" customHeight="1">
      <c r="A574" s="59"/>
      <c r="B574" s="97"/>
      <c r="C574" s="97"/>
      <c r="D574" s="97"/>
      <c r="E574" s="97"/>
      <c r="F574" s="97"/>
      <c r="G574" s="97"/>
      <c r="H574" s="99"/>
      <c r="I574" s="123"/>
      <c r="J574" s="123"/>
      <c r="K574" s="97"/>
      <c r="L574" s="97"/>
      <c r="M574" s="66"/>
      <c r="N574" s="97"/>
      <c r="O574" s="97"/>
      <c r="P574" s="97"/>
      <c r="Q574" s="97"/>
      <c r="R574" s="97"/>
      <c r="S574" s="97"/>
      <c r="T574" s="97"/>
      <c r="U574" s="97"/>
      <c r="V574" s="97"/>
      <c r="W574" s="97"/>
      <c r="X574" s="97"/>
      <c r="Y574" s="97"/>
      <c r="Z574" s="97"/>
      <c r="AA574" s="97"/>
      <c r="AB574" s="97"/>
      <c r="AC574" s="97"/>
      <c r="AD574" s="97"/>
      <c r="AE574" s="97"/>
    </row>
    <row r="575" ht="14.25" customHeight="1">
      <c r="A575" s="59"/>
      <c r="B575" s="97"/>
      <c r="C575" s="97"/>
      <c r="D575" s="97"/>
      <c r="E575" s="97"/>
      <c r="F575" s="97"/>
      <c r="G575" s="97"/>
      <c r="H575" s="99"/>
      <c r="I575" s="123"/>
      <c r="J575" s="123"/>
      <c r="K575" s="97"/>
      <c r="L575" s="97"/>
      <c r="M575" s="66"/>
      <c r="N575" s="97"/>
      <c r="O575" s="97"/>
      <c r="P575" s="97"/>
      <c r="Q575" s="97"/>
      <c r="R575" s="97"/>
      <c r="S575" s="97"/>
      <c r="T575" s="97"/>
      <c r="U575" s="97"/>
      <c r="V575" s="97"/>
      <c r="W575" s="97"/>
      <c r="X575" s="97"/>
      <c r="Y575" s="97"/>
      <c r="Z575" s="97"/>
      <c r="AA575" s="97"/>
      <c r="AB575" s="97"/>
      <c r="AC575" s="97"/>
      <c r="AD575" s="97"/>
      <c r="AE575" s="97"/>
    </row>
    <row r="576" ht="14.25" customHeight="1">
      <c r="A576" s="59"/>
      <c r="B576" s="97"/>
      <c r="C576" s="97"/>
      <c r="D576" s="97"/>
      <c r="E576" s="97"/>
      <c r="F576" s="97"/>
      <c r="G576" s="97"/>
      <c r="H576" s="99"/>
      <c r="I576" s="123"/>
      <c r="J576" s="123"/>
      <c r="K576" s="97"/>
      <c r="L576" s="97"/>
      <c r="M576" s="66"/>
      <c r="N576" s="97"/>
      <c r="O576" s="97"/>
      <c r="P576" s="97"/>
      <c r="Q576" s="97"/>
      <c r="R576" s="97"/>
      <c r="S576" s="97"/>
      <c r="T576" s="97"/>
      <c r="U576" s="97"/>
      <c r="V576" s="97"/>
      <c r="W576" s="97"/>
      <c r="X576" s="97"/>
      <c r="Y576" s="97"/>
      <c r="Z576" s="97"/>
      <c r="AA576" s="97"/>
      <c r="AB576" s="97"/>
      <c r="AC576" s="97"/>
      <c r="AD576" s="97"/>
      <c r="AE576" s="97"/>
    </row>
    <row r="577" ht="14.25" customHeight="1">
      <c r="A577" s="59"/>
      <c r="B577" s="97"/>
      <c r="C577" s="97"/>
      <c r="D577" s="97"/>
      <c r="E577" s="97"/>
      <c r="F577" s="97"/>
      <c r="G577" s="97"/>
      <c r="H577" s="99"/>
      <c r="I577" s="123"/>
      <c r="J577" s="123"/>
      <c r="K577" s="97"/>
      <c r="L577" s="97"/>
      <c r="M577" s="66"/>
      <c r="N577" s="97"/>
      <c r="O577" s="97"/>
      <c r="P577" s="97"/>
      <c r="Q577" s="97"/>
      <c r="R577" s="97"/>
      <c r="S577" s="97"/>
      <c r="T577" s="97"/>
      <c r="U577" s="97"/>
      <c r="V577" s="97"/>
      <c r="W577" s="97"/>
      <c r="X577" s="97"/>
      <c r="Y577" s="97"/>
      <c r="Z577" s="97"/>
      <c r="AA577" s="97"/>
      <c r="AB577" s="97"/>
      <c r="AC577" s="97"/>
      <c r="AD577" s="97"/>
      <c r="AE577" s="97"/>
    </row>
    <row r="578" ht="14.25" customHeight="1">
      <c r="A578" s="59"/>
      <c r="B578" s="97"/>
      <c r="C578" s="97"/>
      <c r="D578" s="97"/>
      <c r="E578" s="97"/>
      <c r="F578" s="97"/>
      <c r="G578" s="97"/>
      <c r="H578" s="99"/>
      <c r="I578" s="123"/>
      <c r="J578" s="123"/>
      <c r="K578" s="97"/>
      <c r="L578" s="97"/>
      <c r="M578" s="66"/>
      <c r="N578" s="97"/>
      <c r="O578" s="97"/>
      <c r="P578" s="97"/>
      <c r="Q578" s="97"/>
      <c r="R578" s="97"/>
      <c r="S578" s="97"/>
      <c r="T578" s="97"/>
      <c r="U578" s="97"/>
      <c r="V578" s="97"/>
      <c r="W578" s="97"/>
      <c r="X578" s="97"/>
      <c r="Y578" s="97"/>
      <c r="Z578" s="97"/>
      <c r="AA578" s="97"/>
      <c r="AB578" s="97"/>
      <c r="AC578" s="97"/>
      <c r="AD578" s="97"/>
      <c r="AE578" s="97"/>
    </row>
    <row r="579" ht="14.25" customHeight="1">
      <c r="A579" s="59"/>
      <c r="B579" s="97"/>
      <c r="C579" s="97"/>
      <c r="D579" s="97"/>
      <c r="E579" s="97"/>
      <c r="F579" s="97"/>
      <c r="G579" s="97"/>
      <c r="H579" s="99"/>
      <c r="I579" s="123"/>
      <c r="J579" s="123"/>
      <c r="K579" s="97"/>
      <c r="L579" s="97"/>
      <c r="M579" s="66"/>
      <c r="N579" s="97"/>
      <c r="O579" s="97"/>
      <c r="P579" s="97"/>
      <c r="Q579" s="97"/>
      <c r="R579" s="97"/>
      <c r="S579" s="97"/>
      <c r="T579" s="97"/>
      <c r="U579" s="97"/>
      <c r="V579" s="97"/>
      <c r="W579" s="97"/>
      <c r="X579" s="97"/>
      <c r="Y579" s="97"/>
      <c r="Z579" s="97"/>
      <c r="AA579" s="97"/>
      <c r="AB579" s="97"/>
      <c r="AC579" s="97"/>
      <c r="AD579" s="97"/>
      <c r="AE579" s="97"/>
    </row>
    <row r="580" ht="14.25" customHeight="1">
      <c r="A580" s="59"/>
      <c r="B580" s="97"/>
      <c r="C580" s="97"/>
      <c r="D580" s="97"/>
      <c r="E580" s="97"/>
      <c r="F580" s="97"/>
      <c r="G580" s="97"/>
      <c r="H580" s="99"/>
      <c r="I580" s="123"/>
      <c r="J580" s="123"/>
      <c r="K580" s="97"/>
      <c r="L580" s="97"/>
      <c r="M580" s="66"/>
      <c r="N580" s="97"/>
      <c r="O580" s="97"/>
      <c r="P580" s="97"/>
      <c r="Q580" s="97"/>
      <c r="R580" s="97"/>
      <c r="S580" s="97"/>
      <c r="T580" s="97"/>
      <c r="U580" s="97"/>
      <c r="V580" s="97"/>
      <c r="W580" s="97"/>
      <c r="X580" s="97"/>
      <c r="Y580" s="97"/>
      <c r="Z580" s="97"/>
      <c r="AA580" s="97"/>
      <c r="AB580" s="97"/>
      <c r="AC580" s="97"/>
      <c r="AD580" s="97"/>
      <c r="AE580" s="97"/>
    </row>
    <row r="581" ht="14.25" customHeight="1">
      <c r="A581" s="59"/>
      <c r="B581" s="97"/>
      <c r="C581" s="97"/>
      <c r="D581" s="97"/>
      <c r="E581" s="97"/>
      <c r="F581" s="97"/>
      <c r="G581" s="97"/>
      <c r="H581" s="99"/>
      <c r="I581" s="123"/>
      <c r="J581" s="123"/>
      <c r="K581" s="97"/>
      <c r="L581" s="97"/>
      <c r="M581" s="66"/>
      <c r="N581" s="97"/>
      <c r="O581" s="97"/>
      <c r="P581" s="97"/>
      <c r="Q581" s="97"/>
      <c r="R581" s="97"/>
      <c r="S581" s="97"/>
      <c r="T581" s="97"/>
      <c r="U581" s="97"/>
      <c r="V581" s="97"/>
      <c r="W581" s="97"/>
      <c r="X581" s="97"/>
      <c r="Y581" s="97"/>
      <c r="Z581" s="97"/>
      <c r="AA581" s="97"/>
      <c r="AB581" s="97"/>
      <c r="AC581" s="97"/>
      <c r="AD581" s="97"/>
      <c r="AE581" s="97"/>
    </row>
    <row r="582" ht="14.25" customHeight="1">
      <c r="A582" s="59"/>
      <c r="B582" s="97"/>
      <c r="C582" s="97"/>
      <c r="D582" s="97"/>
      <c r="E582" s="97"/>
      <c r="F582" s="97"/>
      <c r="G582" s="97"/>
      <c r="H582" s="99"/>
      <c r="I582" s="123"/>
      <c r="J582" s="123"/>
      <c r="K582" s="97"/>
      <c r="L582" s="97"/>
      <c r="M582" s="66"/>
      <c r="N582" s="97"/>
      <c r="O582" s="97"/>
      <c r="P582" s="97"/>
      <c r="Q582" s="97"/>
      <c r="R582" s="97"/>
      <c r="S582" s="97"/>
      <c r="T582" s="97"/>
      <c r="U582" s="97"/>
      <c r="V582" s="97"/>
      <c r="W582" s="97"/>
      <c r="X582" s="97"/>
      <c r="Y582" s="97"/>
      <c r="Z582" s="97"/>
      <c r="AA582" s="97"/>
      <c r="AB582" s="97"/>
      <c r="AC582" s="97"/>
      <c r="AD582" s="97"/>
      <c r="AE582" s="97"/>
    </row>
    <row r="583" ht="14.25" customHeight="1">
      <c r="A583" s="59"/>
      <c r="B583" s="97"/>
      <c r="C583" s="97"/>
      <c r="D583" s="97"/>
      <c r="E583" s="97"/>
      <c r="F583" s="97"/>
      <c r="G583" s="97"/>
      <c r="H583" s="99"/>
      <c r="I583" s="123"/>
      <c r="J583" s="123"/>
      <c r="K583" s="97"/>
      <c r="L583" s="97"/>
      <c r="M583" s="66"/>
      <c r="N583" s="97"/>
      <c r="O583" s="97"/>
      <c r="P583" s="97"/>
      <c r="Q583" s="97"/>
      <c r="R583" s="97"/>
      <c r="S583" s="97"/>
      <c r="T583" s="97"/>
      <c r="U583" s="97"/>
      <c r="V583" s="97"/>
      <c r="W583" s="97"/>
      <c r="X583" s="97"/>
      <c r="Y583" s="97"/>
      <c r="Z583" s="97"/>
      <c r="AA583" s="97"/>
      <c r="AB583" s="97"/>
      <c r="AC583" s="97"/>
      <c r="AD583" s="97"/>
      <c r="AE583" s="97"/>
    </row>
    <row r="584" ht="14.25" customHeight="1">
      <c r="A584" s="59"/>
      <c r="B584" s="97"/>
      <c r="C584" s="97"/>
      <c r="D584" s="97"/>
      <c r="E584" s="97"/>
      <c r="F584" s="97"/>
      <c r="G584" s="97"/>
      <c r="H584" s="99"/>
      <c r="I584" s="123"/>
      <c r="J584" s="123"/>
      <c r="K584" s="97"/>
      <c r="L584" s="97"/>
      <c r="M584" s="66"/>
      <c r="N584" s="97"/>
      <c r="O584" s="97"/>
      <c r="P584" s="97"/>
      <c r="Q584" s="97"/>
      <c r="R584" s="97"/>
      <c r="S584" s="97"/>
      <c r="T584" s="97"/>
      <c r="U584" s="97"/>
      <c r="V584" s="97"/>
      <c r="W584" s="97"/>
      <c r="X584" s="97"/>
      <c r="Y584" s="97"/>
      <c r="Z584" s="97"/>
      <c r="AA584" s="97"/>
      <c r="AB584" s="97"/>
      <c r="AC584" s="97"/>
      <c r="AD584" s="97"/>
      <c r="AE584" s="97"/>
    </row>
    <row r="585" ht="14.25" customHeight="1">
      <c r="A585" s="59"/>
      <c r="B585" s="97"/>
      <c r="C585" s="97"/>
      <c r="D585" s="97"/>
      <c r="E585" s="97"/>
      <c r="F585" s="97"/>
      <c r="G585" s="97"/>
      <c r="H585" s="99"/>
      <c r="I585" s="123"/>
      <c r="J585" s="123"/>
      <c r="K585" s="97"/>
      <c r="L585" s="97"/>
      <c r="M585" s="66"/>
      <c r="N585" s="97"/>
      <c r="O585" s="97"/>
      <c r="P585" s="97"/>
      <c r="Q585" s="97"/>
      <c r="R585" s="97"/>
      <c r="S585" s="97"/>
      <c r="T585" s="97"/>
      <c r="U585" s="97"/>
      <c r="V585" s="97"/>
      <c r="W585" s="97"/>
      <c r="X585" s="97"/>
      <c r="Y585" s="97"/>
      <c r="Z585" s="97"/>
      <c r="AA585" s="97"/>
      <c r="AB585" s="97"/>
      <c r="AC585" s="97"/>
      <c r="AD585" s="97"/>
      <c r="AE585" s="97"/>
    </row>
    <row r="586" ht="14.25" customHeight="1">
      <c r="A586" s="59"/>
      <c r="B586" s="97"/>
      <c r="C586" s="97"/>
      <c r="D586" s="97"/>
      <c r="E586" s="97"/>
      <c r="F586" s="97"/>
      <c r="G586" s="97"/>
      <c r="H586" s="99"/>
      <c r="I586" s="123"/>
      <c r="J586" s="123"/>
      <c r="K586" s="97"/>
      <c r="L586" s="97"/>
      <c r="M586" s="66"/>
      <c r="N586" s="97"/>
      <c r="O586" s="97"/>
      <c r="P586" s="97"/>
      <c r="Q586" s="97"/>
      <c r="R586" s="97"/>
      <c r="S586" s="97"/>
      <c r="T586" s="97"/>
      <c r="U586" s="97"/>
      <c r="V586" s="97"/>
      <c r="W586" s="97"/>
      <c r="X586" s="97"/>
      <c r="Y586" s="97"/>
      <c r="Z586" s="97"/>
      <c r="AA586" s="97"/>
      <c r="AB586" s="97"/>
      <c r="AC586" s="97"/>
      <c r="AD586" s="97"/>
      <c r="AE586" s="97"/>
    </row>
    <row r="587" ht="14.25" customHeight="1">
      <c r="A587" s="59"/>
      <c r="B587" s="97"/>
      <c r="C587" s="97"/>
      <c r="D587" s="97"/>
      <c r="E587" s="97"/>
      <c r="F587" s="97"/>
      <c r="G587" s="97"/>
      <c r="H587" s="99"/>
      <c r="I587" s="123"/>
      <c r="J587" s="123"/>
      <c r="K587" s="97"/>
      <c r="L587" s="97"/>
      <c r="M587" s="66"/>
      <c r="N587" s="97"/>
      <c r="O587" s="97"/>
      <c r="P587" s="97"/>
      <c r="Q587" s="97"/>
      <c r="R587" s="97"/>
      <c r="S587" s="97"/>
      <c r="T587" s="97"/>
      <c r="U587" s="97"/>
      <c r="V587" s="97"/>
      <c r="W587" s="97"/>
      <c r="X587" s="97"/>
      <c r="Y587" s="97"/>
      <c r="Z587" s="97"/>
      <c r="AA587" s="97"/>
      <c r="AB587" s="97"/>
      <c r="AC587" s="97"/>
      <c r="AD587" s="97"/>
      <c r="AE587" s="97"/>
    </row>
    <row r="588" ht="14.25" customHeight="1">
      <c r="A588" s="59"/>
      <c r="B588" s="97"/>
      <c r="C588" s="97"/>
      <c r="D588" s="97"/>
      <c r="E588" s="97"/>
      <c r="F588" s="97"/>
      <c r="G588" s="97"/>
      <c r="H588" s="99"/>
      <c r="I588" s="123"/>
      <c r="J588" s="123"/>
      <c r="K588" s="97"/>
      <c r="L588" s="97"/>
      <c r="M588" s="66"/>
      <c r="N588" s="97"/>
      <c r="O588" s="97"/>
      <c r="P588" s="97"/>
      <c r="Q588" s="97"/>
      <c r="R588" s="97"/>
      <c r="S588" s="97"/>
      <c r="T588" s="97"/>
      <c r="U588" s="97"/>
      <c r="V588" s="97"/>
      <c r="W588" s="97"/>
      <c r="X588" s="97"/>
      <c r="Y588" s="97"/>
      <c r="Z588" s="97"/>
      <c r="AA588" s="97"/>
      <c r="AB588" s="97"/>
      <c r="AC588" s="97"/>
      <c r="AD588" s="97"/>
      <c r="AE588" s="97"/>
    </row>
    <row r="589" ht="14.25" customHeight="1">
      <c r="A589" s="59"/>
      <c r="B589" s="97"/>
      <c r="C589" s="97"/>
      <c r="D589" s="97"/>
      <c r="E589" s="97"/>
      <c r="F589" s="97"/>
      <c r="G589" s="97"/>
      <c r="H589" s="99"/>
      <c r="I589" s="123"/>
      <c r="J589" s="123"/>
      <c r="K589" s="97"/>
      <c r="L589" s="97"/>
      <c r="M589" s="66"/>
      <c r="N589" s="97"/>
      <c r="O589" s="97"/>
      <c r="P589" s="97"/>
      <c r="Q589" s="97"/>
      <c r="R589" s="97"/>
      <c r="S589" s="97"/>
      <c r="T589" s="97"/>
      <c r="U589" s="97"/>
      <c r="V589" s="97"/>
      <c r="W589" s="97"/>
      <c r="X589" s="97"/>
      <c r="Y589" s="97"/>
      <c r="Z589" s="97"/>
      <c r="AA589" s="97"/>
      <c r="AB589" s="97"/>
      <c r="AC589" s="97"/>
      <c r="AD589" s="97"/>
      <c r="AE589" s="97"/>
    </row>
    <row r="590" ht="14.25" customHeight="1">
      <c r="A590" s="59"/>
      <c r="B590" s="97"/>
      <c r="C590" s="97"/>
      <c r="D590" s="97"/>
      <c r="E590" s="97"/>
      <c r="F590" s="97"/>
      <c r="G590" s="97"/>
      <c r="H590" s="99"/>
      <c r="I590" s="123"/>
      <c r="J590" s="123"/>
      <c r="K590" s="97"/>
      <c r="L590" s="97"/>
      <c r="M590" s="66"/>
      <c r="N590" s="97"/>
      <c r="O590" s="97"/>
      <c r="P590" s="97"/>
      <c r="Q590" s="97"/>
      <c r="R590" s="97"/>
      <c r="S590" s="97"/>
      <c r="T590" s="97"/>
      <c r="U590" s="97"/>
      <c r="V590" s="97"/>
      <c r="W590" s="97"/>
      <c r="X590" s="97"/>
      <c r="Y590" s="97"/>
      <c r="Z590" s="97"/>
      <c r="AA590" s="97"/>
      <c r="AB590" s="97"/>
      <c r="AC590" s="97"/>
      <c r="AD590" s="97"/>
      <c r="AE590" s="97"/>
    </row>
    <row r="591" ht="14.25" customHeight="1">
      <c r="A591" s="59"/>
      <c r="B591" s="97"/>
      <c r="C591" s="97"/>
      <c r="D591" s="97"/>
      <c r="E591" s="97"/>
      <c r="F591" s="97"/>
      <c r="G591" s="97"/>
      <c r="H591" s="99"/>
      <c r="I591" s="123"/>
      <c r="J591" s="123"/>
      <c r="K591" s="97"/>
      <c r="L591" s="97"/>
      <c r="M591" s="66"/>
      <c r="N591" s="97"/>
      <c r="O591" s="97"/>
      <c r="P591" s="97"/>
      <c r="Q591" s="97"/>
      <c r="R591" s="97"/>
      <c r="S591" s="97"/>
      <c r="T591" s="97"/>
      <c r="U591" s="97"/>
      <c r="V591" s="97"/>
      <c r="W591" s="97"/>
      <c r="X591" s="97"/>
      <c r="Y591" s="97"/>
      <c r="Z591" s="97"/>
      <c r="AA591" s="97"/>
      <c r="AB591" s="97"/>
      <c r="AC591" s="97"/>
      <c r="AD591" s="97"/>
      <c r="AE591" s="97"/>
    </row>
    <row r="592" ht="14.25" customHeight="1">
      <c r="A592" s="59"/>
      <c r="B592" s="97"/>
      <c r="C592" s="97"/>
      <c r="D592" s="97"/>
      <c r="E592" s="97"/>
      <c r="F592" s="97"/>
      <c r="G592" s="97"/>
      <c r="H592" s="99"/>
      <c r="I592" s="123"/>
      <c r="J592" s="123"/>
      <c r="K592" s="97"/>
      <c r="L592" s="97"/>
      <c r="M592" s="66"/>
      <c r="N592" s="97"/>
      <c r="O592" s="97"/>
      <c r="P592" s="97"/>
      <c r="Q592" s="97"/>
      <c r="R592" s="97"/>
      <c r="S592" s="97"/>
      <c r="T592" s="97"/>
      <c r="U592" s="97"/>
      <c r="V592" s="97"/>
      <c r="W592" s="97"/>
      <c r="X592" s="97"/>
      <c r="Y592" s="97"/>
      <c r="Z592" s="97"/>
      <c r="AA592" s="97"/>
      <c r="AB592" s="97"/>
      <c r="AC592" s="97"/>
      <c r="AD592" s="97"/>
      <c r="AE592" s="97"/>
    </row>
    <row r="593" ht="14.25" customHeight="1">
      <c r="A593" s="59"/>
      <c r="B593" s="97"/>
      <c r="C593" s="97"/>
      <c r="D593" s="97"/>
      <c r="E593" s="97"/>
      <c r="F593" s="97"/>
      <c r="G593" s="97"/>
      <c r="H593" s="99"/>
      <c r="I593" s="123"/>
      <c r="J593" s="123"/>
      <c r="K593" s="97"/>
      <c r="L593" s="97"/>
      <c r="M593" s="66"/>
      <c r="N593" s="97"/>
      <c r="O593" s="97"/>
      <c r="P593" s="97"/>
      <c r="Q593" s="97"/>
      <c r="R593" s="97"/>
      <c r="S593" s="97"/>
      <c r="T593" s="97"/>
      <c r="U593" s="97"/>
      <c r="V593" s="97"/>
      <c r="W593" s="97"/>
      <c r="X593" s="97"/>
      <c r="Y593" s="97"/>
      <c r="Z593" s="97"/>
      <c r="AA593" s="97"/>
      <c r="AB593" s="97"/>
      <c r="AC593" s="97"/>
      <c r="AD593" s="97"/>
      <c r="AE593" s="97"/>
    </row>
    <row r="594" ht="14.25" customHeight="1">
      <c r="A594" s="59"/>
      <c r="B594" s="97"/>
      <c r="C594" s="97"/>
      <c r="D594" s="97"/>
      <c r="E594" s="97"/>
      <c r="F594" s="97"/>
      <c r="G594" s="97"/>
      <c r="H594" s="99"/>
      <c r="I594" s="123"/>
      <c r="J594" s="123"/>
      <c r="K594" s="97"/>
      <c r="L594" s="97"/>
      <c r="M594" s="66"/>
      <c r="N594" s="97"/>
      <c r="O594" s="97"/>
      <c r="P594" s="97"/>
      <c r="Q594" s="97"/>
      <c r="R594" s="97"/>
      <c r="S594" s="97"/>
      <c r="T594" s="97"/>
      <c r="U594" s="97"/>
      <c r="V594" s="97"/>
      <c r="W594" s="97"/>
      <c r="X594" s="97"/>
      <c r="Y594" s="97"/>
      <c r="Z594" s="97"/>
      <c r="AA594" s="97"/>
      <c r="AB594" s="97"/>
      <c r="AC594" s="97"/>
      <c r="AD594" s="97"/>
      <c r="AE594" s="97"/>
    </row>
    <row r="595" ht="14.25" customHeight="1">
      <c r="A595" s="59"/>
      <c r="B595" s="97"/>
      <c r="C595" s="97"/>
      <c r="D595" s="97"/>
      <c r="E595" s="97"/>
      <c r="F595" s="97"/>
      <c r="G595" s="97"/>
      <c r="H595" s="99"/>
      <c r="I595" s="123"/>
      <c r="J595" s="123"/>
      <c r="K595" s="97"/>
      <c r="L595" s="97"/>
      <c r="M595" s="66"/>
      <c r="N595" s="97"/>
      <c r="O595" s="97"/>
      <c r="P595" s="97"/>
      <c r="Q595" s="97"/>
      <c r="R595" s="97"/>
      <c r="S595" s="97"/>
      <c r="T595" s="97"/>
      <c r="U595" s="97"/>
      <c r="V595" s="97"/>
      <c r="W595" s="97"/>
      <c r="X595" s="97"/>
      <c r="Y595" s="97"/>
      <c r="Z595" s="97"/>
      <c r="AA595" s="97"/>
      <c r="AB595" s="97"/>
      <c r="AC595" s="97"/>
      <c r="AD595" s="97"/>
      <c r="AE595" s="97"/>
    </row>
    <row r="596" ht="14.25" customHeight="1">
      <c r="A596" s="59"/>
      <c r="B596" s="97"/>
      <c r="C596" s="97"/>
      <c r="D596" s="97"/>
      <c r="E596" s="97"/>
      <c r="F596" s="97"/>
      <c r="G596" s="97"/>
      <c r="H596" s="99"/>
      <c r="I596" s="123"/>
      <c r="J596" s="123"/>
      <c r="K596" s="97"/>
      <c r="L596" s="97"/>
      <c r="M596" s="66"/>
      <c r="N596" s="97"/>
      <c r="O596" s="97"/>
      <c r="P596" s="97"/>
      <c r="Q596" s="97"/>
      <c r="R596" s="97"/>
      <c r="S596" s="97"/>
      <c r="T596" s="97"/>
      <c r="U596" s="97"/>
      <c r="V596" s="97"/>
      <c r="W596" s="97"/>
      <c r="X596" s="97"/>
      <c r="Y596" s="97"/>
      <c r="Z596" s="97"/>
      <c r="AA596" s="97"/>
      <c r="AB596" s="97"/>
      <c r="AC596" s="97"/>
      <c r="AD596" s="97"/>
      <c r="AE596" s="97"/>
    </row>
    <row r="597" ht="14.25" customHeight="1">
      <c r="A597" s="59"/>
      <c r="B597" s="97"/>
      <c r="C597" s="97"/>
      <c r="D597" s="97"/>
      <c r="E597" s="97"/>
      <c r="F597" s="97"/>
      <c r="G597" s="97"/>
      <c r="H597" s="99"/>
      <c r="I597" s="123"/>
      <c r="J597" s="123"/>
      <c r="K597" s="97"/>
      <c r="L597" s="97"/>
      <c r="M597" s="66"/>
      <c r="N597" s="97"/>
      <c r="O597" s="97"/>
      <c r="P597" s="97"/>
      <c r="Q597" s="97"/>
      <c r="R597" s="97"/>
      <c r="S597" s="97"/>
      <c r="T597" s="97"/>
      <c r="U597" s="97"/>
      <c r="V597" s="97"/>
      <c r="W597" s="97"/>
      <c r="X597" s="97"/>
      <c r="Y597" s="97"/>
      <c r="Z597" s="97"/>
      <c r="AA597" s="97"/>
      <c r="AB597" s="97"/>
      <c r="AC597" s="97"/>
      <c r="AD597" s="97"/>
      <c r="AE597" s="97"/>
    </row>
    <row r="598" ht="14.25" customHeight="1">
      <c r="A598" s="59"/>
      <c r="B598" s="97"/>
      <c r="C598" s="97"/>
      <c r="D598" s="97"/>
      <c r="E598" s="97"/>
      <c r="F598" s="97"/>
      <c r="G598" s="97"/>
      <c r="H598" s="99"/>
      <c r="I598" s="123"/>
      <c r="J598" s="123"/>
      <c r="K598" s="97"/>
      <c r="L598" s="97"/>
      <c r="M598" s="66"/>
      <c r="N598" s="97"/>
      <c r="O598" s="97"/>
      <c r="P598" s="97"/>
      <c r="Q598" s="97"/>
      <c r="R598" s="97"/>
      <c r="S598" s="97"/>
      <c r="T598" s="97"/>
      <c r="U598" s="97"/>
      <c r="V598" s="97"/>
      <c r="W598" s="97"/>
      <c r="X598" s="97"/>
      <c r="Y598" s="97"/>
      <c r="Z598" s="97"/>
      <c r="AA598" s="97"/>
      <c r="AB598" s="97"/>
      <c r="AC598" s="97"/>
      <c r="AD598" s="97"/>
      <c r="AE598" s="97"/>
    </row>
    <row r="599" ht="14.25" customHeight="1">
      <c r="A599" s="59"/>
      <c r="B599" s="97"/>
      <c r="C599" s="97"/>
      <c r="D599" s="97"/>
      <c r="E599" s="97"/>
      <c r="F599" s="97"/>
      <c r="G599" s="97"/>
      <c r="H599" s="99"/>
      <c r="I599" s="123"/>
      <c r="J599" s="123"/>
      <c r="K599" s="97"/>
      <c r="L599" s="97"/>
      <c r="M599" s="66"/>
      <c r="N599" s="97"/>
      <c r="O599" s="97"/>
      <c r="P599" s="97"/>
      <c r="Q599" s="97"/>
      <c r="R599" s="97"/>
      <c r="S599" s="97"/>
      <c r="T599" s="97"/>
      <c r="U599" s="97"/>
      <c r="V599" s="97"/>
      <c r="W599" s="97"/>
      <c r="X599" s="97"/>
      <c r="Y599" s="97"/>
      <c r="Z599" s="97"/>
      <c r="AA599" s="97"/>
      <c r="AB599" s="97"/>
      <c r="AC599" s="97"/>
      <c r="AD599" s="97"/>
      <c r="AE599" s="97"/>
    </row>
    <row r="600" ht="14.25" customHeight="1">
      <c r="A600" s="59"/>
      <c r="B600" s="97"/>
      <c r="C600" s="97"/>
      <c r="D600" s="97"/>
      <c r="E600" s="97"/>
      <c r="F600" s="97"/>
      <c r="G600" s="97"/>
      <c r="H600" s="99"/>
      <c r="I600" s="123"/>
      <c r="J600" s="123"/>
      <c r="K600" s="97"/>
      <c r="L600" s="97"/>
      <c r="M600" s="66"/>
      <c r="N600" s="97"/>
      <c r="O600" s="97"/>
      <c r="P600" s="97"/>
      <c r="Q600" s="97"/>
      <c r="R600" s="97"/>
      <c r="S600" s="97"/>
      <c r="T600" s="97"/>
      <c r="U600" s="97"/>
      <c r="V600" s="97"/>
      <c r="W600" s="97"/>
      <c r="X600" s="97"/>
      <c r="Y600" s="97"/>
      <c r="Z600" s="97"/>
      <c r="AA600" s="97"/>
      <c r="AB600" s="97"/>
      <c r="AC600" s="97"/>
      <c r="AD600" s="97"/>
      <c r="AE600" s="97"/>
    </row>
    <row r="601" ht="14.25" customHeight="1">
      <c r="A601" s="59"/>
      <c r="B601" s="97"/>
      <c r="C601" s="97"/>
      <c r="D601" s="97"/>
      <c r="E601" s="97"/>
      <c r="F601" s="97"/>
      <c r="G601" s="97"/>
      <c r="H601" s="99"/>
      <c r="I601" s="123"/>
      <c r="J601" s="123"/>
      <c r="K601" s="97"/>
      <c r="L601" s="97"/>
      <c r="M601" s="66"/>
      <c r="N601" s="97"/>
      <c r="O601" s="97"/>
      <c r="P601" s="97"/>
      <c r="Q601" s="97"/>
      <c r="R601" s="97"/>
      <c r="S601" s="97"/>
      <c r="T601" s="97"/>
      <c r="U601" s="97"/>
      <c r="V601" s="97"/>
      <c r="W601" s="97"/>
      <c r="X601" s="97"/>
      <c r="Y601" s="97"/>
      <c r="Z601" s="97"/>
      <c r="AA601" s="97"/>
      <c r="AB601" s="97"/>
      <c r="AC601" s="97"/>
      <c r="AD601" s="97"/>
      <c r="AE601" s="97"/>
    </row>
    <row r="602" ht="14.25" customHeight="1">
      <c r="A602" s="59"/>
      <c r="B602" s="97"/>
      <c r="C602" s="97"/>
      <c r="D602" s="97"/>
      <c r="E602" s="97"/>
      <c r="F602" s="97"/>
      <c r="G602" s="97"/>
      <c r="H602" s="99"/>
      <c r="I602" s="123"/>
      <c r="J602" s="123"/>
      <c r="K602" s="97"/>
      <c r="L602" s="97"/>
      <c r="M602" s="66"/>
      <c r="N602" s="97"/>
      <c r="O602" s="97"/>
      <c r="P602" s="97"/>
      <c r="Q602" s="97"/>
      <c r="R602" s="97"/>
      <c r="S602" s="97"/>
      <c r="T602" s="97"/>
      <c r="U602" s="97"/>
      <c r="V602" s="97"/>
      <c r="W602" s="97"/>
      <c r="X602" s="97"/>
      <c r="Y602" s="97"/>
      <c r="Z602" s="97"/>
      <c r="AA602" s="97"/>
      <c r="AB602" s="97"/>
      <c r="AC602" s="97"/>
      <c r="AD602" s="97"/>
      <c r="AE602" s="97"/>
    </row>
    <row r="603" ht="14.25" customHeight="1">
      <c r="A603" s="59"/>
      <c r="B603" s="97"/>
      <c r="C603" s="97"/>
      <c r="D603" s="97"/>
      <c r="E603" s="97"/>
      <c r="F603" s="97"/>
      <c r="G603" s="97"/>
      <c r="H603" s="99"/>
      <c r="I603" s="123"/>
      <c r="J603" s="123"/>
      <c r="K603" s="97"/>
      <c r="L603" s="97"/>
      <c r="M603" s="66"/>
      <c r="N603" s="97"/>
      <c r="O603" s="97"/>
      <c r="P603" s="97"/>
      <c r="Q603" s="97"/>
      <c r="R603" s="97"/>
      <c r="S603" s="97"/>
      <c r="T603" s="97"/>
      <c r="U603" s="97"/>
      <c r="V603" s="97"/>
      <c r="W603" s="97"/>
      <c r="X603" s="97"/>
      <c r="Y603" s="97"/>
      <c r="Z603" s="97"/>
      <c r="AA603" s="97"/>
      <c r="AB603" s="97"/>
      <c r="AC603" s="97"/>
      <c r="AD603" s="97"/>
      <c r="AE603" s="97"/>
    </row>
    <row r="604" ht="14.25" customHeight="1">
      <c r="A604" s="59"/>
      <c r="B604" s="97"/>
      <c r="C604" s="97"/>
      <c r="D604" s="97"/>
      <c r="E604" s="97"/>
      <c r="F604" s="97"/>
      <c r="G604" s="97"/>
      <c r="H604" s="99"/>
      <c r="I604" s="123"/>
      <c r="J604" s="123"/>
      <c r="K604" s="97"/>
      <c r="L604" s="97"/>
      <c r="M604" s="66"/>
      <c r="N604" s="97"/>
      <c r="O604" s="97"/>
      <c r="P604" s="97"/>
      <c r="Q604" s="97"/>
      <c r="R604" s="97"/>
      <c r="S604" s="97"/>
      <c r="T604" s="97"/>
      <c r="U604" s="97"/>
      <c r="V604" s="97"/>
      <c r="W604" s="97"/>
      <c r="X604" s="97"/>
      <c r="Y604" s="97"/>
      <c r="Z604" s="97"/>
      <c r="AA604" s="97"/>
      <c r="AB604" s="97"/>
      <c r="AC604" s="97"/>
      <c r="AD604" s="97"/>
      <c r="AE604" s="97"/>
    </row>
    <row r="605" ht="14.25" customHeight="1">
      <c r="A605" s="59"/>
      <c r="B605" s="97"/>
      <c r="C605" s="97"/>
      <c r="D605" s="97"/>
      <c r="E605" s="97"/>
      <c r="F605" s="97"/>
      <c r="G605" s="97"/>
      <c r="H605" s="99"/>
      <c r="I605" s="123"/>
      <c r="J605" s="123"/>
      <c r="K605" s="97"/>
      <c r="L605" s="97"/>
      <c r="M605" s="66"/>
      <c r="N605" s="97"/>
      <c r="O605" s="97"/>
      <c r="P605" s="97"/>
      <c r="Q605" s="97"/>
      <c r="R605" s="97"/>
      <c r="S605" s="97"/>
      <c r="T605" s="97"/>
      <c r="U605" s="97"/>
      <c r="V605" s="97"/>
      <c r="W605" s="97"/>
      <c r="X605" s="97"/>
      <c r="Y605" s="97"/>
      <c r="Z605" s="97"/>
      <c r="AA605" s="97"/>
      <c r="AB605" s="97"/>
      <c r="AC605" s="97"/>
      <c r="AD605" s="97"/>
      <c r="AE605" s="97"/>
    </row>
    <row r="606" ht="14.25" customHeight="1">
      <c r="A606" s="59"/>
      <c r="B606" s="97"/>
      <c r="C606" s="97"/>
      <c r="D606" s="97"/>
      <c r="E606" s="97"/>
      <c r="F606" s="97"/>
      <c r="G606" s="97"/>
      <c r="H606" s="99"/>
      <c r="I606" s="123"/>
      <c r="J606" s="123"/>
      <c r="K606" s="97"/>
      <c r="L606" s="97"/>
      <c r="M606" s="66"/>
      <c r="N606" s="97"/>
      <c r="O606" s="97"/>
      <c r="P606" s="97"/>
      <c r="Q606" s="97"/>
      <c r="R606" s="97"/>
      <c r="S606" s="97"/>
      <c r="T606" s="97"/>
      <c r="U606" s="97"/>
      <c r="V606" s="97"/>
      <c r="W606" s="97"/>
      <c r="X606" s="97"/>
      <c r="Y606" s="97"/>
      <c r="Z606" s="97"/>
      <c r="AA606" s="97"/>
      <c r="AB606" s="97"/>
      <c r="AC606" s="97"/>
      <c r="AD606" s="97"/>
      <c r="AE606" s="97"/>
    </row>
    <row r="607" ht="14.25" customHeight="1">
      <c r="A607" s="59"/>
      <c r="B607" s="97"/>
      <c r="C607" s="97"/>
      <c r="D607" s="97"/>
      <c r="E607" s="97"/>
      <c r="F607" s="97"/>
      <c r="G607" s="97"/>
      <c r="H607" s="99"/>
      <c r="I607" s="123"/>
      <c r="J607" s="123"/>
      <c r="K607" s="97"/>
      <c r="L607" s="97"/>
      <c r="M607" s="66"/>
      <c r="N607" s="97"/>
      <c r="O607" s="97"/>
      <c r="P607" s="97"/>
      <c r="Q607" s="97"/>
      <c r="R607" s="97"/>
      <c r="S607" s="97"/>
      <c r="T607" s="97"/>
      <c r="U607" s="97"/>
      <c r="V607" s="97"/>
      <c r="W607" s="97"/>
      <c r="X607" s="97"/>
      <c r="Y607" s="97"/>
      <c r="Z607" s="97"/>
      <c r="AA607" s="97"/>
      <c r="AB607" s="97"/>
      <c r="AC607" s="97"/>
      <c r="AD607" s="97"/>
      <c r="AE607" s="97"/>
    </row>
    <row r="608" ht="14.25" customHeight="1">
      <c r="A608" s="59"/>
      <c r="B608" s="97"/>
      <c r="C608" s="97"/>
      <c r="D608" s="97"/>
      <c r="E608" s="97"/>
      <c r="F608" s="97"/>
      <c r="G608" s="97"/>
      <c r="H608" s="99"/>
      <c r="I608" s="123"/>
      <c r="J608" s="123"/>
      <c r="K608" s="97"/>
      <c r="L608" s="97"/>
      <c r="M608" s="66"/>
      <c r="N608" s="97"/>
      <c r="O608" s="97"/>
      <c r="P608" s="97"/>
      <c r="Q608" s="97"/>
      <c r="R608" s="97"/>
      <c r="S608" s="97"/>
      <c r="T608" s="97"/>
      <c r="U608" s="97"/>
      <c r="V608" s="97"/>
      <c r="W608" s="97"/>
      <c r="X608" s="97"/>
      <c r="Y608" s="97"/>
      <c r="Z608" s="97"/>
      <c r="AA608" s="97"/>
      <c r="AB608" s="97"/>
      <c r="AC608" s="97"/>
      <c r="AD608" s="97"/>
      <c r="AE608" s="97"/>
    </row>
    <row r="609" ht="14.25" customHeight="1">
      <c r="A609" s="59"/>
      <c r="B609" s="97"/>
      <c r="C609" s="97"/>
      <c r="D609" s="97"/>
      <c r="E609" s="97"/>
      <c r="F609" s="97"/>
      <c r="G609" s="97"/>
      <c r="H609" s="99"/>
      <c r="I609" s="123"/>
      <c r="J609" s="123"/>
      <c r="K609" s="97"/>
      <c r="L609" s="97"/>
      <c r="M609" s="66"/>
      <c r="N609" s="97"/>
      <c r="O609" s="97"/>
      <c r="P609" s="97"/>
      <c r="Q609" s="97"/>
      <c r="R609" s="97"/>
      <c r="S609" s="97"/>
      <c r="T609" s="97"/>
      <c r="U609" s="97"/>
      <c r="V609" s="97"/>
      <c r="W609" s="97"/>
      <c r="X609" s="97"/>
      <c r="Y609" s="97"/>
      <c r="Z609" s="97"/>
      <c r="AA609" s="97"/>
      <c r="AB609" s="97"/>
      <c r="AC609" s="97"/>
      <c r="AD609" s="97"/>
      <c r="AE609" s="97"/>
    </row>
    <row r="610" ht="14.25" customHeight="1">
      <c r="A610" s="59"/>
      <c r="B610" s="97"/>
      <c r="C610" s="97"/>
      <c r="D610" s="97"/>
      <c r="E610" s="97"/>
      <c r="F610" s="97"/>
      <c r="G610" s="97"/>
      <c r="H610" s="99"/>
      <c r="I610" s="123"/>
      <c r="J610" s="123"/>
      <c r="K610" s="97"/>
      <c r="L610" s="97"/>
      <c r="M610" s="66"/>
      <c r="N610" s="97"/>
      <c r="O610" s="97"/>
      <c r="P610" s="97"/>
      <c r="Q610" s="97"/>
      <c r="R610" s="97"/>
      <c r="S610" s="97"/>
      <c r="T610" s="97"/>
      <c r="U610" s="97"/>
      <c r="V610" s="97"/>
      <c r="W610" s="97"/>
      <c r="X610" s="97"/>
      <c r="Y610" s="97"/>
      <c r="Z610" s="97"/>
      <c r="AA610" s="97"/>
      <c r="AB610" s="97"/>
      <c r="AC610" s="97"/>
      <c r="AD610" s="97"/>
      <c r="AE610" s="97"/>
    </row>
    <row r="611" ht="14.25" customHeight="1">
      <c r="A611" s="59"/>
      <c r="B611" s="97"/>
      <c r="C611" s="97"/>
      <c r="D611" s="97"/>
      <c r="E611" s="97"/>
      <c r="F611" s="97"/>
      <c r="G611" s="97"/>
      <c r="H611" s="99"/>
      <c r="I611" s="123"/>
      <c r="J611" s="123"/>
      <c r="K611" s="97"/>
      <c r="L611" s="97"/>
      <c r="M611" s="66"/>
      <c r="N611" s="97"/>
      <c r="O611" s="97"/>
      <c r="P611" s="97"/>
      <c r="Q611" s="97"/>
      <c r="R611" s="97"/>
      <c r="S611" s="97"/>
      <c r="T611" s="97"/>
      <c r="U611" s="97"/>
      <c r="V611" s="97"/>
      <c r="W611" s="97"/>
      <c r="X611" s="97"/>
      <c r="Y611" s="97"/>
      <c r="Z611" s="97"/>
      <c r="AA611" s="97"/>
      <c r="AB611" s="97"/>
      <c r="AC611" s="97"/>
      <c r="AD611" s="97"/>
      <c r="AE611" s="97"/>
    </row>
    <row r="612" ht="14.25" customHeight="1">
      <c r="A612" s="59"/>
      <c r="B612" s="97"/>
      <c r="C612" s="97"/>
      <c r="D612" s="97"/>
      <c r="E612" s="97"/>
      <c r="F612" s="97"/>
      <c r="G612" s="97"/>
      <c r="H612" s="99"/>
      <c r="I612" s="123"/>
      <c r="J612" s="123"/>
      <c r="K612" s="97"/>
      <c r="L612" s="97"/>
      <c r="M612" s="66"/>
      <c r="N612" s="97"/>
      <c r="O612" s="97"/>
      <c r="P612" s="97"/>
      <c r="Q612" s="97"/>
      <c r="R612" s="97"/>
      <c r="S612" s="97"/>
      <c r="T612" s="97"/>
      <c r="U612" s="97"/>
      <c r="V612" s="97"/>
      <c r="W612" s="97"/>
      <c r="X612" s="97"/>
      <c r="Y612" s="97"/>
      <c r="Z612" s="97"/>
      <c r="AA612" s="97"/>
      <c r="AB612" s="97"/>
      <c r="AC612" s="97"/>
      <c r="AD612" s="97"/>
      <c r="AE612" s="97"/>
    </row>
    <row r="613" ht="14.25" customHeight="1">
      <c r="A613" s="59"/>
      <c r="B613" s="97"/>
      <c r="C613" s="97"/>
      <c r="D613" s="97"/>
      <c r="E613" s="97"/>
      <c r="F613" s="97"/>
      <c r="G613" s="97"/>
      <c r="H613" s="99"/>
      <c r="I613" s="123"/>
      <c r="J613" s="123"/>
      <c r="K613" s="97"/>
      <c r="L613" s="97"/>
      <c r="M613" s="66"/>
      <c r="N613" s="97"/>
      <c r="O613" s="97"/>
      <c r="P613" s="97"/>
      <c r="Q613" s="97"/>
      <c r="R613" s="97"/>
      <c r="S613" s="97"/>
      <c r="T613" s="97"/>
      <c r="U613" s="97"/>
      <c r="V613" s="97"/>
      <c r="W613" s="97"/>
      <c r="X613" s="97"/>
      <c r="Y613" s="97"/>
      <c r="Z613" s="97"/>
      <c r="AA613" s="97"/>
      <c r="AB613" s="97"/>
      <c r="AC613" s="97"/>
      <c r="AD613" s="97"/>
      <c r="AE613" s="97"/>
    </row>
    <row r="614" ht="14.25" customHeight="1">
      <c r="A614" s="59"/>
      <c r="B614" s="97"/>
      <c r="C614" s="97"/>
      <c r="D614" s="97"/>
      <c r="E614" s="97"/>
      <c r="F614" s="97"/>
      <c r="G614" s="97"/>
      <c r="H614" s="99"/>
      <c r="I614" s="123"/>
      <c r="J614" s="123"/>
      <c r="K614" s="97"/>
      <c r="L614" s="97"/>
      <c r="M614" s="66"/>
      <c r="N614" s="97"/>
      <c r="O614" s="97"/>
      <c r="P614" s="97"/>
      <c r="Q614" s="97"/>
      <c r="R614" s="97"/>
      <c r="S614" s="97"/>
      <c r="T614" s="97"/>
      <c r="U614" s="97"/>
      <c r="V614" s="97"/>
      <c r="W614" s="97"/>
      <c r="X614" s="97"/>
      <c r="Y614" s="97"/>
      <c r="Z614" s="97"/>
      <c r="AA614" s="97"/>
      <c r="AB614" s="97"/>
      <c r="AC614" s="97"/>
      <c r="AD614" s="97"/>
      <c r="AE614" s="97"/>
    </row>
    <row r="615" ht="14.25" customHeight="1">
      <c r="A615" s="59"/>
      <c r="B615" s="97"/>
      <c r="C615" s="97"/>
      <c r="D615" s="97"/>
      <c r="E615" s="97"/>
      <c r="F615" s="97"/>
      <c r="G615" s="97"/>
      <c r="H615" s="99"/>
      <c r="I615" s="123"/>
      <c r="J615" s="123"/>
      <c r="K615" s="97"/>
      <c r="L615" s="97"/>
      <c r="M615" s="66"/>
      <c r="N615" s="97"/>
      <c r="O615" s="97"/>
      <c r="P615" s="97"/>
      <c r="Q615" s="97"/>
      <c r="R615" s="97"/>
      <c r="S615" s="97"/>
      <c r="T615" s="97"/>
      <c r="U615" s="97"/>
      <c r="V615" s="97"/>
      <c r="W615" s="97"/>
      <c r="X615" s="97"/>
      <c r="Y615" s="97"/>
      <c r="Z615" s="97"/>
      <c r="AA615" s="97"/>
      <c r="AB615" s="97"/>
      <c r="AC615" s="97"/>
      <c r="AD615" s="97"/>
      <c r="AE615" s="97"/>
    </row>
    <row r="616" ht="14.25" customHeight="1">
      <c r="A616" s="59"/>
      <c r="B616" s="97"/>
      <c r="C616" s="97"/>
      <c r="D616" s="97"/>
      <c r="E616" s="97"/>
      <c r="F616" s="97"/>
      <c r="G616" s="97"/>
      <c r="H616" s="99"/>
      <c r="I616" s="123"/>
      <c r="J616" s="123"/>
      <c r="K616" s="97"/>
      <c r="L616" s="97"/>
      <c r="M616" s="66"/>
      <c r="N616" s="97"/>
      <c r="O616" s="97"/>
      <c r="P616" s="97"/>
      <c r="Q616" s="97"/>
      <c r="R616" s="97"/>
      <c r="S616" s="97"/>
      <c r="T616" s="97"/>
      <c r="U616" s="97"/>
      <c r="V616" s="97"/>
      <c r="W616" s="97"/>
      <c r="X616" s="97"/>
      <c r="Y616" s="97"/>
      <c r="Z616" s="97"/>
      <c r="AA616" s="97"/>
      <c r="AB616" s="97"/>
      <c r="AC616" s="97"/>
      <c r="AD616" s="97"/>
      <c r="AE616" s="97"/>
    </row>
    <row r="617" ht="14.25" customHeight="1">
      <c r="A617" s="59"/>
      <c r="B617" s="97"/>
      <c r="C617" s="97"/>
      <c r="D617" s="97"/>
      <c r="E617" s="97"/>
      <c r="F617" s="97"/>
      <c r="G617" s="97"/>
      <c r="H617" s="99"/>
      <c r="I617" s="123"/>
      <c r="J617" s="123"/>
      <c r="K617" s="97"/>
      <c r="L617" s="97"/>
      <c r="M617" s="66"/>
      <c r="N617" s="97"/>
      <c r="O617" s="97"/>
      <c r="P617" s="97"/>
      <c r="Q617" s="97"/>
      <c r="R617" s="97"/>
      <c r="S617" s="97"/>
      <c r="T617" s="97"/>
      <c r="U617" s="97"/>
      <c r="V617" s="97"/>
      <c r="W617" s="97"/>
      <c r="X617" s="97"/>
      <c r="Y617" s="97"/>
      <c r="Z617" s="97"/>
      <c r="AA617" s="97"/>
      <c r="AB617" s="97"/>
      <c r="AC617" s="97"/>
      <c r="AD617" s="97"/>
      <c r="AE617" s="97"/>
    </row>
    <row r="618" ht="14.25" customHeight="1">
      <c r="A618" s="59"/>
      <c r="B618" s="97"/>
      <c r="C618" s="97"/>
      <c r="D618" s="97"/>
      <c r="E618" s="97"/>
      <c r="F618" s="97"/>
      <c r="G618" s="97"/>
      <c r="H618" s="99"/>
      <c r="I618" s="123"/>
      <c r="J618" s="123"/>
      <c r="K618" s="97"/>
      <c r="L618" s="97"/>
      <c r="M618" s="66"/>
      <c r="N618" s="97"/>
      <c r="O618" s="97"/>
      <c r="P618" s="97"/>
      <c r="Q618" s="97"/>
      <c r="R618" s="97"/>
      <c r="S618" s="97"/>
      <c r="T618" s="97"/>
      <c r="U618" s="97"/>
      <c r="V618" s="97"/>
      <c r="W618" s="97"/>
      <c r="X618" s="97"/>
      <c r="Y618" s="97"/>
      <c r="Z618" s="97"/>
      <c r="AA618" s="97"/>
      <c r="AB618" s="97"/>
      <c r="AC618" s="97"/>
      <c r="AD618" s="97"/>
      <c r="AE618" s="97"/>
    </row>
    <row r="619" ht="14.25" customHeight="1">
      <c r="A619" s="59"/>
      <c r="B619" s="97"/>
      <c r="C619" s="97"/>
      <c r="D619" s="97"/>
      <c r="E619" s="97"/>
      <c r="F619" s="97"/>
      <c r="G619" s="97"/>
      <c r="H619" s="99"/>
      <c r="I619" s="123"/>
      <c r="J619" s="123"/>
      <c r="K619" s="97"/>
      <c r="L619" s="97"/>
      <c r="M619" s="66"/>
      <c r="N619" s="97"/>
      <c r="O619" s="97"/>
      <c r="P619" s="97"/>
      <c r="Q619" s="97"/>
      <c r="R619" s="97"/>
      <c r="S619" s="97"/>
      <c r="T619" s="97"/>
      <c r="U619" s="97"/>
      <c r="V619" s="97"/>
      <c r="W619" s="97"/>
      <c r="X619" s="97"/>
      <c r="Y619" s="97"/>
      <c r="Z619" s="97"/>
      <c r="AA619" s="97"/>
      <c r="AB619" s="97"/>
      <c r="AC619" s="97"/>
      <c r="AD619" s="97"/>
      <c r="AE619" s="97"/>
    </row>
    <row r="620" ht="14.25" customHeight="1">
      <c r="A620" s="59"/>
      <c r="B620" s="97"/>
      <c r="C620" s="97"/>
      <c r="D620" s="97"/>
      <c r="E620" s="97"/>
      <c r="F620" s="97"/>
      <c r="G620" s="97"/>
      <c r="H620" s="99"/>
      <c r="I620" s="123"/>
      <c r="J620" s="123"/>
      <c r="K620" s="97"/>
      <c r="L620" s="97"/>
      <c r="M620" s="66"/>
      <c r="N620" s="97"/>
      <c r="O620" s="97"/>
      <c r="P620" s="97"/>
      <c r="Q620" s="97"/>
      <c r="R620" s="97"/>
      <c r="S620" s="97"/>
      <c r="T620" s="97"/>
      <c r="U620" s="97"/>
      <c r="V620" s="97"/>
      <c r="W620" s="97"/>
      <c r="X620" s="97"/>
      <c r="Y620" s="97"/>
      <c r="Z620" s="97"/>
      <c r="AA620" s="97"/>
      <c r="AB620" s="97"/>
      <c r="AC620" s="97"/>
      <c r="AD620" s="97"/>
      <c r="AE620" s="97"/>
    </row>
    <row r="621" ht="14.25" customHeight="1">
      <c r="A621" s="59"/>
      <c r="B621" s="97"/>
      <c r="C621" s="97"/>
      <c r="D621" s="97"/>
      <c r="E621" s="97"/>
      <c r="F621" s="97"/>
      <c r="G621" s="97"/>
      <c r="H621" s="99"/>
      <c r="I621" s="123"/>
      <c r="J621" s="123"/>
      <c r="K621" s="97"/>
      <c r="L621" s="97"/>
      <c r="M621" s="66"/>
      <c r="N621" s="97"/>
      <c r="O621" s="97"/>
      <c r="P621" s="97"/>
      <c r="Q621" s="97"/>
      <c r="R621" s="97"/>
      <c r="S621" s="97"/>
      <c r="T621" s="97"/>
      <c r="U621" s="97"/>
      <c r="V621" s="97"/>
      <c r="W621" s="97"/>
      <c r="X621" s="97"/>
      <c r="Y621" s="97"/>
      <c r="Z621" s="97"/>
      <c r="AA621" s="97"/>
      <c r="AB621" s="97"/>
      <c r="AC621" s="97"/>
      <c r="AD621" s="97"/>
      <c r="AE621" s="97"/>
    </row>
    <row r="622" ht="14.25" customHeight="1">
      <c r="A622" s="59"/>
      <c r="B622" s="97"/>
      <c r="C622" s="97"/>
      <c r="D622" s="97"/>
      <c r="E622" s="97"/>
      <c r="F622" s="97"/>
      <c r="G622" s="97"/>
      <c r="H622" s="99"/>
      <c r="I622" s="123"/>
      <c r="J622" s="123"/>
      <c r="K622" s="97"/>
      <c r="L622" s="97"/>
      <c r="M622" s="66"/>
      <c r="N622" s="97"/>
      <c r="O622" s="97"/>
      <c r="P622" s="97"/>
      <c r="Q622" s="97"/>
      <c r="R622" s="97"/>
      <c r="S622" s="97"/>
      <c r="T622" s="97"/>
      <c r="U622" s="97"/>
      <c r="V622" s="97"/>
      <c r="W622" s="97"/>
      <c r="X622" s="97"/>
      <c r="Y622" s="97"/>
      <c r="Z622" s="97"/>
      <c r="AA622" s="97"/>
      <c r="AB622" s="97"/>
      <c r="AC622" s="97"/>
      <c r="AD622" s="97"/>
      <c r="AE622" s="97"/>
    </row>
    <row r="623" ht="14.25" customHeight="1">
      <c r="A623" s="59"/>
      <c r="B623" s="97"/>
      <c r="C623" s="97"/>
      <c r="D623" s="97"/>
      <c r="E623" s="97"/>
      <c r="F623" s="97"/>
      <c r="G623" s="97"/>
      <c r="H623" s="99"/>
      <c r="I623" s="123"/>
      <c r="J623" s="123"/>
      <c r="K623" s="97"/>
      <c r="L623" s="97"/>
      <c r="M623" s="66"/>
      <c r="N623" s="97"/>
      <c r="O623" s="97"/>
      <c r="P623" s="97"/>
      <c r="Q623" s="97"/>
      <c r="R623" s="97"/>
      <c r="S623" s="97"/>
      <c r="T623" s="97"/>
      <c r="U623" s="97"/>
      <c r="V623" s="97"/>
      <c r="W623" s="97"/>
      <c r="X623" s="97"/>
      <c r="Y623" s="97"/>
      <c r="Z623" s="97"/>
      <c r="AA623" s="97"/>
      <c r="AB623" s="97"/>
      <c r="AC623" s="97"/>
      <c r="AD623" s="97"/>
      <c r="AE623" s="97"/>
    </row>
    <row r="624" ht="14.25" customHeight="1">
      <c r="A624" s="59"/>
      <c r="B624" s="97"/>
      <c r="C624" s="97"/>
      <c r="D624" s="97"/>
      <c r="E624" s="97"/>
      <c r="F624" s="97"/>
      <c r="G624" s="97"/>
      <c r="H624" s="99"/>
      <c r="I624" s="123"/>
      <c r="J624" s="123"/>
      <c r="K624" s="97"/>
      <c r="L624" s="97"/>
      <c r="M624" s="66"/>
      <c r="N624" s="97"/>
      <c r="O624" s="97"/>
      <c r="P624" s="97"/>
      <c r="Q624" s="97"/>
      <c r="R624" s="97"/>
      <c r="S624" s="97"/>
      <c r="T624" s="97"/>
      <c r="U624" s="97"/>
      <c r="V624" s="97"/>
      <c r="W624" s="97"/>
      <c r="X624" s="97"/>
      <c r="Y624" s="97"/>
      <c r="Z624" s="97"/>
      <c r="AA624" s="97"/>
      <c r="AB624" s="97"/>
      <c r="AC624" s="97"/>
      <c r="AD624" s="97"/>
      <c r="AE624" s="97"/>
    </row>
    <row r="625" ht="14.25" customHeight="1">
      <c r="A625" s="59"/>
      <c r="B625" s="97"/>
      <c r="C625" s="97"/>
      <c r="D625" s="97"/>
      <c r="E625" s="97"/>
      <c r="F625" s="97"/>
      <c r="G625" s="97"/>
      <c r="H625" s="99"/>
      <c r="I625" s="123"/>
      <c r="J625" s="123"/>
      <c r="K625" s="97"/>
      <c r="L625" s="97"/>
      <c r="M625" s="66"/>
      <c r="N625" s="97"/>
      <c r="O625" s="97"/>
      <c r="P625" s="97"/>
      <c r="Q625" s="97"/>
      <c r="R625" s="97"/>
      <c r="S625" s="97"/>
      <c r="T625" s="97"/>
      <c r="U625" s="97"/>
      <c r="V625" s="97"/>
      <c r="W625" s="97"/>
      <c r="X625" s="97"/>
      <c r="Y625" s="97"/>
      <c r="Z625" s="97"/>
      <c r="AA625" s="97"/>
      <c r="AB625" s="97"/>
      <c r="AC625" s="97"/>
      <c r="AD625" s="97"/>
      <c r="AE625" s="97"/>
    </row>
    <row r="626" ht="14.25" customHeight="1">
      <c r="A626" s="59"/>
      <c r="B626" s="97"/>
      <c r="C626" s="97"/>
      <c r="D626" s="97"/>
      <c r="E626" s="97"/>
      <c r="F626" s="97"/>
      <c r="G626" s="97"/>
      <c r="H626" s="99"/>
      <c r="I626" s="123"/>
      <c r="J626" s="123"/>
      <c r="K626" s="97"/>
      <c r="L626" s="97"/>
      <c r="M626" s="66"/>
      <c r="N626" s="97"/>
      <c r="O626" s="97"/>
      <c r="P626" s="97"/>
      <c r="Q626" s="97"/>
      <c r="R626" s="97"/>
      <c r="S626" s="97"/>
      <c r="T626" s="97"/>
      <c r="U626" s="97"/>
      <c r="V626" s="97"/>
      <c r="W626" s="97"/>
      <c r="X626" s="97"/>
      <c r="Y626" s="97"/>
      <c r="Z626" s="97"/>
      <c r="AA626" s="97"/>
      <c r="AB626" s="97"/>
      <c r="AC626" s="97"/>
      <c r="AD626" s="97"/>
      <c r="AE626" s="97"/>
    </row>
    <row r="627" ht="14.25" customHeight="1">
      <c r="A627" s="59"/>
      <c r="B627" s="97"/>
      <c r="C627" s="97"/>
      <c r="D627" s="97"/>
      <c r="E627" s="97"/>
      <c r="F627" s="97"/>
      <c r="G627" s="97"/>
      <c r="H627" s="99"/>
      <c r="I627" s="123"/>
      <c r="J627" s="123"/>
      <c r="K627" s="97"/>
      <c r="L627" s="97"/>
      <c r="M627" s="66"/>
      <c r="N627" s="97"/>
      <c r="O627" s="97"/>
      <c r="P627" s="97"/>
      <c r="Q627" s="97"/>
      <c r="R627" s="97"/>
      <c r="S627" s="97"/>
      <c r="T627" s="97"/>
      <c r="U627" s="97"/>
      <c r="V627" s="97"/>
      <c r="W627" s="97"/>
      <c r="X627" s="97"/>
      <c r="Y627" s="97"/>
      <c r="Z627" s="97"/>
      <c r="AA627" s="97"/>
      <c r="AB627" s="97"/>
      <c r="AC627" s="97"/>
      <c r="AD627" s="97"/>
      <c r="AE627" s="97"/>
    </row>
    <row r="628" ht="14.25" customHeight="1">
      <c r="A628" s="59"/>
      <c r="B628" s="97"/>
      <c r="C628" s="97"/>
      <c r="D628" s="97"/>
      <c r="E628" s="97"/>
      <c r="F628" s="97"/>
      <c r="G628" s="97"/>
      <c r="H628" s="99"/>
      <c r="I628" s="123"/>
      <c r="J628" s="123"/>
      <c r="K628" s="97"/>
      <c r="L628" s="97"/>
      <c r="M628" s="66"/>
      <c r="N628" s="97"/>
      <c r="O628" s="97"/>
      <c r="P628" s="97"/>
      <c r="Q628" s="97"/>
      <c r="R628" s="97"/>
      <c r="S628" s="97"/>
      <c r="T628" s="97"/>
      <c r="U628" s="97"/>
      <c r="V628" s="97"/>
      <c r="W628" s="97"/>
      <c r="X628" s="97"/>
      <c r="Y628" s="97"/>
      <c r="Z628" s="97"/>
      <c r="AA628" s="97"/>
      <c r="AB628" s="97"/>
      <c r="AC628" s="97"/>
      <c r="AD628" s="97"/>
      <c r="AE628" s="97"/>
    </row>
    <row r="629" ht="14.25" customHeight="1">
      <c r="A629" s="59"/>
      <c r="B629" s="97"/>
      <c r="C629" s="97"/>
      <c r="D629" s="97"/>
      <c r="E629" s="97"/>
      <c r="F629" s="97"/>
      <c r="G629" s="97"/>
      <c r="H629" s="99"/>
      <c r="I629" s="123"/>
      <c r="J629" s="123"/>
      <c r="K629" s="97"/>
      <c r="L629" s="97"/>
      <c r="M629" s="66"/>
      <c r="N629" s="97"/>
      <c r="O629" s="97"/>
      <c r="P629" s="97"/>
      <c r="Q629" s="97"/>
      <c r="R629" s="97"/>
      <c r="S629" s="97"/>
      <c r="T629" s="97"/>
      <c r="U629" s="97"/>
      <c r="V629" s="97"/>
      <c r="W629" s="97"/>
      <c r="X629" s="97"/>
      <c r="Y629" s="97"/>
      <c r="Z629" s="97"/>
      <c r="AA629" s="97"/>
      <c r="AB629" s="97"/>
      <c r="AC629" s="97"/>
      <c r="AD629" s="97"/>
      <c r="AE629" s="97"/>
    </row>
    <row r="630" ht="14.25" customHeight="1">
      <c r="A630" s="59"/>
      <c r="B630" s="97"/>
      <c r="C630" s="97"/>
      <c r="D630" s="97"/>
      <c r="E630" s="97"/>
      <c r="F630" s="97"/>
      <c r="G630" s="97"/>
      <c r="H630" s="99"/>
      <c r="I630" s="123"/>
      <c r="J630" s="123"/>
      <c r="K630" s="97"/>
      <c r="L630" s="97"/>
      <c r="M630" s="66"/>
      <c r="N630" s="97"/>
      <c r="O630" s="97"/>
      <c r="P630" s="97"/>
      <c r="Q630" s="97"/>
      <c r="R630" s="97"/>
      <c r="S630" s="97"/>
      <c r="T630" s="97"/>
      <c r="U630" s="97"/>
      <c r="V630" s="97"/>
      <c r="W630" s="97"/>
      <c r="X630" s="97"/>
      <c r="Y630" s="97"/>
      <c r="Z630" s="97"/>
      <c r="AA630" s="97"/>
      <c r="AB630" s="97"/>
      <c r="AC630" s="97"/>
      <c r="AD630" s="97"/>
      <c r="AE630" s="97"/>
    </row>
    <row r="631" ht="14.25" customHeight="1">
      <c r="A631" s="59"/>
      <c r="B631" s="97"/>
      <c r="C631" s="97"/>
      <c r="D631" s="97"/>
      <c r="E631" s="97"/>
      <c r="F631" s="97"/>
      <c r="G631" s="97"/>
      <c r="H631" s="99"/>
      <c r="I631" s="123"/>
      <c r="J631" s="123"/>
      <c r="K631" s="97"/>
      <c r="L631" s="97"/>
      <c r="M631" s="66"/>
      <c r="N631" s="97"/>
      <c r="O631" s="97"/>
      <c r="P631" s="97"/>
      <c r="Q631" s="97"/>
      <c r="R631" s="97"/>
      <c r="S631" s="97"/>
      <c r="T631" s="97"/>
      <c r="U631" s="97"/>
      <c r="V631" s="97"/>
      <c r="W631" s="97"/>
      <c r="X631" s="97"/>
      <c r="Y631" s="97"/>
      <c r="Z631" s="97"/>
      <c r="AA631" s="97"/>
      <c r="AB631" s="97"/>
      <c r="AC631" s="97"/>
      <c r="AD631" s="97"/>
      <c r="AE631" s="97"/>
    </row>
    <row r="632" ht="14.25" customHeight="1">
      <c r="A632" s="59"/>
      <c r="B632" s="97"/>
      <c r="C632" s="97"/>
      <c r="D632" s="97"/>
      <c r="E632" s="97"/>
      <c r="F632" s="97"/>
      <c r="G632" s="97"/>
      <c r="H632" s="99"/>
      <c r="I632" s="123"/>
      <c r="J632" s="123"/>
      <c r="K632" s="97"/>
      <c r="L632" s="97"/>
      <c r="M632" s="66"/>
      <c r="N632" s="97"/>
      <c r="O632" s="97"/>
      <c r="P632" s="97"/>
      <c r="Q632" s="97"/>
      <c r="R632" s="97"/>
      <c r="S632" s="97"/>
      <c r="T632" s="97"/>
      <c r="U632" s="97"/>
      <c r="V632" s="97"/>
      <c r="W632" s="97"/>
      <c r="X632" s="97"/>
      <c r="Y632" s="97"/>
      <c r="Z632" s="97"/>
      <c r="AA632" s="97"/>
      <c r="AB632" s="97"/>
      <c r="AC632" s="97"/>
      <c r="AD632" s="97"/>
      <c r="AE632" s="97"/>
    </row>
    <row r="633" ht="14.25" customHeight="1">
      <c r="A633" s="59"/>
      <c r="B633" s="97"/>
      <c r="C633" s="97"/>
      <c r="D633" s="97"/>
      <c r="E633" s="97"/>
      <c r="F633" s="97"/>
      <c r="G633" s="97"/>
      <c r="H633" s="99"/>
      <c r="I633" s="123"/>
      <c r="J633" s="123"/>
      <c r="K633" s="97"/>
      <c r="L633" s="97"/>
      <c r="M633" s="66"/>
      <c r="N633" s="97"/>
      <c r="O633" s="97"/>
      <c r="P633" s="97"/>
      <c r="Q633" s="97"/>
      <c r="R633" s="97"/>
      <c r="S633" s="97"/>
      <c r="T633" s="97"/>
      <c r="U633" s="97"/>
      <c r="V633" s="97"/>
      <c r="W633" s="97"/>
      <c r="X633" s="97"/>
      <c r="Y633" s="97"/>
      <c r="Z633" s="97"/>
      <c r="AA633" s="97"/>
      <c r="AB633" s="97"/>
      <c r="AC633" s="97"/>
      <c r="AD633" s="97"/>
      <c r="AE633" s="97"/>
    </row>
    <row r="634" ht="14.25" customHeight="1">
      <c r="A634" s="59"/>
      <c r="B634" s="97"/>
      <c r="C634" s="97"/>
      <c r="D634" s="97"/>
      <c r="E634" s="97"/>
      <c r="F634" s="97"/>
      <c r="G634" s="97"/>
      <c r="H634" s="99"/>
      <c r="I634" s="123"/>
      <c r="J634" s="123"/>
      <c r="K634" s="97"/>
      <c r="L634" s="97"/>
      <c r="M634" s="66"/>
      <c r="N634" s="97"/>
      <c r="O634" s="97"/>
      <c r="P634" s="97"/>
      <c r="Q634" s="97"/>
      <c r="R634" s="97"/>
      <c r="S634" s="97"/>
      <c r="T634" s="97"/>
      <c r="U634" s="97"/>
      <c r="V634" s="97"/>
      <c r="W634" s="97"/>
      <c r="X634" s="97"/>
      <c r="Y634" s="97"/>
      <c r="Z634" s="97"/>
      <c r="AA634" s="97"/>
      <c r="AB634" s="97"/>
      <c r="AC634" s="97"/>
      <c r="AD634" s="97"/>
      <c r="AE634" s="97"/>
    </row>
    <row r="635" ht="14.25" customHeight="1">
      <c r="A635" s="59"/>
      <c r="B635" s="97"/>
      <c r="C635" s="97"/>
      <c r="D635" s="97"/>
      <c r="E635" s="97"/>
      <c r="F635" s="97"/>
      <c r="G635" s="97"/>
      <c r="H635" s="99"/>
      <c r="I635" s="123"/>
      <c r="J635" s="123"/>
      <c r="K635" s="97"/>
      <c r="L635" s="97"/>
      <c r="M635" s="66"/>
      <c r="N635" s="97"/>
      <c r="O635" s="97"/>
      <c r="P635" s="97"/>
      <c r="Q635" s="97"/>
      <c r="R635" s="97"/>
      <c r="S635" s="97"/>
      <c r="T635" s="97"/>
      <c r="U635" s="97"/>
      <c r="V635" s="97"/>
      <c r="W635" s="97"/>
      <c r="X635" s="97"/>
      <c r="Y635" s="97"/>
      <c r="Z635" s="97"/>
      <c r="AA635" s="97"/>
      <c r="AB635" s="97"/>
      <c r="AC635" s="97"/>
      <c r="AD635" s="97"/>
      <c r="AE635" s="97"/>
    </row>
    <row r="636" ht="14.25" customHeight="1">
      <c r="A636" s="59"/>
      <c r="B636" s="97"/>
      <c r="C636" s="97"/>
      <c r="D636" s="97"/>
      <c r="E636" s="97"/>
      <c r="F636" s="97"/>
      <c r="G636" s="97"/>
      <c r="H636" s="99"/>
      <c r="I636" s="123"/>
      <c r="J636" s="123"/>
      <c r="K636" s="97"/>
      <c r="L636" s="97"/>
      <c r="M636" s="66"/>
      <c r="N636" s="97"/>
      <c r="O636" s="97"/>
      <c r="P636" s="97"/>
      <c r="Q636" s="97"/>
      <c r="R636" s="97"/>
      <c r="S636" s="97"/>
      <c r="T636" s="97"/>
      <c r="U636" s="97"/>
      <c r="V636" s="97"/>
      <c r="W636" s="97"/>
      <c r="X636" s="97"/>
      <c r="Y636" s="97"/>
      <c r="Z636" s="97"/>
      <c r="AA636" s="97"/>
      <c r="AB636" s="97"/>
      <c r="AC636" s="97"/>
      <c r="AD636" s="97"/>
      <c r="AE636" s="97"/>
    </row>
    <row r="637" ht="14.25" customHeight="1">
      <c r="A637" s="59"/>
      <c r="B637" s="97"/>
      <c r="C637" s="97"/>
      <c r="D637" s="97"/>
      <c r="E637" s="97"/>
      <c r="F637" s="97"/>
      <c r="G637" s="97"/>
      <c r="H637" s="99"/>
      <c r="I637" s="123"/>
      <c r="J637" s="123"/>
      <c r="K637" s="97"/>
      <c r="L637" s="97"/>
      <c r="M637" s="66"/>
      <c r="N637" s="97"/>
      <c r="O637" s="97"/>
      <c r="P637" s="97"/>
      <c r="Q637" s="97"/>
      <c r="R637" s="97"/>
      <c r="S637" s="97"/>
      <c r="T637" s="97"/>
      <c r="U637" s="97"/>
      <c r="V637" s="97"/>
      <c r="W637" s="97"/>
      <c r="X637" s="97"/>
      <c r="Y637" s="97"/>
      <c r="Z637" s="97"/>
      <c r="AA637" s="97"/>
      <c r="AB637" s="97"/>
      <c r="AC637" s="97"/>
      <c r="AD637" s="97"/>
      <c r="AE637" s="97"/>
    </row>
    <row r="638" ht="14.25" customHeight="1">
      <c r="A638" s="59"/>
      <c r="B638" s="97"/>
      <c r="C638" s="97"/>
      <c r="D638" s="97"/>
      <c r="E638" s="97"/>
      <c r="F638" s="97"/>
      <c r="G638" s="97"/>
      <c r="H638" s="99"/>
      <c r="I638" s="123"/>
      <c r="J638" s="123"/>
      <c r="K638" s="97"/>
      <c r="L638" s="97"/>
      <c r="M638" s="66"/>
      <c r="N638" s="97"/>
      <c r="O638" s="97"/>
      <c r="P638" s="97"/>
      <c r="Q638" s="97"/>
      <c r="R638" s="97"/>
      <c r="S638" s="97"/>
      <c r="T638" s="97"/>
      <c r="U638" s="97"/>
      <c r="V638" s="97"/>
      <c r="W638" s="97"/>
      <c r="X638" s="97"/>
      <c r="Y638" s="97"/>
      <c r="Z638" s="97"/>
      <c r="AA638" s="97"/>
      <c r="AB638" s="97"/>
      <c r="AC638" s="97"/>
      <c r="AD638" s="97"/>
      <c r="AE638" s="97"/>
    </row>
    <row r="639" ht="14.25" customHeight="1">
      <c r="A639" s="59"/>
      <c r="B639" s="97"/>
      <c r="C639" s="97"/>
      <c r="D639" s="97"/>
      <c r="E639" s="97"/>
      <c r="F639" s="97"/>
      <c r="G639" s="97"/>
      <c r="H639" s="99"/>
      <c r="I639" s="123"/>
      <c r="J639" s="123"/>
      <c r="K639" s="97"/>
      <c r="L639" s="97"/>
      <c r="M639" s="66"/>
      <c r="N639" s="97"/>
      <c r="O639" s="97"/>
      <c r="P639" s="97"/>
      <c r="Q639" s="97"/>
      <c r="R639" s="97"/>
      <c r="S639" s="97"/>
      <c r="T639" s="97"/>
      <c r="U639" s="97"/>
      <c r="V639" s="97"/>
      <c r="W639" s="97"/>
      <c r="X639" s="97"/>
      <c r="Y639" s="97"/>
      <c r="Z639" s="97"/>
      <c r="AA639" s="97"/>
      <c r="AB639" s="97"/>
      <c r="AC639" s="97"/>
      <c r="AD639" s="97"/>
      <c r="AE639" s="97"/>
    </row>
    <row r="640" ht="14.25" customHeight="1">
      <c r="A640" s="59"/>
      <c r="B640" s="97"/>
      <c r="C640" s="97"/>
      <c r="D640" s="97"/>
      <c r="E640" s="97"/>
      <c r="F640" s="97"/>
      <c r="G640" s="97"/>
      <c r="H640" s="99"/>
      <c r="I640" s="123"/>
      <c r="J640" s="123"/>
      <c r="K640" s="97"/>
      <c r="L640" s="97"/>
      <c r="M640" s="66"/>
      <c r="N640" s="97"/>
      <c r="O640" s="97"/>
      <c r="P640" s="97"/>
      <c r="Q640" s="97"/>
      <c r="R640" s="97"/>
      <c r="S640" s="97"/>
      <c r="T640" s="97"/>
      <c r="U640" s="97"/>
      <c r="V640" s="97"/>
      <c r="W640" s="97"/>
      <c r="X640" s="97"/>
      <c r="Y640" s="97"/>
      <c r="Z640" s="97"/>
      <c r="AA640" s="97"/>
      <c r="AB640" s="97"/>
      <c r="AC640" s="97"/>
      <c r="AD640" s="97"/>
      <c r="AE640" s="97"/>
    </row>
    <row r="641" ht="14.25" customHeight="1">
      <c r="A641" s="59"/>
      <c r="B641" s="97"/>
      <c r="C641" s="97"/>
      <c r="D641" s="97"/>
      <c r="E641" s="97"/>
      <c r="F641" s="97"/>
      <c r="G641" s="97"/>
      <c r="H641" s="99"/>
      <c r="I641" s="123"/>
      <c r="J641" s="123"/>
      <c r="K641" s="97"/>
      <c r="L641" s="97"/>
      <c r="M641" s="66"/>
      <c r="N641" s="97"/>
      <c r="O641" s="97"/>
      <c r="P641" s="97"/>
      <c r="Q641" s="97"/>
      <c r="R641" s="97"/>
      <c r="S641" s="97"/>
      <c r="T641" s="97"/>
      <c r="U641" s="97"/>
      <c r="V641" s="97"/>
      <c r="W641" s="97"/>
      <c r="X641" s="97"/>
      <c r="Y641" s="97"/>
      <c r="Z641" s="97"/>
      <c r="AA641" s="97"/>
      <c r="AB641" s="97"/>
      <c r="AC641" s="97"/>
      <c r="AD641" s="97"/>
      <c r="AE641" s="97"/>
    </row>
    <row r="642" ht="14.25" customHeight="1">
      <c r="A642" s="59"/>
      <c r="B642" s="97"/>
      <c r="C642" s="97"/>
      <c r="D642" s="97"/>
      <c r="E642" s="97"/>
      <c r="F642" s="97"/>
      <c r="G642" s="97"/>
      <c r="H642" s="99"/>
      <c r="I642" s="123"/>
      <c r="J642" s="123"/>
      <c r="K642" s="97"/>
      <c r="L642" s="97"/>
      <c r="M642" s="66"/>
      <c r="N642" s="97"/>
      <c r="O642" s="97"/>
      <c r="P642" s="97"/>
      <c r="Q642" s="97"/>
      <c r="R642" s="97"/>
      <c r="S642" s="97"/>
      <c r="T642" s="97"/>
      <c r="U642" s="97"/>
      <c r="V642" s="97"/>
      <c r="W642" s="97"/>
      <c r="X642" s="97"/>
      <c r="Y642" s="97"/>
      <c r="Z642" s="97"/>
      <c r="AA642" s="97"/>
      <c r="AB642" s="97"/>
      <c r="AC642" s="97"/>
      <c r="AD642" s="97"/>
      <c r="AE642" s="97"/>
    </row>
    <row r="643" ht="14.25" customHeight="1">
      <c r="A643" s="59"/>
      <c r="B643" s="97"/>
      <c r="C643" s="97"/>
      <c r="D643" s="97"/>
      <c r="E643" s="97"/>
      <c r="F643" s="97"/>
      <c r="G643" s="97"/>
      <c r="H643" s="99"/>
      <c r="I643" s="123"/>
      <c r="J643" s="123"/>
      <c r="K643" s="97"/>
      <c r="L643" s="97"/>
      <c r="M643" s="66"/>
      <c r="N643" s="97"/>
      <c r="O643" s="97"/>
      <c r="P643" s="97"/>
      <c r="Q643" s="97"/>
      <c r="R643" s="97"/>
      <c r="S643" s="97"/>
      <c r="T643" s="97"/>
      <c r="U643" s="97"/>
      <c r="V643" s="97"/>
      <c r="W643" s="97"/>
      <c r="X643" s="97"/>
      <c r="Y643" s="97"/>
      <c r="Z643" s="97"/>
      <c r="AA643" s="97"/>
      <c r="AB643" s="97"/>
      <c r="AC643" s="97"/>
      <c r="AD643" s="97"/>
      <c r="AE643" s="97"/>
    </row>
    <row r="644" ht="14.25" customHeight="1">
      <c r="A644" s="59"/>
      <c r="B644" s="97"/>
      <c r="C644" s="97"/>
      <c r="D644" s="97"/>
      <c r="E644" s="97"/>
      <c r="F644" s="97"/>
      <c r="G644" s="97"/>
      <c r="H644" s="99"/>
      <c r="I644" s="123"/>
      <c r="J644" s="123"/>
      <c r="K644" s="97"/>
      <c r="L644" s="97"/>
      <c r="M644" s="66"/>
      <c r="N644" s="97"/>
      <c r="O644" s="97"/>
      <c r="P644" s="97"/>
      <c r="Q644" s="97"/>
      <c r="R644" s="97"/>
      <c r="S644" s="97"/>
      <c r="T644" s="97"/>
      <c r="U644" s="97"/>
      <c r="V644" s="97"/>
      <c r="W644" s="97"/>
      <c r="X644" s="97"/>
      <c r="Y644" s="97"/>
      <c r="Z644" s="97"/>
      <c r="AA644" s="97"/>
      <c r="AB644" s="97"/>
      <c r="AC644" s="97"/>
      <c r="AD644" s="97"/>
      <c r="AE644" s="97"/>
    </row>
    <row r="645" ht="14.25" customHeight="1">
      <c r="A645" s="59"/>
      <c r="B645" s="97"/>
      <c r="C645" s="97"/>
      <c r="D645" s="97"/>
      <c r="E645" s="97"/>
      <c r="F645" s="97"/>
      <c r="G645" s="97"/>
      <c r="H645" s="99"/>
      <c r="I645" s="123"/>
      <c r="J645" s="123"/>
      <c r="K645" s="97"/>
      <c r="L645" s="97"/>
      <c r="M645" s="66"/>
      <c r="N645" s="97"/>
      <c r="O645" s="97"/>
      <c r="P645" s="97"/>
      <c r="Q645" s="97"/>
      <c r="R645" s="97"/>
      <c r="S645" s="97"/>
      <c r="T645" s="97"/>
      <c r="U645" s="97"/>
      <c r="V645" s="97"/>
      <c r="W645" s="97"/>
      <c r="X645" s="97"/>
      <c r="Y645" s="97"/>
      <c r="Z645" s="97"/>
      <c r="AA645" s="97"/>
      <c r="AB645" s="97"/>
      <c r="AC645" s="97"/>
      <c r="AD645" s="97"/>
      <c r="AE645" s="97"/>
    </row>
    <row r="646" ht="14.25" customHeight="1">
      <c r="A646" s="59"/>
      <c r="B646" s="97"/>
      <c r="C646" s="97"/>
      <c r="D646" s="97"/>
      <c r="E646" s="97"/>
      <c r="F646" s="97"/>
      <c r="G646" s="97"/>
      <c r="H646" s="99"/>
      <c r="I646" s="123"/>
      <c r="J646" s="123"/>
      <c r="K646" s="97"/>
      <c r="L646" s="97"/>
      <c r="M646" s="66"/>
      <c r="N646" s="97"/>
      <c r="O646" s="97"/>
      <c r="P646" s="97"/>
      <c r="Q646" s="97"/>
      <c r="R646" s="97"/>
      <c r="S646" s="97"/>
      <c r="T646" s="97"/>
      <c r="U646" s="97"/>
      <c r="V646" s="97"/>
      <c r="W646" s="97"/>
      <c r="X646" s="97"/>
      <c r="Y646" s="97"/>
      <c r="Z646" s="97"/>
      <c r="AA646" s="97"/>
      <c r="AB646" s="97"/>
      <c r="AC646" s="97"/>
      <c r="AD646" s="97"/>
      <c r="AE646" s="97"/>
    </row>
    <row r="647" ht="14.25" customHeight="1">
      <c r="A647" s="59"/>
      <c r="B647" s="97"/>
      <c r="C647" s="97"/>
      <c r="D647" s="97"/>
      <c r="E647" s="97"/>
      <c r="F647" s="97"/>
      <c r="G647" s="97"/>
      <c r="H647" s="99"/>
      <c r="I647" s="123"/>
      <c r="J647" s="123"/>
      <c r="K647" s="97"/>
      <c r="L647" s="97"/>
      <c r="M647" s="66"/>
      <c r="N647" s="97"/>
      <c r="O647" s="97"/>
      <c r="P647" s="97"/>
      <c r="Q647" s="97"/>
      <c r="R647" s="97"/>
      <c r="S647" s="97"/>
      <c r="T647" s="97"/>
      <c r="U647" s="97"/>
      <c r="V647" s="97"/>
      <c r="W647" s="97"/>
      <c r="X647" s="97"/>
      <c r="Y647" s="97"/>
      <c r="Z647" s="97"/>
      <c r="AA647" s="97"/>
      <c r="AB647" s="97"/>
      <c r="AC647" s="97"/>
      <c r="AD647" s="97"/>
      <c r="AE647" s="97"/>
    </row>
    <row r="648" ht="14.25" customHeight="1">
      <c r="A648" s="59"/>
      <c r="B648" s="97"/>
      <c r="C648" s="97"/>
      <c r="D648" s="97"/>
      <c r="E648" s="97"/>
      <c r="F648" s="97"/>
      <c r="G648" s="97"/>
      <c r="H648" s="99"/>
      <c r="I648" s="123"/>
      <c r="J648" s="123"/>
      <c r="K648" s="97"/>
      <c r="L648" s="97"/>
      <c r="M648" s="66"/>
      <c r="N648" s="97"/>
      <c r="O648" s="97"/>
      <c r="P648" s="97"/>
      <c r="Q648" s="97"/>
      <c r="R648" s="97"/>
      <c r="S648" s="97"/>
      <c r="T648" s="97"/>
      <c r="U648" s="97"/>
      <c r="V648" s="97"/>
      <c r="W648" s="97"/>
      <c r="X648" s="97"/>
      <c r="Y648" s="97"/>
      <c r="Z648" s="97"/>
      <c r="AA648" s="97"/>
      <c r="AB648" s="97"/>
      <c r="AC648" s="97"/>
      <c r="AD648" s="97"/>
      <c r="AE648" s="97"/>
    </row>
    <row r="649" ht="14.25" customHeight="1">
      <c r="A649" s="59"/>
      <c r="B649" s="97"/>
      <c r="C649" s="97"/>
      <c r="D649" s="97"/>
      <c r="E649" s="97"/>
      <c r="F649" s="97"/>
      <c r="G649" s="97"/>
      <c r="H649" s="99"/>
      <c r="I649" s="123"/>
      <c r="J649" s="123"/>
      <c r="K649" s="97"/>
      <c r="L649" s="97"/>
      <c r="M649" s="66"/>
      <c r="N649" s="97"/>
      <c r="O649" s="97"/>
      <c r="P649" s="97"/>
      <c r="Q649" s="97"/>
      <c r="R649" s="97"/>
      <c r="S649" s="97"/>
      <c r="T649" s="97"/>
      <c r="U649" s="97"/>
      <c r="V649" s="97"/>
      <c r="W649" s="97"/>
      <c r="X649" s="97"/>
      <c r="Y649" s="97"/>
      <c r="Z649" s="97"/>
      <c r="AA649" s="97"/>
      <c r="AB649" s="97"/>
      <c r="AC649" s="97"/>
      <c r="AD649" s="97"/>
      <c r="AE649" s="97"/>
    </row>
    <row r="650" ht="14.25" customHeight="1">
      <c r="A650" s="59"/>
      <c r="B650" s="97"/>
      <c r="C650" s="97"/>
      <c r="D650" s="97"/>
      <c r="E650" s="97"/>
      <c r="F650" s="97"/>
      <c r="G650" s="97"/>
      <c r="H650" s="99"/>
      <c r="I650" s="123"/>
      <c r="J650" s="123"/>
      <c r="K650" s="97"/>
      <c r="L650" s="97"/>
      <c r="M650" s="66"/>
      <c r="N650" s="97"/>
      <c r="O650" s="97"/>
      <c r="P650" s="97"/>
      <c r="Q650" s="97"/>
      <c r="R650" s="97"/>
      <c r="S650" s="97"/>
      <c r="T650" s="97"/>
      <c r="U650" s="97"/>
      <c r="V650" s="97"/>
      <c r="W650" s="97"/>
      <c r="X650" s="97"/>
      <c r="Y650" s="97"/>
      <c r="Z650" s="97"/>
      <c r="AA650" s="97"/>
      <c r="AB650" s="97"/>
      <c r="AC650" s="97"/>
      <c r="AD650" s="97"/>
      <c r="AE650" s="97"/>
    </row>
    <row r="651" ht="14.25" customHeight="1">
      <c r="A651" s="59"/>
      <c r="B651" s="97"/>
      <c r="C651" s="97"/>
      <c r="D651" s="97"/>
      <c r="E651" s="97"/>
      <c r="F651" s="97"/>
      <c r="G651" s="97"/>
      <c r="H651" s="99"/>
      <c r="I651" s="123"/>
      <c r="J651" s="123"/>
      <c r="K651" s="97"/>
      <c r="L651" s="97"/>
      <c r="M651" s="66"/>
      <c r="N651" s="97"/>
      <c r="O651" s="97"/>
      <c r="P651" s="97"/>
      <c r="Q651" s="97"/>
      <c r="R651" s="97"/>
      <c r="S651" s="97"/>
      <c r="T651" s="97"/>
      <c r="U651" s="97"/>
      <c r="V651" s="97"/>
      <c r="W651" s="97"/>
      <c r="X651" s="97"/>
      <c r="Y651" s="97"/>
      <c r="Z651" s="97"/>
      <c r="AA651" s="97"/>
      <c r="AB651" s="97"/>
      <c r="AC651" s="97"/>
      <c r="AD651" s="97"/>
      <c r="AE651" s="97"/>
    </row>
    <row r="652" ht="14.25" customHeight="1">
      <c r="A652" s="59"/>
      <c r="B652" s="97"/>
      <c r="C652" s="97"/>
      <c r="D652" s="97"/>
      <c r="E652" s="97"/>
      <c r="F652" s="97"/>
      <c r="G652" s="97"/>
      <c r="H652" s="99"/>
      <c r="I652" s="123"/>
      <c r="J652" s="123"/>
      <c r="K652" s="97"/>
      <c r="L652" s="97"/>
      <c r="M652" s="66"/>
      <c r="N652" s="97"/>
      <c r="O652" s="97"/>
      <c r="P652" s="97"/>
      <c r="Q652" s="97"/>
      <c r="R652" s="97"/>
      <c r="S652" s="97"/>
      <c r="T652" s="97"/>
      <c r="U652" s="97"/>
      <c r="V652" s="97"/>
      <c r="W652" s="97"/>
      <c r="X652" s="97"/>
      <c r="Y652" s="97"/>
      <c r="Z652" s="97"/>
      <c r="AA652" s="97"/>
      <c r="AB652" s="97"/>
      <c r="AC652" s="97"/>
      <c r="AD652" s="97"/>
      <c r="AE652" s="97"/>
    </row>
    <row r="653" ht="14.25" customHeight="1">
      <c r="A653" s="59"/>
      <c r="B653" s="97"/>
      <c r="C653" s="97"/>
      <c r="D653" s="97"/>
      <c r="E653" s="97"/>
      <c r="F653" s="97"/>
      <c r="G653" s="97"/>
      <c r="H653" s="99"/>
      <c r="I653" s="123"/>
      <c r="J653" s="123"/>
      <c r="K653" s="97"/>
      <c r="L653" s="97"/>
      <c r="M653" s="66"/>
      <c r="N653" s="97"/>
      <c r="O653" s="97"/>
      <c r="P653" s="97"/>
      <c r="Q653" s="97"/>
      <c r="R653" s="97"/>
      <c r="S653" s="97"/>
      <c r="T653" s="97"/>
      <c r="U653" s="97"/>
      <c r="V653" s="97"/>
      <c r="W653" s="97"/>
      <c r="X653" s="97"/>
      <c r="Y653" s="97"/>
      <c r="Z653" s="97"/>
      <c r="AA653" s="97"/>
      <c r="AB653" s="97"/>
      <c r="AC653" s="97"/>
      <c r="AD653" s="97"/>
      <c r="AE653" s="97"/>
    </row>
    <row r="654" ht="14.25" customHeight="1">
      <c r="A654" s="59"/>
      <c r="B654" s="97"/>
      <c r="C654" s="97"/>
      <c r="D654" s="97"/>
      <c r="E654" s="97"/>
      <c r="F654" s="97"/>
      <c r="G654" s="97"/>
      <c r="H654" s="99"/>
      <c r="I654" s="123"/>
      <c r="J654" s="123"/>
      <c r="K654" s="97"/>
      <c r="L654" s="97"/>
      <c r="M654" s="66"/>
      <c r="N654" s="97"/>
      <c r="O654" s="97"/>
      <c r="P654" s="97"/>
      <c r="Q654" s="97"/>
      <c r="R654" s="97"/>
      <c r="S654" s="97"/>
      <c r="T654" s="97"/>
      <c r="U654" s="97"/>
      <c r="V654" s="97"/>
      <c r="W654" s="97"/>
      <c r="X654" s="97"/>
      <c r="Y654" s="97"/>
      <c r="Z654" s="97"/>
      <c r="AA654" s="97"/>
      <c r="AB654" s="97"/>
      <c r="AC654" s="97"/>
      <c r="AD654" s="97"/>
      <c r="AE654" s="97"/>
    </row>
    <row r="655" ht="14.25" customHeight="1">
      <c r="A655" s="59"/>
      <c r="B655" s="97"/>
      <c r="C655" s="97"/>
      <c r="D655" s="97"/>
      <c r="E655" s="97"/>
      <c r="F655" s="97"/>
      <c r="G655" s="97"/>
      <c r="H655" s="99"/>
      <c r="I655" s="123"/>
      <c r="J655" s="123"/>
      <c r="K655" s="97"/>
      <c r="L655" s="97"/>
      <c r="M655" s="66"/>
      <c r="N655" s="97"/>
      <c r="O655" s="97"/>
      <c r="P655" s="97"/>
      <c r="Q655" s="97"/>
      <c r="R655" s="97"/>
      <c r="S655" s="97"/>
      <c r="T655" s="97"/>
      <c r="U655" s="97"/>
      <c r="V655" s="97"/>
      <c r="W655" s="97"/>
      <c r="X655" s="97"/>
      <c r="Y655" s="97"/>
      <c r="Z655" s="97"/>
      <c r="AA655" s="97"/>
      <c r="AB655" s="97"/>
      <c r="AC655" s="97"/>
      <c r="AD655" s="97"/>
      <c r="AE655" s="97"/>
    </row>
    <row r="656" ht="14.25" customHeight="1">
      <c r="A656" s="59"/>
      <c r="B656" s="97"/>
      <c r="C656" s="97"/>
      <c r="D656" s="97"/>
      <c r="E656" s="97"/>
      <c r="F656" s="97"/>
      <c r="G656" s="97"/>
      <c r="H656" s="99"/>
      <c r="I656" s="123"/>
      <c r="J656" s="123"/>
      <c r="K656" s="97"/>
      <c r="L656" s="97"/>
      <c r="M656" s="66"/>
      <c r="N656" s="97"/>
      <c r="O656" s="97"/>
      <c r="P656" s="97"/>
      <c r="Q656" s="97"/>
      <c r="R656" s="97"/>
      <c r="S656" s="97"/>
      <c r="T656" s="97"/>
      <c r="U656" s="97"/>
      <c r="V656" s="97"/>
      <c r="W656" s="97"/>
      <c r="X656" s="97"/>
      <c r="Y656" s="97"/>
      <c r="Z656" s="97"/>
      <c r="AA656" s="97"/>
      <c r="AB656" s="97"/>
      <c r="AC656" s="97"/>
      <c r="AD656" s="97"/>
      <c r="AE656" s="97"/>
    </row>
    <row r="657" ht="14.25" customHeight="1">
      <c r="A657" s="59"/>
      <c r="B657" s="97"/>
      <c r="C657" s="97"/>
      <c r="D657" s="97"/>
      <c r="E657" s="97"/>
      <c r="F657" s="97"/>
      <c r="G657" s="97"/>
      <c r="H657" s="99"/>
      <c r="I657" s="123"/>
      <c r="J657" s="123"/>
      <c r="K657" s="97"/>
      <c r="L657" s="97"/>
      <c r="M657" s="66"/>
      <c r="N657" s="97"/>
      <c r="O657" s="97"/>
      <c r="P657" s="97"/>
      <c r="Q657" s="97"/>
      <c r="R657" s="97"/>
      <c r="S657" s="97"/>
      <c r="T657" s="97"/>
      <c r="U657" s="97"/>
      <c r="V657" s="97"/>
      <c r="W657" s="97"/>
      <c r="X657" s="97"/>
      <c r="Y657" s="97"/>
      <c r="Z657" s="97"/>
      <c r="AA657" s="97"/>
      <c r="AB657" s="97"/>
      <c r="AC657" s="97"/>
      <c r="AD657" s="97"/>
      <c r="AE657" s="97"/>
    </row>
    <row r="658" ht="14.25" customHeight="1">
      <c r="A658" s="59"/>
      <c r="B658" s="97"/>
      <c r="C658" s="97"/>
      <c r="D658" s="97"/>
      <c r="E658" s="97"/>
      <c r="F658" s="97"/>
      <c r="G658" s="97"/>
      <c r="H658" s="99"/>
      <c r="I658" s="123"/>
      <c r="J658" s="123"/>
      <c r="K658" s="97"/>
      <c r="L658" s="97"/>
      <c r="M658" s="66"/>
      <c r="N658" s="97"/>
      <c r="O658" s="97"/>
      <c r="P658" s="97"/>
      <c r="Q658" s="97"/>
      <c r="R658" s="97"/>
      <c r="S658" s="97"/>
      <c r="T658" s="97"/>
      <c r="U658" s="97"/>
      <c r="V658" s="97"/>
      <c r="W658" s="97"/>
      <c r="X658" s="97"/>
      <c r="Y658" s="97"/>
      <c r="Z658" s="97"/>
      <c r="AA658" s="97"/>
      <c r="AB658" s="97"/>
      <c r="AC658" s="97"/>
      <c r="AD658" s="97"/>
      <c r="AE658" s="97"/>
    </row>
    <row r="659" ht="14.25" customHeight="1">
      <c r="A659" s="59"/>
      <c r="B659" s="97"/>
      <c r="C659" s="97"/>
      <c r="D659" s="97"/>
      <c r="E659" s="97"/>
      <c r="F659" s="97"/>
      <c r="G659" s="97"/>
      <c r="H659" s="99"/>
      <c r="I659" s="123"/>
      <c r="J659" s="123"/>
      <c r="K659" s="97"/>
      <c r="L659" s="97"/>
      <c r="M659" s="66"/>
      <c r="N659" s="97"/>
      <c r="O659" s="97"/>
      <c r="P659" s="97"/>
      <c r="Q659" s="97"/>
      <c r="R659" s="97"/>
      <c r="S659" s="97"/>
      <c r="T659" s="97"/>
      <c r="U659" s="97"/>
      <c r="V659" s="97"/>
      <c r="W659" s="97"/>
      <c r="X659" s="97"/>
      <c r="Y659" s="97"/>
      <c r="Z659" s="97"/>
      <c r="AA659" s="97"/>
      <c r="AB659" s="97"/>
      <c r="AC659" s="97"/>
      <c r="AD659" s="97"/>
      <c r="AE659" s="97"/>
    </row>
    <row r="660" ht="14.25" customHeight="1">
      <c r="A660" s="59"/>
      <c r="B660" s="97"/>
      <c r="C660" s="97"/>
      <c r="D660" s="97"/>
      <c r="E660" s="97"/>
      <c r="F660" s="97"/>
      <c r="G660" s="97"/>
      <c r="H660" s="99"/>
      <c r="I660" s="123"/>
      <c r="J660" s="123"/>
      <c r="K660" s="97"/>
      <c r="L660" s="97"/>
      <c r="M660" s="66"/>
      <c r="N660" s="97"/>
      <c r="O660" s="97"/>
      <c r="P660" s="97"/>
      <c r="Q660" s="97"/>
      <c r="R660" s="97"/>
      <c r="S660" s="97"/>
      <c r="T660" s="97"/>
      <c r="U660" s="97"/>
      <c r="V660" s="97"/>
      <c r="W660" s="97"/>
      <c r="X660" s="97"/>
      <c r="Y660" s="97"/>
      <c r="Z660" s="97"/>
      <c r="AA660" s="97"/>
      <c r="AB660" s="97"/>
      <c r="AC660" s="97"/>
      <c r="AD660" s="97"/>
      <c r="AE660" s="97"/>
    </row>
    <row r="661" ht="14.25" customHeight="1">
      <c r="A661" s="59"/>
      <c r="B661" s="97"/>
      <c r="C661" s="97"/>
      <c r="D661" s="97"/>
      <c r="E661" s="97"/>
      <c r="F661" s="97"/>
      <c r="G661" s="97"/>
      <c r="H661" s="99"/>
      <c r="I661" s="123"/>
      <c r="J661" s="123"/>
      <c r="K661" s="97"/>
      <c r="L661" s="97"/>
      <c r="M661" s="66"/>
      <c r="N661" s="97"/>
      <c r="O661" s="97"/>
      <c r="P661" s="97"/>
      <c r="Q661" s="97"/>
      <c r="R661" s="97"/>
      <c r="S661" s="97"/>
      <c r="T661" s="97"/>
      <c r="U661" s="97"/>
      <c r="V661" s="97"/>
      <c r="W661" s="97"/>
      <c r="X661" s="97"/>
      <c r="Y661" s="97"/>
      <c r="Z661" s="97"/>
      <c r="AA661" s="97"/>
      <c r="AB661" s="97"/>
      <c r="AC661" s="97"/>
      <c r="AD661" s="97"/>
      <c r="AE661" s="97"/>
    </row>
    <row r="662" ht="14.25" customHeight="1">
      <c r="A662" s="59"/>
      <c r="B662" s="97"/>
      <c r="C662" s="97"/>
      <c r="D662" s="97"/>
      <c r="E662" s="97"/>
      <c r="F662" s="97"/>
      <c r="G662" s="97"/>
      <c r="H662" s="99"/>
      <c r="I662" s="123"/>
      <c r="J662" s="123"/>
      <c r="K662" s="97"/>
      <c r="L662" s="97"/>
      <c r="M662" s="66"/>
      <c r="N662" s="97"/>
      <c r="O662" s="97"/>
      <c r="P662" s="97"/>
      <c r="Q662" s="97"/>
      <c r="R662" s="97"/>
      <c r="S662" s="97"/>
      <c r="T662" s="97"/>
      <c r="U662" s="97"/>
      <c r="V662" s="97"/>
      <c r="W662" s="97"/>
      <c r="X662" s="97"/>
      <c r="Y662" s="97"/>
      <c r="Z662" s="97"/>
      <c r="AA662" s="97"/>
      <c r="AB662" s="97"/>
      <c r="AC662" s="97"/>
      <c r="AD662" s="97"/>
      <c r="AE662" s="97"/>
    </row>
    <row r="663" ht="14.25" customHeight="1">
      <c r="A663" s="59"/>
      <c r="B663" s="97"/>
      <c r="C663" s="97"/>
      <c r="D663" s="97"/>
      <c r="E663" s="97"/>
      <c r="F663" s="97"/>
      <c r="G663" s="97"/>
      <c r="H663" s="99"/>
      <c r="I663" s="123"/>
      <c r="J663" s="123"/>
      <c r="K663" s="97"/>
      <c r="L663" s="97"/>
      <c r="M663" s="66"/>
      <c r="N663" s="97"/>
      <c r="O663" s="97"/>
      <c r="P663" s="97"/>
      <c r="Q663" s="97"/>
      <c r="R663" s="97"/>
      <c r="S663" s="97"/>
      <c r="T663" s="97"/>
      <c r="U663" s="97"/>
      <c r="V663" s="97"/>
      <c r="W663" s="97"/>
      <c r="X663" s="97"/>
      <c r="Y663" s="97"/>
      <c r="Z663" s="97"/>
      <c r="AA663" s="97"/>
      <c r="AB663" s="97"/>
      <c r="AC663" s="97"/>
      <c r="AD663" s="97"/>
      <c r="AE663" s="97"/>
    </row>
    <row r="664" ht="14.25" customHeight="1">
      <c r="A664" s="59"/>
      <c r="B664" s="97"/>
      <c r="C664" s="97"/>
      <c r="D664" s="97"/>
      <c r="E664" s="97"/>
      <c r="F664" s="97"/>
      <c r="G664" s="97"/>
      <c r="H664" s="99"/>
      <c r="I664" s="123"/>
      <c r="J664" s="123"/>
      <c r="K664" s="97"/>
      <c r="L664" s="97"/>
      <c r="M664" s="66"/>
      <c r="N664" s="97"/>
      <c r="O664" s="97"/>
      <c r="P664" s="97"/>
      <c r="Q664" s="97"/>
      <c r="R664" s="97"/>
      <c r="S664" s="97"/>
      <c r="T664" s="97"/>
      <c r="U664" s="97"/>
      <c r="V664" s="97"/>
      <c r="W664" s="97"/>
      <c r="X664" s="97"/>
      <c r="Y664" s="97"/>
      <c r="Z664" s="97"/>
      <c r="AA664" s="97"/>
      <c r="AB664" s="97"/>
      <c r="AC664" s="97"/>
      <c r="AD664" s="97"/>
      <c r="AE664" s="97"/>
    </row>
    <row r="665" ht="14.25" customHeight="1">
      <c r="A665" s="59"/>
      <c r="B665" s="97"/>
      <c r="C665" s="97"/>
      <c r="D665" s="97"/>
      <c r="E665" s="97"/>
      <c r="F665" s="97"/>
      <c r="G665" s="97"/>
      <c r="H665" s="99"/>
      <c r="I665" s="123"/>
      <c r="J665" s="123"/>
      <c r="K665" s="97"/>
      <c r="L665" s="97"/>
      <c r="M665" s="66"/>
      <c r="N665" s="97"/>
      <c r="O665" s="97"/>
      <c r="P665" s="97"/>
      <c r="Q665" s="97"/>
      <c r="R665" s="97"/>
      <c r="S665" s="97"/>
      <c r="T665" s="97"/>
      <c r="U665" s="97"/>
      <c r="V665" s="97"/>
      <c r="W665" s="97"/>
      <c r="X665" s="97"/>
      <c r="Y665" s="97"/>
      <c r="Z665" s="97"/>
      <c r="AA665" s="97"/>
      <c r="AB665" s="97"/>
      <c r="AC665" s="97"/>
      <c r="AD665" s="97"/>
      <c r="AE665" s="97"/>
    </row>
    <row r="666" ht="14.25" customHeight="1">
      <c r="A666" s="59"/>
      <c r="B666" s="97"/>
      <c r="C666" s="97"/>
      <c r="D666" s="97"/>
      <c r="E666" s="97"/>
      <c r="F666" s="97"/>
      <c r="G666" s="97"/>
      <c r="H666" s="99"/>
      <c r="I666" s="123"/>
      <c r="J666" s="123"/>
      <c r="K666" s="97"/>
      <c r="L666" s="97"/>
      <c r="M666" s="66"/>
      <c r="N666" s="97"/>
      <c r="O666" s="97"/>
      <c r="P666" s="97"/>
      <c r="Q666" s="97"/>
      <c r="R666" s="97"/>
      <c r="S666" s="97"/>
      <c r="T666" s="97"/>
      <c r="U666" s="97"/>
      <c r="V666" s="97"/>
      <c r="W666" s="97"/>
      <c r="X666" s="97"/>
      <c r="Y666" s="97"/>
      <c r="Z666" s="97"/>
      <c r="AA666" s="97"/>
      <c r="AB666" s="97"/>
      <c r="AC666" s="97"/>
      <c r="AD666" s="97"/>
      <c r="AE666" s="97"/>
    </row>
    <row r="667" ht="14.25" customHeight="1">
      <c r="A667" s="59"/>
      <c r="B667" s="97"/>
      <c r="C667" s="97"/>
      <c r="D667" s="97"/>
      <c r="E667" s="97"/>
      <c r="F667" s="97"/>
      <c r="G667" s="97"/>
      <c r="H667" s="99"/>
      <c r="I667" s="123"/>
      <c r="J667" s="123"/>
      <c r="K667" s="97"/>
      <c r="L667" s="97"/>
      <c r="M667" s="66"/>
      <c r="N667" s="97"/>
      <c r="O667" s="97"/>
      <c r="P667" s="97"/>
      <c r="Q667" s="97"/>
      <c r="R667" s="97"/>
      <c r="S667" s="97"/>
      <c r="T667" s="97"/>
      <c r="U667" s="97"/>
      <c r="V667" s="97"/>
      <c r="W667" s="97"/>
      <c r="X667" s="97"/>
      <c r="Y667" s="97"/>
      <c r="Z667" s="97"/>
      <c r="AA667" s="97"/>
      <c r="AB667" s="97"/>
      <c r="AC667" s="97"/>
      <c r="AD667" s="97"/>
      <c r="AE667" s="97"/>
    </row>
    <row r="668" ht="14.25" customHeight="1">
      <c r="A668" s="59"/>
      <c r="B668" s="97"/>
      <c r="C668" s="97"/>
      <c r="D668" s="97"/>
      <c r="E668" s="97"/>
      <c r="F668" s="97"/>
      <c r="G668" s="97"/>
      <c r="H668" s="99"/>
      <c r="I668" s="123"/>
      <c r="J668" s="123"/>
      <c r="K668" s="97"/>
      <c r="L668" s="97"/>
      <c r="M668" s="66"/>
      <c r="N668" s="97"/>
      <c r="O668" s="97"/>
      <c r="P668" s="97"/>
      <c r="Q668" s="97"/>
      <c r="R668" s="97"/>
      <c r="S668" s="97"/>
      <c r="T668" s="97"/>
      <c r="U668" s="97"/>
      <c r="V668" s="97"/>
      <c r="W668" s="97"/>
      <c r="X668" s="97"/>
      <c r="Y668" s="97"/>
      <c r="Z668" s="97"/>
      <c r="AA668" s="97"/>
      <c r="AB668" s="97"/>
      <c r="AC668" s="97"/>
      <c r="AD668" s="97"/>
      <c r="AE668" s="97"/>
    </row>
    <row r="669" ht="14.25" customHeight="1">
      <c r="A669" s="59"/>
      <c r="B669" s="97"/>
      <c r="C669" s="97"/>
      <c r="D669" s="97"/>
      <c r="E669" s="97"/>
      <c r="F669" s="97"/>
      <c r="G669" s="97"/>
      <c r="H669" s="99"/>
      <c r="I669" s="123"/>
      <c r="J669" s="123"/>
      <c r="K669" s="97"/>
      <c r="L669" s="97"/>
      <c r="M669" s="66"/>
      <c r="N669" s="97"/>
      <c r="O669" s="97"/>
      <c r="P669" s="97"/>
      <c r="Q669" s="97"/>
      <c r="R669" s="97"/>
      <c r="S669" s="97"/>
      <c r="T669" s="97"/>
      <c r="U669" s="97"/>
      <c r="V669" s="97"/>
      <c r="W669" s="97"/>
      <c r="X669" s="97"/>
      <c r="Y669" s="97"/>
      <c r="Z669" s="97"/>
      <c r="AA669" s="97"/>
      <c r="AB669" s="97"/>
      <c r="AC669" s="97"/>
      <c r="AD669" s="97"/>
      <c r="AE669" s="97"/>
    </row>
    <row r="670" ht="14.25" customHeight="1">
      <c r="A670" s="59"/>
      <c r="B670" s="97"/>
      <c r="C670" s="97"/>
      <c r="D670" s="97"/>
      <c r="E670" s="97"/>
      <c r="F670" s="97"/>
      <c r="G670" s="97"/>
      <c r="H670" s="99"/>
      <c r="I670" s="123"/>
      <c r="J670" s="123"/>
      <c r="K670" s="97"/>
      <c r="L670" s="97"/>
      <c r="M670" s="66"/>
      <c r="N670" s="97"/>
      <c r="O670" s="97"/>
      <c r="P670" s="97"/>
      <c r="Q670" s="97"/>
      <c r="R670" s="97"/>
      <c r="S670" s="97"/>
      <c r="T670" s="97"/>
      <c r="U670" s="97"/>
      <c r="V670" s="97"/>
      <c r="W670" s="97"/>
      <c r="X670" s="97"/>
      <c r="Y670" s="97"/>
      <c r="Z670" s="97"/>
      <c r="AA670" s="97"/>
      <c r="AB670" s="97"/>
      <c r="AC670" s="97"/>
      <c r="AD670" s="97"/>
      <c r="AE670" s="97"/>
    </row>
    <row r="671" ht="14.25" customHeight="1">
      <c r="A671" s="59"/>
      <c r="B671" s="97"/>
      <c r="C671" s="97"/>
      <c r="D671" s="97"/>
      <c r="E671" s="97"/>
      <c r="F671" s="97"/>
      <c r="G671" s="97"/>
      <c r="H671" s="99"/>
      <c r="I671" s="123"/>
      <c r="J671" s="123"/>
      <c r="K671" s="97"/>
      <c r="L671" s="97"/>
      <c r="M671" s="66"/>
      <c r="N671" s="97"/>
      <c r="O671" s="97"/>
      <c r="P671" s="97"/>
      <c r="Q671" s="97"/>
      <c r="R671" s="97"/>
      <c r="S671" s="97"/>
      <c r="T671" s="97"/>
      <c r="U671" s="97"/>
      <c r="V671" s="97"/>
      <c r="W671" s="97"/>
      <c r="X671" s="97"/>
      <c r="Y671" s="97"/>
      <c r="Z671" s="97"/>
      <c r="AA671" s="97"/>
      <c r="AB671" s="97"/>
      <c r="AC671" s="97"/>
      <c r="AD671" s="97"/>
      <c r="AE671" s="97"/>
    </row>
    <row r="672" ht="14.25" customHeight="1">
      <c r="A672" s="59"/>
      <c r="B672" s="97"/>
      <c r="C672" s="97"/>
      <c r="D672" s="97"/>
      <c r="E672" s="97"/>
      <c r="F672" s="97"/>
      <c r="G672" s="97"/>
      <c r="H672" s="99"/>
      <c r="I672" s="123"/>
      <c r="J672" s="123"/>
      <c r="K672" s="97"/>
      <c r="L672" s="97"/>
      <c r="M672" s="66"/>
      <c r="N672" s="97"/>
      <c r="O672" s="97"/>
      <c r="P672" s="97"/>
      <c r="Q672" s="97"/>
      <c r="R672" s="97"/>
      <c r="S672" s="97"/>
      <c r="T672" s="97"/>
      <c r="U672" s="97"/>
      <c r="V672" s="97"/>
      <c r="W672" s="97"/>
      <c r="X672" s="97"/>
      <c r="Y672" s="97"/>
      <c r="Z672" s="97"/>
      <c r="AA672" s="97"/>
      <c r="AB672" s="97"/>
      <c r="AC672" s="97"/>
      <c r="AD672" s="97"/>
      <c r="AE672" s="97"/>
    </row>
    <row r="673" ht="14.25" customHeight="1">
      <c r="A673" s="59"/>
      <c r="B673" s="97"/>
      <c r="C673" s="97"/>
      <c r="D673" s="97"/>
      <c r="E673" s="97"/>
      <c r="F673" s="97"/>
      <c r="G673" s="97"/>
      <c r="H673" s="99"/>
      <c r="I673" s="123"/>
      <c r="J673" s="123"/>
      <c r="K673" s="97"/>
      <c r="L673" s="97"/>
      <c r="M673" s="66"/>
      <c r="N673" s="97"/>
      <c r="O673" s="97"/>
      <c r="P673" s="97"/>
      <c r="Q673" s="97"/>
      <c r="R673" s="97"/>
      <c r="S673" s="97"/>
      <c r="T673" s="97"/>
      <c r="U673" s="97"/>
      <c r="V673" s="97"/>
      <c r="W673" s="97"/>
      <c r="X673" s="97"/>
      <c r="Y673" s="97"/>
      <c r="Z673" s="97"/>
      <c r="AA673" s="97"/>
      <c r="AB673" s="97"/>
      <c r="AC673" s="97"/>
      <c r="AD673" s="97"/>
      <c r="AE673" s="97"/>
    </row>
    <row r="674" ht="14.25" customHeight="1">
      <c r="A674" s="59"/>
      <c r="B674" s="97"/>
      <c r="C674" s="97"/>
      <c r="D674" s="97"/>
      <c r="E674" s="97"/>
      <c r="F674" s="97"/>
      <c r="G674" s="97"/>
      <c r="H674" s="99"/>
      <c r="I674" s="123"/>
      <c r="J674" s="123"/>
      <c r="K674" s="97"/>
      <c r="L674" s="97"/>
      <c r="M674" s="66"/>
      <c r="N674" s="97"/>
      <c r="O674" s="97"/>
      <c r="P674" s="97"/>
      <c r="Q674" s="97"/>
      <c r="R674" s="97"/>
      <c r="S674" s="97"/>
      <c r="T674" s="97"/>
      <c r="U674" s="97"/>
      <c r="V674" s="97"/>
      <c r="W674" s="97"/>
      <c r="X674" s="97"/>
      <c r="Y674" s="97"/>
      <c r="Z674" s="97"/>
      <c r="AA674" s="97"/>
      <c r="AB674" s="97"/>
      <c r="AC674" s="97"/>
      <c r="AD674" s="97"/>
      <c r="AE674" s="97"/>
    </row>
    <row r="675" ht="14.25" customHeight="1">
      <c r="A675" s="59"/>
      <c r="B675" s="97"/>
      <c r="C675" s="97"/>
      <c r="D675" s="97"/>
      <c r="E675" s="97"/>
      <c r="F675" s="97"/>
      <c r="G675" s="97"/>
      <c r="H675" s="99"/>
      <c r="I675" s="123"/>
      <c r="J675" s="123"/>
      <c r="K675" s="97"/>
      <c r="L675" s="97"/>
      <c r="M675" s="66"/>
      <c r="N675" s="97"/>
      <c r="O675" s="97"/>
      <c r="P675" s="97"/>
      <c r="Q675" s="97"/>
      <c r="R675" s="97"/>
      <c r="S675" s="97"/>
      <c r="T675" s="97"/>
      <c r="U675" s="97"/>
      <c r="V675" s="97"/>
      <c r="W675" s="97"/>
      <c r="X675" s="97"/>
      <c r="Y675" s="97"/>
      <c r="Z675" s="97"/>
      <c r="AA675" s="97"/>
      <c r="AB675" s="97"/>
      <c r="AC675" s="97"/>
      <c r="AD675" s="97"/>
      <c r="AE675" s="97"/>
    </row>
    <row r="676" ht="14.25" customHeight="1">
      <c r="A676" s="59"/>
      <c r="B676" s="97"/>
      <c r="C676" s="97"/>
      <c r="D676" s="97"/>
      <c r="E676" s="97"/>
      <c r="F676" s="97"/>
      <c r="G676" s="97"/>
      <c r="H676" s="99"/>
      <c r="I676" s="123"/>
      <c r="J676" s="123"/>
      <c r="K676" s="97"/>
      <c r="L676" s="97"/>
      <c r="M676" s="66"/>
      <c r="N676" s="97"/>
      <c r="O676" s="97"/>
      <c r="P676" s="97"/>
      <c r="Q676" s="97"/>
      <c r="R676" s="97"/>
      <c r="S676" s="97"/>
      <c r="T676" s="97"/>
      <c r="U676" s="97"/>
      <c r="V676" s="97"/>
      <c r="W676" s="97"/>
      <c r="X676" s="97"/>
      <c r="Y676" s="97"/>
      <c r="Z676" s="97"/>
      <c r="AA676" s="97"/>
      <c r="AB676" s="97"/>
      <c r="AC676" s="97"/>
      <c r="AD676" s="97"/>
      <c r="AE676" s="97"/>
    </row>
    <row r="677" ht="14.25" customHeight="1">
      <c r="A677" s="59"/>
      <c r="B677" s="97"/>
      <c r="C677" s="97"/>
      <c r="D677" s="97"/>
      <c r="E677" s="97"/>
      <c r="F677" s="97"/>
      <c r="G677" s="97"/>
      <c r="H677" s="99"/>
      <c r="I677" s="123"/>
      <c r="J677" s="123"/>
      <c r="K677" s="97"/>
      <c r="L677" s="97"/>
      <c r="M677" s="66"/>
      <c r="N677" s="97"/>
      <c r="O677" s="97"/>
      <c r="P677" s="97"/>
      <c r="Q677" s="97"/>
      <c r="R677" s="97"/>
      <c r="S677" s="97"/>
      <c r="T677" s="97"/>
      <c r="U677" s="97"/>
      <c r="V677" s="97"/>
      <c r="W677" s="97"/>
      <c r="X677" s="97"/>
      <c r="Y677" s="97"/>
      <c r="Z677" s="97"/>
      <c r="AA677" s="97"/>
      <c r="AB677" s="97"/>
      <c r="AC677" s="97"/>
      <c r="AD677" s="97"/>
      <c r="AE677" s="97"/>
    </row>
    <row r="678" ht="14.25" customHeight="1">
      <c r="A678" s="59"/>
      <c r="B678" s="97"/>
      <c r="C678" s="97"/>
      <c r="D678" s="97"/>
      <c r="E678" s="97"/>
      <c r="F678" s="97"/>
      <c r="G678" s="97"/>
      <c r="H678" s="99"/>
      <c r="I678" s="123"/>
      <c r="J678" s="123"/>
      <c r="K678" s="97"/>
      <c r="L678" s="97"/>
      <c r="M678" s="66"/>
      <c r="N678" s="97"/>
      <c r="O678" s="97"/>
      <c r="P678" s="97"/>
      <c r="Q678" s="97"/>
      <c r="R678" s="97"/>
      <c r="S678" s="97"/>
      <c r="T678" s="97"/>
      <c r="U678" s="97"/>
      <c r="V678" s="97"/>
      <c r="W678" s="97"/>
      <c r="X678" s="97"/>
      <c r="Y678" s="97"/>
      <c r="Z678" s="97"/>
      <c r="AA678" s="97"/>
      <c r="AB678" s="97"/>
      <c r="AC678" s="97"/>
      <c r="AD678" s="97"/>
      <c r="AE678" s="97"/>
    </row>
    <row r="679" ht="14.25" customHeight="1">
      <c r="A679" s="59"/>
      <c r="B679" s="97"/>
      <c r="C679" s="97"/>
      <c r="D679" s="97"/>
      <c r="E679" s="97"/>
      <c r="F679" s="97"/>
      <c r="G679" s="97"/>
      <c r="H679" s="99"/>
      <c r="I679" s="123"/>
      <c r="J679" s="123"/>
      <c r="K679" s="97"/>
      <c r="L679" s="97"/>
      <c r="M679" s="66"/>
      <c r="N679" s="97"/>
      <c r="O679" s="97"/>
      <c r="P679" s="97"/>
      <c r="Q679" s="97"/>
      <c r="R679" s="97"/>
      <c r="S679" s="97"/>
      <c r="T679" s="97"/>
      <c r="U679" s="97"/>
      <c r="V679" s="97"/>
      <c r="W679" s="97"/>
      <c r="X679" s="97"/>
      <c r="Y679" s="97"/>
      <c r="Z679" s="97"/>
      <c r="AA679" s="97"/>
      <c r="AB679" s="97"/>
      <c r="AC679" s="97"/>
      <c r="AD679" s="97"/>
      <c r="AE679" s="97"/>
    </row>
    <row r="680" ht="14.25" customHeight="1">
      <c r="A680" s="59"/>
      <c r="B680" s="97"/>
      <c r="C680" s="97"/>
      <c r="D680" s="97"/>
      <c r="E680" s="97"/>
      <c r="F680" s="97"/>
      <c r="G680" s="97"/>
      <c r="H680" s="99"/>
      <c r="I680" s="123"/>
      <c r="J680" s="123"/>
      <c r="K680" s="97"/>
      <c r="L680" s="97"/>
      <c r="M680" s="66"/>
      <c r="N680" s="97"/>
      <c r="O680" s="97"/>
      <c r="P680" s="97"/>
      <c r="Q680" s="97"/>
      <c r="R680" s="97"/>
      <c r="S680" s="97"/>
      <c r="T680" s="97"/>
      <c r="U680" s="97"/>
      <c r="V680" s="97"/>
      <c r="W680" s="97"/>
      <c r="X680" s="97"/>
      <c r="Y680" s="97"/>
      <c r="Z680" s="97"/>
      <c r="AA680" s="97"/>
      <c r="AB680" s="97"/>
      <c r="AC680" s="97"/>
      <c r="AD680" s="97"/>
      <c r="AE680" s="97"/>
    </row>
    <row r="681" ht="14.25" customHeight="1">
      <c r="A681" s="59"/>
      <c r="B681" s="97"/>
      <c r="C681" s="97"/>
      <c r="D681" s="97"/>
      <c r="E681" s="97"/>
      <c r="F681" s="97"/>
      <c r="G681" s="97"/>
      <c r="H681" s="99"/>
      <c r="I681" s="123"/>
      <c r="J681" s="123"/>
      <c r="K681" s="97"/>
      <c r="L681" s="97"/>
      <c r="M681" s="66"/>
      <c r="N681" s="97"/>
      <c r="O681" s="97"/>
      <c r="P681" s="97"/>
      <c r="Q681" s="97"/>
      <c r="R681" s="97"/>
      <c r="S681" s="97"/>
      <c r="T681" s="97"/>
      <c r="U681" s="97"/>
      <c r="V681" s="97"/>
      <c r="W681" s="97"/>
      <c r="X681" s="97"/>
      <c r="Y681" s="97"/>
      <c r="Z681" s="97"/>
      <c r="AA681" s="97"/>
      <c r="AB681" s="97"/>
      <c r="AC681" s="97"/>
      <c r="AD681" s="97"/>
      <c r="AE681" s="97"/>
    </row>
    <row r="682" ht="14.25" customHeight="1">
      <c r="A682" s="59"/>
      <c r="B682" s="97"/>
      <c r="C682" s="97"/>
      <c r="D682" s="97"/>
      <c r="E682" s="97"/>
      <c r="F682" s="97"/>
      <c r="G682" s="97"/>
      <c r="H682" s="99"/>
      <c r="I682" s="123"/>
      <c r="J682" s="123"/>
      <c r="K682" s="97"/>
      <c r="L682" s="97"/>
      <c r="M682" s="66"/>
      <c r="N682" s="97"/>
      <c r="O682" s="97"/>
      <c r="P682" s="97"/>
      <c r="Q682" s="97"/>
      <c r="R682" s="97"/>
      <c r="S682" s="97"/>
      <c r="T682" s="97"/>
      <c r="U682" s="97"/>
      <c r="V682" s="97"/>
      <c r="W682" s="97"/>
      <c r="X682" s="97"/>
      <c r="Y682" s="97"/>
      <c r="Z682" s="97"/>
      <c r="AA682" s="97"/>
      <c r="AB682" s="97"/>
      <c r="AC682" s="97"/>
      <c r="AD682" s="97"/>
      <c r="AE682" s="97"/>
    </row>
    <row r="683" ht="14.25" customHeight="1">
      <c r="A683" s="59"/>
      <c r="B683" s="97"/>
      <c r="C683" s="97"/>
      <c r="D683" s="97"/>
      <c r="E683" s="97"/>
      <c r="F683" s="97"/>
      <c r="G683" s="97"/>
      <c r="H683" s="99"/>
      <c r="I683" s="123"/>
      <c r="J683" s="123"/>
      <c r="K683" s="97"/>
      <c r="L683" s="97"/>
      <c r="M683" s="66"/>
      <c r="N683" s="97"/>
      <c r="O683" s="97"/>
      <c r="P683" s="97"/>
      <c r="Q683" s="97"/>
      <c r="R683" s="97"/>
      <c r="S683" s="97"/>
      <c r="T683" s="97"/>
      <c r="U683" s="97"/>
      <c r="V683" s="97"/>
      <c r="W683" s="97"/>
      <c r="X683" s="97"/>
      <c r="Y683" s="97"/>
      <c r="Z683" s="97"/>
      <c r="AA683" s="97"/>
      <c r="AB683" s="97"/>
      <c r="AC683" s="97"/>
      <c r="AD683" s="97"/>
      <c r="AE683" s="97"/>
    </row>
    <row r="684" ht="14.25" customHeight="1">
      <c r="A684" s="59"/>
      <c r="B684" s="97"/>
      <c r="C684" s="97"/>
      <c r="D684" s="97"/>
      <c r="E684" s="97"/>
      <c r="F684" s="97"/>
      <c r="G684" s="97"/>
      <c r="H684" s="99"/>
      <c r="I684" s="123"/>
      <c r="J684" s="123"/>
      <c r="K684" s="97"/>
      <c r="L684" s="97"/>
      <c r="M684" s="66"/>
      <c r="N684" s="97"/>
      <c r="O684" s="97"/>
      <c r="P684" s="97"/>
      <c r="Q684" s="97"/>
      <c r="R684" s="97"/>
      <c r="S684" s="97"/>
      <c r="T684" s="97"/>
      <c r="U684" s="97"/>
      <c r="V684" s="97"/>
      <c r="W684" s="97"/>
      <c r="X684" s="97"/>
      <c r="Y684" s="97"/>
      <c r="Z684" s="97"/>
      <c r="AA684" s="97"/>
      <c r="AB684" s="97"/>
      <c r="AC684" s="97"/>
      <c r="AD684" s="97"/>
      <c r="AE684" s="97"/>
    </row>
    <row r="685" ht="14.25" customHeight="1">
      <c r="A685" s="59"/>
      <c r="B685" s="97"/>
      <c r="C685" s="97"/>
      <c r="D685" s="97"/>
      <c r="E685" s="97"/>
      <c r="F685" s="97"/>
      <c r="G685" s="97"/>
      <c r="H685" s="99"/>
      <c r="I685" s="123"/>
      <c r="J685" s="123"/>
      <c r="K685" s="97"/>
      <c r="L685" s="97"/>
      <c r="M685" s="66"/>
      <c r="N685" s="97"/>
      <c r="O685" s="97"/>
      <c r="P685" s="97"/>
      <c r="Q685" s="97"/>
      <c r="R685" s="97"/>
      <c r="S685" s="97"/>
      <c r="T685" s="97"/>
      <c r="U685" s="97"/>
      <c r="V685" s="97"/>
      <c r="W685" s="97"/>
      <c r="X685" s="97"/>
      <c r="Y685" s="97"/>
      <c r="Z685" s="97"/>
      <c r="AA685" s="97"/>
      <c r="AB685" s="97"/>
      <c r="AC685" s="97"/>
      <c r="AD685" s="97"/>
      <c r="AE685" s="97"/>
    </row>
    <row r="686" ht="14.25" customHeight="1">
      <c r="A686" s="59"/>
      <c r="B686" s="97"/>
      <c r="C686" s="97"/>
      <c r="D686" s="97"/>
      <c r="E686" s="97"/>
      <c r="F686" s="97"/>
      <c r="G686" s="97"/>
      <c r="H686" s="99"/>
      <c r="I686" s="123"/>
      <c r="J686" s="123"/>
      <c r="K686" s="97"/>
      <c r="L686" s="97"/>
      <c r="M686" s="66"/>
      <c r="N686" s="97"/>
      <c r="O686" s="97"/>
      <c r="P686" s="97"/>
      <c r="Q686" s="97"/>
      <c r="R686" s="97"/>
      <c r="S686" s="97"/>
      <c r="T686" s="97"/>
      <c r="U686" s="97"/>
      <c r="V686" s="97"/>
      <c r="W686" s="97"/>
      <c r="X686" s="97"/>
      <c r="Y686" s="97"/>
      <c r="Z686" s="97"/>
      <c r="AA686" s="97"/>
      <c r="AB686" s="97"/>
      <c r="AC686" s="97"/>
      <c r="AD686" s="97"/>
      <c r="AE686" s="97"/>
    </row>
    <row r="687" ht="14.25" customHeight="1">
      <c r="A687" s="59"/>
      <c r="B687" s="97"/>
      <c r="C687" s="97"/>
      <c r="D687" s="97"/>
      <c r="E687" s="97"/>
      <c r="F687" s="97"/>
      <c r="G687" s="97"/>
      <c r="H687" s="99"/>
      <c r="I687" s="123"/>
      <c r="J687" s="123"/>
      <c r="K687" s="97"/>
      <c r="L687" s="97"/>
      <c r="M687" s="66"/>
      <c r="N687" s="97"/>
      <c r="O687" s="97"/>
      <c r="P687" s="97"/>
      <c r="Q687" s="97"/>
      <c r="R687" s="97"/>
      <c r="S687" s="97"/>
      <c r="T687" s="97"/>
      <c r="U687" s="97"/>
      <c r="V687" s="97"/>
      <c r="W687" s="97"/>
      <c r="X687" s="97"/>
      <c r="Y687" s="97"/>
      <c r="Z687" s="97"/>
      <c r="AA687" s="97"/>
      <c r="AB687" s="97"/>
      <c r="AC687" s="97"/>
      <c r="AD687" s="97"/>
      <c r="AE687" s="97"/>
    </row>
    <row r="688" ht="14.25" customHeight="1">
      <c r="A688" s="59"/>
      <c r="B688" s="97"/>
      <c r="C688" s="97"/>
      <c r="D688" s="97"/>
      <c r="E688" s="97"/>
      <c r="F688" s="97"/>
      <c r="G688" s="97"/>
      <c r="H688" s="99"/>
      <c r="I688" s="123"/>
      <c r="J688" s="123"/>
      <c r="K688" s="97"/>
      <c r="L688" s="97"/>
      <c r="M688" s="66"/>
      <c r="N688" s="97"/>
      <c r="O688" s="97"/>
      <c r="P688" s="97"/>
      <c r="Q688" s="97"/>
      <c r="R688" s="97"/>
      <c r="S688" s="97"/>
      <c r="T688" s="97"/>
      <c r="U688" s="97"/>
      <c r="V688" s="97"/>
      <c r="W688" s="97"/>
      <c r="X688" s="97"/>
      <c r="Y688" s="97"/>
      <c r="Z688" s="97"/>
      <c r="AA688" s="97"/>
      <c r="AB688" s="97"/>
      <c r="AC688" s="97"/>
      <c r="AD688" s="97"/>
      <c r="AE688" s="97"/>
    </row>
    <row r="689" ht="14.25" customHeight="1">
      <c r="A689" s="59"/>
      <c r="B689" s="97"/>
      <c r="C689" s="97"/>
      <c r="D689" s="97"/>
      <c r="E689" s="97"/>
      <c r="F689" s="97"/>
      <c r="G689" s="97"/>
      <c r="H689" s="99"/>
      <c r="I689" s="123"/>
      <c r="J689" s="123"/>
      <c r="K689" s="97"/>
      <c r="L689" s="97"/>
      <c r="M689" s="66"/>
      <c r="N689" s="97"/>
      <c r="O689" s="97"/>
      <c r="P689" s="97"/>
      <c r="Q689" s="97"/>
      <c r="R689" s="97"/>
      <c r="S689" s="97"/>
      <c r="T689" s="97"/>
      <c r="U689" s="97"/>
      <c r="V689" s="97"/>
      <c r="W689" s="97"/>
      <c r="X689" s="97"/>
      <c r="Y689" s="97"/>
      <c r="Z689" s="97"/>
      <c r="AA689" s="97"/>
      <c r="AB689" s="97"/>
      <c r="AC689" s="97"/>
      <c r="AD689" s="97"/>
      <c r="AE689" s="97"/>
    </row>
    <row r="690" ht="14.25" customHeight="1">
      <c r="A690" s="59"/>
      <c r="B690" s="97"/>
      <c r="C690" s="97"/>
      <c r="D690" s="97"/>
      <c r="E690" s="97"/>
      <c r="F690" s="97"/>
      <c r="G690" s="97"/>
      <c r="H690" s="99"/>
      <c r="I690" s="123"/>
      <c r="J690" s="123"/>
      <c r="K690" s="97"/>
      <c r="L690" s="97"/>
      <c r="M690" s="66"/>
      <c r="N690" s="97"/>
      <c r="O690" s="97"/>
      <c r="P690" s="97"/>
      <c r="Q690" s="97"/>
      <c r="R690" s="97"/>
      <c r="S690" s="97"/>
      <c r="T690" s="97"/>
      <c r="U690" s="97"/>
      <c r="V690" s="97"/>
      <c r="W690" s="97"/>
      <c r="X690" s="97"/>
      <c r="Y690" s="97"/>
      <c r="Z690" s="97"/>
      <c r="AA690" s="97"/>
      <c r="AB690" s="97"/>
      <c r="AC690" s="97"/>
      <c r="AD690" s="97"/>
      <c r="AE690" s="97"/>
    </row>
    <row r="691" ht="14.25" customHeight="1">
      <c r="A691" s="59"/>
      <c r="B691" s="97"/>
      <c r="C691" s="97"/>
      <c r="D691" s="97"/>
      <c r="E691" s="97"/>
      <c r="F691" s="97"/>
      <c r="G691" s="97"/>
      <c r="H691" s="99"/>
      <c r="I691" s="123"/>
      <c r="J691" s="123"/>
      <c r="K691" s="97"/>
      <c r="L691" s="97"/>
      <c r="M691" s="66"/>
      <c r="N691" s="97"/>
      <c r="O691" s="97"/>
      <c r="P691" s="97"/>
      <c r="Q691" s="97"/>
      <c r="R691" s="97"/>
      <c r="S691" s="97"/>
      <c r="T691" s="97"/>
      <c r="U691" s="97"/>
      <c r="V691" s="97"/>
      <c r="W691" s="97"/>
      <c r="X691" s="97"/>
      <c r="Y691" s="97"/>
      <c r="Z691" s="97"/>
      <c r="AA691" s="97"/>
      <c r="AB691" s="97"/>
      <c r="AC691" s="97"/>
      <c r="AD691" s="97"/>
      <c r="AE691" s="97"/>
    </row>
    <row r="692" ht="14.25" customHeight="1">
      <c r="A692" s="59"/>
      <c r="B692" s="97"/>
      <c r="C692" s="97"/>
      <c r="D692" s="97"/>
      <c r="E692" s="97"/>
      <c r="F692" s="97"/>
      <c r="G692" s="97"/>
      <c r="H692" s="99"/>
      <c r="I692" s="123"/>
      <c r="J692" s="123"/>
      <c r="K692" s="97"/>
      <c r="L692" s="97"/>
      <c r="M692" s="66"/>
      <c r="N692" s="97"/>
      <c r="O692" s="97"/>
      <c r="P692" s="97"/>
      <c r="Q692" s="97"/>
      <c r="R692" s="97"/>
      <c r="S692" s="97"/>
      <c r="T692" s="97"/>
      <c r="U692" s="97"/>
      <c r="V692" s="97"/>
      <c r="W692" s="97"/>
      <c r="X692" s="97"/>
      <c r="Y692" s="97"/>
      <c r="Z692" s="97"/>
      <c r="AA692" s="97"/>
      <c r="AB692" s="97"/>
      <c r="AC692" s="97"/>
      <c r="AD692" s="97"/>
      <c r="AE692" s="97"/>
    </row>
    <row r="693" ht="14.25" customHeight="1">
      <c r="A693" s="59"/>
      <c r="B693" s="97"/>
      <c r="C693" s="97"/>
      <c r="D693" s="97"/>
      <c r="E693" s="97"/>
      <c r="F693" s="97"/>
      <c r="G693" s="97"/>
      <c r="H693" s="99"/>
      <c r="I693" s="123"/>
      <c r="J693" s="123"/>
      <c r="K693" s="97"/>
      <c r="L693" s="97"/>
      <c r="M693" s="66"/>
      <c r="N693" s="97"/>
      <c r="O693" s="97"/>
      <c r="P693" s="97"/>
      <c r="Q693" s="97"/>
      <c r="R693" s="97"/>
      <c r="S693" s="97"/>
      <c r="T693" s="97"/>
      <c r="U693" s="97"/>
      <c r="V693" s="97"/>
      <c r="W693" s="97"/>
      <c r="X693" s="97"/>
      <c r="Y693" s="97"/>
      <c r="Z693" s="97"/>
      <c r="AA693" s="97"/>
      <c r="AB693" s="97"/>
      <c r="AC693" s="97"/>
      <c r="AD693" s="97"/>
      <c r="AE693" s="97"/>
    </row>
    <row r="694" ht="14.25" customHeight="1">
      <c r="A694" s="59"/>
      <c r="B694" s="97"/>
      <c r="C694" s="97"/>
      <c r="D694" s="97"/>
      <c r="E694" s="97"/>
      <c r="F694" s="97"/>
      <c r="G694" s="97"/>
      <c r="H694" s="99"/>
      <c r="I694" s="123"/>
      <c r="J694" s="123"/>
      <c r="K694" s="97"/>
      <c r="L694" s="97"/>
      <c r="M694" s="66"/>
      <c r="N694" s="97"/>
      <c r="O694" s="97"/>
      <c r="P694" s="97"/>
      <c r="Q694" s="97"/>
      <c r="R694" s="97"/>
      <c r="S694" s="97"/>
      <c r="T694" s="97"/>
      <c r="U694" s="97"/>
      <c r="V694" s="97"/>
      <c r="W694" s="97"/>
      <c r="X694" s="97"/>
      <c r="Y694" s="97"/>
      <c r="Z694" s="97"/>
      <c r="AA694" s="97"/>
      <c r="AB694" s="97"/>
      <c r="AC694" s="97"/>
      <c r="AD694" s="97"/>
      <c r="AE694" s="97"/>
    </row>
    <row r="695" ht="14.25" customHeight="1">
      <c r="A695" s="59"/>
      <c r="B695" s="97"/>
      <c r="C695" s="97"/>
      <c r="D695" s="97"/>
      <c r="E695" s="97"/>
      <c r="F695" s="97"/>
      <c r="G695" s="97"/>
      <c r="H695" s="99"/>
      <c r="I695" s="123"/>
      <c r="J695" s="123"/>
      <c r="K695" s="97"/>
      <c r="L695" s="97"/>
      <c r="M695" s="66"/>
      <c r="N695" s="97"/>
      <c r="O695" s="97"/>
      <c r="P695" s="97"/>
      <c r="Q695" s="97"/>
      <c r="R695" s="97"/>
      <c r="S695" s="97"/>
      <c r="T695" s="97"/>
      <c r="U695" s="97"/>
      <c r="V695" s="97"/>
      <c r="W695" s="97"/>
      <c r="X695" s="97"/>
      <c r="Y695" s="97"/>
      <c r="Z695" s="97"/>
      <c r="AA695" s="97"/>
      <c r="AB695" s="97"/>
      <c r="AC695" s="97"/>
      <c r="AD695" s="97"/>
      <c r="AE695" s="97"/>
    </row>
    <row r="696" ht="14.25" customHeight="1">
      <c r="A696" s="59"/>
      <c r="B696" s="97"/>
      <c r="C696" s="97"/>
      <c r="D696" s="97"/>
      <c r="E696" s="97"/>
      <c r="F696" s="97"/>
      <c r="G696" s="97"/>
      <c r="H696" s="99"/>
      <c r="I696" s="123"/>
      <c r="J696" s="123"/>
      <c r="K696" s="97"/>
      <c r="L696" s="97"/>
      <c r="M696" s="66"/>
      <c r="N696" s="97"/>
      <c r="O696" s="97"/>
      <c r="P696" s="97"/>
      <c r="Q696" s="97"/>
      <c r="R696" s="97"/>
      <c r="S696" s="97"/>
      <c r="T696" s="97"/>
      <c r="U696" s="97"/>
      <c r="V696" s="97"/>
      <c r="W696" s="97"/>
      <c r="X696" s="97"/>
      <c r="Y696" s="97"/>
      <c r="Z696" s="97"/>
      <c r="AA696" s="97"/>
      <c r="AB696" s="97"/>
      <c r="AC696" s="97"/>
      <c r="AD696" s="97"/>
      <c r="AE696" s="97"/>
    </row>
    <row r="697" ht="14.25" customHeight="1">
      <c r="A697" s="59"/>
      <c r="B697" s="97"/>
      <c r="C697" s="97"/>
      <c r="D697" s="97"/>
      <c r="E697" s="97"/>
      <c r="F697" s="97"/>
      <c r="G697" s="97"/>
      <c r="H697" s="99"/>
      <c r="I697" s="123"/>
      <c r="J697" s="123"/>
      <c r="K697" s="97"/>
      <c r="L697" s="97"/>
      <c r="M697" s="66"/>
      <c r="N697" s="97"/>
      <c r="O697" s="97"/>
      <c r="P697" s="97"/>
      <c r="Q697" s="97"/>
      <c r="R697" s="97"/>
      <c r="S697" s="97"/>
      <c r="T697" s="97"/>
      <c r="U697" s="97"/>
      <c r="V697" s="97"/>
      <c r="W697" s="97"/>
      <c r="X697" s="97"/>
      <c r="Y697" s="97"/>
      <c r="Z697" s="97"/>
      <c r="AA697" s="97"/>
      <c r="AB697" s="97"/>
      <c r="AC697" s="97"/>
      <c r="AD697" s="97"/>
      <c r="AE697" s="97"/>
    </row>
    <row r="698" ht="14.25" customHeight="1">
      <c r="A698" s="59"/>
      <c r="B698" s="97"/>
      <c r="C698" s="97"/>
      <c r="D698" s="97"/>
      <c r="E698" s="97"/>
      <c r="F698" s="97"/>
      <c r="G698" s="97"/>
      <c r="H698" s="99"/>
      <c r="I698" s="123"/>
      <c r="J698" s="123"/>
      <c r="K698" s="97"/>
      <c r="L698" s="97"/>
      <c r="M698" s="66"/>
      <c r="N698" s="97"/>
      <c r="O698" s="97"/>
      <c r="P698" s="97"/>
      <c r="Q698" s="97"/>
      <c r="R698" s="97"/>
      <c r="S698" s="97"/>
      <c r="T698" s="97"/>
      <c r="U698" s="97"/>
      <c r="V698" s="97"/>
      <c r="W698" s="97"/>
      <c r="X698" s="97"/>
      <c r="Y698" s="97"/>
      <c r="Z698" s="97"/>
      <c r="AA698" s="97"/>
      <c r="AB698" s="97"/>
      <c r="AC698" s="97"/>
      <c r="AD698" s="97"/>
      <c r="AE698" s="97"/>
    </row>
    <row r="699" ht="14.25" customHeight="1">
      <c r="A699" s="59"/>
      <c r="B699" s="97"/>
      <c r="C699" s="97"/>
      <c r="D699" s="97"/>
      <c r="E699" s="97"/>
      <c r="F699" s="97"/>
      <c r="G699" s="97"/>
      <c r="H699" s="99"/>
      <c r="I699" s="123"/>
      <c r="J699" s="123"/>
      <c r="K699" s="97"/>
      <c r="L699" s="97"/>
      <c r="M699" s="66"/>
      <c r="N699" s="97"/>
      <c r="O699" s="97"/>
      <c r="P699" s="97"/>
      <c r="Q699" s="97"/>
      <c r="R699" s="97"/>
      <c r="S699" s="97"/>
      <c r="T699" s="97"/>
      <c r="U699" s="97"/>
      <c r="V699" s="97"/>
      <c r="W699" s="97"/>
      <c r="X699" s="97"/>
      <c r="Y699" s="97"/>
      <c r="Z699" s="97"/>
      <c r="AA699" s="97"/>
      <c r="AB699" s="97"/>
      <c r="AC699" s="97"/>
      <c r="AD699" s="97"/>
      <c r="AE699" s="97"/>
    </row>
    <row r="700" ht="14.25" customHeight="1">
      <c r="A700" s="59"/>
      <c r="B700" s="97"/>
      <c r="C700" s="97"/>
      <c r="D700" s="97"/>
      <c r="E700" s="97"/>
      <c r="F700" s="97"/>
      <c r="G700" s="97"/>
      <c r="H700" s="99"/>
      <c r="I700" s="123"/>
      <c r="J700" s="123"/>
      <c r="K700" s="97"/>
      <c r="L700" s="97"/>
      <c r="M700" s="66"/>
      <c r="N700" s="97"/>
      <c r="O700" s="97"/>
      <c r="P700" s="97"/>
      <c r="Q700" s="97"/>
      <c r="R700" s="97"/>
      <c r="S700" s="97"/>
      <c r="T700" s="97"/>
      <c r="U700" s="97"/>
      <c r="V700" s="97"/>
      <c r="W700" s="97"/>
      <c r="X700" s="97"/>
      <c r="Y700" s="97"/>
      <c r="Z700" s="97"/>
      <c r="AA700" s="97"/>
      <c r="AB700" s="97"/>
      <c r="AC700" s="97"/>
      <c r="AD700" s="97"/>
      <c r="AE700" s="97"/>
    </row>
    <row r="701" ht="14.25" customHeight="1">
      <c r="A701" s="59"/>
      <c r="B701" s="97"/>
      <c r="C701" s="97"/>
      <c r="D701" s="97"/>
      <c r="E701" s="97"/>
      <c r="F701" s="97"/>
      <c r="G701" s="97"/>
      <c r="H701" s="99"/>
      <c r="I701" s="123"/>
      <c r="J701" s="123"/>
      <c r="K701" s="97"/>
      <c r="L701" s="97"/>
      <c r="M701" s="66"/>
      <c r="N701" s="97"/>
      <c r="O701" s="97"/>
      <c r="P701" s="97"/>
      <c r="Q701" s="97"/>
      <c r="R701" s="97"/>
      <c r="S701" s="97"/>
      <c r="T701" s="97"/>
      <c r="U701" s="97"/>
      <c r="V701" s="97"/>
      <c r="W701" s="97"/>
      <c r="X701" s="97"/>
      <c r="Y701" s="97"/>
      <c r="Z701" s="97"/>
      <c r="AA701" s="97"/>
      <c r="AB701" s="97"/>
      <c r="AC701" s="97"/>
      <c r="AD701" s="97"/>
      <c r="AE701" s="97"/>
    </row>
    <row r="702" ht="14.25" customHeight="1">
      <c r="A702" s="59"/>
      <c r="B702" s="97"/>
      <c r="C702" s="97"/>
      <c r="D702" s="97"/>
      <c r="E702" s="97"/>
      <c r="F702" s="97"/>
      <c r="G702" s="97"/>
      <c r="H702" s="99"/>
      <c r="I702" s="123"/>
      <c r="J702" s="123"/>
      <c r="K702" s="97"/>
      <c r="L702" s="97"/>
      <c r="M702" s="66"/>
      <c r="N702" s="97"/>
      <c r="O702" s="97"/>
      <c r="P702" s="97"/>
      <c r="Q702" s="97"/>
      <c r="R702" s="97"/>
      <c r="S702" s="97"/>
      <c r="T702" s="97"/>
      <c r="U702" s="97"/>
      <c r="V702" s="97"/>
      <c r="W702" s="97"/>
      <c r="X702" s="97"/>
      <c r="Y702" s="97"/>
      <c r="Z702" s="97"/>
      <c r="AA702" s="97"/>
      <c r="AB702" s="97"/>
      <c r="AC702" s="97"/>
      <c r="AD702" s="97"/>
      <c r="AE702" s="97"/>
    </row>
    <row r="703" ht="14.25" customHeight="1">
      <c r="A703" s="59"/>
      <c r="B703" s="97"/>
      <c r="C703" s="97"/>
      <c r="D703" s="97"/>
      <c r="E703" s="97"/>
      <c r="F703" s="97"/>
      <c r="G703" s="97"/>
      <c r="H703" s="99"/>
      <c r="I703" s="123"/>
      <c r="J703" s="123"/>
      <c r="K703" s="97"/>
      <c r="L703" s="97"/>
      <c r="M703" s="66"/>
      <c r="N703" s="97"/>
      <c r="O703" s="97"/>
      <c r="P703" s="97"/>
      <c r="Q703" s="97"/>
      <c r="R703" s="97"/>
      <c r="S703" s="97"/>
      <c r="T703" s="97"/>
      <c r="U703" s="97"/>
      <c r="V703" s="97"/>
      <c r="W703" s="97"/>
      <c r="X703" s="97"/>
      <c r="Y703" s="97"/>
      <c r="Z703" s="97"/>
      <c r="AA703" s="97"/>
      <c r="AB703" s="97"/>
      <c r="AC703" s="97"/>
      <c r="AD703" s="97"/>
      <c r="AE703" s="97"/>
    </row>
    <row r="704" ht="14.25" customHeight="1">
      <c r="A704" s="59"/>
      <c r="B704" s="97"/>
      <c r="C704" s="97"/>
      <c r="D704" s="97"/>
      <c r="E704" s="97"/>
      <c r="F704" s="97"/>
      <c r="G704" s="97"/>
      <c r="H704" s="99"/>
      <c r="I704" s="123"/>
      <c r="J704" s="123"/>
      <c r="K704" s="97"/>
      <c r="L704" s="97"/>
      <c r="M704" s="66"/>
      <c r="N704" s="97"/>
      <c r="O704" s="97"/>
      <c r="P704" s="97"/>
      <c r="Q704" s="97"/>
      <c r="R704" s="97"/>
      <c r="S704" s="97"/>
      <c r="T704" s="97"/>
      <c r="U704" s="97"/>
      <c r="V704" s="97"/>
      <c r="W704" s="97"/>
      <c r="X704" s="97"/>
      <c r="Y704" s="97"/>
      <c r="Z704" s="97"/>
      <c r="AA704" s="97"/>
      <c r="AB704" s="97"/>
      <c r="AC704" s="97"/>
      <c r="AD704" s="97"/>
      <c r="AE704" s="97"/>
    </row>
    <row r="705" ht="14.25" customHeight="1">
      <c r="A705" s="59"/>
      <c r="B705" s="97"/>
      <c r="C705" s="97"/>
      <c r="D705" s="97"/>
      <c r="E705" s="97"/>
      <c r="F705" s="97"/>
      <c r="G705" s="97"/>
      <c r="H705" s="99"/>
      <c r="I705" s="123"/>
      <c r="J705" s="123"/>
      <c r="K705" s="97"/>
      <c r="L705" s="97"/>
      <c r="M705" s="66"/>
      <c r="N705" s="97"/>
      <c r="O705" s="97"/>
      <c r="P705" s="97"/>
      <c r="Q705" s="97"/>
      <c r="R705" s="97"/>
      <c r="S705" s="97"/>
      <c r="T705" s="97"/>
      <c r="U705" s="97"/>
      <c r="V705" s="97"/>
      <c r="W705" s="97"/>
      <c r="X705" s="97"/>
      <c r="Y705" s="97"/>
      <c r="Z705" s="97"/>
      <c r="AA705" s="97"/>
      <c r="AB705" s="97"/>
      <c r="AC705" s="97"/>
      <c r="AD705" s="97"/>
      <c r="AE705" s="97"/>
    </row>
    <row r="706" ht="14.25" customHeight="1">
      <c r="A706" s="59"/>
      <c r="B706" s="97"/>
      <c r="C706" s="97"/>
      <c r="D706" s="97"/>
      <c r="E706" s="97"/>
      <c r="F706" s="97"/>
      <c r="G706" s="97"/>
      <c r="H706" s="99"/>
      <c r="I706" s="123"/>
      <c r="J706" s="123"/>
      <c r="K706" s="97"/>
      <c r="L706" s="97"/>
      <c r="M706" s="66"/>
      <c r="N706" s="97"/>
      <c r="O706" s="97"/>
      <c r="P706" s="97"/>
      <c r="Q706" s="97"/>
      <c r="R706" s="97"/>
      <c r="S706" s="97"/>
      <c r="T706" s="97"/>
      <c r="U706" s="97"/>
      <c r="V706" s="97"/>
      <c r="W706" s="97"/>
      <c r="X706" s="97"/>
      <c r="Y706" s="97"/>
      <c r="Z706" s="97"/>
      <c r="AA706" s="97"/>
      <c r="AB706" s="97"/>
      <c r="AC706" s="97"/>
      <c r="AD706" s="97"/>
      <c r="AE706" s="97"/>
    </row>
    <row r="707" ht="14.25" customHeight="1">
      <c r="A707" s="59"/>
      <c r="B707" s="97"/>
      <c r="C707" s="97"/>
      <c r="D707" s="97"/>
      <c r="E707" s="97"/>
      <c r="F707" s="97"/>
      <c r="G707" s="97"/>
      <c r="H707" s="99"/>
      <c r="I707" s="123"/>
      <c r="J707" s="123"/>
      <c r="K707" s="97"/>
      <c r="L707" s="97"/>
      <c r="M707" s="66"/>
      <c r="N707" s="97"/>
      <c r="O707" s="97"/>
      <c r="P707" s="97"/>
      <c r="Q707" s="97"/>
      <c r="R707" s="97"/>
      <c r="S707" s="97"/>
      <c r="T707" s="97"/>
      <c r="U707" s="97"/>
      <c r="V707" s="97"/>
      <c r="W707" s="97"/>
      <c r="X707" s="97"/>
      <c r="Y707" s="97"/>
      <c r="Z707" s="97"/>
      <c r="AA707" s="97"/>
      <c r="AB707" s="97"/>
      <c r="AC707" s="97"/>
      <c r="AD707" s="97"/>
      <c r="AE707" s="97"/>
    </row>
    <row r="708" ht="14.25" customHeight="1">
      <c r="A708" s="59"/>
      <c r="B708" s="97"/>
      <c r="C708" s="97"/>
      <c r="D708" s="97"/>
      <c r="E708" s="97"/>
      <c r="F708" s="97"/>
      <c r="G708" s="97"/>
      <c r="H708" s="99"/>
      <c r="I708" s="123"/>
      <c r="J708" s="123"/>
      <c r="K708" s="97"/>
      <c r="L708" s="97"/>
      <c r="M708" s="66"/>
      <c r="N708" s="97"/>
      <c r="O708" s="97"/>
      <c r="P708" s="97"/>
      <c r="Q708" s="97"/>
      <c r="R708" s="97"/>
      <c r="S708" s="97"/>
      <c r="T708" s="97"/>
      <c r="U708" s="97"/>
      <c r="V708" s="97"/>
      <c r="W708" s="97"/>
      <c r="X708" s="97"/>
      <c r="Y708" s="97"/>
      <c r="Z708" s="97"/>
      <c r="AA708" s="97"/>
      <c r="AB708" s="97"/>
      <c r="AC708" s="97"/>
      <c r="AD708" s="97"/>
      <c r="AE708" s="97"/>
    </row>
    <row r="709" ht="14.25" customHeight="1">
      <c r="A709" s="59"/>
      <c r="B709" s="97"/>
      <c r="C709" s="97"/>
      <c r="D709" s="97"/>
      <c r="E709" s="97"/>
      <c r="F709" s="97"/>
      <c r="G709" s="97"/>
      <c r="H709" s="99"/>
      <c r="I709" s="123"/>
      <c r="J709" s="123"/>
      <c r="K709" s="97"/>
      <c r="L709" s="97"/>
      <c r="M709" s="66"/>
      <c r="N709" s="97"/>
      <c r="O709" s="97"/>
      <c r="P709" s="97"/>
      <c r="Q709" s="97"/>
      <c r="R709" s="97"/>
      <c r="S709" s="97"/>
      <c r="T709" s="97"/>
      <c r="U709" s="97"/>
      <c r="V709" s="97"/>
      <c r="W709" s="97"/>
      <c r="X709" s="97"/>
      <c r="Y709" s="97"/>
      <c r="Z709" s="97"/>
      <c r="AA709" s="97"/>
      <c r="AB709" s="97"/>
      <c r="AC709" s="97"/>
      <c r="AD709" s="97"/>
      <c r="AE709" s="97"/>
    </row>
    <row r="710" ht="14.25" customHeight="1">
      <c r="A710" s="59"/>
      <c r="B710" s="97"/>
      <c r="C710" s="97"/>
      <c r="D710" s="97"/>
      <c r="E710" s="97"/>
      <c r="F710" s="97"/>
      <c r="G710" s="97"/>
      <c r="H710" s="99"/>
      <c r="I710" s="123"/>
      <c r="J710" s="123"/>
      <c r="K710" s="97"/>
      <c r="L710" s="97"/>
      <c r="M710" s="66"/>
      <c r="N710" s="97"/>
      <c r="O710" s="97"/>
      <c r="P710" s="97"/>
      <c r="Q710" s="97"/>
      <c r="R710" s="97"/>
      <c r="S710" s="97"/>
      <c r="T710" s="97"/>
      <c r="U710" s="97"/>
      <c r="V710" s="97"/>
      <c r="W710" s="97"/>
      <c r="X710" s="97"/>
      <c r="Y710" s="97"/>
      <c r="Z710" s="97"/>
      <c r="AA710" s="97"/>
      <c r="AB710" s="97"/>
      <c r="AC710" s="97"/>
      <c r="AD710" s="97"/>
      <c r="AE710" s="97"/>
    </row>
    <row r="711" ht="14.25" customHeight="1">
      <c r="A711" s="59"/>
      <c r="B711" s="97"/>
      <c r="C711" s="97"/>
      <c r="D711" s="97"/>
      <c r="E711" s="97"/>
      <c r="F711" s="97"/>
      <c r="G711" s="97"/>
      <c r="H711" s="99"/>
      <c r="I711" s="123"/>
      <c r="J711" s="123"/>
      <c r="K711" s="97"/>
      <c r="L711" s="97"/>
      <c r="M711" s="66"/>
      <c r="N711" s="97"/>
      <c r="O711" s="97"/>
      <c r="P711" s="97"/>
      <c r="Q711" s="97"/>
      <c r="R711" s="97"/>
      <c r="S711" s="97"/>
      <c r="T711" s="97"/>
      <c r="U711" s="97"/>
      <c r="V711" s="97"/>
      <c r="W711" s="97"/>
      <c r="X711" s="97"/>
      <c r="Y711" s="97"/>
      <c r="Z711" s="97"/>
      <c r="AA711" s="97"/>
      <c r="AB711" s="97"/>
      <c r="AC711" s="97"/>
      <c r="AD711" s="97"/>
      <c r="AE711" s="97"/>
    </row>
    <row r="712" ht="14.25" customHeight="1">
      <c r="A712" s="59"/>
      <c r="B712" s="97"/>
      <c r="C712" s="97"/>
      <c r="D712" s="97"/>
      <c r="E712" s="97"/>
      <c r="F712" s="97"/>
      <c r="G712" s="97"/>
      <c r="H712" s="99"/>
      <c r="I712" s="123"/>
      <c r="J712" s="123"/>
      <c r="K712" s="97"/>
      <c r="L712" s="97"/>
      <c r="M712" s="66"/>
      <c r="N712" s="97"/>
      <c r="O712" s="97"/>
      <c r="P712" s="97"/>
      <c r="Q712" s="97"/>
      <c r="R712" s="97"/>
      <c r="S712" s="97"/>
      <c r="T712" s="97"/>
      <c r="U712" s="97"/>
      <c r="V712" s="97"/>
      <c r="W712" s="97"/>
      <c r="X712" s="97"/>
      <c r="Y712" s="97"/>
      <c r="Z712" s="97"/>
      <c r="AA712" s="97"/>
      <c r="AB712" s="97"/>
      <c r="AC712" s="97"/>
      <c r="AD712" s="97"/>
      <c r="AE712" s="97"/>
    </row>
    <row r="713" ht="14.25" customHeight="1">
      <c r="A713" s="59"/>
      <c r="B713" s="97"/>
      <c r="C713" s="97"/>
      <c r="D713" s="97"/>
      <c r="E713" s="97"/>
      <c r="F713" s="97"/>
      <c r="G713" s="97"/>
      <c r="H713" s="99"/>
      <c r="I713" s="123"/>
      <c r="J713" s="123"/>
      <c r="K713" s="97"/>
      <c r="L713" s="97"/>
      <c r="M713" s="66"/>
      <c r="N713" s="97"/>
      <c r="O713" s="97"/>
      <c r="P713" s="97"/>
      <c r="Q713" s="97"/>
      <c r="R713" s="97"/>
      <c r="S713" s="97"/>
      <c r="T713" s="97"/>
      <c r="U713" s="97"/>
      <c r="V713" s="97"/>
      <c r="W713" s="97"/>
      <c r="X713" s="97"/>
      <c r="Y713" s="97"/>
      <c r="Z713" s="97"/>
      <c r="AA713" s="97"/>
      <c r="AB713" s="97"/>
      <c r="AC713" s="97"/>
      <c r="AD713" s="97"/>
      <c r="AE713" s="97"/>
    </row>
    <row r="714" ht="14.25" customHeight="1">
      <c r="A714" s="59"/>
      <c r="B714" s="97"/>
      <c r="C714" s="97"/>
      <c r="D714" s="97"/>
      <c r="E714" s="97"/>
      <c r="F714" s="97"/>
      <c r="G714" s="97"/>
      <c r="H714" s="99"/>
      <c r="I714" s="123"/>
      <c r="J714" s="123"/>
      <c r="K714" s="97"/>
      <c r="L714" s="97"/>
      <c r="M714" s="66"/>
      <c r="N714" s="97"/>
      <c r="O714" s="97"/>
      <c r="P714" s="97"/>
      <c r="Q714" s="97"/>
      <c r="R714" s="97"/>
      <c r="S714" s="97"/>
      <c r="T714" s="97"/>
      <c r="U714" s="97"/>
      <c r="V714" s="97"/>
      <c r="W714" s="97"/>
      <c r="X714" s="97"/>
      <c r="Y714" s="97"/>
      <c r="Z714" s="97"/>
      <c r="AA714" s="97"/>
      <c r="AB714" s="97"/>
      <c r="AC714" s="97"/>
      <c r="AD714" s="97"/>
      <c r="AE714" s="97"/>
    </row>
    <row r="715" ht="14.25" customHeight="1">
      <c r="A715" s="59"/>
      <c r="B715" s="97"/>
      <c r="C715" s="97"/>
      <c r="D715" s="97"/>
      <c r="E715" s="97"/>
      <c r="F715" s="97"/>
      <c r="G715" s="97"/>
      <c r="H715" s="99"/>
      <c r="I715" s="123"/>
      <c r="J715" s="123"/>
      <c r="K715" s="97"/>
      <c r="L715" s="97"/>
      <c r="M715" s="66"/>
      <c r="N715" s="97"/>
      <c r="O715" s="97"/>
      <c r="P715" s="97"/>
      <c r="Q715" s="97"/>
      <c r="R715" s="97"/>
      <c r="S715" s="97"/>
      <c r="T715" s="97"/>
      <c r="U715" s="97"/>
      <c r="V715" s="97"/>
      <c r="W715" s="97"/>
      <c r="X715" s="97"/>
      <c r="Y715" s="97"/>
      <c r="Z715" s="97"/>
      <c r="AA715" s="97"/>
      <c r="AB715" s="97"/>
      <c r="AC715" s="97"/>
      <c r="AD715" s="97"/>
      <c r="AE715" s="97"/>
    </row>
    <row r="716" ht="14.25" customHeight="1">
      <c r="A716" s="59"/>
      <c r="B716" s="97"/>
      <c r="C716" s="97"/>
      <c r="D716" s="97"/>
      <c r="E716" s="97"/>
      <c r="F716" s="97"/>
      <c r="G716" s="97"/>
      <c r="H716" s="99"/>
      <c r="I716" s="123"/>
      <c r="J716" s="123"/>
      <c r="K716" s="97"/>
      <c r="L716" s="97"/>
      <c r="M716" s="66"/>
      <c r="N716" s="97"/>
      <c r="O716" s="97"/>
      <c r="P716" s="97"/>
      <c r="Q716" s="97"/>
      <c r="R716" s="97"/>
      <c r="S716" s="97"/>
      <c r="T716" s="97"/>
      <c r="U716" s="97"/>
      <c r="V716" s="97"/>
      <c r="W716" s="97"/>
      <c r="X716" s="97"/>
      <c r="Y716" s="97"/>
      <c r="Z716" s="97"/>
      <c r="AA716" s="97"/>
      <c r="AB716" s="97"/>
      <c r="AC716" s="97"/>
      <c r="AD716" s="97"/>
      <c r="AE716" s="97"/>
    </row>
    <row r="717" ht="14.25" customHeight="1">
      <c r="A717" s="59"/>
      <c r="B717" s="97"/>
      <c r="C717" s="97"/>
      <c r="D717" s="97"/>
      <c r="E717" s="97"/>
      <c r="F717" s="97"/>
      <c r="G717" s="97"/>
      <c r="H717" s="99"/>
      <c r="I717" s="123"/>
      <c r="J717" s="123"/>
      <c r="K717" s="97"/>
      <c r="L717" s="97"/>
      <c r="M717" s="66"/>
      <c r="N717" s="97"/>
      <c r="O717" s="97"/>
      <c r="P717" s="97"/>
      <c r="Q717" s="97"/>
      <c r="R717" s="97"/>
      <c r="S717" s="97"/>
      <c r="T717" s="97"/>
      <c r="U717" s="97"/>
      <c r="V717" s="97"/>
      <c r="W717" s="97"/>
      <c r="X717" s="97"/>
      <c r="Y717" s="97"/>
      <c r="Z717" s="97"/>
      <c r="AA717" s="97"/>
      <c r="AB717" s="97"/>
      <c r="AC717" s="97"/>
      <c r="AD717" s="97"/>
      <c r="AE717" s="97"/>
    </row>
    <row r="718" ht="14.25" customHeight="1">
      <c r="A718" s="59"/>
      <c r="B718" s="97"/>
      <c r="C718" s="97"/>
      <c r="D718" s="97"/>
      <c r="E718" s="97"/>
      <c r="F718" s="97"/>
      <c r="G718" s="97"/>
      <c r="H718" s="99"/>
      <c r="I718" s="123"/>
      <c r="J718" s="123"/>
      <c r="K718" s="97"/>
      <c r="L718" s="97"/>
      <c r="M718" s="66"/>
      <c r="N718" s="97"/>
      <c r="O718" s="97"/>
      <c r="P718" s="97"/>
      <c r="Q718" s="97"/>
      <c r="R718" s="97"/>
      <c r="S718" s="97"/>
      <c r="T718" s="97"/>
      <c r="U718" s="97"/>
      <c r="V718" s="97"/>
      <c r="W718" s="97"/>
      <c r="X718" s="97"/>
      <c r="Y718" s="97"/>
      <c r="Z718" s="97"/>
      <c r="AA718" s="97"/>
      <c r="AB718" s="97"/>
      <c r="AC718" s="97"/>
      <c r="AD718" s="97"/>
      <c r="AE718" s="97"/>
    </row>
    <row r="719" ht="14.25" customHeight="1">
      <c r="A719" s="59"/>
      <c r="B719" s="97"/>
      <c r="C719" s="97"/>
      <c r="D719" s="97"/>
      <c r="E719" s="97"/>
      <c r="F719" s="97"/>
      <c r="G719" s="97"/>
      <c r="H719" s="99"/>
      <c r="I719" s="123"/>
      <c r="J719" s="123"/>
      <c r="K719" s="97"/>
      <c r="L719" s="97"/>
      <c r="M719" s="66"/>
      <c r="N719" s="97"/>
      <c r="O719" s="97"/>
      <c r="P719" s="97"/>
      <c r="Q719" s="97"/>
      <c r="R719" s="97"/>
      <c r="S719" s="97"/>
      <c r="T719" s="97"/>
      <c r="U719" s="97"/>
      <c r="V719" s="97"/>
      <c r="W719" s="97"/>
      <c r="X719" s="97"/>
      <c r="Y719" s="97"/>
      <c r="Z719" s="97"/>
      <c r="AA719" s="97"/>
      <c r="AB719" s="97"/>
      <c r="AC719" s="97"/>
      <c r="AD719" s="97"/>
      <c r="AE719" s="97"/>
    </row>
    <row r="720" ht="14.25" customHeight="1">
      <c r="A720" s="59"/>
      <c r="B720" s="97"/>
      <c r="C720" s="97"/>
      <c r="D720" s="97"/>
      <c r="E720" s="97"/>
      <c r="F720" s="97"/>
      <c r="G720" s="97"/>
      <c r="H720" s="99"/>
      <c r="I720" s="123"/>
      <c r="J720" s="123"/>
      <c r="K720" s="97"/>
      <c r="L720" s="97"/>
      <c r="M720" s="66"/>
      <c r="N720" s="97"/>
      <c r="O720" s="97"/>
      <c r="P720" s="97"/>
      <c r="Q720" s="97"/>
      <c r="R720" s="97"/>
      <c r="S720" s="97"/>
      <c r="T720" s="97"/>
      <c r="U720" s="97"/>
      <c r="V720" s="97"/>
      <c r="W720" s="97"/>
      <c r="X720" s="97"/>
      <c r="Y720" s="97"/>
      <c r="Z720" s="97"/>
      <c r="AA720" s="97"/>
      <c r="AB720" s="97"/>
      <c r="AC720" s="97"/>
      <c r="AD720" s="97"/>
      <c r="AE720" s="97"/>
    </row>
    <row r="721" ht="14.25" customHeight="1">
      <c r="A721" s="59"/>
      <c r="B721" s="97"/>
      <c r="C721" s="97"/>
      <c r="D721" s="97"/>
      <c r="E721" s="97"/>
      <c r="F721" s="97"/>
      <c r="G721" s="97"/>
      <c r="H721" s="99"/>
      <c r="I721" s="123"/>
      <c r="J721" s="123"/>
      <c r="K721" s="97"/>
      <c r="L721" s="97"/>
      <c r="M721" s="66"/>
      <c r="N721" s="97"/>
      <c r="O721" s="97"/>
      <c r="P721" s="97"/>
      <c r="Q721" s="97"/>
      <c r="R721" s="97"/>
      <c r="S721" s="97"/>
      <c r="T721" s="97"/>
      <c r="U721" s="97"/>
      <c r="V721" s="97"/>
      <c r="W721" s="97"/>
      <c r="X721" s="97"/>
      <c r="Y721" s="97"/>
      <c r="Z721" s="97"/>
      <c r="AA721" s="97"/>
      <c r="AB721" s="97"/>
      <c r="AC721" s="97"/>
      <c r="AD721" s="97"/>
      <c r="AE721" s="97"/>
    </row>
    <row r="722" ht="14.25" customHeight="1">
      <c r="A722" s="59"/>
      <c r="B722" s="97"/>
      <c r="C722" s="97"/>
      <c r="D722" s="97"/>
      <c r="E722" s="97"/>
      <c r="F722" s="97"/>
      <c r="G722" s="97"/>
      <c r="H722" s="99"/>
      <c r="I722" s="123"/>
      <c r="J722" s="123"/>
      <c r="K722" s="97"/>
      <c r="L722" s="97"/>
      <c r="M722" s="66"/>
      <c r="N722" s="97"/>
      <c r="O722" s="97"/>
      <c r="P722" s="97"/>
      <c r="Q722" s="97"/>
      <c r="R722" s="97"/>
      <c r="S722" s="97"/>
      <c r="T722" s="97"/>
      <c r="U722" s="97"/>
      <c r="V722" s="97"/>
      <c r="W722" s="97"/>
      <c r="X722" s="97"/>
      <c r="Y722" s="97"/>
      <c r="Z722" s="97"/>
      <c r="AA722" s="97"/>
      <c r="AB722" s="97"/>
      <c r="AC722" s="97"/>
      <c r="AD722" s="97"/>
      <c r="AE722" s="97"/>
    </row>
    <row r="723" ht="14.25" customHeight="1">
      <c r="A723" s="59"/>
      <c r="B723" s="97"/>
      <c r="C723" s="97"/>
      <c r="D723" s="97"/>
      <c r="E723" s="97"/>
      <c r="F723" s="97"/>
      <c r="G723" s="97"/>
      <c r="H723" s="99"/>
      <c r="I723" s="123"/>
      <c r="J723" s="123"/>
      <c r="K723" s="97"/>
      <c r="L723" s="97"/>
      <c r="M723" s="66"/>
      <c r="N723" s="97"/>
      <c r="O723" s="97"/>
      <c r="P723" s="97"/>
      <c r="Q723" s="97"/>
      <c r="R723" s="97"/>
      <c r="S723" s="97"/>
      <c r="T723" s="97"/>
      <c r="U723" s="97"/>
      <c r="V723" s="97"/>
      <c r="W723" s="97"/>
      <c r="X723" s="97"/>
      <c r="Y723" s="97"/>
      <c r="Z723" s="97"/>
      <c r="AA723" s="97"/>
      <c r="AB723" s="97"/>
      <c r="AC723" s="97"/>
      <c r="AD723" s="97"/>
      <c r="AE723" s="97"/>
    </row>
    <row r="724" ht="14.25" customHeight="1">
      <c r="A724" s="59"/>
      <c r="B724" s="97"/>
      <c r="C724" s="97"/>
      <c r="D724" s="97"/>
      <c r="E724" s="97"/>
      <c r="F724" s="97"/>
      <c r="G724" s="97"/>
      <c r="H724" s="99"/>
      <c r="I724" s="123"/>
      <c r="J724" s="123"/>
      <c r="K724" s="97"/>
      <c r="L724" s="97"/>
      <c r="M724" s="66"/>
      <c r="N724" s="97"/>
      <c r="O724" s="97"/>
      <c r="P724" s="97"/>
      <c r="Q724" s="97"/>
      <c r="R724" s="97"/>
      <c r="S724" s="97"/>
      <c r="T724" s="97"/>
      <c r="U724" s="97"/>
      <c r="V724" s="97"/>
      <c r="W724" s="97"/>
      <c r="X724" s="97"/>
      <c r="Y724" s="97"/>
      <c r="Z724" s="97"/>
      <c r="AA724" s="97"/>
      <c r="AB724" s="97"/>
      <c r="AC724" s="97"/>
      <c r="AD724" s="97"/>
      <c r="AE724" s="97"/>
    </row>
    <row r="725" ht="14.25" customHeight="1">
      <c r="A725" s="59"/>
      <c r="B725" s="97"/>
      <c r="C725" s="97"/>
      <c r="D725" s="97"/>
      <c r="E725" s="97"/>
      <c r="F725" s="97"/>
      <c r="G725" s="97"/>
      <c r="H725" s="99"/>
      <c r="I725" s="123"/>
      <c r="J725" s="123"/>
      <c r="K725" s="97"/>
      <c r="L725" s="97"/>
      <c r="M725" s="66"/>
      <c r="N725" s="97"/>
      <c r="O725" s="97"/>
      <c r="P725" s="97"/>
      <c r="Q725" s="97"/>
      <c r="R725" s="97"/>
      <c r="S725" s="97"/>
      <c r="T725" s="97"/>
      <c r="U725" s="97"/>
      <c r="V725" s="97"/>
      <c r="W725" s="97"/>
      <c r="X725" s="97"/>
      <c r="Y725" s="97"/>
      <c r="Z725" s="97"/>
      <c r="AA725" s="97"/>
      <c r="AB725" s="97"/>
      <c r="AC725" s="97"/>
      <c r="AD725" s="97"/>
      <c r="AE725" s="97"/>
    </row>
    <row r="726" ht="14.25" customHeight="1">
      <c r="A726" s="59"/>
      <c r="B726" s="97"/>
      <c r="C726" s="97"/>
      <c r="D726" s="97"/>
      <c r="E726" s="97"/>
      <c r="F726" s="97"/>
      <c r="G726" s="97"/>
      <c r="H726" s="99"/>
      <c r="I726" s="123"/>
      <c r="J726" s="123"/>
      <c r="K726" s="97"/>
      <c r="L726" s="97"/>
      <c r="M726" s="66"/>
      <c r="N726" s="97"/>
      <c r="O726" s="97"/>
      <c r="P726" s="97"/>
      <c r="Q726" s="97"/>
      <c r="R726" s="97"/>
      <c r="S726" s="97"/>
      <c r="T726" s="97"/>
      <c r="U726" s="97"/>
      <c r="V726" s="97"/>
      <c r="W726" s="97"/>
      <c r="X726" s="97"/>
      <c r="Y726" s="97"/>
      <c r="Z726" s="97"/>
      <c r="AA726" s="97"/>
      <c r="AB726" s="97"/>
      <c r="AC726" s="97"/>
      <c r="AD726" s="97"/>
      <c r="AE726" s="97"/>
    </row>
    <row r="727" ht="14.25" customHeight="1">
      <c r="A727" s="59"/>
      <c r="B727" s="97"/>
      <c r="C727" s="97"/>
      <c r="D727" s="97"/>
      <c r="E727" s="97"/>
      <c r="F727" s="97"/>
      <c r="G727" s="97"/>
      <c r="H727" s="99"/>
      <c r="I727" s="123"/>
      <c r="J727" s="123"/>
      <c r="K727" s="97"/>
      <c r="L727" s="97"/>
      <c r="M727" s="66"/>
      <c r="N727" s="97"/>
      <c r="O727" s="97"/>
      <c r="P727" s="97"/>
      <c r="Q727" s="97"/>
      <c r="R727" s="97"/>
      <c r="S727" s="97"/>
      <c r="T727" s="97"/>
      <c r="U727" s="97"/>
      <c r="V727" s="97"/>
      <c r="W727" s="97"/>
      <c r="X727" s="97"/>
      <c r="Y727" s="97"/>
      <c r="Z727" s="97"/>
      <c r="AA727" s="97"/>
      <c r="AB727" s="97"/>
      <c r="AC727" s="97"/>
      <c r="AD727" s="97"/>
      <c r="AE727" s="97"/>
    </row>
    <row r="728" ht="14.25" customHeight="1">
      <c r="A728" s="59"/>
      <c r="B728" s="97"/>
      <c r="C728" s="97"/>
      <c r="D728" s="97"/>
      <c r="E728" s="97"/>
      <c r="F728" s="97"/>
      <c r="G728" s="97"/>
      <c r="H728" s="99"/>
      <c r="I728" s="123"/>
      <c r="J728" s="123"/>
      <c r="K728" s="97"/>
      <c r="L728" s="97"/>
      <c r="M728" s="66"/>
      <c r="N728" s="97"/>
      <c r="O728" s="97"/>
      <c r="P728" s="97"/>
      <c r="Q728" s="97"/>
      <c r="R728" s="97"/>
      <c r="S728" s="97"/>
      <c r="T728" s="97"/>
      <c r="U728" s="97"/>
      <c r="V728" s="97"/>
      <c r="W728" s="97"/>
      <c r="X728" s="97"/>
      <c r="Y728" s="97"/>
      <c r="Z728" s="97"/>
      <c r="AA728" s="97"/>
      <c r="AB728" s="97"/>
      <c r="AC728" s="97"/>
      <c r="AD728" s="97"/>
      <c r="AE728" s="97"/>
    </row>
    <row r="729" ht="14.25" customHeight="1">
      <c r="A729" s="59"/>
      <c r="B729" s="97"/>
      <c r="C729" s="97"/>
      <c r="D729" s="97"/>
      <c r="E729" s="97"/>
      <c r="F729" s="97"/>
      <c r="G729" s="97"/>
      <c r="H729" s="99"/>
      <c r="I729" s="123"/>
      <c r="J729" s="123"/>
      <c r="K729" s="97"/>
      <c r="L729" s="97"/>
      <c r="M729" s="66"/>
      <c r="N729" s="97"/>
      <c r="O729" s="97"/>
      <c r="P729" s="97"/>
      <c r="Q729" s="97"/>
      <c r="R729" s="97"/>
      <c r="S729" s="97"/>
      <c r="T729" s="97"/>
      <c r="U729" s="97"/>
      <c r="V729" s="97"/>
      <c r="W729" s="97"/>
      <c r="X729" s="97"/>
      <c r="Y729" s="97"/>
      <c r="Z729" s="97"/>
      <c r="AA729" s="97"/>
      <c r="AB729" s="97"/>
      <c r="AC729" s="97"/>
      <c r="AD729" s="97"/>
      <c r="AE729" s="97"/>
    </row>
    <row r="730" ht="14.25" customHeight="1">
      <c r="A730" s="59"/>
      <c r="B730" s="97"/>
      <c r="C730" s="97"/>
      <c r="D730" s="97"/>
      <c r="E730" s="97"/>
      <c r="F730" s="97"/>
      <c r="G730" s="97"/>
      <c r="H730" s="99"/>
      <c r="I730" s="123"/>
      <c r="J730" s="123"/>
      <c r="K730" s="97"/>
      <c r="L730" s="97"/>
      <c r="M730" s="66"/>
      <c r="N730" s="97"/>
      <c r="O730" s="97"/>
      <c r="P730" s="97"/>
      <c r="Q730" s="97"/>
      <c r="R730" s="97"/>
      <c r="S730" s="97"/>
      <c r="T730" s="97"/>
      <c r="U730" s="97"/>
      <c r="V730" s="97"/>
      <c r="W730" s="97"/>
      <c r="X730" s="97"/>
      <c r="Y730" s="97"/>
      <c r="Z730" s="97"/>
      <c r="AA730" s="97"/>
      <c r="AB730" s="97"/>
      <c r="AC730" s="97"/>
      <c r="AD730" s="97"/>
      <c r="AE730" s="97"/>
    </row>
    <row r="731" ht="14.25" customHeight="1">
      <c r="A731" s="59"/>
      <c r="B731" s="97"/>
      <c r="C731" s="97"/>
      <c r="D731" s="97"/>
      <c r="E731" s="97"/>
      <c r="F731" s="97"/>
      <c r="G731" s="97"/>
      <c r="H731" s="99"/>
      <c r="I731" s="123"/>
      <c r="J731" s="123"/>
      <c r="K731" s="97"/>
      <c r="L731" s="97"/>
      <c r="M731" s="66"/>
      <c r="N731" s="97"/>
      <c r="O731" s="97"/>
      <c r="P731" s="97"/>
      <c r="Q731" s="97"/>
      <c r="R731" s="97"/>
      <c r="S731" s="97"/>
      <c r="T731" s="97"/>
      <c r="U731" s="97"/>
      <c r="V731" s="97"/>
      <c r="W731" s="97"/>
      <c r="X731" s="97"/>
      <c r="Y731" s="97"/>
      <c r="Z731" s="97"/>
      <c r="AA731" s="97"/>
      <c r="AB731" s="97"/>
      <c r="AC731" s="97"/>
      <c r="AD731" s="97"/>
      <c r="AE731" s="97"/>
    </row>
    <row r="732" ht="14.25" customHeight="1">
      <c r="A732" s="59"/>
      <c r="B732" s="97"/>
      <c r="C732" s="97"/>
      <c r="D732" s="97"/>
      <c r="E732" s="97"/>
      <c r="F732" s="97"/>
      <c r="G732" s="97"/>
      <c r="H732" s="99"/>
      <c r="I732" s="123"/>
      <c r="J732" s="123"/>
      <c r="K732" s="97"/>
      <c r="L732" s="97"/>
      <c r="M732" s="66"/>
      <c r="N732" s="97"/>
      <c r="O732" s="97"/>
      <c r="P732" s="97"/>
      <c r="Q732" s="97"/>
      <c r="R732" s="97"/>
      <c r="S732" s="97"/>
      <c r="T732" s="97"/>
      <c r="U732" s="97"/>
      <c r="V732" s="97"/>
      <c r="W732" s="97"/>
      <c r="X732" s="97"/>
      <c r="Y732" s="97"/>
      <c r="Z732" s="97"/>
      <c r="AA732" s="97"/>
      <c r="AB732" s="97"/>
      <c r="AC732" s="97"/>
      <c r="AD732" s="97"/>
      <c r="AE732" s="97"/>
    </row>
    <row r="733" ht="14.25" customHeight="1">
      <c r="A733" s="59"/>
      <c r="B733" s="97"/>
      <c r="C733" s="97"/>
      <c r="D733" s="97"/>
      <c r="E733" s="97"/>
      <c r="F733" s="97"/>
      <c r="G733" s="97"/>
      <c r="H733" s="99"/>
      <c r="I733" s="123"/>
      <c r="J733" s="123"/>
      <c r="K733" s="97"/>
      <c r="L733" s="97"/>
      <c r="M733" s="66"/>
      <c r="N733" s="97"/>
      <c r="O733" s="97"/>
      <c r="P733" s="97"/>
      <c r="Q733" s="97"/>
      <c r="R733" s="97"/>
      <c r="S733" s="97"/>
      <c r="T733" s="97"/>
      <c r="U733" s="97"/>
      <c r="V733" s="97"/>
      <c r="W733" s="97"/>
      <c r="X733" s="97"/>
      <c r="Y733" s="97"/>
      <c r="Z733" s="97"/>
      <c r="AA733" s="97"/>
      <c r="AB733" s="97"/>
      <c r="AC733" s="97"/>
      <c r="AD733" s="97"/>
      <c r="AE733" s="97"/>
    </row>
    <row r="734" ht="14.25" customHeight="1">
      <c r="A734" s="59"/>
      <c r="B734" s="97"/>
      <c r="C734" s="97"/>
      <c r="D734" s="97"/>
      <c r="E734" s="97"/>
      <c r="F734" s="97"/>
      <c r="G734" s="97"/>
      <c r="H734" s="99"/>
      <c r="I734" s="123"/>
      <c r="J734" s="123"/>
      <c r="K734" s="97"/>
      <c r="L734" s="97"/>
      <c r="M734" s="66"/>
      <c r="N734" s="97"/>
      <c r="O734" s="97"/>
      <c r="P734" s="97"/>
      <c r="Q734" s="97"/>
      <c r="R734" s="97"/>
      <c r="S734" s="97"/>
      <c r="T734" s="97"/>
      <c r="U734" s="97"/>
      <c r="V734" s="97"/>
      <c r="W734" s="97"/>
      <c r="X734" s="97"/>
      <c r="Y734" s="97"/>
      <c r="Z734" s="97"/>
      <c r="AA734" s="97"/>
      <c r="AB734" s="97"/>
      <c r="AC734" s="97"/>
      <c r="AD734" s="97"/>
      <c r="AE734" s="97"/>
    </row>
    <row r="735" ht="14.25" customHeight="1">
      <c r="A735" s="59"/>
      <c r="B735" s="97"/>
      <c r="C735" s="97"/>
      <c r="D735" s="97"/>
      <c r="E735" s="97"/>
      <c r="F735" s="97"/>
      <c r="G735" s="97"/>
      <c r="H735" s="99"/>
      <c r="I735" s="123"/>
      <c r="J735" s="123"/>
      <c r="K735" s="97"/>
      <c r="L735" s="97"/>
      <c r="M735" s="66"/>
      <c r="N735" s="97"/>
      <c r="O735" s="97"/>
      <c r="P735" s="97"/>
      <c r="Q735" s="97"/>
      <c r="R735" s="97"/>
      <c r="S735" s="97"/>
      <c r="T735" s="97"/>
      <c r="U735" s="97"/>
      <c r="V735" s="97"/>
      <c r="W735" s="97"/>
      <c r="X735" s="97"/>
      <c r="Y735" s="97"/>
      <c r="Z735" s="97"/>
      <c r="AA735" s="97"/>
      <c r="AB735" s="97"/>
      <c r="AC735" s="97"/>
      <c r="AD735" s="97"/>
      <c r="AE735" s="97"/>
    </row>
    <row r="736" ht="14.25" customHeight="1">
      <c r="A736" s="59"/>
      <c r="B736" s="97"/>
      <c r="C736" s="97"/>
      <c r="D736" s="97"/>
      <c r="E736" s="97"/>
      <c r="F736" s="97"/>
      <c r="G736" s="97"/>
      <c r="H736" s="99"/>
      <c r="I736" s="123"/>
      <c r="J736" s="123"/>
      <c r="K736" s="97"/>
      <c r="L736" s="97"/>
      <c r="M736" s="66"/>
      <c r="N736" s="97"/>
      <c r="O736" s="97"/>
      <c r="P736" s="97"/>
      <c r="Q736" s="97"/>
      <c r="R736" s="97"/>
      <c r="S736" s="97"/>
      <c r="T736" s="97"/>
      <c r="U736" s="97"/>
      <c r="V736" s="97"/>
      <c r="W736" s="97"/>
      <c r="X736" s="97"/>
      <c r="Y736" s="97"/>
      <c r="Z736" s="97"/>
      <c r="AA736" s="97"/>
      <c r="AB736" s="97"/>
      <c r="AC736" s="97"/>
      <c r="AD736" s="97"/>
      <c r="AE736" s="97"/>
    </row>
    <row r="737" ht="14.25" customHeight="1">
      <c r="A737" s="59"/>
      <c r="B737" s="97"/>
      <c r="C737" s="97"/>
      <c r="D737" s="97"/>
      <c r="E737" s="97"/>
      <c r="F737" s="97"/>
      <c r="G737" s="97"/>
      <c r="H737" s="99"/>
      <c r="I737" s="123"/>
      <c r="J737" s="123"/>
      <c r="K737" s="97"/>
      <c r="L737" s="97"/>
      <c r="M737" s="66"/>
      <c r="N737" s="97"/>
      <c r="O737" s="97"/>
      <c r="P737" s="97"/>
      <c r="Q737" s="97"/>
      <c r="R737" s="97"/>
      <c r="S737" s="97"/>
      <c r="T737" s="97"/>
      <c r="U737" s="97"/>
      <c r="V737" s="97"/>
      <c r="W737" s="97"/>
      <c r="X737" s="97"/>
      <c r="Y737" s="97"/>
      <c r="Z737" s="97"/>
      <c r="AA737" s="97"/>
      <c r="AB737" s="97"/>
      <c r="AC737" s="97"/>
      <c r="AD737" s="97"/>
      <c r="AE737" s="97"/>
    </row>
    <row r="738" ht="14.25" customHeight="1">
      <c r="A738" s="59"/>
      <c r="B738" s="97"/>
      <c r="C738" s="97"/>
      <c r="D738" s="97"/>
      <c r="E738" s="97"/>
      <c r="F738" s="97"/>
      <c r="G738" s="97"/>
      <c r="H738" s="99"/>
      <c r="I738" s="123"/>
      <c r="J738" s="123"/>
      <c r="K738" s="97"/>
      <c r="L738" s="97"/>
      <c r="M738" s="66"/>
      <c r="N738" s="97"/>
      <c r="O738" s="97"/>
      <c r="P738" s="97"/>
      <c r="Q738" s="97"/>
      <c r="R738" s="97"/>
      <c r="S738" s="97"/>
      <c r="T738" s="97"/>
      <c r="U738" s="97"/>
      <c r="V738" s="97"/>
      <c r="W738" s="97"/>
      <c r="X738" s="97"/>
      <c r="Y738" s="97"/>
      <c r="Z738" s="97"/>
      <c r="AA738" s="97"/>
      <c r="AB738" s="97"/>
      <c r="AC738" s="97"/>
      <c r="AD738" s="97"/>
      <c r="AE738" s="97"/>
    </row>
    <row r="739" ht="14.25" customHeight="1">
      <c r="A739" s="59"/>
      <c r="B739" s="97"/>
      <c r="C739" s="97"/>
      <c r="D739" s="97"/>
      <c r="E739" s="97"/>
      <c r="F739" s="97"/>
      <c r="G739" s="97"/>
      <c r="H739" s="99"/>
      <c r="I739" s="123"/>
      <c r="J739" s="123"/>
      <c r="K739" s="97"/>
      <c r="L739" s="97"/>
      <c r="M739" s="66"/>
      <c r="N739" s="97"/>
      <c r="O739" s="97"/>
      <c r="P739" s="97"/>
      <c r="Q739" s="97"/>
      <c r="R739" s="97"/>
      <c r="S739" s="97"/>
      <c r="T739" s="97"/>
      <c r="U739" s="97"/>
      <c r="V739" s="97"/>
      <c r="W739" s="97"/>
      <c r="X739" s="97"/>
      <c r="Y739" s="97"/>
      <c r="Z739" s="97"/>
      <c r="AA739" s="97"/>
      <c r="AB739" s="97"/>
      <c r="AC739" s="97"/>
      <c r="AD739" s="97"/>
      <c r="AE739" s="97"/>
    </row>
    <row r="740" ht="14.25" customHeight="1">
      <c r="A740" s="59"/>
      <c r="B740" s="97"/>
      <c r="C740" s="97"/>
      <c r="D740" s="97"/>
      <c r="E740" s="97"/>
      <c r="F740" s="97"/>
      <c r="G740" s="97"/>
      <c r="H740" s="99"/>
      <c r="I740" s="123"/>
      <c r="J740" s="123"/>
      <c r="K740" s="97"/>
      <c r="L740" s="97"/>
      <c r="M740" s="66"/>
      <c r="N740" s="97"/>
      <c r="O740" s="97"/>
      <c r="P740" s="97"/>
      <c r="Q740" s="97"/>
      <c r="R740" s="97"/>
      <c r="S740" s="97"/>
      <c r="T740" s="97"/>
      <c r="U740" s="97"/>
      <c r="V740" s="97"/>
      <c r="W740" s="97"/>
      <c r="X740" s="97"/>
      <c r="Y740" s="97"/>
      <c r="Z740" s="97"/>
      <c r="AA740" s="97"/>
      <c r="AB740" s="97"/>
      <c r="AC740" s="97"/>
      <c r="AD740" s="97"/>
      <c r="AE740" s="97"/>
    </row>
    <row r="741" ht="14.25" customHeight="1">
      <c r="A741" s="59"/>
      <c r="B741" s="97"/>
      <c r="C741" s="97"/>
      <c r="D741" s="97"/>
      <c r="E741" s="97"/>
      <c r="F741" s="97"/>
      <c r="G741" s="97"/>
      <c r="H741" s="99"/>
      <c r="I741" s="123"/>
      <c r="J741" s="123"/>
      <c r="K741" s="97"/>
      <c r="L741" s="97"/>
      <c r="M741" s="66"/>
      <c r="N741" s="97"/>
      <c r="O741" s="97"/>
      <c r="P741" s="97"/>
      <c r="Q741" s="97"/>
      <c r="R741" s="97"/>
      <c r="S741" s="97"/>
      <c r="T741" s="97"/>
      <c r="U741" s="97"/>
      <c r="V741" s="97"/>
      <c r="W741" s="97"/>
      <c r="X741" s="97"/>
      <c r="Y741" s="97"/>
      <c r="Z741" s="97"/>
      <c r="AA741" s="97"/>
      <c r="AB741" s="97"/>
      <c r="AC741" s="97"/>
      <c r="AD741" s="97"/>
      <c r="AE741" s="97"/>
    </row>
    <row r="742" ht="14.25" customHeight="1">
      <c r="A742" s="59"/>
      <c r="B742" s="97"/>
      <c r="C742" s="97"/>
      <c r="D742" s="97"/>
      <c r="E742" s="97"/>
      <c r="F742" s="97"/>
      <c r="G742" s="97"/>
      <c r="H742" s="99"/>
      <c r="I742" s="123"/>
      <c r="J742" s="123"/>
      <c r="K742" s="97"/>
      <c r="L742" s="97"/>
      <c r="M742" s="66"/>
      <c r="N742" s="97"/>
      <c r="O742" s="97"/>
      <c r="P742" s="97"/>
      <c r="Q742" s="97"/>
      <c r="R742" s="97"/>
      <c r="S742" s="97"/>
      <c r="T742" s="97"/>
      <c r="U742" s="97"/>
      <c r="V742" s="97"/>
      <c r="W742" s="97"/>
      <c r="X742" s="97"/>
      <c r="Y742" s="97"/>
      <c r="Z742" s="97"/>
      <c r="AA742" s="97"/>
      <c r="AB742" s="97"/>
      <c r="AC742" s="97"/>
      <c r="AD742" s="97"/>
      <c r="AE742" s="97"/>
    </row>
    <row r="743" ht="14.25" customHeight="1">
      <c r="A743" s="59"/>
      <c r="B743" s="97"/>
      <c r="C743" s="97"/>
      <c r="D743" s="97"/>
      <c r="E743" s="97"/>
      <c r="F743" s="97"/>
      <c r="G743" s="97"/>
      <c r="H743" s="99"/>
      <c r="I743" s="123"/>
      <c r="J743" s="123"/>
      <c r="K743" s="97"/>
      <c r="L743" s="97"/>
      <c r="M743" s="66"/>
      <c r="N743" s="97"/>
      <c r="O743" s="97"/>
      <c r="P743" s="97"/>
      <c r="Q743" s="97"/>
      <c r="R743" s="97"/>
      <c r="S743" s="97"/>
      <c r="T743" s="97"/>
      <c r="U743" s="97"/>
      <c r="V743" s="97"/>
      <c r="W743" s="97"/>
      <c r="X743" s="97"/>
      <c r="Y743" s="97"/>
      <c r="Z743" s="97"/>
      <c r="AA743" s="97"/>
      <c r="AB743" s="97"/>
      <c r="AC743" s="97"/>
      <c r="AD743" s="97"/>
      <c r="AE743" s="97"/>
    </row>
    <row r="744" ht="14.25" customHeight="1">
      <c r="A744" s="59"/>
      <c r="B744" s="97"/>
      <c r="C744" s="97"/>
      <c r="D744" s="97"/>
      <c r="E744" s="97"/>
      <c r="F744" s="97"/>
      <c r="G744" s="97"/>
      <c r="H744" s="99"/>
      <c r="I744" s="123"/>
      <c r="J744" s="123"/>
      <c r="K744" s="97"/>
      <c r="L744" s="97"/>
      <c r="M744" s="66"/>
      <c r="N744" s="97"/>
      <c r="O744" s="97"/>
      <c r="P744" s="97"/>
      <c r="Q744" s="97"/>
      <c r="R744" s="97"/>
      <c r="S744" s="97"/>
      <c r="T744" s="97"/>
      <c r="U744" s="97"/>
      <c r="V744" s="97"/>
      <c r="W744" s="97"/>
      <c r="X744" s="97"/>
      <c r="Y744" s="97"/>
      <c r="Z744" s="97"/>
      <c r="AA744" s="97"/>
      <c r="AB744" s="97"/>
      <c r="AC744" s="97"/>
      <c r="AD744" s="97"/>
      <c r="AE744" s="97"/>
    </row>
    <row r="745" ht="14.25" customHeight="1">
      <c r="A745" s="59"/>
      <c r="B745" s="97"/>
      <c r="C745" s="97"/>
      <c r="D745" s="97"/>
      <c r="E745" s="97"/>
      <c r="F745" s="97"/>
      <c r="G745" s="97"/>
      <c r="H745" s="99"/>
      <c r="I745" s="123"/>
      <c r="J745" s="123"/>
      <c r="K745" s="97"/>
      <c r="L745" s="97"/>
      <c r="M745" s="66"/>
      <c r="N745" s="97"/>
      <c r="O745" s="97"/>
      <c r="P745" s="97"/>
      <c r="Q745" s="97"/>
      <c r="R745" s="97"/>
      <c r="S745" s="97"/>
      <c r="T745" s="97"/>
      <c r="U745" s="97"/>
      <c r="V745" s="97"/>
      <c r="W745" s="97"/>
      <c r="X745" s="97"/>
      <c r="Y745" s="97"/>
      <c r="Z745" s="97"/>
      <c r="AA745" s="97"/>
      <c r="AB745" s="97"/>
      <c r="AC745" s="97"/>
      <c r="AD745" s="97"/>
      <c r="AE745" s="97"/>
    </row>
    <row r="746" ht="14.25" customHeight="1">
      <c r="A746" s="59"/>
      <c r="B746" s="97"/>
      <c r="C746" s="97"/>
      <c r="D746" s="97"/>
      <c r="E746" s="97"/>
      <c r="F746" s="97"/>
      <c r="G746" s="97"/>
      <c r="H746" s="99"/>
      <c r="I746" s="123"/>
      <c r="J746" s="123"/>
      <c r="K746" s="97"/>
      <c r="L746" s="97"/>
      <c r="M746" s="66"/>
      <c r="N746" s="97"/>
      <c r="O746" s="97"/>
      <c r="P746" s="97"/>
      <c r="Q746" s="97"/>
      <c r="R746" s="97"/>
      <c r="S746" s="97"/>
      <c r="T746" s="97"/>
      <c r="U746" s="97"/>
      <c r="V746" s="97"/>
      <c r="W746" s="97"/>
      <c r="X746" s="97"/>
      <c r="Y746" s="97"/>
      <c r="Z746" s="97"/>
      <c r="AA746" s="97"/>
      <c r="AB746" s="97"/>
      <c r="AC746" s="97"/>
      <c r="AD746" s="97"/>
      <c r="AE746" s="97"/>
    </row>
    <row r="747" ht="14.25" customHeight="1">
      <c r="A747" s="59"/>
      <c r="B747" s="97"/>
      <c r="C747" s="97"/>
      <c r="D747" s="97"/>
      <c r="E747" s="97"/>
      <c r="F747" s="97"/>
      <c r="G747" s="97"/>
      <c r="H747" s="99"/>
      <c r="I747" s="123"/>
      <c r="J747" s="123"/>
      <c r="K747" s="97"/>
      <c r="L747" s="97"/>
      <c r="M747" s="66"/>
      <c r="N747" s="97"/>
      <c r="O747" s="97"/>
      <c r="P747" s="97"/>
      <c r="Q747" s="97"/>
      <c r="R747" s="97"/>
      <c r="S747" s="97"/>
      <c r="T747" s="97"/>
      <c r="U747" s="97"/>
      <c r="V747" s="97"/>
      <c r="W747" s="97"/>
      <c r="X747" s="97"/>
      <c r="Y747" s="97"/>
      <c r="Z747" s="97"/>
      <c r="AA747" s="97"/>
      <c r="AB747" s="97"/>
      <c r="AC747" s="97"/>
      <c r="AD747" s="97"/>
      <c r="AE747" s="97"/>
    </row>
    <row r="748" ht="14.25" customHeight="1">
      <c r="A748" s="59"/>
      <c r="B748" s="97"/>
      <c r="C748" s="97"/>
      <c r="D748" s="97"/>
      <c r="E748" s="97"/>
      <c r="F748" s="97"/>
      <c r="G748" s="97"/>
      <c r="H748" s="99"/>
      <c r="I748" s="123"/>
      <c r="J748" s="123"/>
      <c r="K748" s="97"/>
      <c r="L748" s="97"/>
      <c r="M748" s="66"/>
      <c r="N748" s="97"/>
      <c r="O748" s="97"/>
      <c r="P748" s="97"/>
      <c r="Q748" s="97"/>
      <c r="R748" s="97"/>
      <c r="S748" s="97"/>
      <c r="T748" s="97"/>
      <c r="U748" s="97"/>
      <c r="V748" s="97"/>
      <c r="W748" s="97"/>
      <c r="X748" s="97"/>
      <c r="Y748" s="97"/>
      <c r="Z748" s="97"/>
      <c r="AA748" s="97"/>
      <c r="AB748" s="97"/>
      <c r="AC748" s="97"/>
      <c r="AD748" s="97"/>
      <c r="AE748" s="97"/>
    </row>
    <row r="749" ht="14.25" customHeight="1">
      <c r="A749" s="59"/>
      <c r="B749" s="97"/>
      <c r="C749" s="97"/>
      <c r="D749" s="97"/>
      <c r="E749" s="97"/>
      <c r="F749" s="97"/>
      <c r="G749" s="97"/>
      <c r="H749" s="99"/>
      <c r="I749" s="123"/>
      <c r="J749" s="123"/>
      <c r="K749" s="97"/>
      <c r="L749" s="97"/>
      <c r="M749" s="66"/>
      <c r="N749" s="97"/>
      <c r="O749" s="97"/>
      <c r="P749" s="97"/>
      <c r="Q749" s="97"/>
      <c r="R749" s="97"/>
      <c r="S749" s="97"/>
      <c r="T749" s="97"/>
      <c r="U749" s="97"/>
      <c r="V749" s="97"/>
      <c r="W749" s="97"/>
      <c r="X749" s="97"/>
      <c r="Y749" s="97"/>
      <c r="Z749" s="97"/>
      <c r="AA749" s="97"/>
      <c r="AB749" s="97"/>
      <c r="AC749" s="97"/>
      <c r="AD749" s="97"/>
      <c r="AE749" s="97"/>
    </row>
    <row r="750" ht="14.25" customHeight="1">
      <c r="A750" s="59"/>
      <c r="B750" s="97"/>
      <c r="C750" s="97"/>
      <c r="D750" s="97"/>
      <c r="E750" s="97"/>
      <c r="F750" s="97"/>
      <c r="G750" s="97"/>
      <c r="H750" s="99"/>
      <c r="I750" s="123"/>
      <c r="J750" s="123"/>
      <c r="K750" s="97"/>
      <c r="L750" s="97"/>
      <c r="M750" s="66"/>
      <c r="N750" s="97"/>
      <c r="O750" s="97"/>
      <c r="P750" s="97"/>
      <c r="Q750" s="97"/>
      <c r="R750" s="97"/>
      <c r="S750" s="97"/>
      <c r="T750" s="97"/>
      <c r="U750" s="97"/>
      <c r="V750" s="97"/>
      <c r="W750" s="97"/>
      <c r="X750" s="97"/>
      <c r="Y750" s="97"/>
      <c r="Z750" s="97"/>
      <c r="AA750" s="97"/>
      <c r="AB750" s="97"/>
      <c r="AC750" s="97"/>
      <c r="AD750" s="97"/>
      <c r="AE750" s="97"/>
    </row>
    <row r="751" ht="14.25" customHeight="1">
      <c r="A751" s="59"/>
      <c r="B751" s="97"/>
      <c r="C751" s="97"/>
      <c r="D751" s="97"/>
      <c r="E751" s="97"/>
      <c r="F751" s="97"/>
      <c r="G751" s="97"/>
      <c r="H751" s="99"/>
      <c r="I751" s="123"/>
      <c r="J751" s="123"/>
      <c r="K751" s="97"/>
      <c r="L751" s="97"/>
      <c r="M751" s="66"/>
      <c r="N751" s="97"/>
      <c r="O751" s="97"/>
      <c r="P751" s="97"/>
      <c r="Q751" s="97"/>
      <c r="R751" s="97"/>
      <c r="S751" s="97"/>
      <c r="T751" s="97"/>
      <c r="U751" s="97"/>
      <c r="V751" s="97"/>
      <c r="W751" s="97"/>
      <c r="X751" s="97"/>
      <c r="Y751" s="97"/>
      <c r="Z751" s="97"/>
      <c r="AA751" s="97"/>
      <c r="AB751" s="97"/>
      <c r="AC751" s="97"/>
      <c r="AD751" s="97"/>
      <c r="AE751" s="97"/>
    </row>
    <row r="752" ht="14.25" customHeight="1">
      <c r="A752" s="59"/>
      <c r="B752" s="97"/>
      <c r="C752" s="97"/>
      <c r="D752" s="97"/>
      <c r="E752" s="97"/>
      <c r="F752" s="97"/>
      <c r="G752" s="97"/>
      <c r="H752" s="99"/>
      <c r="I752" s="123"/>
      <c r="J752" s="123"/>
      <c r="K752" s="97"/>
      <c r="L752" s="97"/>
      <c r="M752" s="66"/>
      <c r="N752" s="97"/>
      <c r="O752" s="97"/>
      <c r="P752" s="97"/>
      <c r="Q752" s="97"/>
      <c r="R752" s="97"/>
      <c r="S752" s="97"/>
      <c r="T752" s="97"/>
      <c r="U752" s="97"/>
      <c r="V752" s="97"/>
      <c r="W752" s="97"/>
      <c r="X752" s="97"/>
      <c r="Y752" s="97"/>
      <c r="Z752" s="97"/>
      <c r="AA752" s="97"/>
      <c r="AB752" s="97"/>
      <c r="AC752" s="97"/>
      <c r="AD752" s="97"/>
      <c r="AE752" s="97"/>
    </row>
    <row r="753" ht="14.25" customHeight="1">
      <c r="A753" s="59"/>
      <c r="B753" s="97"/>
      <c r="C753" s="97"/>
      <c r="D753" s="97"/>
      <c r="E753" s="97"/>
      <c r="F753" s="97"/>
      <c r="G753" s="97"/>
      <c r="H753" s="99"/>
      <c r="I753" s="123"/>
      <c r="J753" s="123"/>
      <c r="K753" s="97"/>
      <c r="L753" s="97"/>
      <c r="M753" s="66"/>
      <c r="N753" s="97"/>
      <c r="O753" s="97"/>
      <c r="P753" s="97"/>
      <c r="Q753" s="97"/>
      <c r="R753" s="97"/>
      <c r="S753" s="97"/>
      <c r="T753" s="97"/>
      <c r="U753" s="97"/>
      <c r="V753" s="97"/>
      <c r="W753" s="97"/>
      <c r="X753" s="97"/>
      <c r="Y753" s="97"/>
      <c r="Z753" s="97"/>
      <c r="AA753" s="97"/>
      <c r="AB753" s="97"/>
      <c r="AC753" s="97"/>
      <c r="AD753" s="97"/>
      <c r="AE753" s="97"/>
    </row>
    <row r="754" ht="14.25" customHeight="1">
      <c r="A754" s="59"/>
      <c r="B754" s="97"/>
      <c r="C754" s="97"/>
      <c r="D754" s="97"/>
      <c r="E754" s="97"/>
      <c r="F754" s="97"/>
      <c r="G754" s="97"/>
      <c r="H754" s="99"/>
      <c r="I754" s="123"/>
      <c r="J754" s="123"/>
      <c r="K754" s="97"/>
      <c r="L754" s="97"/>
      <c r="M754" s="66"/>
      <c r="N754" s="97"/>
      <c r="O754" s="97"/>
      <c r="P754" s="97"/>
      <c r="Q754" s="97"/>
      <c r="R754" s="97"/>
      <c r="S754" s="97"/>
      <c r="T754" s="97"/>
      <c r="U754" s="97"/>
      <c r="V754" s="97"/>
      <c r="W754" s="97"/>
      <c r="X754" s="97"/>
      <c r="Y754" s="97"/>
      <c r="Z754" s="97"/>
      <c r="AA754" s="97"/>
      <c r="AB754" s="97"/>
      <c r="AC754" s="97"/>
      <c r="AD754" s="97"/>
      <c r="AE754" s="97"/>
    </row>
    <row r="755" ht="14.25" customHeight="1">
      <c r="A755" s="59"/>
      <c r="B755" s="97"/>
      <c r="C755" s="97"/>
      <c r="D755" s="97"/>
      <c r="E755" s="97"/>
      <c r="F755" s="97"/>
      <c r="G755" s="97"/>
      <c r="H755" s="99"/>
      <c r="I755" s="123"/>
      <c r="J755" s="123"/>
      <c r="K755" s="97"/>
      <c r="L755" s="97"/>
      <c r="M755" s="66"/>
      <c r="N755" s="97"/>
      <c r="O755" s="97"/>
      <c r="P755" s="97"/>
      <c r="Q755" s="97"/>
      <c r="R755" s="97"/>
      <c r="S755" s="97"/>
      <c r="T755" s="97"/>
      <c r="U755" s="97"/>
      <c r="V755" s="97"/>
      <c r="W755" s="97"/>
      <c r="X755" s="97"/>
      <c r="Y755" s="97"/>
      <c r="Z755" s="97"/>
      <c r="AA755" s="97"/>
      <c r="AB755" s="97"/>
      <c r="AC755" s="97"/>
      <c r="AD755" s="97"/>
      <c r="AE755" s="97"/>
    </row>
    <row r="756" ht="14.25" customHeight="1">
      <c r="A756" s="59"/>
      <c r="B756" s="97"/>
      <c r="C756" s="97"/>
      <c r="D756" s="97"/>
      <c r="E756" s="97"/>
      <c r="F756" s="97"/>
      <c r="G756" s="97"/>
      <c r="H756" s="99"/>
      <c r="I756" s="123"/>
      <c r="J756" s="123"/>
      <c r="K756" s="97"/>
      <c r="L756" s="97"/>
      <c r="M756" s="66"/>
      <c r="N756" s="97"/>
      <c r="O756" s="97"/>
      <c r="P756" s="97"/>
      <c r="Q756" s="97"/>
      <c r="R756" s="97"/>
      <c r="S756" s="97"/>
      <c r="T756" s="97"/>
      <c r="U756" s="97"/>
      <c r="V756" s="97"/>
      <c r="W756" s="97"/>
      <c r="X756" s="97"/>
      <c r="Y756" s="97"/>
      <c r="Z756" s="97"/>
      <c r="AA756" s="97"/>
      <c r="AB756" s="97"/>
      <c r="AC756" s="97"/>
      <c r="AD756" s="97"/>
      <c r="AE756" s="97"/>
    </row>
    <row r="757" ht="14.25" customHeight="1">
      <c r="A757" s="59"/>
      <c r="B757" s="97"/>
      <c r="C757" s="97"/>
      <c r="D757" s="97"/>
      <c r="E757" s="97"/>
      <c r="F757" s="97"/>
      <c r="G757" s="97"/>
      <c r="H757" s="99"/>
      <c r="I757" s="123"/>
      <c r="J757" s="123"/>
      <c r="K757" s="97"/>
      <c r="L757" s="97"/>
      <c r="M757" s="66"/>
      <c r="N757" s="97"/>
      <c r="O757" s="97"/>
      <c r="P757" s="97"/>
      <c r="Q757" s="97"/>
      <c r="R757" s="97"/>
      <c r="S757" s="97"/>
      <c r="T757" s="97"/>
      <c r="U757" s="97"/>
      <c r="V757" s="97"/>
      <c r="W757" s="97"/>
      <c r="X757" s="97"/>
      <c r="Y757" s="97"/>
      <c r="Z757" s="97"/>
      <c r="AA757" s="97"/>
      <c r="AB757" s="97"/>
      <c r="AC757" s="97"/>
      <c r="AD757" s="97"/>
      <c r="AE757" s="97"/>
    </row>
    <row r="758" ht="14.25" customHeight="1">
      <c r="A758" s="59"/>
      <c r="B758" s="97"/>
      <c r="C758" s="97"/>
      <c r="D758" s="97"/>
      <c r="E758" s="97"/>
      <c r="F758" s="97"/>
      <c r="G758" s="97"/>
      <c r="H758" s="99"/>
      <c r="I758" s="123"/>
      <c r="J758" s="123"/>
      <c r="K758" s="97"/>
      <c r="L758" s="97"/>
      <c r="M758" s="66"/>
      <c r="N758" s="97"/>
      <c r="O758" s="97"/>
      <c r="P758" s="97"/>
      <c r="Q758" s="97"/>
      <c r="R758" s="97"/>
      <c r="S758" s="97"/>
      <c r="T758" s="97"/>
      <c r="U758" s="97"/>
      <c r="V758" s="97"/>
      <c r="W758" s="97"/>
      <c r="X758" s="97"/>
      <c r="Y758" s="97"/>
      <c r="Z758" s="97"/>
      <c r="AA758" s="97"/>
      <c r="AB758" s="97"/>
      <c r="AC758" s="97"/>
      <c r="AD758" s="97"/>
      <c r="AE758" s="97"/>
    </row>
    <row r="759" ht="14.25" customHeight="1">
      <c r="A759" s="59"/>
      <c r="B759" s="97"/>
      <c r="C759" s="97"/>
      <c r="D759" s="97"/>
      <c r="E759" s="97"/>
      <c r="F759" s="97"/>
      <c r="G759" s="97"/>
      <c r="H759" s="99"/>
      <c r="I759" s="123"/>
      <c r="J759" s="123"/>
      <c r="K759" s="97"/>
      <c r="L759" s="97"/>
      <c r="M759" s="66"/>
      <c r="N759" s="97"/>
      <c r="O759" s="97"/>
      <c r="P759" s="97"/>
      <c r="Q759" s="97"/>
      <c r="R759" s="97"/>
      <c r="S759" s="97"/>
      <c r="T759" s="97"/>
      <c r="U759" s="97"/>
      <c r="V759" s="97"/>
      <c r="W759" s="97"/>
      <c r="X759" s="97"/>
      <c r="Y759" s="97"/>
      <c r="Z759" s="97"/>
      <c r="AA759" s="97"/>
      <c r="AB759" s="97"/>
      <c r="AC759" s="97"/>
      <c r="AD759" s="97"/>
      <c r="AE759" s="97"/>
    </row>
    <row r="760" ht="14.25" customHeight="1">
      <c r="A760" s="59"/>
      <c r="B760" s="97"/>
      <c r="C760" s="97"/>
      <c r="D760" s="97"/>
      <c r="E760" s="97"/>
      <c r="F760" s="97"/>
      <c r="G760" s="97"/>
      <c r="H760" s="99"/>
      <c r="I760" s="123"/>
      <c r="J760" s="123"/>
      <c r="K760" s="97"/>
      <c r="L760" s="97"/>
      <c r="M760" s="66"/>
      <c r="N760" s="97"/>
      <c r="O760" s="97"/>
      <c r="P760" s="97"/>
      <c r="Q760" s="97"/>
      <c r="R760" s="97"/>
      <c r="S760" s="97"/>
      <c r="T760" s="97"/>
      <c r="U760" s="97"/>
      <c r="V760" s="97"/>
      <c r="W760" s="97"/>
      <c r="X760" s="97"/>
      <c r="Y760" s="97"/>
      <c r="Z760" s="97"/>
      <c r="AA760" s="97"/>
      <c r="AB760" s="97"/>
      <c r="AC760" s="97"/>
      <c r="AD760" s="97"/>
      <c r="AE760" s="97"/>
    </row>
    <row r="761" ht="14.25" customHeight="1">
      <c r="A761" s="59"/>
      <c r="B761" s="97"/>
      <c r="C761" s="97"/>
      <c r="D761" s="97"/>
      <c r="E761" s="97"/>
      <c r="F761" s="97"/>
      <c r="G761" s="97"/>
      <c r="H761" s="99"/>
      <c r="I761" s="123"/>
      <c r="J761" s="123"/>
      <c r="K761" s="97"/>
      <c r="L761" s="97"/>
      <c r="M761" s="66"/>
      <c r="N761" s="97"/>
      <c r="O761" s="97"/>
      <c r="P761" s="97"/>
      <c r="Q761" s="97"/>
      <c r="R761" s="97"/>
      <c r="S761" s="97"/>
      <c r="T761" s="97"/>
      <c r="U761" s="97"/>
      <c r="V761" s="97"/>
      <c r="W761" s="97"/>
      <c r="X761" s="97"/>
      <c r="Y761" s="97"/>
      <c r="Z761" s="97"/>
      <c r="AA761" s="97"/>
      <c r="AB761" s="97"/>
      <c r="AC761" s="97"/>
      <c r="AD761" s="97"/>
      <c r="AE761" s="97"/>
    </row>
    <row r="762" ht="14.25" customHeight="1">
      <c r="A762" s="59"/>
      <c r="B762" s="97"/>
      <c r="C762" s="97"/>
      <c r="D762" s="97"/>
      <c r="E762" s="97"/>
      <c r="F762" s="97"/>
      <c r="G762" s="97"/>
      <c r="H762" s="99"/>
      <c r="I762" s="123"/>
      <c r="J762" s="123"/>
      <c r="K762" s="97"/>
      <c r="L762" s="97"/>
      <c r="M762" s="66"/>
      <c r="N762" s="97"/>
      <c r="O762" s="97"/>
      <c r="P762" s="97"/>
      <c r="Q762" s="97"/>
      <c r="R762" s="97"/>
      <c r="S762" s="97"/>
      <c r="T762" s="97"/>
      <c r="U762" s="97"/>
      <c r="V762" s="97"/>
      <c r="W762" s="97"/>
      <c r="X762" s="97"/>
      <c r="Y762" s="97"/>
      <c r="Z762" s="97"/>
      <c r="AA762" s="97"/>
      <c r="AB762" s="97"/>
      <c r="AC762" s="97"/>
      <c r="AD762" s="97"/>
      <c r="AE762" s="97"/>
    </row>
    <row r="763" ht="14.25" customHeight="1">
      <c r="A763" s="59"/>
      <c r="B763" s="97"/>
      <c r="C763" s="97"/>
      <c r="D763" s="97"/>
      <c r="E763" s="97"/>
      <c r="F763" s="97"/>
      <c r="G763" s="97"/>
      <c r="H763" s="99"/>
      <c r="I763" s="123"/>
      <c r="J763" s="123"/>
      <c r="K763" s="97"/>
      <c r="L763" s="97"/>
      <c r="M763" s="66"/>
      <c r="N763" s="97"/>
      <c r="O763" s="97"/>
      <c r="P763" s="97"/>
      <c r="Q763" s="97"/>
      <c r="R763" s="97"/>
      <c r="S763" s="97"/>
      <c r="T763" s="97"/>
      <c r="U763" s="97"/>
      <c r="V763" s="97"/>
      <c r="W763" s="97"/>
      <c r="X763" s="97"/>
      <c r="Y763" s="97"/>
      <c r="Z763" s="97"/>
      <c r="AA763" s="97"/>
      <c r="AB763" s="97"/>
      <c r="AC763" s="97"/>
      <c r="AD763" s="97"/>
      <c r="AE763" s="97"/>
    </row>
    <row r="764" ht="14.25" customHeight="1">
      <c r="A764" s="59"/>
      <c r="B764" s="97"/>
      <c r="C764" s="97"/>
      <c r="D764" s="97"/>
      <c r="E764" s="97"/>
      <c r="F764" s="97"/>
      <c r="G764" s="97"/>
      <c r="H764" s="99"/>
      <c r="I764" s="123"/>
      <c r="J764" s="123"/>
      <c r="K764" s="97"/>
      <c r="L764" s="97"/>
      <c r="M764" s="66"/>
      <c r="N764" s="97"/>
      <c r="O764" s="97"/>
      <c r="P764" s="97"/>
      <c r="Q764" s="97"/>
      <c r="R764" s="97"/>
      <c r="S764" s="97"/>
      <c r="T764" s="97"/>
      <c r="U764" s="97"/>
      <c r="V764" s="97"/>
      <c r="W764" s="97"/>
      <c r="X764" s="97"/>
      <c r="Y764" s="97"/>
      <c r="Z764" s="97"/>
      <c r="AA764" s="97"/>
      <c r="AB764" s="97"/>
      <c r="AC764" s="97"/>
      <c r="AD764" s="97"/>
      <c r="AE764" s="97"/>
    </row>
    <row r="765" ht="14.25" customHeight="1">
      <c r="A765" s="59"/>
      <c r="B765" s="97"/>
      <c r="C765" s="97"/>
      <c r="D765" s="97"/>
      <c r="E765" s="97"/>
      <c r="F765" s="97"/>
      <c r="G765" s="97"/>
      <c r="H765" s="99"/>
      <c r="I765" s="123"/>
      <c r="J765" s="123"/>
      <c r="K765" s="97"/>
      <c r="L765" s="97"/>
      <c r="M765" s="66"/>
      <c r="N765" s="97"/>
      <c r="O765" s="97"/>
      <c r="P765" s="97"/>
      <c r="Q765" s="97"/>
      <c r="R765" s="97"/>
      <c r="S765" s="97"/>
      <c r="T765" s="97"/>
      <c r="U765" s="97"/>
      <c r="V765" s="97"/>
      <c r="W765" s="97"/>
      <c r="X765" s="97"/>
      <c r="Y765" s="97"/>
      <c r="Z765" s="97"/>
      <c r="AA765" s="97"/>
      <c r="AB765" s="97"/>
      <c r="AC765" s="97"/>
      <c r="AD765" s="97"/>
      <c r="AE765" s="97"/>
    </row>
    <row r="766" ht="14.25" customHeight="1">
      <c r="A766" s="59"/>
      <c r="B766" s="97"/>
      <c r="C766" s="97"/>
      <c r="D766" s="97"/>
      <c r="E766" s="97"/>
      <c r="F766" s="97"/>
      <c r="G766" s="97"/>
      <c r="H766" s="99"/>
      <c r="I766" s="123"/>
      <c r="J766" s="123"/>
      <c r="K766" s="97"/>
      <c r="L766" s="97"/>
      <c r="M766" s="66"/>
      <c r="N766" s="97"/>
      <c r="O766" s="97"/>
      <c r="P766" s="97"/>
      <c r="Q766" s="97"/>
      <c r="R766" s="97"/>
      <c r="S766" s="97"/>
      <c r="T766" s="97"/>
      <c r="U766" s="97"/>
      <c r="V766" s="97"/>
      <c r="W766" s="97"/>
      <c r="X766" s="97"/>
      <c r="Y766" s="97"/>
      <c r="Z766" s="97"/>
      <c r="AA766" s="97"/>
      <c r="AB766" s="97"/>
      <c r="AC766" s="97"/>
      <c r="AD766" s="97"/>
      <c r="AE766" s="97"/>
    </row>
    <row r="767" ht="14.25" customHeight="1">
      <c r="A767" s="59"/>
      <c r="B767" s="97"/>
      <c r="C767" s="97"/>
      <c r="D767" s="97"/>
      <c r="E767" s="97"/>
      <c r="F767" s="97"/>
      <c r="G767" s="97"/>
      <c r="H767" s="99"/>
      <c r="I767" s="123"/>
      <c r="J767" s="123"/>
      <c r="K767" s="97"/>
      <c r="L767" s="97"/>
      <c r="M767" s="66"/>
      <c r="N767" s="97"/>
      <c r="O767" s="97"/>
      <c r="P767" s="97"/>
      <c r="Q767" s="97"/>
      <c r="R767" s="97"/>
      <c r="S767" s="97"/>
      <c r="T767" s="97"/>
      <c r="U767" s="97"/>
      <c r="V767" s="97"/>
      <c r="W767" s="97"/>
      <c r="X767" s="97"/>
      <c r="Y767" s="97"/>
      <c r="Z767" s="97"/>
      <c r="AA767" s="97"/>
      <c r="AB767" s="97"/>
      <c r="AC767" s="97"/>
      <c r="AD767" s="97"/>
      <c r="AE767" s="97"/>
    </row>
    <row r="768" ht="14.25" customHeight="1">
      <c r="A768" s="59"/>
      <c r="B768" s="97"/>
      <c r="C768" s="97"/>
      <c r="D768" s="97"/>
      <c r="E768" s="97"/>
      <c r="F768" s="97"/>
      <c r="G768" s="97"/>
      <c r="H768" s="99"/>
      <c r="I768" s="123"/>
      <c r="J768" s="123"/>
      <c r="K768" s="97"/>
      <c r="L768" s="97"/>
      <c r="M768" s="66"/>
      <c r="N768" s="97"/>
      <c r="O768" s="97"/>
      <c r="P768" s="97"/>
      <c r="Q768" s="97"/>
      <c r="R768" s="97"/>
      <c r="S768" s="97"/>
      <c r="T768" s="97"/>
      <c r="U768" s="97"/>
      <c r="V768" s="97"/>
      <c r="W768" s="97"/>
      <c r="X768" s="97"/>
      <c r="Y768" s="97"/>
      <c r="Z768" s="97"/>
      <c r="AA768" s="97"/>
      <c r="AB768" s="97"/>
      <c r="AC768" s="97"/>
      <c r="AD768" s="97"/>
      <c r="AE768" s="97"/>
    </row>
    <row r="769" ht="14.25" customHeight="1">
      <c r="A769" s="59"/>
      <c r="B769" s="97"/>
      <c r="C769" s="97"/>
      <c r="D769" s="97"/>
      <c r="E769" s="97"/>
      <c r="F769" s="97"/>
      <c r="G769" s="97"/>
      <c r="H769" s="99"/>
      <c r="I769" s="123"/>
      <c r="J769" s="123"/>
      <c r="K769" s="97"/>
      <c r="L769" s="97"/>
      <c r="M769" s="66"/>
      <c r="N769" s="97"/>
      <c r="O769" s="97"/>
      <c r="P769" s="97"/>
      <c r="Q769" s="97"/>
      <c r="R769" s="97"/>
      <c r="S769" s="97"/>
      <c r="T769" s="97"/>
      <c r="U769" s="97"/>
      <c r="V769" s="97"/>
      <c r="W769" s="97"/>
      <c r="X769" s="97"/>
      <c r="Y769" s="97"/>
      <c r="Z769" s="97"/>
      <c r="AA769" s="97"/>
      <c r="AB769" s="97"/>
      <c r="AC769" s="97"/>
      <c r="AD769" s="97"/>
      <c r="AE769" s="97"/>
    </row>
    <row r="770" ht="14.25" customHeight="1">
      <c r="A770" s="59"/>
      <c r="B770" s="97"/>
      <c r="C770" s="97"/>
      <c r="D770" s="97"/>
      <c r="E770" s="97"/>
      <c r="F770" s="97"/>
      <c r="G770" s="97"/>
      <c r="H770" s="99"/>
      <c r="I770" s="123"/>
      <c r="J770" s="123"/>
      <c r="K770" s="97"/>
      <c r="L770" s="97"/>
      <c r="M770" s="66"/>
      <c r="N770" s="97"/>
      <c r="O770" s="97"/>
      <c r="P770" s="97"/>
      <c r="Q770" s="97"/>
      <c r="R770" s="97"/>
      <c r="S770" s="97"/>
      <c r="T770" s="97"/>
      <c r="U770" s="97"/>
      <c r="V770" s="97"/>
      <c r="W770" s="97"/>
      <c r="X770" s="97"/>
      <c r="Y770" s="97"/>
      <c r="Z770" s="97"/>
      <c r="AA770" s="97"/>
      <c r="AB770" s="97"/>
      <c r="AC770" s="97"/>
      <c r="AD770" s="97"/>
      <c r="AE770" s="97"/>
    </row>
    <row r="771" ht="14.25" customHeight="1">
      <c r="A771" s="59"/>
      <c r="B771" s="97"/>
      <c r="C771" s="97"/>
      <c r="D771" s="97"/>
      <c r="E771" s="97"/>
      <c r="F771" s="97"/>
      <c r="G771" s="97"/>
      <c r="H771" s="99"/>
      <c r="I771" s="123"/>
      <c r="J771" s="123"/>
      <c r="K771" s="97"/>
      <c r="L771" s="97"/>
      <c r="M771" s="66"/>
      <c r="N771" s="97"/>
      <c r="O771" s="97"/>
      <c r="P771" s="97"/>
      <c r="Q771" s="97"/>
      <c r="R771" s="97"/>
      <c r="S771" s="97"/>
      <c r="T771" s="97"/>
      <c r="U771" s="97"/>
      <c r="V771" s="97"/>
      <c r="W771" s="97"/>
      <c r="X771" s="97"/>
      <c r="Y771" s="97"/>
      <c r="Z771" s="97"/>
      <c r="AA771" s="97"/>
      <c r="AB771" s="97"/>
      <c r="AC771" s="97"/>
      <c r="AD771" s="97"/>
      <c r="AE771" s="97"/>
    </row>
    <row r="772" ht="14.25" customHeight="1">
      <c r="A772" s="59"/>
      <c r="B772" s="97"/>
      <c r="C772" s="97"/>
      <c r="D772" s="97"/>
      <c r="E772" s="97"/>
      <c r="F772" s="97"/>
      <c r="G772" s="97"/>
      <c r="H772" s="99"/>
      <c r="I772" s="123"/>
      <c r="J772" s="123"/>
      <c r="K772" s="97"/>
      <c r="L772" s="97"/>
      <c r="M772" s="66"/>
      <c r="N772" s="97"/>
      <c r="O772" s="97"/>
      <c r="P772" s="97"/>
      <c r="Q772" s="97"/>
      <c r="R772" s="97"/>
      <c r="S772" s="97"/>
      <c r="T772" s="97"/>
      <c r="U772" s="97"/>
      <c r="V772" s="97"/>
      <c r="W772" s="97"/>
      <c r="X772" s="97"/>
      <c r="Y772" s="97"/>
      <c r="Z772" s="97"/>
      <c r="AA772" s="97"/>
      <c r="AB772" s="97"/>
      <c r="AC772" s="97"/>
      <c r="AD772" s="97"/>
      <c r="AE772" s="97"/>
    </row>
    <row r="773" ht="14.25" customHeight="1">
      <c r="A773" s="59"/>
      <c r="B773" s="97"/>
      <c r="C773" s="97"/>
      <c r="D773" s="97"/>
      <c r="E773" s="97"/>
      <c r="F773" s="97"/>
      <c r="G773" s="97"/>
      <c r="H773" s="99"/>
      <c r="I773" s="123"/>
      <c r="J773" s="123"/>
      <c r="K773" s="97"/>
      <c r="L773" s="97"/>
      <c r="M773" s="66"/>
      <c r="N773" s="97"/>
      <c r="O773" s="97"/>
      <c r="P773" s="97"/>
      <c r="Q773" s="97"/>
      <c r="R773" s="97"/>
      <c r="S773" s="97"/>
      <c r="T773" s="97"/>
      <c r="U773" s="97"/>
      <c r="V773" s="97"/>
      <c r="W773" s="97"/>
      <c r="X773" s="97"/>
      <c r="Y773" s="97"/>
      <c r="Z773" s="97"/>
      <c r="AA773" s="97"/>
      <c r="AB773" s="97"/>
      <c r="AC773" s="97"/>
      <c r="AD773" s="97"/>
      <c r="AE773" s="97"/>
    </row>
    <row r="774" ht="14.25" customHeight="1">
      <c r="A774" s="59"/>
      <c r="B774" s="97"/>
      <c r="C774" s="97"/>
      <c r="D774" s="97"/>
      <c r="E774" s="97"/>
      <c r="F774" s="97"/>
      <c r="G774" s="97"/>
      <c r="H774" s="99"/>
      <c r="I774" s="123"/>
      <c r="J774" s="123"/>
      <c r="K774" s="97"/>
      <c r="L774" s="97"/>
      <c r="M774" s="66"/>
      <c r="N774" s="97"/>
      <c r="O774" s="97"/>
      <c r="P774" s="97"/>
      <c r="Q774" s="97"/>
      <c r="R774" s="97"/>
      <c r="S774" s="97"/>
      <c r="T774" s="97"/>
      <c r="U774" s="97"/>
      <c r="V774" s="97"/>
      <c r="W774" s="97"/>
      <c r="X774" s="97"/>
      <c r="Y774" s="97"/>
      <c r="Z774" s="97"/>
      <c r="AA774" s="97"/>
      <c r="AB774" s="97"/>
      <c r="AC774" s="97"/>
      <c r="AD774" s="97"/>
      <c r="AE774" s="97"/>
    </row>
    <row r="775" ht="14.25" customHeight="1">
      <c r="A775" s="59"/>
      <c r="B775" s="97"/>
      <c r="C775" s="97"/>
      <c r="D775" s="97"/>
      <c r="E775" s="97"/>
      <c r="F775" s="97"/>
      <c r="G775" s="97"/>
      <c r="H775" s="99"/>
      <c r="I775" s="123"/>
      <c r="J775" s="123"/>
      <c r="K775" s="97"/>
      <c r="L775" s="97"/>
      <c r="M775" s="66"/>
      <c r="N775" s="97"/>
      <c r="O775" s="97"/>
      <c r="P775" s="97"/>
      <c r="Q775" s="97"/>
      <c r="R775" s="97"/>
      <c r="S775" s="97"/>
      <c r="T775" s="97"/>
      <c r="U775" s="97"/>
      <c r="V775" s="97"/>
      <c r="W775" s="97"/>
      <c r="X775" s="97"/>
      <c r="Y775" s="97"/>
      <c r="Z775" s="97"/>
      <c r="AA775" s="97"/>
      <c r="AB775" s="97"/>
      <c r="AC775" s="97"/>
      <c r="AD775" s="97"/>
      <c r="AE775" s="97"/>
    </row>
    <row r="776" ht="14.25" customHeight="1">
      <c r="A776" s="59"/>
      <c r="B776" s="97"/>
      <c r="C776" s="97"/>
      <c r="D776" s="97"/>
      <c r="E776" s="97"/>
      <c r="F776" s="97"/>
      <c r="G776" s="97"/>
      <c r="H776" s="99"/>
      <c r="I776" s="123"/>
      <c r="J776" s="123"/>
      <c r="K776" s="97"/>
      <c r="L776" s="97"/>
      <c r="M776" s="66"/>
      <c r="N776" s="97"/>
      <c r="O776" s="97"/>
      <c r="P776" s="97"/>
      <c r="Q776" s="97"/>
      <c r="R776" s="97"/>
      <c r="S776" s="97"/>
      <c r="T776" s="97"/>
      <c r="U776" s="97"/>
      <c r="V776" s="97"/>
      <c r="W776" s="97"/>
      <c r="X776" s="97"/>
      <c r="Y776" s="97"/>
      <c r="Z776" s="97"/>
      <c r="AA776" s="97"/>
      <c r="AB776" s="97"/>
      <c r="AC776" s="97"/>
      <c r="AD776" s="97"/>
      <c r="AE776" s="97"/>
    </row>
    <row r="777" ht="14.25" customHeight="1">
      <c r="A777" s="59"/>
      <c r="B777" s="97"/>
      <c r="C777" s="97"/>
      <c r="D777" s="97"/>
      <c r="E777" s="97"/>
      <c r="F777" s="97"/>
      <c r="G777" s="97"/>
      <c r="H777" s="99"/>
      <c r="I777" s="123"/>
      <c r="J777" s="123"/>
      <c r="K777" s="97"/>
      <c r="L777" s="97"/>
      <c r="M777" s="66"/>
      <c r="N777" s="97"/>
      <c r="O777" s="97"/>
      <c r="P777" s="97"/>
      <c r="Q777" s="97"/>
      <c r="R777" s="97"/>
      <c r="S777" s="97"/>
      <c r="T777" s="97"/>
      <c r="U777" s="97"/>
      <c r="V777" s="97"/>
      <c r="W777" s="97"/>
      <c r="X777" s="97"/>
      <c r="Y777" s="97"/>
      <c r="Z777" s="97"/>
      <c r="AA777" s="97"/>
      <c r="AB777" s="97"/>
      <c r="AC777" s="97"/>
      <c r="AD777" s="97"/>
      <c r="AE777" s="97"/>
    </row>
    <row r="778" ht="14.25" customHeight="1">
      <c r="A778" s="59"/>
      <c r="B778" s="97"/>
      <c r="C778" s="97"/>
      <c r="D778" s="97"/>
      <c r="E778" s="97"/>
      <c r="F778" s="97"/>
      <c r="G778" s="97"/>
      <c r="H778" s="99"/>
      <c r="I778" s="123"/>
      <c r="J778" s="123"/>
      <c r="K778" s="97"/>
      <c r="L778" s="97"/>
      <c r="M778" s="66"/>
      <c r="N778" s="97"/>
      <c r="O778" s="97"/>
      <c r="P778" s="97"/>
      <c r="Q778" s="97"/>
      <c r="R778" s="97"/>
      <c r="S778" s="97"/>
      <c r="T778" s="97"/>
      <c r="U778" s="97"/>
      <c r="V778" s="97"/>
      <c r="W778" s="97"/>
      <c r="X778" s="97"/>
      <c r="Y778" s="97"/>
      <c r="Z778" s="97"/>
      <c r="AA778" s="97"/>
      <c r="AB778" s="97"/>
      <c r="AC778" s="97"/>
      <c r="AD778" s="97"/>
      <c r="AE778" s="97"/>
    </row>
    <row r="779" ht="14.25" customHeight="1">
      <c r="A779" s="59"/>
      <c r="B779" s="97"/>
      <c r="C779" s="97"/>
      <c r="D779" s="97"/>
      <c r="E779" s="97"/>
      <c r="F779" s="97"/>
      <c r="G779" s="97"/>
      <c r="H779" s="99"/>
      <c r="I779" s="123"/>
      <c r="J779" s="123"/>
      <c r="K779" s="97"/>
      <c r="L779" s="97"/>
      <c r="M779" s="66"/>
      <c r="N779" s="97"/>
      <c r="O779" s="97"/>
      <c r="P779" s="97"/>
      <c r="Q779" s="97"/>
      <c r="R779" s="97"/>
      <c r="S779" s="97"/>
      <c r="T779" s="97"/>
      <c r="U779" s="97"/>
      <c r="V779" s="97"/>
      <c r="W779" s="97"/>
      <c r="X779" s="97"/>
      <c r="Y779" s="97"/>
      <c r="Z779" s="97"/>
      <c r="AA779" s="97"/>
      <c r="AB779" s="97"/>
      <c r="AC779" s="97"/>
      <c r="AD779" s="97"/>
      <c r="AE779" s="97"/>
    </row>
    <row r="780" ht="14.25" customHeight="1">
      <c r="A780" s="59"/>
      <c r="B780" s="97"/>
      <c r="C780" s="97"/>
      <c r="D780" s="97"/>
      <c r="E780" s="97"/>
      <c r="F780" s="97"/>
      <c r="G780" s="97"/>
      <c r="H780" s="99"/>
      <c r="I780" s="123"/>
      <c r="J780" s="123"/>
      <c r="K780" s="97"/>
      <c r="L780" s="97"/>
      <c r="M780" s="66"/>
      <c r="N780" s="97"/>
      <c r="O780" s="97"/>
      <c r="P780" s="97"/>
      <c r="Q780" s="97"/>
      <c r="R780" s="97"/>
      <c r="S780" s="97"/>
      <c r="T780" s="97"/>
      <c r="U780" s="97"/>
      <c r="V780" s="97"/>
      <c r="W780" s="97"/>
      <c r="X780" s="97"/>
      <c r="Y780" s="97"/>
      <c r="Z780" s="97"/>
      <c r="AA780" s="97"/>
      <c r="AB780" s="97"/>
      <c r="AC780" s="97"/>
      <c r="AD780" s="97"/>
      <c r="AE780" s="97"/>
    </row>
    <row r="781" ht="14.25" customHeight="1">
      <c r="A781" s="59"/>
      <c r="B781" s="97"/>
      <c r="C781" s="97"/>
      <c r="D781" s="97"/>
      <c r="E781" s="97"/>
      <c r="F781" s="97"/>
      <c r="G781" s="97"/>
      <c r="H781" s="99"/>
      <c r="I781" s="123"/>
      <c r="J781" s="123"/>
      <c r="K781" s="97"/>
      <c r="L781" s="97"/>
      <c r="M781" s="66"/>
      <c r="N781" s="97"/>
      <c r="O781" s="97"/>
      <c r="P781" s="97"/>
      <c r="Q781" s="97"/>
      <c r="R781" s="97"/>
      <c r="S781" s="97"/>
      <c r="T781" s="97"/>
      <c r="U781" s="97"/>
      <c r="V781" s="97"/>
      <c r="W781" s="97"/>
      <c r="X781" s="97"/>
      <c r="Y781" s="97"/>
      <c r="Z781" s="97"/>
      <c r="AA781" s="97"/>
      <c r="AB781" s="97"/>
      <c r="AC781" s="97"/>
      <c r="AD781" s="97"/>
      <c r="AE781" s="97"/>
    </row>
    <row r="782" ht="14.25" customHeight="1">
      <c r="A782" s="59"/>
      <c r="B782" s="97"/>
      <c r="C782" s="97"/>
      <c r="D782" s="97"/>
      <c r="E782" s="97"/>
      <c r="F782" s="97"/>
      <c r="G782" s="97"/>
      <c r="H782" s="99"/>
      <c r="I782" s="123"/>
      <c r="J782" s="123"/>
      <c r="K782" s="97"/>
      <c r="L782" s="97"/>
      <c r="M782" s="66"/>
      <c r="N782" s="97"/>
      <c r="O782" s="97"/>
      <c r="P782" s="97"/>
      <c r="Q782" s="97"/>
      <c r="R782" s="97"/>
      <c r="S782" s="97"/>
      <c r="T782" s="97"/>
      <c r="U782" s="97"/>
      <c r="V782" s="97"/>
      <c r="W782" s="97"/>
      <c r="X782" s="97"/>
      <c r="Y782" s="97"/>
      <c r="Z782" s="97"/>
      <c r="AA782" s="97"/>
      <c r="AB782" s="97"/>
      <c r="AC782" s="97"/>
      <c r="AD782" s="97"/>
      <c r="AE782" s="97"/>
    </row>
    <row r="783" ht="14.25" customHeight="1">
      <c r="A783" s="59"/>
      <c r="B783" s="97"/>
      <c r="C783" s="97"/>
      <c r="D783" s="97"/>
      <c r="E783" s="97"/>
      <c r="F783" s="97"/>
      <c r="G783" s="97"/>
      <c r="H783" s="99"/>
      <c r="I783" s="123"/>
      <c r="J783" s="123"/>
      <c r="K783" s="97"/>
      <c r="L783" s="97"/>
      <c r="M783" s="66"/>
      <c r="N783" s="97"/>
      <c r="O783" s="97"/>
      <c r="P783" s="97"/>
      <c r="Q783" s="97"/>
      <c r="R783" s="97"/>
      <c r="S783" s="97"/>
      <c r="T783" s="97"/>
      <c r="U783" s="97"/>
      <c r="V783" s="97"/>
      <c r="W783" s="97"/>
      <c r="X783" s="97"/>
      <c r="Y783" s="97"/>
      <c r="Z783" s="97"/>
      <c r="AA783" s="97"/>
      <c r="AB783" s="97"/>
      <c r="AC783" s="97"/>
      <c r="AD783" s="97"/>
      <c r="AE783" s="97"/>
    </row>
    <row r="784" ht="14.25" customHeight="1">
      <c r="A784" s="59"/>
      <c r="B784" s="97"/>
      <c r="C784" s="97"/>
      <c r="D784" s="97"/>
      <c r="E784" s="97"/>
      <c r="F784" s="97"/>
      <c r="G784" s="97"/>
      <c r="H784" s="99"/>
      <c r="I784" s="123"/>
      <c r="J784" s="123"/>
      <c r="K784" s="97"/>
      <c r="L784" s="97"/>
      <c r="M784" s="66"/>
      <c r="N784" s="97"/>
      <c r="O784" s="97"/>
      <c r="P784" s="97"/>
      <c r="Q784" s="97"/>
      <c r="R784" s="97"/>
      <c r="S784" s="97"/>
      <c r="T784" s="97"/>
      <c r="U784" s="97"/>
      <c r="V784" s="97"/>
      <c r="W784" s="97"/>
      <c r="X784" s="97"/>
      <c r="Y784" s="97"/>
      <c r="Z784" s="97"/>
      <c r="AA784" s="97"/>
      <c r="AB784" s="97"/>
      <c r="AC784" s="97"/>
      <c r="AD784" s="97"/>
      <c r="AE784" s="97"/>
    </row>
    <row r="785" ht="14.25" customHeight="1">
      <c r="A785" s="59"/>
      <c r="B785" s="97"/>
      <c r="C785" s="97"/>
      <c r="D785" s="97"/>
      <c r="E785" s="97"/>
      <c r="F785" s="97"/>
      <c r="G785" s="97"/>
      <c r="H785" s="99"/>
      <c r="I785" s="123"/>
      <c r="J785" s="123"/>
      <c r="K785" s="97"/>
      <c r="L785" s="97"/>
      <c r="M785" s="66"/>
      <c r="N785" s="97"/>
      <c r="O785" s="97"/>
      <c r="P785" s="97"/>
      <c r="Q785" s="97"/>
      <c r="R785" s="97"/>
      <c r="S785" s="97"/>
      <c r="T785" s="97"/>
      <c r="U785" s="97"/>
      <c r="V785" s="97"/>
      <c r="W785" s="97"/>
      <c r="X785" s="97"/>
      <c r="Y785" s="97"/>
      <c r="Z785" s="97"/>
      <c r="AA785" s="97"/>
      <c r="AB785" s="97"/>
      <c r="AC785" s="97"/>
      <c r="AD785" s="97"/>
      <c r="AE785" s="97"/>
    </row>
    <row r="786" ht="14.25" customHeight="1">
      <c r="A786" s="59"/>
      <c r="B786" s="97"/>
      <c r="C786" s="97"/>
      <c r="D786" s="97"/>
      <c r="E786" s="97"/>
      <c r="F786" s="97"/>
      <c r="G786" s="97"/>
      <c r="H786" s="99"/>
      <c r="I786" s="123"/>
      <c r="J786" s="123"/>
      <c r="K786" s="97"/>
      <c r="L786" s="97"/>
      <c r="M786" s="66"/>
      <c r="N786" s="97"/>
      <c r="O786" s="97"/>
      <c r="P786" s="97"/>
      <c r="Q786" s="97"/>
      <c r="R786" s="97"/>
      <c r="S786" s="97"/>
      <c r="T786" s="97"/>
      <c r="U786" s="97"/>
      <c r="V786" s="97"/>
      <c r="W786" s="97"/>
      <c r="X786" s="97"/>
      <c r="Y786" s="97"/>
      <c r="Z786" s="97"/>
      <c r="AA786" s="97"/>
      <c r="AB786" s="97"/>
      <c r="AC786" s="97"/>
      <c r="AD786" s="97"/>
      <c r="AE786" s="97"/>
    </row>
    <row r="787" ht="14.25" customHeight="1">
      <c r="A787" s="59"/>
      <c r="B787" s="97"/>
      <c r="C787" s="97"/>
      <c r="D787" s="97"/>
      <c r="E787" s="97"/>
      <c r="F787" s="97"/>
      <c r="G787" s="97"/>
      <c r="H787" s="99"/>
      <c r="I787" s="123"/>
      <c r="J787" s="123"/>
      <c r="K787" s="97"/>
      <c r="L787" s="97"/>
      <c r="M787" s="66"/>
      <c r="N787" s="97"/>
      <c r="O787" s="97"/>
      <c r="P787" s="97"/>
      <c r="Q787" s="97"/>
      <c r="R787" s="97"/>
      <c r="S787" s="97"/>
      <c r="T787" s="97"/>
      <c r="U787" s="97"/>
      <c r="V787" s="97"/>
      <c r="W787" s="97"/>
      <c r="X787" s="97"/>
      <c r="Y787" s="97"/>
      <c r="Z787" s="97"/>
      <c r="AA787" s="97"/>
      <c r="AB787" s="97"/>
      <c r="AC787" s="97"/>
      <c r="AD787" s="97"/>
      <c r="AE787" s="97"/>
    </row>
    <row r="788" ht="14.25" customHeight="1">
      <c r="A788" s="59"/>
      <c r="B788" s="97"/>
      <c r="C788" s="97"/>
      <c r="D788" s="97"/>
      <c r="E788" s="97"/>
      <c r="F788" s="97"/>
      <c r="G788" s="97"/>
      <c r="H788" s="99"/>
      <c r="I788" s="123"/>
      <c r="J788" s="123"/>
      <c r="K788" s="97"/>
      <c r="L788" s="97"/>
      <c r="M788" s="66"/>
      <c r="N788" s="97"/>
      <c r="O788" s="97"/>
      <c r="P788" s="97"/>
      <c r="Q788" s="97"/>
      <c r="R788" s="97"/>
      <c r="S788" s="97"/>
      <c r="T788" s="97"/>
      <c r="U788" s="97"/>
      <c r="V788" s="97"/>
      <c r="W788" s="97"/>
      <c r="X788" s="97"/>
      <c r="Y788" s="97"/>
      <c r="Z788" s="97"/>
      <c r="AA788" s="97"/>
      <c r="AB788" s="97"/>
      <c r="AC788" s="97"/>
      <c r="AD788" s="97"/>
      <c r="AE788" s="97"/>
    </row>
    <row r="789" ht="14.25" customHeight="1">
      <c r="A789" s="59"/>
      <c r="B789" s="97"/>
      <c r="C789" s="97"/>
      <c r="D789" s="97"/>
      <c r="E789" s="97"/>
      <c r="F789" s="97"/>
      <c r="G789" s="97"/>
      <c r="H789" s="99"/>
      <c r="I789" s="123"/>
      <c r="J789" s="123"/>
      <c r="K789" s="97"/>
      <c r="L789" s="97"/>
      <c r="M789" s="66"/>
      <c r="N789" s="97"/>
      <c r="O789" s="97"/>
      <c r="P789" s="97"/>
      <c r="Q789" s="97"/>
      <c r="R789" s="97"/>
      <c r="S789" s="97"/>
      <c r="T789" s="97"/>
      <c r="U789" s="97"/>
      <c r="V789" s="97"/>
      <c r="W789" s="97"/>
      <c r="X789" s="97"/>
      <c r="Y789" s="97"/>
      <c r="Z789" s="97"/>
      <c r="AA789" s="97"/>
      <c r="AB789" s="97"/>
      <c r="AC789" s="97"/>
      <c r="AD789" s="97"/>
      <c r="AE789" s="97"/>
    </row>
    <row r="790" ht="14.25" customHeight="1">
      <c r="A790" s="59"/>
      <c r="B790" s="97"/>
      <c r="C790" s="97"/>
      <c r="D790" s="97"/>
      <c r="E790" s="97"/>
      <c r="F790" s="97"/>
      <c r="G790" s="97"/>
      <c r="H790" s="99"/>
      <c r="I790" s="123"/>
      <c r="J790" s="123"/>
      <c r="K790" s="97"/>
      <c r="L790" s="97"/>
      <c r="M790" s="66"/>
      <c r="N790" s="97"/>
      <c r="O790" s="97"/>
      <c r="P790" s="97"/>
      <c r="Q790" s="97"/>
      <c r="R790" s="97"/>
      <c r="S790" s="97"/>
      <c r="T790" s="97"/>
      <c r="U790" s="97"/>
      <c r="V790" s="97"/>
      <c r="W790" s="97"/>
      <c r="X790" s="97"/>
      <c r="Y790" s="97"/>
      <c r="Z790" s="97"/>
      <c r="AA790" s="97"/>
      <c r="AB790" s="97"/>
      <c r="AC790" s="97"/>
      <c r="AD790" s="97"/>
      <c r="AE790" s="97"/>
    </row>
    <row r="791" ht="14.25" customHeight="1">
      <c r="A791" s="59"/>
      <c r="B791" s="97"/>
      <c r="C791" s="97"/>
      <c r="D791" s="97"/>
      <c r="E791" s="97"/>
      <c r="F791" s="97"/>
      <c r="G791" s="97"/>
      <c r="H791" s="99"/>
      <c r="I791" s="123"/>
      <c r="J791" s="123"/>
      <c r="K791" s="97"/>
      <c r="L791" s="97"/>
      <c r="M791" s="66"/>
      <c r="N791" s="97"/>
      <c r="O791" s="97"/>
      <c r="P791" s="97"/>
      <c r="Q791" s="97"/>
      <c r="R791" s="97"/>
      <c r="S791" s="97"/>
      <c r="T791" s="97"/>
      <c r="U791" s="97"/>
      <c r="V791" s="97"/>
      <c r="W791" s="97"/>
      <c r="X791" s="97"/>
      <c r="Y791" s="97"/>
      <c r="Z791" s="97"/>
      <c r="AA791" s="97"/>
      <c r="AB791" s="97"/>
      <c r="AC791" s="97"/>
      <c r="AD791" s="97"/>
      <c r="AE791" s="97"/>
    </row>
    <row r="792" ht="14.25" customHeight="1">
      <c r="A792" s="59"/>
      <c r="B792" s="97"/>
      <c r="C792" s="97"/>
      <c r="D792" s="97"/>
      <c r="E792" s="97"/>
      <c r="F792" s="97"/>
      <c r="G792" s="97"/>
      <c r="H792" s="99"/>
      <c r="I792" s="123"/>
      <c r="J792" s="123"/>
      <c r="K792" s="97"/>
      <c r="L792" s="97"/>
      <c r="M792" s="66"/>
      <c r="N792" s="97"/>
      <c r="O792" s="97"/>
      <c r="P792" s="97"/>
      <c r="Q792" s="97"/>
      <c r="R792" s="97"/>
      <c r="S792" s="97"/>
      <c r="T792" s="97"/>
      <c r="U792" s="97"/>
      <c r="V792" s="97"/>
      <c r="W792" s="97"/>
      <c r="X792" s="97"/>
      <c r="Y792" s="97"/>
      <c r="Z792" s="97"/>
      <c r="AA792" s="97"/>
      <c r="AB792" s="97"/>
      <c r="AC792" s="97"/>
      <c r="AD792" s="97"/>
      <c r="AE792" s="97"/>
    </row>
    <row r="793" ht="14.25" customHeight="1">
      <c r="A793" s="59"/>
      <c r="B793" s="97"/>
      <c r="C793" s="97"/>
      <c r="D793" s="97"/>
      <c r="E793" s="97"/>
      <c r="F793" s="97"/>
      <c r="G793" s="97"/>
      <c r="H793" s="99"/>
      <c r="I793" s="123"/>
      <c r="J793" s="123"/>
      <c r="K793" s="97"/>
      <c r="L793" s="97"/>
      <c r="M793" s="66"/>
      <c r="N793" s="97"/>
      <c r="O793" s="97"/>
      <c r="P793" s="97"/>
      <c r="Q793" s="97"/>
      <c r="R793" s="97"/>
      <c r="S793" s="97"/>
      <c r="T793" s="97"/>
      <c r="U793" s="97"/>
      <c r="V793" s="97"/>
      <c r="W793" s="97"/>
      <c r="X793" s="97"/>
      <c r="Y793" s="97"/>
      <c r="Z793" s="97"/>
      <c r="AA793" s="97"/>
      <c r="AB793" s="97"/>
      <c r="AC793" s="97"/>
      <c r="AD793" s="97"/>
      <c r="AE793" s="97"/>
    </row>
    <row r="794" ht="14.25" customHeight="1">
      <c r="A794" s="59"/>
      <c r="B794" s="97"/>
      <c r="C794" s="97"/>
      <c r="D794" s="97"/>
      <c r="E794" s="97"/>
      <c r="F794" s="97"/>
      <c r="G794" s="97"/>
      <c r="H794" s="99"/>
      <c r="I794" s="123"/>
      <c r="J794" s="123"/>
      <c r="K794" s="97"/>
      <c r="L794" s="97"/>
      <c r="M794" s="66"/>
      <c r="N794" s="97"/>
      <c r="O794" s="97"/>
      <c r="P794" s="97"/>
      <c r="Q794" s="97"/>
      <c r="R794" s="97"/>
      <c r="S794" s="97"/>
      <c r="T794" s="97"/>
      <c r="U794" s="97"/>
      <c r="V794" s="97"/>
      <c r="W794" s="97"/>
      <c r="X794" s="97"/>
      <c r="Y794" s="97"/>
      <c r="Z794" s="97"/>
      <c r="AA794" s="97"/>
      <c r="AB794" s="97"/>
      <c r="AC794" s="97"/>
      <c r="AD794" s="97"/>
      <c r="AE794" s="97"/>
    </row>
    <row r="795" ht="14.25" customHeight="1">
      <c r="A795" s="59"/>
      <c r="B795" s="97"/>
      <c r="C795" s="97"/>
      <c r="D795" s="97"/>
      <c r="E795" s="97"/>
      <c r="F795" s="97"/>
      <c r="G795" s="97"/>
      <c r="H795" s="99"/>
      <c r="I795" s="123"/>
      <c r="J795" s="123"/>
      <c r="K795" s="97"/>
      <c r="L795" s="97"/>
      <c r="M795" s="66"/>
      <c r="N795" s="97"/>
      <c r="O795" s="97"/>
      <c r="P795" s="97"/>
      <c r="Q795" s="97"/>
      <c r="R795" s="97"/>
      <c r="S795" s="97"/>
      <c r="T795" s="97"/>
      <c r="U795" s="97"/>
      <c r="V795" s="97"/>
      <c r="W795" s="97"/>
      <c r="X795" s="97"/>
      <c r="Y795" s="97"/>
      <c r="Z795" s="97"/>
      <c r="AA795" s="97"/>
      <c r="AB795" s="97"/>
      <c r="AC795" s="97"/>
      <c r="AD795" s="97"/>
      <c r="AE795" s="97"/>
    </row>
    <row r="796" ht="14.25" customHeight="1">
      <c r="A796" s="59"/>
      <c r="B796" s="97"/>
      <c r="C796" s="97"/>
      <c r="D796" s="97"/>
      <c r="E796" s="97"/>
      <c r="F796" s="97"/>
      <c r="G796" s="97"/>
      <c r="H796" s="99"/>
      <c r="I796" s="123"/>
      <c r="J796" s="123"/>
      <c r="K796" s="97"/>
      <c r="L796" s="97"/>
      <c r="M796" s="66"/>
      <c r="N796" s="97"/>
      <c r="O796" s="97"/>
      <c r="P796" s="97"/>
      <c r="Q796" s="97"/>
      <c r="R796" s="97"/>
      <c r="S796" s="97"/>
      <c r="T796" s="97"/>
      <c r="U796" s="97"/>
      <c r="V796" s="97"/>
      <c r="W796" s="97"/>
      <c r="X796" s="97"/>
      <c r="Y796" s="97"/>
      <c r="Z796" s="97"/>
      <c r="AA796" s="97"/>
      <c r="AB796" s="97"/>
      <c r="AC796" s="97"/>
      <c r="AD796" s="97"/>
      <c r="AE796" s="97"/>
    </row>
    <row r="797" ht="14.25" customHeight="1">
      <c r="A797" s="59"/>
      <c r="B797" s="97"/>
      <c r="C797" s="97"/>
      <c r="D797" s="97"/>
      <c r="E797" s="97"/>
      <c r="F797" s="97"/>
      <c r="G797" s="97"/>
      <c r="H797" s="99"/>
      <c r="I797" s="123"/>
      <c r="J797" s="123"/>
      <c r="K797" s="97"/>
      <c r="L797" s="97"/>
      <c r="M797" s="66"/>
      <c r="N797" s="97"/>
      <c r="O797" s="97"/>
      <c r="P797" s="97"/>
      <c r="Q797" s="97"/>
      <c r="R797" s="97"/>
      <c r="S797" s="97"/>
      <c r="T797" s="97"/>
      <c r="U797" s="97"/>
      <c r="V797" s="97"/>
      <c r="W797" s="97"/>
      <c r="X797" s="97"/>
      <c r="Y797" s="97"/>
      <c r="Z797" s="97"/>
      <c r="AA797" s="97"/>
      <c r="AB797" s="97"/>
      <c r="AC797" s="97"/>
      <c r="AD797" s="97"/>
      <c r="AE797" s="97"/>
    </row>
    <row r="798" ht="14.25" customHeight="1">
      <c r="A798" s="59"/>
      <c r="B798" s="97"/>
      <c r="C798" s="97"/>
      <c r="D798" s="97"/>
      <c r="E798" s="97"/>
      <c r="F798" s="97"/>
      <c r="G798" s="97"/>
      <c r="H798" s="99"/>
      <c r="I798" s="123"/>
      <c r="J798" s="123"/>
      <c r="K798" s="97"/>
      <c r="L798" s="97"/>
      <c r="M798" s="66"/>
      <c r="N798" s="97"/>
      <c r="O798" s="97"/>
      <c r="P798" s="97"/>
      <c r="Q798" s="97"/>
      <c r="R798" s="97"/>
      <c r="S798" s="97"/>
      <c r="T798" s="97"/>
      <c r="U798" s="97"/>
      <c r="V798" s="97"/>
      <c r="W798" s="97"/>
      <c r="X798" s="97"/>
      <c r="Y798" s="97"/>
      <c r="Z798" s="97"/>
      <c r="AA798" s="97"/>
      <c r="AB798" s="97"/>
      <c r="AC798" s="97"/>
      <c r="AD798" s="97"/>
      <c r="AE798" s="97"/>
    </row>
    <row r="799" ht="14.25" customHeight="1">
      <c r="A799" s="59"/>
      <c r="B799" s="97"/>
      <c r="C799" s="97"/>
      <c r="D799" s="97"/>
      <c r="E799" s="97"/>
      <c r="F799" s="97"/>
      <c r="G799" s="97"/>
      <c r="H799" s="99"/>
      <c r="I799" s="123"/>
      <c r="J799" s="123"/>
      <c r="K799" s="97"/>
      <c r="L799" s="97"/>
      <c r="M799" s="66"/>
      <c r="N799" s="97"/>
      <c r="O799" s="97"/>
      <c r="P799" s="97"/>
      <c r="Q799" s="97"/>
      <c r="R799" s="97"/>
      <c r="S799" s="97"/>
      <c r="T799" s="97"/>
      <c r="U799" s="97"/>
      <c r="V799" s="97"/>
      <c r="W799" s="97"/>
      <c r="X799" s="97"/>
      <c r="Y799" s="97"/>
      <c r="Z799" s="97"/>
      <c r="AA799" s="97"/>
      <c r="AB799" s="97"/>
      <c r="AC799" s="97"/>
      <c r="AD799" s="97"/>
      <c r="AE799" s="97"/>
    </row>
    <row r="800" ht="14.25" customHeight="1">
      <c r="A800" s="59"/>
      <c r="B800" s="97"/>
      <c r="C800" s="97"/>
      <c r="D800" s="97"/>
      <c r="E800" s="97"/>
      <c r="F800" s="97"/>
      <c r="G800" s="97"/>
      <c r="H800" s="99"/>
      <c r="I800" s="123"/>
      <c r="J800" s="123"/>
      <c r="K800" s="97"/>
      <c r="L800" s="97"/>
      <c r="M800" s="66"/>
      <c r="N800" s="97"/>
      <c r="O800" s="97"/>
      <c r="P800" s="97"/>
      <c r="Q800" s="97"/>
      <c r="R800" s="97"/>
      <c r="S800" s="97"/>
      <c r="T800" s="97"/>
      <c r="U800" s="97"/>
      <c r="V800" s="97"/>
      <c r="W800" s="97"/>
      <c r="X800" s="97"/>
      <c r="Y800" s="97"/>
      <c r="Z800" s="97"/>
      <c r="AA800" s="97"/>
      <c r="AB800" s="97"/>
      <c r="AC800" s="97"/>
      <c r="AD800" s="97"/>
      <c r="AE800" s="97"/>
    </row>
    <row r="801" ht="14.25" customHeight="1">
      <c r="A801" s="59"/>
      <c r="B801" s="97"/>
      <c r="C801" s="97"/>
      <c r="D801" s="97"/>
      <c r="E801" s="97"/>
      <c r="F801" s="97"/>
      <c r="G801" s="97"/>
      <c r="H801" s="99"/>
      <c r="I801" s="123"/>
      <c r="J801" s="123"/>
      <c r="K801" s="97"/>
      <c r="L801" s="97"/>
      <c r="M801" s="66"/>
      <c r="N801" s="97"/>
      <c r="O801" s="97"/>
      <c r="P801" s="97"/>
      <c r="Q801" s="97"/>
      <c r="R801" s="97"/>
      <c r="S801" s="97"/>
      <c r="T801" s="97"/>
      <c r="U801" s="97"/>
      <c r="V801" s="97"/>
      <c r="W801" s="97"/>
      <c r="X801" s="97"/>
      <c r="Y801" s="97"/>
      <c r="Z801" s="97"/>
      <c r="AA801" s="97"/>
      <c r="AB801" s="97"/>
      <c r="AC801" s="97"/>
      <c r="AD801" s="97"/>
      <c r="AE801" s="97"/>
    </row>
    <row r="802" ht="14.25" customHeight="1">
      <c r="A802" s="59"/>
      <c r="B802" s="97"/>
      <c r="C802" s="97"/>
      <c r="D802" s="97"/>
      <c r="E802" s="97"/>
      <c r="F802" s="97"/>
      <c r="G802" s="97"/>
      <c r="H802" s="99"/>
      <c r="I802" s="123"/>
      <c r="J802" s="123"/>
      <c r="K802" s="97"/>
      <c r="L802" s="97"/>
      <c r="M802" s="66"/>
      <c r="N802" s="97"/>
      <c r="O802" s="97"/>
      <c r="P802" s="97"/>
      <c r="Q802" s="97"/>
      <c r="R802" s="97"/>
      <c r="S802" s="97"/>
      <c r="T802" s="97"/>
      <c r="U802" s="97"/>
      <c r="V802" s="97"/>
      <c r="W802" s="97"/>
      <c r="X802" s="97"/>
      <c r="Y802" s="97"/>
      <c r="Z802" s="97"/>
      <c r="AA802" s="97"/>
      <c r="AB802" s="97"/>
      <c r="AC802" s="97"/>
      <c r="AD802" s="97"/>
      <c r="AE802" s="97"/>
    </row>
    <row r="803" ht="14.25" customHeight="1">
      <c r="A803" s="59"/>
      <c r="B803" s="97"/>
      <c r="C803" s="97"/>
      <c r="D803" s="97"/>
      <c r="E803" s="97"/>
      <c r="F803" s="97"/>
      <c r="G803" s="97"/>
      <c r="H803" s="99"/>
      <c r="I803" s="123"/>
      <c r="J803" s="123"/>
      <c r="K803" s="97"/>
      <c r="L803" s="97"/>
      <c r="M803" s="66"/>
      <c r="N803" s="97"/>
      <c r="O803" s="97"/>
      <c r="P803" s="97"/>
      <c r="Q803" s="97"/>
      <c r="R803" s="97"/>
      <c r="S803" s="97"/>
      <c r="T803" s="97"/>
      <c r="U803" s="97"/>
      <c r="V803" s="97"/>
      <c r="W803" s="97"/>
      <c r="X803" s="97"/>
      <c r="Y803" s="97"/>
      <c r="Z803" s="97"/>
      <c r="AA803" s="97"/>
      <c r="AB803" s="97"/>
      <c r="AC803" s="97"/>
      <c r="AD803" s="97"/>
      <c r="AE803" s="97"/>
    </row>
    <row r="804" ht="14.25" customHeight="1">
      <c r="A804" s="59"/>
      <c r="B804" s="97"/>
      <c r="C804" s="97"/>
      <c r="D804" s="97"/>
      <c r="E804" s="97"/>
      <c r="F804" s="97"/>
      <c r="G804" s="97"/>
      <c r="H804" s="99"/>
      <c r="I804" s="123"/>
      <c r="J804" s="123"/>
      <c r="K804" s="97"/>
      <c r="L804" s="97"/>
      <c r="M804" s="66"/>
      <c r="N804" s="97"/>
      <c r="O804" s="97"/>
      <c r="P804" s="97"/>
      <c r="Q804" s="97"/>
      <c r="R804" s="97"/>
      <c r="S804" s="97"/>
      <c r="T804" s="97"/>
      <c r="U804" s="97"/>
      <c r="V804" s="97"/>
      <c r="W804" s="97"/>
      <c r="X804" s="97"/>
      <c r="Y804" s="97"/>
      <c r="Z804" s="97"/>
      <c r="AA804" s="97"/>
      <c r="AB804" s="97"/>
      <c r="AC804" s="97"/>
      <c r="AD804" s="97"/>
      <c r="AE804" s="97"/>
    </row>
    <row r="805" ht="14.25" customHeight="1">
      <c r="A805" s="59"/>
      <c r="B805" s="97"/>
      <c r="C805" s="97"/>
      <c r="D805" s="97"/>
      <c r="E805" s="97"/>
      <c r="F805" s="97"/>
      <c r="G805" s="97"/>
      <c r="H805" s="99"/>
      <c r="I805" s="123"/>
      <c r="J805" s="123"/>
      <c r="K805" s="97"/>
      <c r="L805" s="97"/>
      <c r="M805" s="66"/>
      <c r="N805" s="97"/>
      <c r="O805" s="97"/>
      <c r="P805" s="97"/>
      <c r="Q805" s="97"/>
      <c r="R805" s="97"/>
      <c r="S805" s="97"/>
      <c r="T805" s="97"/>
      <c r="U805" s="97"/>
      <c r="V805" s="97"/>
      <c r="W805" s="97"/>
      <c r="X805" s="97"/>
      <c r="Y805" s="97"/>
      <c r="Z805" s="97"/>
      <c r="AA805" s="97"/>
      <c r="AB805" s="97"/>
      <c r="AC805" s="97"/>
      <c r="AD805" s="97"/>
      <c r="AE805" s="97"/>
    </row>
    <row r="806" ht="14.25" customHeight="1">
      <c r="A806" s="59"/>
      <c r="B806" s="97"/>
      <c r="C806" s="97"/>
      <c r="D806" s="97"/>
      <c r="E806" s="97"/>
      <c r="F806" s="97"/>
      <c r="G806" s="97"/>
      <c r="H806" s="99"/>
      <c r="I806" s="123"/>
      <c r="J806" s="123"/>
      <c r="K806" s="97"/>
      <c r="L806" s="97"/>
      <c r="M806" s="66"/>
      <c r="N806" s="97"/>
      <c r="O806" s="97"/>
      <c r="P806" s="97"/>
      <c r="Q806" s="97"/>
      <c r="R806" s="97"/>
      <c r="S806" s="97"/>
      <c r="T806" s="97"/>
      <c r="U806" s="97"/>
      <c r="V806" s="97"/>
      <c r="W806" s="97"/>
      <c r="X806" s="97"/>
      <c r="Y806" s="97"/>
      <c r="Z806" s="97"/>
      <c r="AA806" s="97"/>
      <c r="AB806" s="97"/>
      <c r="AC806" s="97"/>
      <c r="AD806" s="97"/>
      <c r="AE806" s="97"/>
    </row>
    <row r="807" ht="14.25" customHeight="1">
      <c r="A807" s="59"/>
      <c r="B807" s="97"/>
      <c r="C807" s="97"/>
      <c r="D807" s="97"/>
      <c r="E807" s="97"/>
      <c r="F807" s="97"/>
      <c r="G807" s="97"/>
      <c r="H807" s="99"/>
      <c r="I807" s="123"/>
      <c r="J807" s="123"/>
      <c r="K807" s="97"/>
      <c r="L807" s="97"/>
      <c r="M807" s="66"/>
      <c r="N807" s="97"/>
      <c r="O807" s="97"/>
      <c r="P807" s="97"/>
      <c r="Q807" s="97"/>
      <c r="R807" s="97"/>
      <c r="S807" s="97"/>
      <c r="T807" s="97"/>
      <c r="U807" s="97"/>
      <c r="V807" s="97"/>
      <c r="W807" s="97"/>
      <c r="X807" s="97"/>
      <c r="Y807" s="97"/>
      <c r="Z807" s="97"/>
      <c r="AA807" s="97"/>
      <c r="AB807" s="97"/>
      <c r="AC807" s="97"/>
      <c r="AD807" s="97"/>
      <c r="AE807" s="97"/>
    </row>
    <row r="808" ht="14.25" customHeight="1">
      <c r="A808" s="59"/>
      <c r="B808" s="97"/>
      <c r="C808" s="97"/>
      <c r="D808" s="97"/>
      <c r="E808" s="97"/>
      <c r="F808" s="97"/>
      <c r="G808" s="97"/>
      <c r="H808" s="99"/>
      <c r="I808" s="123"/>
      <c r="J808" s="123"/>
      <c r="K808" s="97"/>
      <c r="L808" s="97"/>
      <c r="M808" s="66"/>
      <c r="N808" s="97"/>
      <c r="O808" s="97"/>
      <c r="P808" s="97"/>
      <c r="Q808" s="97"/>
      <c r="R808" s="97"/>
      <c r="S808" s="97"/>
      <c r="T808" s="97"/>
      <c r="U808" s="97"/>
      <c r="V808" s="97"/>
      <c r="W808" s="97"/>
      <c r="X808" s="97"/>
      <c r="Y808" s="97"/>
      <c r="Z808" s="97"/>
      <c r="AA808" s="97"/>
      <c r="AB808" s="97"/>
      <c r="AC808" s="97"/>
      <c r="AD808" s="97"/>
      <c r="AE808" s="97"/>
    </row>
    <row r="809" ht="14.25" customHeight="1">
      <c r="A809" s="59"/>
      <c r="B809" s="97"/>
      <c r="C809" s="97"/>
      <c r="D809" s="97"/>
      <c r="E809" s="97"/>
      <c r="F809" s="97"/>
      <c r="G809" s="97"/>
      <c r="H809" s="99"/>
      <c r="I809" s="123"/>
      <c r="J809" s="123"/>
      <c r="K809" s="97"/>
      <c r="L809" s="97"/>
      <c r="M809" s="66"/>
      <c r="N809" s="97"/>
      <c r="O809" s="97"/>
      <c r="P809" s="97"/>
      <c r="Q809" s="97"/>
      <c r="R809" s="97"/>
      <c r="S809" s="97"/>
      <c r="T809" s="97"/>
      <c r="U809" s="97"/>
      <c r="V809" s="97"/>
      <c r="W809" s="97"/>
      <c r="X809" s="97"/>
      <c r="Y809" s="97"/>
      <c r="Z809" s="97"/>
      <c r="AA809" s="97"/>
      <c r="AB809" s="97"/>
      <c r="AC809" s="97"/>
      <c r="AD809" s="97"/>
      <c r="AE809" s="97"/>
    </row>
    <row r="810" ht="14.25" customHeight="1">
      <c r="A810" s="59"/>
      <c r="B810" s="97"/>
      <c r="C810" s="97"/>
      <c r="D810" s="97"/>
      <c r="E810" s="97"/>
      <c r="F810" s="97"/>
      <c r="G810" s="97"/>
      <c r="H810" s="99"/>
      <c r="I810" s="123"/>
      <c r="J810" s="123"/>
      <c r="K810" s="97"/>
      <c r="L810" s="97"/>
      <c r="M810" s="66"/>
      <c r="N810" s="97"/>
      <c r="O810" s="97"/>
      <c r="P810" s="97"/>
      <c r="Q810" s="97"/>
      <c r="R810" s="97"/>
      <c r="S810" s="97"/>
      <c r="T810" s="97"/>
      <c r="U810" s="97"/>
      <c r="V810" s="97"/>
      <c r="W810" s="97"/>
      <c r="X810" s="97"/>
      <c r="Y810" s="97"/>
      <c r="Z810" s="97"/>
      <c r="AA810" s="97"/>
      <c r="AB810" s="97"/>
      <c r="AC810" s="97"/>
      <c r="AD810" s="97"/>
      <c r="AE810" s="97"/>
    </row>
    <row r="811" ht="14.25" customHeight="1">
      <c r="A811" s="59"/>
      <c r="B811" s="97"/>
      <c r="C811" s="97"/>
      <c r="D811" s="97"/>
      <c r="E811" s="97"/>
      <c r="F811" s="97"/>
      <c r="G811" s="97"/>
      <c r="H811" s="99"/>
      <c r="I811" s="123"/>
      <c r="J811" s="123"/>
      <c r="K811" s="97"/>
      <c r="L811" s="97"/>
      <c r="M811" s="66"/>
      <c r="N811" s="97"/>
      <c r="O811" s="97"/>
      <c r="P811" s="97"/>
      <c r="Q811" s="97"/>
      <c r="R811" s="97"/>
      <c r="S811" s="97"/>
      <c r="T811" s="97"/>
      <c r="U811" s="97"/>
      <c r="V811" s="97"/>
      <c r="W811" s="97"/>
      <c r="X811" s="97"/>
      <c r="Y811" s="97"/>
      <c r="Z811" s="97"/>
      <c r="AA811" s="97"/>
      <c r="AB811" s="97"/>
      <c r="AC811" s="97"/>
      <c r="AD811" s="97"/>
      <c r="AE811" s="97"/>
    </row>
    <row r="812" ht="14.25" customHeight="1">
      <c r="A812" s="59"/>
      <c r="B812" s="97"/>
      <c r="C812" s="97"/>
      <c r="D812" s="97"/>
      <c r="E812" s="97"/>
      <c r="F812" s="97"/>
      <c r="G812" s="97"/>
      <c r="H812" s="99"/>
      <c r="I812" s="123"/>
      <c r="J812" s="123"/>
      <c r="K812" s="97"/>
      <c r="L812" s="97"/>
      <c r="M812" s="66"/>
      <c r="N812" s="97"/>
      <c r="O812" s="97"/>
      <c r="P812" s="97"/>
      <c r="Q812" s="97"/>
      <c r="R812" s="97"/>
      <c r="S812" s="97"/>
      <c r="T812" s="97"/>
      <c r="U812" s="97"/>
      <c r="V812" s="97"/>
      <c r="W812" s="97"/>
      <c r="X812" s="97"/>
      <c r="Y812" s="97"/>
      <c r="Z812" s="97"/>
      <c r="AA812" s="97"/>
      <c r="AB812" s="97"/>
      <c r="AC812" s="97"/>
      <c r="AD812" s="97"/>
      <c r="AE812" s="97"/>
    </row>
    <row r="813" ht="14.25" customHeight="1">
      <c r="A813" s="59"/>
      <c r="B813" s="97"/>
      <c r="C813" s="97"/>
      <c r="D813" s="97"/>
      <c r="E813" s="97"/>
      <c r="F813" s="97"/>
      <c r="G813" s="97"/>
      <c r="H813" s="99"/>
      <c r="I813" s="123"/>
      <c r="J813" s="123"/>
      <c r="K813" s="97"/>
      <c r="L813" s="97"/>
      <c r="M813" s="66"/>
      <c r="N813" s="97"/>
      <c r="O813" s="97"/>
      <c r="P813" s="97"/>
      <c r="Q813" s="97"/>
      <c r="R813" s="97"/>
      <c r="S813" s="97"/>
      <c r="T813" s="97"/>
      <c r="U813" s="97"/>
      <c r="V813" s="97"/>
      <c r="W813" s="97"/>
      <c r="X813" s="97"/>
      <c r="Y813" s="97"/>
      <c r="Z813" s="97"/>
      <c r="AA813" s="97"/>
      <c r="AB813" s="97"/>
      <c r="AC813" s="97"/>
      <c r="AD813" s="97"/>
      <c r="AE813" s="97"/>
    </row>
    <row r="814" ht="14.25" customHeight="1">
      <c r="A814" s="59"/>
      <c r="B814" s="97"/>
      <c r="C814" s="97"/>
      <c r="D814" s="97"/>
      <c r="E814" s="97"/>
      <c r="F814" s="97"/>
      <c r="G814" s="97"/>
      <c r="H814" s="99"/>
      <c r="I814" s="123"/>
      <c r="J814" s="123"/>
      <c r="K814" s="97"/>
      <c r="L814" s="97"/>
      <c r="M814" s="66"/>
      <c r="N814" s="97"/>
      <c r="O814" s="97"/>
      <c r="P814" s="97"/>
      <c r="Q814" s="97"/>
      <c r="R814" s="97"/>
      <c r="S814" s="97"/>
      <c r="T814" s="97"/>
      <c r="U814" s="97"/>
      <c r="V814" s="97"/>
      <c r="W814" s="97"/>
      <c r="X814" s="97"/>
      <c r="Y814" s="97"/>
      <c r="Z814" s="97"/>
      <c r="AA814" s="97"/>
      <c r="AB814" s="97"/>
      <c r="AC814" s="97"/>
      <c r="AD814" s="97"/>
      <c r="AE814" s="97"/>
    </row>
    <row r="815" ht="14.25" customHeight="1">
      <c r="A815" s="59"/>
      <c r="B815" s="97"/>
      <c r="C815" s="97"/>
      <c r="D815" s="97"/>
      <c r="E815" s="97"/>
      <c r="F815" s="97"/>
      <c r="G815" s="97"/>
      <c r="H815" s="99"/>
      <c r="I815" s="123"/>
      <c r="J815" s="123"/>
      <c r="K815" s="97"/>
      <c r="L815" s="97"/>
      <c r="M815" s="66"/>
      <c r="N815" s="97"/>
      <c r="O815" s="97"/>
      <c r="P815" s="97"/>
      <c r="Q815" s="97"/>
      <c r="R815" s="97"/>
      <c r="S815" s="97"/>
      <c r="T815" s="97"/>
      <c r="U815" s="97"/>
      <c r="V815" s="97"/>
      <c r="W815" s="97"/>
      <c r="X815" s="97"/>
      <c r="Y815" s="97"/>
      <c r="Z815" s="97"/>
      <c r="AA815" s="97"/>
      <c r="AB815" s="97"/>
      <c r="AC815" s="97"/>
      <c r="AD815" s="97"/>
      <c r="AE815" s="97"/>
    </row>
    <row r="816" ht="14.25" customHeight="1">
      <c r="A816" s="59"/>
      <c r="B816" s="97"/>
      <c r="C816" s="97"/>
      <c r="D816" s="97"/>
      <c r="E816" s="97"/>
      <c r="F816" s="97"/>
      <c r="G816" s="97"/>
      <c r="H816" s="99"/>
      <c r="I816" s="123"/>
      <c r="J816" s="123"/>
      <c r="K816" s="97"/>
      <c r="L816" s="97"/>
      <c r="M816" s="66"/>
      <c r="N816" s="97"/>
      <c r="O816" s="97"/>
      <c r="P816" s="97"/>
      <c r="Q816" s="97"/>
      <c r="R816" s="97"/>
      <c r="S816" s="97"/>
      <c r="T816" s="97"/>
      <c r="U816" s="97"/>
      <c r="V816" s="97"/>
      <c r="W816" s="97"/>
      <c r="X816" s="97"/>
      <c r="Y816" s="97"/>
      <c r="Z816" s="97"/>
      <c r="AA816" s="97"/>
      <c r="AB816" s="97"/>
      <c r="AC816" s="97"/>
      <c r="AD816" s="97"/>
      <c r="AE816" s="97"/>
    </row>
    <row r="817" ht="14.25" customHeight="1">
      <c r="A817" s="59"/>
      <c r="B817" s="97"/>
      <c r="C817" s="97"/>
      <c r="D817" s="97"/>
      <c r="E817" s="97"/>
      <c r="F817" s="97"/>
      <c r="G817" s="97"/>
      <c r="H817" s="99"/>
      <c r="I817" s="123"/>
      <c r="J817" s="123"/>
      <c r="K817" s="97"/>
      <c r="L817" s="97"/>
      <c r="M817" s="66"/>
      <c r="N817" s="97"/>
      <c r="O817" s="97"/>
      <c r="P817" s="97"/>
      <c r="Q817" s="97"/>
      <c r="R817" s="97"/>
      <c r="S817" s="97"/>
      <c r="T817" s="97"/>
      <c r="U817" s="97"/>
      <c r="V817" s="97"/>
      <c r="W817" s="97"/>
      <c r="X817" s="97"/>
      <c r="Y817" s="97"/>
      <c r="Z817" s="97"/>
      <c r="AA817" s="97"/>
      <c r="AB817" s="97"/>
      <c r="AC817" s="97"/>
      <c r="AD817" s="97"/>
      <c r="AE817" s="97"/>
    </row>
    <row r="818" ht="14.25" customHeight="1">
      <c r="A818" s="59"/>
      <c r="B818" s="97"/>
      <c r="C818" s="97"/>
      <c r="D818" s="97"/>
      <c r="E818" s="97"/>
      <c r="F818" s="97"/>
      <c r="G818" s="97"/>
      <c r="H818" s="99"/>
      <c r="I818" s="123"/>
      <c r="J818" s="123"/>
      <c r="K818" s="97"/>
      <c r="L818" s="97"/>
      <c r="M818" s="66"/>
      <c r="N818" s="97"/>
      <c r="O818" s="97"/>
      <c r="P818" s="97"/>
      <c r="Q818" s="97"/>
      <c r="R818" s="97"/>
      <c r="S818" s="97"/>
      <c r="T818" s="97"/>
      <c r="U818" s="97"/>
      <c r="V818" s="97"/>
      <c r="W818" s="97"/>
      <c r="X818" s="97"/>
      <c r="Y818" s="97"/>
      <c r="Z818" s="97"/>
      <c r="AA818" s="97"/>
      <c r="AB818" s="97"/>
      <c r="AC818" s="97"/>
      <c r="AD818" s="97"/>
      <c r="AE818" s="97"/>
    </row>
    <row r="819" ht="14.25" customHeight="1">
      <c r="A819" s="59"/>
      <c r="B819" s="97"/>
      <c r="C819" s="97"/>
      <c r="D819" s="97"/>
      <c r="E819" s="97"/>
      <c r="F819" s="97"/>
      <c r="G819" s="97"/>
      <c r="H819" s="99"/>
      <c r="I819" s="123"/>
      <c r="J819" s="123"/>
      <c r="K819" s="97"/>
      <c r="L819" s="97"/>
      <c r="M819" s="66"/>
      <c r="N819" s="97"/>
      <c r="O819" s="97"/>
      <c r="P819" s="97"/>
      <c r="Q819" s="97"/>
      <c r="R819" s="97"/>
      <c r="S819" s="97"/>
      <c r="T819" s="97"/>
      <c r="U819" s="97"/>
      <c r="V819" s="97"/>
      <c r="W819" s="97"/>
      <c r="X819" s="97"/>
      <c r="Y819" s="97"/>
      <c r="Z819" s="97"/>
      <c r="AA819" s="97"/>
      <c r="AB819" s="97"/>
      <c r="AC819" s="97"/>
      <c r="AD819" s="97"/>
      <c r="AE819" s="97"/>
    </row>
    <row r="820" ht="14.25" customHeight="1">
      <c r="A820" s="59"/>
      <c r="B820" s="97"/>
      <c r="C820" s="97"/>
      <c r="D820" s="97"/>
      <c r="E820" s="97"/>
      <c r="F820" s="97"/>
      <c r="G820" s="97"/>
      <c r="H820" s="99"/>
      <c r="I820" s="123"/>
      <c r="J820" s="123"/>
      <c r="K820" s="97"/>
      <c r="L820" s="97"/>
      <c r="M820" s="66"/>
      <c r="N820" s="97"/>
      <c r="O820" s="97"/>
      <c r="P820" s="97"/>
      <c r="Q820" s="97"/>
      <c r="R820" s="97"/>
      <c r="S820" s="97"/>
      <c r="T820" s="97"/>
      <c r="U820" s="97"/>
      <c r="V820" s="97"/>
      <c r="W820" s="97"/>
      <c r="X820" s="97"/>
      <c r="Y820" s="97"/>
      <c r="Z820" s="97"/>
      <c r="AA820" s="97"/>
      <c r="AB820" s="97"/>
      <c r="AC820" s="97"/>
      <c r="AD820" s="97"/>
      <c r="AE820" s="97"/>
    </row>
    <row r="821" ht="14.25" customHeight="1">
      <c r="A821" s="59"/>
      <c r="B821" s="97"/>
      <c r="C821" s="97"/>
      <c r="D821" s="97"/>
      <c r="E821" s="97"/>
      <c r="F821" s="97"/>
      <c r="G821" s="97"/>
      <c r="H821" s="99"/>
      <c r="I821" s="123"/>
      <c r="J821" s="123"/>
      <c r="K821" s="97"/>
      <c r="L821" s="97"/>
      <c r="M821" s="66"/>
      <c r="N821" s="97"/>
      <c r="O821" s="97"/>
      <c r="P821" s="97"/>
      <c r="Q821" s="97"/>
      <c r="R821" s="97"/>
      <c r="S821" s="97"/>
      <c r="T821" s="97"/>
      <c r="U821" s="97"/>
      <c r="V821" s="97"/>
      <c r="W821" s="97"/>
      <c r="X821" s="97"/>
      <c r="Y821" s="97"/>
      <c r="Z821" s="97"/>
      <c r="AA821" s="97"/>
      <c r="AB821" s="97"/>
      <c r="AC821" s="97"/>
      <c r="AD821" s="97"/>
      <c r="AE821" s="97"/>
    </row>
    <row r="822" ht="14.25" customHeight="1">
      <c r="A822" s="59"/>
      <c r="B822" s="97"/>
      <c r="C822" s="97"/>
      <c r="D822" s="97"/>
      <c r="E822" s="97"/>
      <c r="F822" s="97"/>
      <c r="G822" s="97"/>
      <c r="H822" s="99"/>
      <c r="I822" s="123"/>
      <c r="J822" s="123"/>
      <c r="K822" s="97"/>
      <c r="L822" s="97"/>
      <c r="M822" s="66"/>
      <c r="N822" s="97"/>
      <c r="O822" s="97"/>
      <c r="P822" s="97"/>
      <c r="Q822" s="97"/>
      <c r="R822" s="97"/>
      <c r="S822" s="97"/>
      <c r="T822" s="97"/>
      <c r="U822" s="97"/>
      <c r="V822" s="97"/>
      <c r="W822" s="97"/>
      <c r="X822" s="97"/>
      <c r="Y822" s="97"/>
      <c r="Z822" s="97"/>
      <c r="AA822" s="97"/>
      <c r="AB822" s="97"/>
      <c r="AC822" s="97"/>
      <c r="AD822" s="97"/>
      <c r="AE822" s="97"/>
    </row>
    <row r="823" ht="14.25" customHeight="1">
      <c r="A823" s="59"/>
      <c r="B823" s="97"/>
      <c r="C823" s="97"/>
      <c r="D823" s="97"/>
      <c r="E823" s="97"/>
      <c r="F823" s="97"/>
      <c r="G823" s="97"/>
      <c r="H823" s="99"/>
      <c r="I823" s="123"/>
      <c r="J823" s="123"/>
      <c r="K823" s="97"/>
      <c r="L823" s="97"/>
      <c r="M823" s="66"/>
      <c r="N823" s="97"/>
      <c r="O823" s="97"/>
      <c r="P823" s="97"/>
      <c r="Q823" s="97"/>
      <c r="R823" s="97"/>
      <c r="S823" s="97"/>
      <c r="T823" s="97"/>
      <c r="U823" s="97"/>
      <c r="V823" s="97"/>
      <c r="W823" s="97"/>
      <c r="X823" s="97"/>
      <c r="Y823" s="97"/>
      <c r="Z823" s="97"/>
      <c r="AA823" s="97"/>
      <c r="AB823" s="97"/>
      <c r="AC823" s="97"/>
      <c r="AD823" s="97"/>
      <c r="AE823" s="97"/>
    </row>
    <row r="824" ht="14.25" customHeight="1">
      <c r="A824" s="59"/>
      <c r="B824" s="97"/>
      <c r="C824" s="97"/>
      <c r="D824" s="97"/>
      <c r="E824" s="97"/>
      <c r="F824" s="97"/>
      <c r="G824" s="97"/>
      <c r="H824" s="99"/>
      <c r="I824" s="123"/>
      <c r="J824" s="123"/>
      <c r="K824" s="97"/>
      <c r="L824" s="97"/>
      <c r="M824" s="66"/>
      <c r="N824" s="97"/>
      <c r="O824" s="97"/>
      <c r="P824" s="97"/>
      <c r="Q824" s="97"/>
      <c r="R824" s="97"/>
      <c r="S824" s="97"/>
      <c r="T824" s="97"/>
      <c r="U824" s="97"/>
      <c r="V824" s="97"/>
      <c r="W824" s="97"/>
      <c r="X824" s="97"/>
      <c r="Y824" s="97"/>
      <c r="Z824" s="97"/>
      <c r="AA824" s="97"/>
      <c r="AB824" s="97"/>
      <c r="AC824" s="97"/>
      <c r="AD824" s="97"/>
      <c r="AE824" s="97"/>
    </row>
    <row r="825" ht="14.25" customHeight="1">
      <c r="A825" s="59"/>
      <c r="B825" s="97"/>
      <c r="C825" s="97"/>
      <c r="D825" s="97"/>
      <c r="E825" s="97"/>
      <c r="F825" s="97"/>
      <c r="G825" s="97"/>
      <c r="H825" s="99"/>
      <c r="I825" s="123"/>
      <c r="J825" s="123"/>
      <c r="K825" s="97"/>
      <c r="L825" s="97"/>
      <c r="M825" s="66"/>
      <c r="N825" s="97"/>
      <c r="O825" s="97"/>
      <c r="P825" s="97"/>
      <c r="Q825" s="97"/>
      <c r="R825" s="97"/>
      <c r="S825" s="97"/>
      <c r="T825" s="97"/>
      <c r="U825" s="97"/>
      <c r="V825" s="97"/>
      <c r="W825" s="97"/>
      <c r="X825" s="97"/>
      <c r="Y825" s="97"/>
      <c r="Z825" s="97"/>
      <c r="AA825" s="97"/>
      <c r="AB825" s="97"/>
      <c r="AC825" s="97"/>
      <c r="AD825" s="97"/>
      <c r="AE825" s="97"/>
    </row>
    <row r="826" ht="14.25" customHeight="1">
      <c r="A826" s="59"/>
      <c r="B826" s="97"/>
      <c r="C826" s="97"/>
      <c r="D826" s="97"/>
      <c r="E826" s="97"/>
      <c r="F826" s="97"/>
      <c r="G826" s="97"/>
      <c r="H826" s="99"/>
      <c r="I826" s="123"/>
      <c r="J826" s="123"/>
      <c r="K826" s="97"/>
      <c r="L826" s="97"/>
      <c r="M826" s="66"/>
      <c r="N826" s="97"/>
      <c r="O826" s="97"/>
      <c r="P826" s="97"/>
      <c r="Q826" s="97"/>
      <c r="R826" s="97"/>
      <c r="S826" s="97"/>
      <c r="T826" s="97"/>
      <c r="U826" s="97"/>
      <c r="V826" s="97"/>
      <c r="W826" s="97"/>
      <c r="X826" s="97"/>
      <c r="Y826" s="97"/>
      <c r="Z826" s="97"/>
      <c r="AA826" s="97"/>
      <c r="AB826" s="97"/>
      <c r="AC826" s="97"/>
      <c r="AD826" s="97"/>
      <c r="AE826" s="97"/>
    </row>
    <row r="827" ht="14.25" customHeight="1">
      <c r="A827" s="59"/>
      <c r="B827" s="97"/>
      <c r="C827" s="97"/>
      <c r="D827" s="97"/>
      <c r="E827" s="97"/>
      <c r="F827" s="97"/>
      <c r="G827" s="97"/>
      <c r="H827" s="99"/>
      <c r="I827" s="123"/>
      <c r="J827" s="123"/>
      <c r="K827" s="97"/>
      <c r="L827" s="97"/>
      <c r="M827" s="66"/>
      <c r="N827" s="97"/>
      <c r="O827" s="97"/>
      <c r="P827" s="97"/>
      <c r="Q827" s="97"/>
      <c r="R827" s="97"/>
      <c r="S827" s="97"/>
      <c r="T827" s="97"/>
      <c r="U827" s="97"/>
      <c r="V827" s="97"/>
      <c r="W827" s="97"/>
      <c r="X827" s="97"/>
      <c r="Y827" s="97"/>
      <c r="Z827" s="97"/>
      <c r="AA827" s="97"/>
      <c r="AB827" s="97"/>
      <c r="AC827" s="97"/>
      <c r="AD827" s="97"/>
      <c r="AE827" s="97"/>
    </row>
    <row r="828" ht="14.25" customHeight="1">
      <c r="A828" s="59"/>
      <c r="B828" s="97"/>
      <c r="C828" s="97"/>
      <c r="D828" s="97"/>
      <c r="E828" s="97"/>
      <c r="F828" s="97"/>
      <c r="G828" s="97"/>
      <c r="H828" s="99"/>
      <c r="I828" s="123"/>
      <c r="J828" s="123"/>
      <c r="K828" s="97"/>
      <c r="L828" s="97"/>
      <c r="M828" s="66"/>
      <c r="N828" s="97"/>
      <c r="O828" s="97"/>
      <c r="P828" s="97"/>
      <c r="Q828" s="97"/>
      <c r="R828" s="97"/>
      <c r="S828" s="97"/>
      <c r="T828" s="97"/>
      <c r="U828" s="97"/>
      <c r="V828" s="97"/>
      <c r="W828" s="97"/>
      <c r="X828" s="97"/>
      <c r="Y828" s="97"/>
      <c r="Z828" s="97"/>
      <c r="AA828" s="97"/>
      <c r="AB828" s="97"/>
      <c r="AC828" s="97"/>
      <c r="AD828" s="97"/>
      <c r="AE828" s="97"/>
    </row>
    <row r="829" ht="14.25" customHeight="1">
      <c r="A829" s="59"/>
      <c r="B829" s="97"/>
      <c r="C829" s="97"/>
      <c r="D829" s="97"/>
      <c r="E829" s="97"/>
      <c r="F829" s="97"/>
      <c r="G829" s="97"/>
      <c r="H829" s="99"/>
      <c r="I829" s="123"/>
      <c r="J829" s="123"/>
      <c r="K829" s="97"/>
      <c r="L829" s="97"/>
      <c r="M829" s="66"/>
      <c r="N829" s="97"/>
      <c r="O829" s="97"/>
      <c r="P829" s="97"/>
      <c r="Q829" s="97"/>
      <c r="R829" s="97"/>
      <c r="S829" s="97"/>
      <c r="T829" s="97"/>
      <c r="U829" s="97"/>
      <c r="V829" s="97"/>
      <c r="W829" s="97"/>
      <c r="X829" s="97"/>
      <c r="Y829" s="97"/>
      <c r="Z829" s="97"/>
      <c r="AA829" s="97"/>
      <c r="AB829" s="97"/>
      <c r="AC829" s="97"/>
      <c r="AD829" s="97"/>
      <c r="AE829" s="97"/>
    </row>
    <row r="830" ht="14.25" customHeight="1">
      <c r="A830" s="59"/>
      <c r="B830" s="97"/>
      <c r="C830" s="97"/>
      <c r="D830" s="97"/>
      <c r="E830" s="97"/>
      <c r="F830" s="97"/>
      <c r="G830" s="97"/>
      <c r="H830" s="99"/>
      <c r="I830" s="123"/>
      <c r="J830" s="123"/>
      <c r="K830" s="97"/>
      <c r="L830" s="97"/>
      <c r="M830" s="66"/>
      <c r="N830" s="97"/>
      <c r="O830" s="97"/>
      <c r="P830" s="97"/>
      <c r="Q830" s="97"/>
      <c r="R830" s="97"/>
      <c r="S830" s="97"/>
      <c r="T830" s="97"/>
      <c r="U830" s="97"/>
      <c r="V830" s="97"/>
      <c r="W830" s="97"/>
      <c r="X830" s="97"/>
      <c r="Y830" s="97"/>
      <c r="Z830" s="97"/>
      <c r="AA830" s="97"/>
      <c r="AB830" s="97"/>
      <c r="AC830" s="97"/>
      <c r="AD830" s="97"/>
      <c r="AE830" s="97"/>
    </row>
    <row r="831" ht="14.25" customHeight="1">
      <c r="A831" s="59"/>
      <c r="B831" s="97"/>
      <c r="C831" s="97"/>
      <c r="D831" s="97"/>
      <c r="E831" s="97"/>
      <c r="F831" s="97"/>
      <c r="G831" s="97"/>
      <c r="H831" s="99"/>
      <c r="I831" s="123"/>
      <c r="J831" s="123"/>
      <c r="K831" s="97"/>
      <c r="L831" s="97"/>
      <c r="M831" s="66"/>
      <c r="N831" s="97"/>
      <c r="O831" s="97"/>
      <c r="P831" s="97"/>
      <c r="Q831" s="97"/>
      <c r="R831" s="97"/>
      <c r="S831" s="97"/>
      <c r="T831" s="97"/>
      <c r="U831" s="97"/>
      <c r="V831" s="97"/>
      <c r="W831" s="97"/>
      <c r="X831" s="97"/>
      <c r="Y831" s="97"/>
      <c r="Z831" s="97"/>
      <c r="AA831" s="97"/>
      <c r="AB831" s="97"/>
      <c r="AC831" s="97"/>
      <c r="AD831" s="97"/>
      <c r="AE831" s="97"/>
    </row>
    <row r="832" ht="14.25" customHeight="1">
      <c r="A832" s="59"/>
      <c r="B832" s="97"/>
      <c r="C832" s="97"/>
      <c r="D832" s="97"/>
      <c r="E832" s="97"/>
      <c r="F832" s="97"/>
      <c r="G832" s="97"/>
      <c r="H832" s="99"/>
      <c r="I832" s="123"/>
      <c r="J832" s="123"/>
      <c r="K832" s="97"/>
      <c r="L832" s="97"/>
      <c r="M832" s="66"/>
      <c r="N832" s="97"/>
      <c r="O832" s="97"/>
      <c r="P832" s="97"/>
      <c r="Q832" s="97"/>
      <c r="R832" s="97"/>
      <c r="S832" s="97"/>
      <c r="T832" s="97"/>
      <c r="U832" s="97"/>
      <c r="V832" s="97"/>
      <c r="W832" s="97"/>
      <c r="X832" s="97"/>
      <c r="Y832" s="97"/>
      <c r="Z832" s="97"/>
      <c r="AA832" s="97"/>
      <c r="AB832" s="97"/>
      <c r="AC832" s="97"/>
      <c r="AD832" s="97"/>
      <c r="AE832" s="97"/>
    </row>
    <row r="833" ht="14.25" customHeight="1">
      <c r="A833" s="59"/>
      <c r="B833" s="97"/>
      <c r="C833" s="97"/>
      <c r="D833" s="97"/>
      <c r="E833" s="97"/>
      <c r="F833" s="97"/>
      <c r="G833" s="97"/>
      <c r="H833" s="99"/>
      <c r="I833" s="123"/>
      <c r="J833" s="123"/>
      <c r="K833" s="97"/>
      <c r="L833" s="97"/>
      <c r="M833" s="66"/>
      <c r="N833" s="97"/>
      <c r="O833" s="97"/>
      <c r="P833" s="97"/>
      <c r="Q833" s="97"/>
      <c r="R833" s="97"/>
      <c r="S833" s="97"/>
      <c r="T833" s="97"/>
      <c r="U833" s="97"/>
      <c r="V833" s="97"/>
      <c r="W833" s="97"/>
      <c r="X833" s="97"/>
      <c r="Y833" s="97"/>
      <c r="Z833" s="97"/>
      <c r="AA833" s="97"/>
      <c r="AB833" s="97"/>
      <c r="AC833" s="97"/>
      <c r="AD833" s="97"/>
      <c r="AE833" s="97"/>
    </row>
    <row r="834" ht="14.25" customHeight="1">
      <c r="A834" s="59"/>
      <c r="B834" s="97"/>
      <c r="C834" s="97"/>
      <c r="D834" s="97"/>
      <c r="E834" s="97"/>
      <c r="F834" s="97"/>
      <c r="G834" s="97"/>
      <c r="H834" s="99"/>
      <c r="I834" s="123"/>
      <c r="J834" s="123"/>
      <c r="K834" s="97"/>
      <c r="L834" s="97"/>
      <c r="M834" s="66"/>
      <c r="N834" s="97"/>
      <c r="O834" s="97"/>
      <c r="P834" s="97"/>
      <c r="Q834" s="97"/>
      <c r="R834" s="97"/>
      <c r="S834" s="97"/>
      <c r="T834" s="97"/>
      <c r="U834" s="97"/>
      <c r="V834" s="97"/>
      <c r="W834" s="97"/>
      <c r="X834" s="97"/>
      <c r="Y834" s="97"/>
      <c r="Z834" s="97"/>
      <c r="AA834" s="97"/>
      <c r="AB834" s="97"/>
      <c r="AC834" s="97"/>
      <c r="AD834" s="97"/>
      <c r="AE834" s="97"/>
    </row>
    <row r="835" ht="14.25" customHeight="1">
      <c r="A835" s="59"/>
      <c r="B835" s="97"/>
      <c r="C835" s="97"/>
      <c r="D835" s="97"/>
      <c r="E835" s="97"/>
      <c r="F835" s="97"/>
      <c r="G835" s="97"/>
      <c r="H835" s="99"/>
      <c r="I835" s="123"/>
      <c r="J835" s="123"/>
      <c r="K835" s="97"/>
      <c r="L835" s="97"/>
      <c r="M835" s="66"/>
      <c r="N835" s="97"/>
      <c r="O835" s="97"/>
      <c r="P835" s="97"/>
      <c r="Q835" s="97"/>
      <c r="R835" s="97"/>
      <c r="S835" s="97"/>
      <c r="T835" s="97"/>
      <c r="U835" s="97"/>
      <c r="V835" s="97"/>
      <c r="W835" s="97"/>
      <c r="X835" s="97"/>
      <c r="Y835" s="97"/>
      <c r="Z835" s="97"/>
      <c r="AA835" s="97"/>
      <c r="AB835" s="97"/>
      <c r="AC835" s="97"/>
      <c r="AD835" s="97"/>
      <c r="AE835" s="97"/>
    </row>
    <row r="836" ht="14.25" customHeight="1">
      <c r="A836" s="59"/>
      <c r="B836" s="97"/>
      <c r="C836" s="97"/>
      <c r="D836" s="97"/>
      <c r="E836" s="97"/>
      <c r="F836" s="97"/>
      <c r="G836" s="97"/>
      <c r="H836" s="99"/>
      <c r="I836" s="123"/>
      <c r="J836" s="123"/>
      <c r="K836" s="97"/>
      <c r="L836" s="97"/>
      <c r="M836" s="66"/>
      <c r="N836" s="97"/>
      <c r="O836" s="97"/>
      <c r="P836" s="97"/>
      <c r="Q836" s="97"/>
      <c r="R836" s="97"/>
      <c r="S836" s="97"/>
      <c r="T836" s="97"/>
      <c r="U836" s="97"/>
      <c r="V836" s="97"/>
      <c r="W836" s="97"/>
      <c r="X836" s="97"/>
      <c r="Y836" s="97"/>
      <c r="Z836" s="97"/>
      <c r="AA836" s="97"/>
      <c r="AB836" s="97"/>
      <c r="AC836" s="97"/>
      <c r="AD836" s="97"/>
      <c r="AE836" s="97"/>
    </row>
    <row r="837" ht="14.25" customHeight="1">
      <c r="A837" s="59"/>
      <c r="B837" s="97"/>
      <c r="C837" s="97"/>
      <c r="D837" s="97"/>
      <c r="E837" s="97"/>
      <c r="F837" s="97"/>
      <c r="G837" s="97"/>
      <c r="H837" s="99"/>
      <c r="I837" s="123"/>
      <c r="J837" s="123"/>
      <c r="K837" s="97"/>
      <c r="L837" s="97"/>
      <c r="M837" s="66"/>
      <c r="N837" s="97"/>
      <c r="O837" s="97"/>
      <c r="P837" s="97"/>
      <c r="Q837" s="97"/>
      <c r="R837" s="97"/>
      <c r="S837" s="97"/>
      <c r="T837" s="97"/>
      <c r="U837" s="97"/>
      <c r="V837" s="97"/>
      <c r="W837" s="97"/>
      <c r="X837" s="97"/>
      <c r="Y837" s="97"/>
      <c r="Z837" s="97"/>
      <c r="AA837" s="97"/>
      <c r="AB837" s="97"/>
      <c r="AC837" s="97"/>
      <c r="AD837" s="97"/>
      <c r="AE837" s="97"/>
    </row>
    <row r="838" ht="14.25" customHeight="1">
      <c r="A838" s="59"/>
      <c r="B838" s="97"/>
      <c r="C838" s="97"/>
      <c r="D838" s="97"/>
      <c r="E838" s="97"/>
      <c r="F838" s="97"/>
      <c r="G838" s="97"/>
      <c r="H838" s="99"/>
      <c r="I838" s="123"/>
      <c r="J838" s="123"/>
      <c r="K838" s="97"/>
      <c r="L838" s="97"/>
      <c r="M838" s="66"/>
      <c r="N838" s="97"/>
      <c r="O838" s="97"/>
      <c r="P838" s="97"/>
      <c r="Q838" s="97"/>
      <c r="R838" s="97"/>
      <c r="S838" s="97"/>
      <c r="T838" s="97"/>
      <c r="U838" s="97"/>
      <c r="V838" s="97"/>
      <c r="W838" s="97"/>
      <c r="X838" s="97"/>
      <c r="Y838" s="97"/>
      <c r="Z838" s="97"/>
      <c r="AA838" s="97"/>
      <c r="AB838" s="97"/>
      <c r="AC838" s="97"/>
      <c r="AD838" s="97"/>
      <c r="AE838" s="97"/>
    </row>
    <row r="839" ht="14.25" customHeight="1">
      <c r="A839" s="59"/>
      <c r="B839" s="97"/>
      <c r="C839" s="97"/>
      <c r="D839" s="97"/>
      <c r="E839" s="97"/>
      <c r="F839" s="97"/>
      <c r="G839" s="97"/>
      <c r="H839" s="99"/>
      <c r="I839" s="123"/>
      <c r="J839" s="123"/>
      <c r="K839" s="97"/>
      <c r="L839" s="97"/>
      <c r="M839" s="66"/>
      <c r="N839" s="97"/>
      <c r="O839" s="97"/>
      <c r="P839" s="97"/>
      <c r="Q839" s="97"/>
      <c r="R839" s="97"/>
      <c r="S839" s="97"/>
      <c r="T839" s="97"/>
      <c r="U839" s="97"/>
      <c r="V839" s="97"/>
      <c r="W839" s="97"/>
      <c r="X839" s="97"/>
      <c r="Y839" s="97"/>
      <c r="Z839" s="97"/>
      <c r="AA839" s="97"/>
      <c r="AB839" s="97"/>
      <c r="AC839" s="97"/>
      <c r="AD839" s="97"/>
      <c r="AE839" s="97"/>
    </row>
    <row r="840" ht="14.25" customHeight="1">
      <c r="A840" s="59"/>
      <c r="B840" s="97"/>
      <c r="C840" s="97"/>
      <c r="D840" s="97"/>
      <c r="E840" s="97"/>
      <c r="F840" s="97"/>
      <c r="G840" s="97"/>
      <c r="H840" s="99"/>
      <c r="I840" s="123"/>
      <c r="J840" s="123"/>
      <c r="K840" s="97"/>
      <c r="L840" s="97"/>
      <c r="M840" s="66"/>
      <c r="N840" s="97"/>
      <c r="O840" s="97"/>
      <c r="P840" s="97"/>
      <c r="Q840" s="97"/>
      <c r="R840" s="97"/>
      <c r="S840" s="97"/>
      <c r="T840" s="97"/>
      <c r="U840" s="97"/>
      <c r="V840" s="97"/>
      <c r="W840" s="97"/>
      <c r="X840" s="97"/>
      <c r="Y840" s="97"/>
      <c r="Z840" s="97"/>
      <c r="AA840" s="97"/>
      <c r="AB840" s="97"/>
      <c r="AC840" s="97"/>
      <c r="AD840" s="97"/>
      <c r="AE840" s="97"/>
    </row>
    <row r="841" ht="14.25" customHeight="1">
      <c r="A841" s="59"/>
      <c r="B841" s="97"/>
      <c r="C841" s="97"/>
      <c r="D841" s="97"/>
      <c r="E841" s="97"/>
      <c r="F841" s="97"/>
      <c r="G841" s="97"/>
      <c r="H841" s="99"/>
      <c r="I841" s="123"/>
      <c r="J841" s="123"/>
      <c r="K841" s="97"/>
      <c r="L841" s="97"/>
      <c r="M841" s="66"/>
      <c r="N841" s="97"/>
      <c r="O841" s="97"/>
      <c r="P841" s="97"/>
      <c r="Q841" s="97"/>
      <c r="R841" s="97"/>
      <c r="S841" s="97"/>
      <c r="T841" s="97"/>
      <c r="U841" s="97"/>
      <c r="V841" s="97"/>
      <c r="W841" s="97"/>
      <c r="X841" s="97"/>
      <c r="Y841" s="97"/>
      <c r="Z841" s="97"/>
      <c r="AA841" s="97"/>
      <c r="AB841" s="97"/>
      <c r="AC841" s="97"/>
      <c r="AD841" s="97"/>
      <c r="AE841" s="97"/>
    </row>
    <row r="842" ht="14.25" customHeight="1">
      <c r="A842" s="59"/>
      <c r="B842" s="97"/>
      <c r="C842" s="97"/>
      <c r="D842" s="97"/>
      <c r="E842" s="97"/>
      <c r="F842" s="97"/>
      <c r="G842" s="97"/>
      <c r="H842" s="99"/>
      <c r="I842" s="123"/>
      <c r="J842" s="123"/>
      <c r="K842" s="97"/>
      <c r="L842" s="97"/>
      <c r="M842" s="66"/>
      <c r="N842" s="97"/>
      <c r="O842" s="97"/>
      <c r="P842" s="97"/>
      <c r="Q842" s="97"/>
      <c r="R842" s="97"/>
      <c r="S842" s="97"/>
      <c r="T842" s="97"/>
      <c r="U842" s="97"/>
      <c r="V842" s="97"/>
      <c r="W842" s="97"/>
      <c r="X842" s="97"/>
      <c r="Y842" s="97"/>
      <c r="Z842" s="97"/>
      <c r="AA842" s="97"/>
      <c r="AB842" s="97"/>
      <c r="AC842" s="97"/>
      <c r="AD842" s="97"/>
      <c r="AE842" s="97"/>
    </row>
    <row r="843" ht="14.25" customHeight="1">
      <c r="A843" s="59"/>
      <c r="B843" s="97"/>
      <c r="C843" s="97"/>
      <c r="D843" s="97"/>
      <c r="E843" s="97"/>
      <c r="F843" s="97"/>
      <c r="G843" s="97"/>
      <c r="H843" s="99"/>
      <c r="I843" s="123"/>
      <c r="J843" s="123"/>
      <c r="K843" s="97"/>
      <c r="L843" s="97"/>
      <c r="M843" s="66"/>
      <c r="N843" s="97"/>
      <c r="O843" s="97"/>
      <c r="P843" s="97"/>
      <c r="Q843" s="97"/>
      <c r="R843" s="97"/>
      <c r="S843" s="97"/>
      <c r="T843" s="97"/>
      <c r="U843" s="97"/>
      <c r="V843" s="97"/>
      <c r="W843" s="97"/>
      <c r="X843" s="97"/>
      <c r="Y843" s="97"/>
      <c r="Z843" s="97"/>
      <c r="AA843" s="97"/>
      <c r="AB843" s="97"/>
      <c r="AC843" s="97"/>
      <c r="AD843" s="97"/>
      <c r="AE843" s="97"/>
    </row>
    <row r="844" ht="14.25" customHeight="1">
      <c r="A844" s="59"/>
      <c r="B844" s="97"/>
      <c r="C844" s="97"/>
      <c r="D844" s="97"/>
      <c r="E844" s="97"/>
      <c r="F844" s="97"/>
      <c r="G844" s="97"/>
      <c r="H844" s="99"/>
      <c r="I844" s="123"/>
      <c r="J844" s="123"/>
      <c r="K844" s="97"/>
      <c r="L844" s="97"/>
      <c r="M844" s="66"/>
      <c r="N844" s="97"/>
      <c r="O844" s="97"/>
      <c r="P844" s="97"/>
      <c r="Q844" s="97"/>
      <c r="R844" s="97"/>
      <c r="S844" s="97"/>
      <c r="T844" s="97"/>
      <c r="U844" s="97"/>
      <c r="V844" s="97"/>
      <c r="W844" s="97"/>
      <c r="X844" s="97"/>
      <c r="Y844" s="97"/>
      <c r="Z844" s="97"/>
      <c r="AA844" s="97"/>
      <c r="AB844" s="97"/>
      <c r="AC844" s="97"/>
      <c r="AD844" s="97"/>
      <c r="AE844" s="97"/>
    </row>
    <row r="845" ht="14.25" customHeight="1">
      <c r="A845" s="59"/>
      <c r="B845" s="97"/>
      <c r="C845" s="97"/>
      <c r="D845" s="97"/>
      <c r="E845" s="97"/>
      <c r="F845" s="97"/>
      <c r="G845" s="97"/>
      <c r="H845" s="99"/>
      <c r="I845" s="123"/>
      <c r="J845" s="123"/>
      <c r="K845" s="97"/>
      <c r="L845" s="97"/>
      <c r="M845" s="66"/>
      <c r="N845" s="97"/>
      <c r="O845" s="97"/>
      <c r="P845" s="97"/>
      <c r="Q845" s="97"/>
      <c r="R845" s="97"/>
      <c r="S845" s="97"/>
      <c r="T845" s="97"/>
      <c r="U845" s="97"/>
      <c r="V845" s="97"/>
      <c r="W845" s="97"/>
      <c r="X845" s="97"/>
      <c r="Y845" s="97"/>
      <c r="Z845" s="97"/>
      <c r="AA845" s="97"/>
      <c r="AB845" s="97"/>
      <c r="AC845" s="97"/>
      <c r="AD845" s="97"/>
      <c r="AE845" s="97"/>
    </row>
    <row r="846" ht="14.25" customHeight="1">
      <c r="A846" s="59"/>
      <c r="B846" s="97"/>
      <c r="C846" s="97"/>
      <c r="D846" s="97"/>
      <c r="E846" s="97"/>
      <c r="F846" s="97"/>
      <c r="G846" s="97"/>
      <c r="H846" s="99"/>
      <c r="I846" s="123"/>
      <c r="J846" s="123"/>
      <c r="K846" s="97"/>
      <c r="L846" s="97"/>
      <c r="M846" s="66"/>
      <c r="N846" s="97"/>
      <c r="O846" s="97"/>
      <c r="P846" s="97"/>
      <c r="Q846" s="97"/>
      <c r="R846" s="97"/>
      <c r="S846" s="97"/>
      <c r="T846" s="97"/>
      <c r="U846" s="97"/>
      <c r="V846" s="97"/>
      <c r="W846" s="97"/>
      <c r="X846" s="97"/>
      <c r="Y846" s="97"/>
      <c r="Z846" s="97"/>
      <c r="AA846" s="97"/>
      <c r="AB846" s="97"/>
      <c r="AC846" s="97"/>
      <c r="AD846" s="97"/>
      <c r="AE846" s="97"/>
    </row>
    <row r="847" ht="14.25" customHeight="1">
      <c r="A847" s="59"/>
      <c r="B847" s="97"/>
      <c r="C847" s="97"/>
      <c r="D847" s="97"/>
      <c r="E847" s="97"/>
      <c r="F847" s="97"/>
      <c r="G847" s="97"/>
      <c r="H847" s="99"/>
      <c r="I847" s="123"/>
      <c r="J847" s="123"/>
      <c r="K847" s="97"/>
      <c r="L847" s="97"/>
      <c r="M847" s="66"/>
      <c r="N847" s="97"/>
      <c r="O847" s="97"/>
      <c r="P847" s="97"/>
      <c r="Q847" s="97"/>
      <c r="R847" s="97"/>
      <c r="S847" s="97"/>
      <c r="T847" s="97"/>
      <c r="U847" s="97"/>
      <c r="V847" s="97"/>
      <c r="W847" s="97"/>
      <c r="X847" s="97"/>
      <c r="Y847" s="97"/>
      <c r="Z847" s="97"/>
      <c r="AA847" s="97"/>
      <c r="AB847" s="97"/>
      <c r="AC847" s="97"/>
      <c r="AD847" s="97"/>
      <c r="AE847" s="97"/>
    </row>
    <row r="848" ht="14.25" customHeight="1">
      <c r="A848" s="59"/>
      <c r="B848" s="97"/>
      <c r="C848" s="97"/>
      <c r="D848" s="97"/>
      <c r="E848" s="97"/>
      <c r="F848" s="97"/>
      <c r="G848" s="97"/>
      <c r="H848" s="99"/>
      <c r="I848" s="123"/>
      <c r="J848" s="123"/>
      <c r="K848" s="97"/>
      <c r="L848" s="97"/>
      <c r="M848" s="66"/>
      <c r="N848" s="97"/>
      <c r="O848" s="97"/>
      <c r="P848" s="97"/>
      <c r="Q848" s="97"/>
      <c r="R848" s="97"/>
      <c r="S848" s="97"/>
      <c r="T848" s="97"/>
      <c r="U848" s="97"/>
      <c r="V848" s="97"/>
      <c r="W848" s="97"/>
      <c r="X848" s="97"/>
      <c r="Y848" s="97"/>
      <c r="Z848" s="97"/>
      <c r="AA848" s="97"/>
      <c r="AB848" s="97"/>
      <c r="AC848" s="97"/>
      <c r="AD848" s="97"/>
      <c r="AE848" s="97"/>
    </row>
    <row r="849" ht="14.25" customHeight="1">
      <c r="A849" s="59"/>
      <c r="B849" s="97"/>
      <c r="C849" s="97"/>
      <c r="D849" s="97"/>
      <c r="E849" s="97"/>
      <c r="F849" s="97"/>
      <c r="G849" s="97"/>
      <c r="H849" s="99"/>
      <c r="I849" s="123"/>
      <c r="J849" s="123"/>
      <c r="K849" s="97"/>
      <c r="L849" s="97"/>
      <c r="M849" s="66"/>
      <c r="N849" s="97"/>
      <c r="O849" s="97"/>
      <c r="P849" s="97"/>
      <c r="Q849" s="97"/>
      <c r="R849" s="97"/>
      <c r="S849" s="97"/>
      <c r="T849" s="97"/>
      <c r="U849" s="97"/>
      <c r="V849" s="97"/>
      <c r="W849" s="97"/>
      <c r="X849" s="97"/>
      <c r="Y849" s="97"/>
      <c r="Z849" s="97"/>
      <c r="AA849" s="97"/>
      <c r="AB849" s="97"/>
      <c r="AC849" s="97"/>
      <c r="AD849" s="97"/>
      <c r="AE849" s="97"/>
    </row>
    <row r="850" ht="14.25" customHeight="1">
      <c r="A850" s="59"/>
      <c r="B850" s="97"/>
      <c r="C850" s="97"/>
      <c r="D850" s="97"/>
      <c r="E850" s="97"/>
      <c r="F850" s="97"/>
      <c r="G850" s="97"/>
      <c r="H850" s="99"/>
      <c r="I850" s="123"/>
      <c r="J850" s="123"/>
      <c r="K850" s="97"/>
      <c r="L850" s="97"/>
      <c r="M850" s="66"/>
      <c r="N850" s="97"/>
      <c r="O850" s="97"/>
      <c r="P850" s="97"/>
      <c r="Q850" s="97"/>
      <c r="R850" s="97"/>
      <c r="S850" s="97"/>
      <c r="T850" s="97"/>
      <c r="U850" s="97"/>
      <c r="V850" s="97"/>
      <c r="W850" s="97"/>
      <c r="X850" s="97"/>
      <c r="Y850" s="97"/>
      <c r="Z850" s="97"/>
      <c r="AA850" s="97"/>
      <c r="AB850" s="97"/>
      <c r="AC850" s="97"/>
      <c r="AD850" s="97"/>
      <c r="AE850" s="97"/>
    </row>
    <row r="851" ht="14.25" customHeight="1">
      <c r="A851" s="59"/>
      <c r="B851" s="97"/>
      <c r="C851" s="97"/>
      <c r="D851" s="97"/>
      <c r="E851" s="97"/>
      <c r="F851" s="97"/>
      <c r="G851" s="97"/>
      <c r="H851" s="99"/>
      <c r="I851" s="123"/>
      <c r="J851" s="123"/>
      <c r="K851" s="97"/>
      <c r="L851" s="97"/>
      <c r="M851" s="66"/>
      <c r="N851" s="97"/>
      <c r="O851" s="97"/>
      <c r="P851" s="97"/>
      <c r="Q851" s="97"/>
      <c r="R851" s="97"/>
      <c r="S851" s="97"/>
      <c r="T851" s="97"/>
      <c r="U851" s="97"/>
      <c r="V851" s="97"/>
      <c r="W851" s="97"/>
      <c r="X851" s="97"/>
      <c r="Y851" s="97"/>
      <c r="Z851" s="97"/>
      <c r="AA851" s="97"/>
      <c r="AB851" s="97"/>
      <c r="AC851" s="97"/>
      <c r="AD851" s="97"/>
      <c r="AE851" s="97"/>
    </row>
    <row r="852" ht="14.25" customHeight="1">
      <c r="A852" s="59"/>
      <c r="B852" s="97"/>
      <c r="C852" s="97"/>
      <c r="D852" s="97"/>
      <c r="E852" s="97"/>
      <c r="F852" s="97"/>
      <c r="G852" s="97"/>
      <c r="H852" s="99"/>
      <c r="I852" s="123"/>
      <c r="J852" s="123"/>
      <c r="K852" s="97"/>
      <c r="L852" s="97"/>
      <c r="M852" s="66"/>
      <c r="N852" s="97"/>
      <c r="O852" s="97"/>
      <c r="P852" s="97"/>
      <c r="Q852" s="97"/>
      <c r="R852" s="97"/>
      <c r="S852" s="97"/>
      <c r="T852" s="97"/>
      <c r="U852" s="97"/>
      <c r="V852" s="97"/>
      <c r="W852" s="97"/>
      <c r="X852" s="97"/>
      <c r="Y852" s="97"/>
      <c r="Z852" s="97"/>
      <c r="AA852" s="97"/>
      <c r="AB852" s="97"/>
      <c r="AC852" s="97"/>
      <c r="AD852" s="97"/>
      <c r="AE852" s="97"/>
    </row>
    <row r="853" ht="14.25" customHeight="1">
      <c r="A853" s="59"/>
      <c r="B853" s="97"/>
      <c r="C853" s="97"/>
      <c r="D853" s="97"/>
      <c r="E853" s="97"/>
      <c r="F853" s="97"/>
      <c r="G853" s="97"/>
      <c r="H853" s="99"/>
      <c r="I853" s="123"/>
      <c r="J853" s="123"/>
      <c r="K853" s="97"/>
      <c r="L853" s="97"/>
      <c r="M853" s="66"/>
      <c r="N853" s="97"/>
      <c r="O853" s="97"/>
      <c r="P853" s="97"/>
      <c r="Q853" s="97"/>
      <c r="R853" s="97"/>
      <c r="S853" s="97"/>
      <c r="T853" s="97"/>
      <c r="U853" s="97"/>
      <c r="V853" s="97"/>
      <c r="W853" s="97"/>
      <c r="X853" s="97"/>
      <c r="Y853" s="97"/>
      <c r="Z853" s="97"/>
      <c r="AA853" s="97"/>
      <c r="AB853" s="97"/>
      <c r="AC853" s="97"/>
      <c r="AD853" s="97"/>
      <c r="AE853" s="97"/>
    </row>
    <row r="854" ht="14.25" customHeight="1">
      <c r="A854" s="59"/>
      <c r="B854" s="97"/>
      <c r="C854" s="97"/>
      <c r="D854" s="97"/>
      <c r="E854" s="97"/>
      <c r="F854" s="97"/>
      <c r="G854" s="97"/>
      <c r="H854" s="99"/>
      <c r="I854" s="123"/>
      <c r="J854" s="123"/>
      <c r="K854" s="97"/>
      <c r="L854" s="97"/>
      <c r="M854" s="66"/>
      <c r="N854" s="97"/>
      <c r="O854" s="97"/>
      <c r="P854" s="97"/>
      <c r="Q854" s="97"/>
      <c r="R854" s="97"/>
      <c r="S854" s="97"/>
      <c r="T854" s="97"/>
      <c r="U854" s="97"/>
      <c r="V854" s="97"/>
      <c r="W854" s="97"/>
      <c r="X854" s="97"/>
      <c r="Y854" s="97"/>
      <c r="Z854" s="97"/>
      <c r="AA854" s="97"/>
      <c r="AB854" s="97"/>
      <c r="AC854" s="97"/>
      <c r="AD854" s="97"/>
      <c r="AE854" s="97"/>
    </row>
    <row r="855" ht="14.25" customHeight="1">
      <c r="A855" s="59"/>
      <c r="B855" s="97"/>
      <c r="C855" s="97"/>
      <c r="D855" s="97"/>
      <c r="E855" s="97"/>
      <c r="F855" s="97"/>
      <c r="G855" s="97"/>
      <c r="H855" s="99"/>
      <c r="I855" s="123"/>
      <c r="J855" s="123"/>
      <c r="K855" s="97"/>
      <c r="L855" s="97"/>
      <c r="M855" s="66"/>
      <c r="N855" s="97"/>
      <c r="O855" s="97"/>
      <c r="P855" s="97"/>
      <c r="Q855" s="97"/>
      <c r="R855" s="97"/>
      <c r="S855" s="97"/>
      <c r="T855" s="97"/>
      <c r="U855" s="97"/>
      <c r="V855" s="97"/>
      <c r="W855" s="97"/>
      <c r="X855" s="97"/>
      <c r="Y855" s="97"/>
      <c r="Z855" s="97"/>
      <c r="AA855" s="97"/>
      <c r="AB855" s="97"/>
      <c r="AC855" s="97"/>
      <c r="AD855" s="97"/>
      <c r="AE855" s="97"/>
    </row>
    <row r="856" ht="14.25" customHeight="1">
      <c r="A856" s="59"/>
      <c r="B856" s="97"/>
      <c r="C856" s="97"/>
      <c r="D856" s="97"/>
      <c r="E856" s="97"/>
      <c r="F856" s="97"/>
      <c r="G856" s="97"/>
      <c r="H856" s="99"/>
      <c r="I856" s="123"/>
      <c r="J856" s="123"/>
      <c r="K856" s="97"/>
      <c r="L856" s="97"/>
      <c r="M856" s="66"/>
      <c r="N856" s="97"/>
      <c r="O856" s="97"/>
      <c r="P856" s="97"/>
      <c r="Q856" s="97"/>
      <c r="R856" s="97"/>
      <c r="S856" s="97"/>
      <c r="T856" s="97"/>
      <c r="U856" s="97"/>
      <c r="V856" s="97"/>
      <c r="W856" s="97"/>
      <c r="X856" s="97"/>
      <c r="Y856" s="97"/>
      <c r="Z856" s="97"/>
      <c r="AA856" s="97"/>
      <c r="AB856" s="97"/>
      <c r="AC856" s="97"/>
      <c r="AD856" s="97"/>
      <c r="AE856" s="97"/>
    </row>
    <row r="857" ht="14.25" customHeight="1">
      <c r="A857" s="59"/>
      <c r="B857" s="97"/>
      <c r="C857" s="97"/>
      <c r="D857" s="97"/>
      <c r="E857" s="97"/>
      <c r="F857" s="97"/>
      <c r="G857" s="97"/>
      <c r="H857" s="99"/>
      <c r="I857" s="123"/>
      <c r="J857" s="123"/>
      <c r="K857" s="97"/>
      <c r="L857" s="97"/>
      <c r="M857" s="66"/>
      <c r="N857" s="97"/>
      <c r="O857" s="97"/>
      <c r="P857" s="97"/>
      <c r="Q857" s="97"/>
      <c r="R857" s="97"/>
      <c r="S857" s="97"/>
      <c r="T857" s="97"/>
      <c r="U857" s="97"/>
      <c r="V857" s="97"/>
      <c r="W857" s="97"/>
      <c r="X857" s="97"/>
      <c r="Y857" s="97"/>
      <c r="Z857" s="97"/>
      <c r="AA857" s="97"/>
      <c r="AB857" s="97"/>
      <c r="AC857" s="97"/>
      <c r="AD857" s="97"/>
      <c r="AE857" s="97"/>
    </row>
    <row r="858" ht="14.25" customHeight="1">
      <c r="A858" s="59"/>
      <c r="B858" s="97"/>
      <c r="C858" s="97"/>
      <c r="D858" s="97"/>
      <c r="E858" s="97"/>
      <c r="F858" s="97"/>
      <c r="G858" s="97"/>
      <c r="H858" s="99"/>
      <c r="I858" s="123"/>
      <c r="J858" s="123"/>
      <c r="K858" s="97"/>
      <c r="L858" s="97"/>
      <c r="M858" s="66"/>
      <c r="N858" s="97"/>
      <c r="O858" s="97"/>
      <c r="P858" s="97"/>
      <c r="Q858" s="97"/>
      <c r="R858" s="97"/>
      <c r="S858" s="97"/>
      <c r="T858" s="97"/>
      <c r="U858" s="97"/>
      <c r="V858" s="97"/>
      <c r="W858" s="97"/>
      <c r="X858" s="97"/>
      <c r="Y858" s="97"/>
      <c r="Z858" s="97"/>
      <c r="AA858" s="97"/>
      <c r="AB858" s="97"/>
      <c r="AC858" s="97"/>
      <c r="AD858" s="97"/>
      <c r="AE858" s="97"/>
    </row>
    <row r="859" ht="14.25" customHeight="1">
      <c r="A859" s="59"/>
      <c r="B859" s="97"/>
      <c r="C859" s="97"/>
      <c r="D859" s="97"/>
      <c r="E859" s="97"/>
      <c r="F859" s="97"/>
      <c r="G859" s="97"/>
      <c r="H859" s="99"/>
      <c r="I859" s="123"/>
      <c r="J859" s="123"/>
      <c r="K859" s="97"/>
      <c r="L859" s="97"/>
      <c r="M859" s="66"/>
      <c r="N859" s="97"/>
      <c r="O859" s="97"/>
      <c r="P859" s="97"/>
      <c r="Q859" s="97"/>
      <c r="R859" s="97"/>
      <c r="S859" s="97"/>
      <c r="T859" s="97"/>
      <c r="U859" s="97"/>
      <c r="V859" s="97"/>
      <c r="W859" s="97"/>
      <c r="X859" s="97"/>
      <c r="Y859" s="97"/>
      <c r="Z859" s="97"/>
      <c r="AA859" s="97"/>
      <c r="AB859" s="97"/>
      <c r="AC859" s="97"/>
      <c r="AD859" s="97"/>
      <c r="AE859" s="97"/>
    </row>
    <row r="860" ht="14.25" customHeight="1">
      <c r="A860" s="59"/>
      <c r="B860" s="97"/>
      <c r="C860" s="97"/>
      <c r="D860" s="97"/>
      <c r="E860" s="97"/>
      <c r="F860" s="97"/>
      <c r="G860" s="97"/>
      <c r="H860" s="99"/>
      <c r="I860" s="123"/>
      <c r="J860" s="123"/>
      <c r="K860" s="97"/>
      <c r="L860" s="97"/>
      <c r="M860" s="66"/>
      <c r="N860" s="97"/>
      <c r="O860" s="97"/>
      <c r="P860" s="97"/>
      <c r="Q860" s="97"/>
      <c r="R860" s="97"/>
      <c r="S860" s="97"/>
      <c r="T860" s="97"/>
      <c r="U860" s="97"/>
      <c r="V860" s="97"/>
      <c r="W860" s="97"/>
      <c r="X860" s="97"/>
      <c r="Y860" s="97"/>
      <c r="Z860" s="97"/>
      <c r="AA860" s="97"/>
      <c r="AB860" s="97"/>
      <c r="AC860" s="97"/>
      <c r="AD860" s="97"/>
      <c r="AE860" s="97"/>
    </row>
    <row r="861" ht="14.25" customHeight="1">
      <c r="A861" s="59"/>
      <c r="B861" s="97"/>
      <c r="C861" s="97"/>
      <c r="D861" s="97"/>
      <c r="E861" s="97"/>
      <c r="F861" s="97"/>
      <c r="G861" s="97"/>
      <c r="H861" s="99"/>
      <c r="I861" s="123"/>
      <c r="J861" s="123"/>
      <c r="K861" s="97"/>
      <c r="L861" s="97"/>
      <c r="M861" s="66"/>
      <c r="N861" s="97"/>
      <c r="O861" s="97"/>
      <c r="P861" s="97"/>
      <c r="Q861" s="97"/>
      <c r="R861" s="97"/>
      <c r="S861" s="97"/>
      <c r="T861" s="97"/>
      <c r="U861" s="97"/>
      <c r="V861" s="97"/>
      <c r="W861" s="97"/>
      <c r="X861" s="97"/>
      <c r="Y861" s="97"/>
      <c r="Z861" s="97"/>
      <c r="AA861" s="97"/>
      <c r="AB861" s="97"/>
      <c r="AC861" s="97"/>
      <c r="AD861" s="97"/>
      <c r="AE861" s="97"/>
    </row>
    <row r="862" ht="14.25" customHeight="1">
      <c r="A862" s="59"/>
      <c r="B862" s="97"/>
      <c r="C862" s="97"/>
      <c r="D862" s="97"/>
      <c r="E862" s="97"/>
      <c r="F862" s="97"/>
      <c r="G862" s="97"/>
      <c r="H862" s="99"/>
      <c r="I862" s="123"/>
      <c r="J862" s="123"/>
      <c r="K862" s="97"/>
      <c r="L862" s="97"/>
      <c r="M862" s="66"/>
      <c r="N862" s="97"/>
      <c r="O862" s="97"/>
      <c r="P862" s="97"/>
      <c r="Q862" s="97"/>
      <c r="R862" s="97"/>
      <c r="S862" s="97"/>
      <c r="T862" s="97"/>
      <c r="U862" s="97"/>
      <c r="V862" s="97"/>
      <c r="W862" s="97"/>
      <c r="X862" s="97"/>
      <c r="Y862" s="97"/>
      <c r="Z862" s="97"/>
      <c r="AA862" s="97"/>
      <c r="AB862" s="97"/>
      <c r="AC862" s="97"/>
      <c r="AD862" s="97"/>
      <c r="AE862" s="97"/>
    </row>
    <row r="863" ht="14.25" customHeight="1">
      <c r="A863" s="59"/>
      <c r="B863" s="97"/>
      <c r="C863" s="97"/>
      <c r="D863" s="97"/>
      <c r="E863" s="97"/>
      <c r="F863" s="97"/>
      <c r="G863" s="97"/>
      <c r="H863" s="99"/>
      <c r="I863" s="123"/>
      <c r="J863" s="123"/>
      <c r="K863" s="97"/>
      <c r="L863" s="97"/>
      <c r="M863" s="66"/>
      <c r="N863" s="97"/>
      <c r="O863" s="97"/>
      <c r="P863" s="97"/>
      <c r="Q863" s="97"/>
      <c r="R863" s="97"/>
      <c r="S863" s="97"/>
      <c r="T863" s="97"/>
      <c r="U863" s="97"/>
      <c r="V863" s="97"/>
      <c r="W863" s="97"/>
      <c r="X863" s="97"/>
      <c r="Y863" s="97"/>
      <c r="Z863" s="97"/>
      <c r="AA863" s="97"/>
      <c r="AB863" s="97"/>
      <c r="AC863" s="97"/>
      <c r="AD863" s="97"/>
      <c r="AE863" s="97"/>
    </row>
    <row r="864" ht="14.25" customHeight="1">
      <c r="A864" s="59"/>
      <c r="B864" s="97"/>
      <c r="C864" s="97"/>
      <c r="D864" s="97"/>
      <c r="E864" s="97"/>
      <c r="F864" s="97"/>
      <c r="G864" s="97"/>
      <c r="H864" s="99"/>
      <c r="I864" s="123"/>
      <c r="J864" s="123"/>
      <c r="K864" s="97"/>
      <c r="L864" s="97"/>
      <c r="M864" s="66"/>
      <c r="N864" s="97"/>
      <c r="O864" s="97"/>
      <c r="P864" s="97"/>
      <c r="Q864" s="97"/>
      <c r="R864" s="97"/>
      <c r="S864" s="97"/>
      <c r="T864" s="97"/>
      <c r="U864" s="97"/>
      <c r="V864" s="97"/>
      <c r="W864" s="97"/>
      <c r="X864" s="97"/>
      <c r="Y864" s="97"/>
      <c r="Z864" s="97"/>
      <c r="AA864" s="97"/>
      <c r="AB864" s="97"/>
      <c r="AC864" s="97"/>
      <c r="AD864" s="97"/>
      <c r="AE864" s="97"/>
    </row>
    <row r="865" ht="14.25" customHeight="1">
      <c r="A865" s="59"/>
      <c r="B865" s="97"/>
      <c r="C865" s="97"/>
      <c r="D865" s="97"/>
      <c r="E865" s="97"/>
      <c r="F865" s="97"/>
      <c r="G865" s="97"/>
      <c r="H865" s="99"/>
      <c r="I865" s="123"/>
      <c r="J865" s="123"/>
      <c r="K865" s="97"/>
      <c r="L865" s="97"/>
      <c r="M865" s="66"/>
      <c r="N865" s="97"/>
      <c r="O865" s="97"/>
      <c r="P865" s="97"/>
      <c r="Q865" s="97"/>
      <c r="R865" s="97"/>
      <c r="S865" s="97"/>
      <c r="T865" s="97"/>
      <c r="U865" s="97"/>
      <c r="V865" s="97"/>
      <c r="W865" s="97"/>
      <c r="X865" s="97"/>
      <c r="Y865" s="97"/>
      <c r="Z865" s="97"/>
      <c r="AA865" s="97"/>
      <c r="AB865" s="97"/>
      <c r="AC865" s="97"/>
      <c r="AD865" s="97"/>
      <c r="AE865" s="97"/>
    </row>
    <row r="866" ht="14.25" customHeight="1">
      <c r="A866" s="59"/>
      <c r="B866" s="97"/>
      <c r="C866" s="97"/>
      <c r="D866" s="97"/>
      <c r="E866" s="97"/>
      <c r="F866" s="97"/>
      <c r="G866" s="97"/>
      <c r="H866" s="99"/>
      <c r="I866" s="123"/>
      <c r="J866" s="123"/>
      <c r="K866" s="97"/>
      <c r="L866" s="97"/>
      <c r="M866" s="66"/>
      <c r="N866" s="97"/>
      <c r="O866" s="97"/>
      <c r="P866" s="97"/>
      <c r="Q866" s="97"/>
      <c r="R866" s="97"/>
      <c r="S866" s="97"/>
      <c r="T866" s="97"/>
      <c r="U866" s="97"/>
      <c r="V866" s="97"/>
      <c r="W866" s="97"/>
      <c r="X866" s="97"/>
      <c r="Y866" s="97"/>
      <c r="Z866" s="97"/>
      <c r="AA866" s="97"/>
      <c r="AB866" s="97"/>
      <c r="AC866" s="97"/>
      <c r="AD866" s="97"/>
      <c r="AE866" s="97"/>
    </row>
    <row r="867" ht="14.25" customHeight="1">
      <c r="A867" s="59"/>
      <c r="B867" s="97"/>
      <c r="C867" s="97"/>
      <c r="D867" s="97"/>
      <c r="E867" s="97"/>
      <c r="F867" s="97"/>
      <c r="G867" s="97"/>
      <c r="H867" s="99"/>
      <c r="I867" s="123"/>
      <c r="J867" s="123"/>
      <c r="K867" s="97"/>
      <c r="L867" s="97"/>
      <c r="M867" s="66"/>
      <c r="N867" s="97"/>
      <c r="O867" s="97"/>
      <c r="P867" s="97"/>
      <c r="Q867" s="97"/>
      <c r="R867" s="97"/>
      <c r="S867" s="97"/>
      <c r="T867" s="97"/>
      <c r="U867" s="97"/>
      <c r="V867" s="97"/>
      <c r="W867" s="97"/>
      <c r="X867" s="97"/>
      <c r="Y867" s="97"/>
      <c r="Z867" s="97"/>
      <c r="AA867" s="97"/>
      <c r="AB867" s="97"/>
      <c r="AC867" s="97"/>
      <c r="AD867" s="97"/>
      <c r="AE867" s="97"/>
    </row>
    <row r="868" ht="14.25" customHeight="1">
      <c r="A868" s="59"/>
      <c r="B868" s="97"/>
      <c r="C868" s="97"/>
      <c r="D868" s="97"/>
      <c r="E868" s="97"/>
      <c r="F868" s="97"/>
      <c r="G868" s="97"/>
      <c r="H868" s="99"/>
      <c r="I868" s="123"/>
      <c r="J868" s="123"/>
      <c r="K868" s="97"/>
      <c r="L868" s="97"/>
      <c r="M868" s="66"/>
      <c r="N868" s="97"/>
      <c r="O868" s="97"/>
      <c r="P868" s="97"/>
      <c r="Q868" s="97"/>
      <c r="R868" s="97"/>
      <c r="S868" s="97"/>
      <c r="T868" s="97"/>
      <c r="U868" s="97"/>
      <c r="V868" s="97"/>
      <c r="W868" s="97"/>
      <c r="X868" s="97"/>
      <c r="Y868" s="97"/>
      <c r="Z868" s="97"/>
      <c r="AA868" s="97"/>
      <c r="AB868" s="97"/>
      <c r="AC868" s="97"/>
      <c r="AD868" s="97"/>
      <c r="AE868" s="97"/>
    </row>
    <row r="869" ht="14.25" customHeight="1">
      <c r="A869" s="59"/>
      <c r="B869" s="97"/>
      <c r="C869" s="97"/>
      <c r="D869" s="97"/>
      <c r="E869" s="97"/>
      <c r="F869" s="97"/>
      <c r="G869" s="97"/>
      <c r="H869" s="99"/>
      <c r="I869" s="123"/>
      <c r="J869" s="123"/>
      <c r="K869" s="97"/>
      <c r="L869" s="97"/>
      <c r="M869" s="66"/>
      <c r="N869" s="97"/>
      <c r="O869" s="97"/>
      <c r="P869" s="97"/>
      <c r="Q869" s="97"/>
      <c r="R869" s="97"/>
      <c r="S869" s="97"/>
      <c r="T869" s="97"/>
      <c r="U869" s="97"/>
      <c r="V869" s="97"/>
      <c r="W869" s="97"/>
      <c r="X869" s="97"/>
      <c r="Y869" s="97"/>
      <c r="Z869" s="97"/>
      <c r="AA869" s="97"/>
      <c r="AB869" s="97"/>
      <c r="AC869" s="97"/>
      <c r="AD869" s="97"/>
      <c r="AE869" s="97"/>
    </row>
    <row r="870" ht="14.25" customHeight="1">
      <c r="A870" s="59"/>
      <c r="B870" s="97"/>
      <c r="C870" s="97"/>
      <c r="D870" s="97"/>
      <c r="E870" s="97"/>
      <c r="F870" s="97"/>
      <c r="G870" s="97"/>
      <c r="H870" s="99"/>
      <c r="I870" s="123"/>
      <c r="J870" s="123"/>
      <c r="K870" s="97"/>
      <c r="L870" s="97"/>
      <c r="M870" s="66"/>
      <c r="N870" s="97"/>
      <c r="O870" s="97"/>
      <c r="P870" s="97"/>
      <c r="Q870" s="97"/>
      <c r="R870" s="97"/>
      <c r="S870" s="97"/>
      <c r="T870" s="97"/>
      <c r="U870" s="97"/>
      <c r="V870" s="97"/>
      <c r="W870" s="97"/>
      <c r="X870" s="97"/>
      <c r="Y870" s="97"/>
      <c r="Z870" s="97"/>
      <c r="AA870" s="97"/>
      <c r="AB870" s="97"/>
      <c r="AC870" s="97"/>
      <c r="AD870" s="97"/>
      <c r="AE870" s="97"/>
    </row>
    <row r="871" ht="14.25" customHeight="1">
      <c r="A871" s="59"/>
      <c r="B871" s="97"/>
      <c r="C871" s="97"/>
      <c r="D871" s="97"/>
      <c r="E871" s="97"/>
      <c r="F871" s="97"/>
      <c r="G871" s="97"/>
      <c r="H871" s="99"/>
      <c r="I871" s="123"/>
      <c r="J871" s="123"/>
      <c r="K871" s="97"/>
      <c r="L871" s="97"/>
      <c r="M871" s="66"/>
      <c r="N871" s="97"/>
      <c r="O871" s="97"/>
      <c r="P871" s="97"/>
      <c r="Q871" s="97"/>
      <c r="R871" s="97"/>
      <c r="S871" s="97"/>
      <c r="T871" s="97"/>
      <c r="U871" s="97"/>
      <c r="V871" s="97"/>
      <c r="W871" s="97"/>
      <c r="X871" s="97"/>
      <c r="Y871" s="97"/>
      <c r="Z871" s="97"/>
      <c r="AA871" s="97"/>
      <c r="AB871" s="97"/>
      <c r="AC871" s="97"/>
      <c r="AD871" s="97"/>
      <c r="AE871" s="97"/>
    </row>
    <row r="872" ht="14.25" customHeight="1">
      <c r="A872" s="59"/>
      <c r="B872" s="97"/>
      <c r="C872" s="97"/>
      <c r="D872" s="97"/>
      <c r="E872" s="97"/>
      <c r="F872" s="97"/>
      <c r="G872" s="97"/>
      <c r="H872" s="99"/>
      <c r="I872" s="123"/>
      <c r="J872" s="123"/>
      <c r="K872" s="97"/>
      <c r="L872" s="97"/>
      <c r="M872" s="66"/>
      <c r="N872" s="97"/>
      <c r="O872" s="97"/>
      <c r="P872" s="97"/>
      <c r="Q872" s="97"/>
      <c r="R872" s="97"/>
      <c r="S872" s="97"/>
      <c r="T872" s="97"/>
      <c r="U872" s="97"/>
      <c r="V872" s="97"/>
      <c r="W872" s="97"/>
      <c r="X872" s="97"/>
      <c r="Y872" s="97"/>
      <c r="Z872" s="97"/>
      <c r="AA872" s="97"/>
      <c r="AB872" s="97"/>
      <c r="AC872" s="97"/>
      <c r="AD872" s="97"/>
      <c r="AE872" s="97"/>
    </row>
    <row r="873" ht="14.25" customHeight="1">
      <c r="A873" s="59"/>
      <c r="B873" s="97"/>
      <c r="C873" s="97"/>
      <c r="D873" s="97"/>
      <c r="E873" s="97"/>
      <c r="F873" s="97"/>
      <c r="G873" s="97"/>
      <c r="H873" s="99"/>
      <c r="I873" s="123"/>
      <c r="J873" s="123"/>
      <c r="K873" s="97"/>
      <c r="L873" s="97"/>
      <c r="M873" s="66"/>
      <c r="N873" s="97"/>
      <c r="O873" s="97"/>
      <c r="P873" s="97"/>
      <c r="Q873" s="97"/>
      <c r="R873" s="97"/>
      <c r="S873" s="97"/>
      <c r="T873" s="97"/>
      <c r="U873" s="97"/>
      <c r="V873" s="97"/>
      <c r="W873" s="97"/>
      <c r="X873" s="97"/>
      <c r="Y873" s="97"/>
      <c r="Z873" s="97"/>
      <c r="AA873" s="97"/>
      <c r="AB873" s="97"/>
      <c r="AC873" s="97"/>
      <c r="AD873" s="97"/>
      <c r="AE873" s="97"/>
    </row>
    <row r="874" ht="14.25" customHeight="1">
      <c r="A874" s="59"/>
      <c r="B874" s="97"/>
      <c r="C874" s="97"/>
      <c r="D874" s="97"/>
      <c r="E874" s="97"/>
      <c r="F874" s="97"/>
      <c r="G874" s="97"/>
      <c r="H874" s="99"/>
      <c r="I874" s="123"/>
      <c r="J874" s="123"/>
      <c r="K874" s="97"/>
      <c r="L874" s="97"/>
      <c r="M874" s="66"/>
      <c r="N874" s="97"/>
      <c r="O874" s="97"/>
      <c r="P874" s="97"/>
      <c r="Q874" s="97"/>
      <c r="R874" s="97"/>
      <c r="S874" s="97"/>
      <c r="T874" s="97"/>
      <c r="U874" s="97"/>
      <c r="V874" s="97"/>
      <c r="W874" s="97"/>
      <c r="X874" s="97"/>
      <c r="Y874" s="97"/>
      <c r="Z874" s="97"/>
      <c r="AA874" s="97"/>
      <c r="AB874" s="97"/>
      <c r="AC874" s="97"/>
      <c r="AD874" s="97"/>
      <c r="AE874" s="97"/>
    </row>
    <row r="875" ht="14.25" customHeight="1">
      <c r="A875" s="59"/>
      <c r="B875" s="97"/>
      <c r="C875" s="97"/>
      <c r="D875" s="97"/>
      <c r="E875" s="97"/>
      <c r="F875" s="97"/>
      <c r="G875" s="97"/>
      <c r="H875" s="99"/>
      <c r="I875" s="123"/>
      <c r="J875" s="123"/>
      <c r="K875" s="97"/>
      <c r="L875" s="97"/>
      <c r="M875" s="66"/>
      <c r="N875" s="97"/>
      <c r="O875" s="97"/>
      <c r="P875" s="97"/>
      <c r="Q875" s="97"/>
      <c r="R875" s="97"/>
      <c r="S875" s="97"/>
      <c r="T875" s="97"/>
      <c r="U875" s="97"/>
      <c r="V875" s="97"/>
      <c r="W875" s="97"/>
      <c r="X875" s="97"/>
      <c r="Y875" s="97"/>
      <c r="Z875" s="97"/>
      <c r="AA875" s="97"/>
      <c r="AB875" s="97"/>
      <c r="AC875" s="97"/>
      <c r="AD875" s="97"/>
      <c r="AE875" s="97"/>
    </row>
    <row r="876" ht="14.25" customHeight="1">
      <c r="A876" s="59"/>
      <c r="B876" s="97"/>
      <c r="C876" s="97"/>
      <c r="D876" s="97"/>
      <c r="E876" s="97"/>
      <c r="F876" s="97"/>
      <c r="G876" s="97"/>
      <c r="H876" s="99"/>
      <c r="I876" s="123"/>
      <c r="J876" s="123"/>
      <c r="K876" s="97"/>
      <c r="L876" s="97"/>
      <c r="M876" s="66"/>
      <c r="N876" s="97"/>
      <c r="O876" s="97"/>
      <c r="P876" s="97"/>
      <c r="Q876" s="97"/>
      <c r="R876" s="97"/>
      <c r="S876" s="97"/>
      <c r="T876" s="97"/>
      <c r="U876" s="97"/>
      <c r="V876" s="97"/>
      <c r="W876" s="97"/>
      <c r="X876" s="97"/>
      <c r="Y876" s="97"/>
      <c r="Z876" s="97"/>
      <c r="AA876" s="97"/>
      <c r="AB876" s="97"/>
      <c r="AC876" s="97"/>
      <c r="AD876" s="97"/>
      <c r="AE876" s="97"/>
    </row>
    <row r="877" ht="14.25" customHeight="1">
      <c r="A877" s="59"/>
      <c r="B877" s="97"/>
      <c r="C877" s="97"/>
      <c r="D877" s="97"/>
      <c r="E877" s="97"/>
      <c r="F877" s="97"/>
      <c r="G877" s="97"/>
      <c r="H877" s="99"/>
      <c r="I877" s="123"/>
      <c r="J877" s="123"/>
      <c r="K877" s="97"/>
      <c r="L877" s="97"/>
      <c r="M877" s="66"/>
      <c r="N877" s="97"/>
      <c r="O877" s="97"/>
      <c r="P877" s="97"/>
      <c r="Q877" s="97"/>
      <c r="R877" s="97"/>
      <c r="S877" s="97"/>
      <c r="T877" s="97"/>
      <c r="U877" s="97"/>
      <c r="V877" s="97"/>
      <c r="W877" s="97"/>
      <c r="X877" s="97"/>
      <c r="Y877" s="97"/>
      <c r="Z877" s="97"/>
      <c r="AA877" s="97"/>
      <c r="AB877" s="97"/>
      <c r="AC877" s="97"/>
      <c r="AD877" s="97"/>
      <c r="AE877" s="97"/>
    </row>
    <row r="878" ht="14.25" customHeight="1">
      <c r="A878" s="59"/>
      <c r="B878" s="97"/>
      <c r="C878" s="97"/>
      <c r="D878" s="97"/>
      <c r="E878" s="97"/>
      <c r="F878" s="97"/>
      <c r="G878" s="97"/>
      <c r="H878" s="99"/>
      <c r="I878" s="123"/>
      <c r="J878" s="123"/>
      <c r="K878" s="97"/>
      <c r="L878" s="97"/>
      <c r="M878" s="66"/>
      <c r="N878" s="97"/>
      <c r="O878" s="97"/>
      <c r="P878" s="97"/>
      <c r="Q878" s="97"/>
      <c r="R878" s="97"/>
      <c r="S878" s="97"/>
      <c r="T878" s="97"/>
      <c r="U878" s="97"/>
      <c r="V878" s="97"/>
      <c r="W878" s="97"/>
      <c r="X878" s="97"/>
      <c r="Y878" s="97"/>
      <c r="Z878" s="97"/>
      <c r="AA878" s="97"/>
      <c r="AB878" s="97"/>
      <c r="AC878" s="97"/>
      <c r="AD878" s="97"/>
      <c r="AE878" s="97"/>
    </row>
    <row r="879" ht="14.25" customHeight="1">
      <c r="A879" s="59"/>
      <c r="B879" s="97"/>
      <c r="C879" s="97"/>
      <c r="D879" s="97"/>
      <c r="E879" s="97"/>
      <c r="F879" s="97"/>
      <c r="G879" s="97"/>
      <c r="H879" s="99"/>
      <c r="I879" s="123"/>
      <c r="J879" s="123"/>
      <c r="K879" s="97"/>
      <c r="L879" s="97"/>
      <c r="M879" s="66"/>
      <c r="N879" s="97"/>
      <c r="O879" s="97"/>
      <c r="P879" s="97"/>
      <c r="Q879" s="97"/>
      <c r="R879" s="97"/>
      <c r="S879" s="97"/>
      <c r="T879" s="97"/>
      <c r="U879" s="97"/>
      <c r="V879" s="97"/>
      <c r="W879" s="97"/>
      <c r="X879" s="97"/>
      <c r="Y879" s="97"/>
      <c r="Z879" s="97"/>
      <c r="AA879" s="97"/>
      <c r="AB879" s="97"/>
      <c r="AC879" s="97"/>
      <c r="AD879" s="97"/>
      <c r="AE879" s="97"/>
    </row>
    <row r="880" ht="14.25" customHeight="1">
      <c r="A880" s="59"/>
      <c r="B880" s="97"/>
      <c r="C880" s="97"/>
      <c r="D880" s="97"/>
      <c r="E880" s="97"/>
      <c r="F880" s="97"/>
      <c r="G880" s="97"/>
      <c r="H880" s="99"/>
      <c r="I880" s="123"/>
      <c r="J880" s="123"/>
      <c r="K880" s="97"/>
      <c r="L880" s="97"/>
      <c r="M880" s="66"/>
      <c r="N880" s="97"/>
      <c r="O880" s="97"/>
      <c r="P880" s="97"/>
      <c r="Q880" s="97"/>
      <c r="R880" s="97"/>
      <c r="S880" s="97"/>
      <c r="T880" s="97"/>
      <c r="U880" s="97"/>
      <c r="V880" s="97"/>
      <c r="W880" s="97"/>
      <c r="X880" s="97"/>
      <c r="Y880" s="97"/>
      <c r="Z880" s="97"/>
      <c r="AA880" s="97"/>
      <c r="AB880" s="97"/>
      <c r="AC880" s="97"/>
      <c r="AD880" s="97"/>
      <c r="AE880" s="97"/>
    </row>
    <row r="881" ht="14.25" customHeight="1">
      <c r="A881" s="59"/>
      <c r="B881" s="97"/>
      <c r="C881" s="97"/>
      <c r="D881" s="97"/>
      <c r="E881" s="97"/>
      <c r="F881" s="97"/>
      <c r="G881" s="97"/>
      <c r="H881" s="99"/>
      <c r="I881" s="123"/>
      <c r="J881" s="123"/>
      <c r="K881" s="97"/>
      <c r="L881" s="97"/>
      <c r="M881" s="66"/>
      <c r="N881" s="97"/>
      <c r="O881" s="97"/>
      <c r="P881" s="97"/>
      <c r="Q881" s="97"/>
      <c r="R881" s="97"/>
      <c r="S881" s="97"/>
      <c r="T881" s="97"/>
      <c r="U881" s="97"/>
      <c r="V881" s="97"/>
      <c r="W881" s="97"/>
      <c r="X881" s="97"/>
      <c r="Y881" s="97"/>
      <c r="Z881" s="97"/>
      <c r="AA881" s="97"/>
      <c r="AB881" s="97"/>
      <c r="AC881" s="97"/>
      <c r="AD881" s="97"/>
      <c r="AE881" s="97"/>
    </row>
    <row r="882" ht="14.25" customHeight="1">
      <c r="A882" s="59"/>
      <c r="B882" s="97"/>
      <c r="C882" s="97"/>
      <c r="D882" s="97"/>
      <c r="E882" s="97"/>
      <c r="F882" s="97"/>
      <c r="G882" s="97"/>
      <c r="H882" s="99"/>
      <c r="I882" s="123"/>
      <c r="J882" s="123"/>
      <c r="K882" s="97"/>
      <c r="L882" s="97"/>
      <c r="M882" s="66"/>
      <c r="N882" s="97"/>
      <c r="O882" s="97"/>
      <c r="P882" s="97"/>
      <c r="Q882" s="97"/>
      <c r="R882" s="97"/>
      <c r="S882" s="97"/>
      <c r="T882" s="97"/>
      <c r="U882" s="97"/>
      <c r="V882" s="97"/>
      <c r="W882" s="97"/>
      <c r="X882" s="97"/>
      <c r="Y882" s="97"/>
      <c r="Z882" s="97"/>
      <c r="AA882" s="97"/>
      <c r="AB882" s="97"/>
      <c r="AC882" s="97"/>
      <c r="AD882" s="97"/>
      <c r="AE882" s="97"/>
    </row>
    <row r="883" ht="14.25" customHeight="1">
      <c r="A883" s="59"/>
      <c r="B883" s="97"/>
      <c r="C883" s="97"/>
      <c r="D883" s="97"/>
      <c r="E883" s="97"/>
      <c r="F883" s="97"/>
      <c r="G883" s="97"/>
      <c r="H883" s="99"/>
      <c r="I883" s="123"/>
      <c r="J883" s="123"/>
      <c r="K883" s="97"/>
      <c r="L883" s="97"/>
      <c r="M883" s="66"/>
      <c r="N883" s="97"/>
      <c r="O883" s="97"/>
      <c r="P883" s="97"/>
      <c r="Q883" s="97"/>
      <c r="R883" s="97"/>
      <c r="S883" s="97"/>
      <c r="T883" s="97"/>
      <c r="U883" s="97"/>
      <c r="V883" s="97"/>
      <c r="W883" s="97"/>
      <c r="X883" s="97"/>
      <c r="Y883" s="97"/>
      <c r="Z883" s="97"/>
      <c r="AA883" s="97"/>
      <c r="AB883" s="97"/>
      <c r="AC883" s="97"/>
      <c r="AD883" s="97"/>
      <c r="AE883" s="97"/>
    </row>
    <row r="884" ht="14.25" customHeight="1">
      <c r="A884" s="59"/>
      <c r="B884" s="97"/>
      <c r="C884" s="97"/>
      <c r="D884" s="97"/>
      <c r="E884" s="97"/>
      <c r="F884" s="97"/>
      <c r="G884" s="97"/>
      <c r="H884" s="99"/>
      <c r="I884" s="123"/>
      <c r="J884" s="123"/>
      <c r="K884" s="97"/>
      <c r="L884" s="97"/>
      <c r="M884" s="66"/>
      <c r="N884" s="97"/>
      <c r="O884" s="97"/>
      <c r="P884" s="97"/>
      <c r="Q884" s="97"/>
      <c r="R884" s="97"/>
      <c r="S884" s="97"/>
      <c r="T884" s="97"/>
      <c r="U884" s="97"/>
      <c r="V884" s="97"/>
      <c r="W884" s="97"/>
      <c r="X884" s="97"/>
      <c r="Y884" s="97"/>
      <c r="Z884" s="97"/>
      <c r="AA884" s="97"/>
      <c r="AB884" s="97"/>
      <c r="AC884" s="97"/>
      <c r="AD884" s="97"/>
      <c r="AE884" s="97"/>
    </row>
    <row r="885" ht="14.25" customHeight="1">
      <c r="A885" s="59"/>
      <c r="B885" s="97"/>
      <c r="C885" s="97"/>
      <c r="D885" s="97"/>
      <c r="E885" s="97"/>
      <c r="F885" s="97"/>
      <c r="G885" s="97"/>
      <c r="H885" s="99"/>
      <c r="I885" s="123"/>
      <c r="J885" s="123"/>
      <c r="K885" s="97"/>
      <c r="L885" s="97"/>
      <c r="M885" s="66"/>
      <c r="N885" s="97"/>
      <c r="O885" s="97"/>
      <c r="P885" s="97"/>
      <c r="Q885" s="97"/>
      <c r="R885" s="97"/>
      <c r="S885" s="97"/>
      <c r="T885" s="97"/>
      <c r="U885" s="97"/>
      <c r="V885" s="97"/>
      <c r="W885" s="97"/>
      <c r="X885" s="97"/>
      <c r="Y885" s="97"/>
      <c r="Z885" s="97"/>
      <c r="AA885" s="97"/>
      <c r="AB885" s="97"/>
      <c r="AC885" s="97"/>
      <c r="AD885" s="97"/>
      <c r="AE885" s="97"/>
    </row>
    <row r="886" ht="14.25" customHeight="1">
      <c r="A886" s="59"/>
      <c r="B886" s="97"/>
      <c r="C886" s="97"/>
      <c r="D886" s="97"/>
      <c r="E886" s="97"/>
      <c r="F886" s="97"/>
      <c r="G886" s="97"/>
      <c r="H886" s="99"/>
      <c r="I886" s="123"/>
      <c r="J886" s="123"/>
      <c r="K886" s="97"/>
      <c r="L886" s="97"/>
      <c r="M886" s="66"/>
      <c r="N886" s="97"/>
      <c r="O886" s="97"/>
      <c r="P886" s="97"/>
      <c r="Q886" s="97"/>
      <c r="R886" s="97"/>
      <c r="S886" s="97"/>
      <c r="T886" s="97"/>
      <c r="U886" s="97"/>
      <c r="V886" s="97"/>
      <c r="W886" s="97"/>
      <c r="X886" s="97"/>
      <c r="Y886" s="97"/>
      <c r="Z886" s="97"/>
      <c r="AA886" s="97"/>
      <c r="AB886" s="97"/>
      <c r="AC886" s="97"/>
      <c r="AD886" s="97"/>
      <c r="AE886" s="97"/>
    </row>
    <row r="887" ht="14.25" customHeight="1">
      <c r="A887" s="59"/>
      <c r="B887" s="97"/>
      <c r="C887" s="97"/>
      <c r="D887" s="97"/>
      <c r="E887" s="97"/>
      <c r="F887" s="97"/>
      <c r="G887" s="97"/>
      <c r="H887" s="99"/>
      <c r="I887" s="123"/>
      <c r="J887" s="123"/>
      <c r="K887" s="97"/>
      <c r="L887" s="97"/>
      <c r="M887" s="66"/>
      <c r="N887" s="97"/>
      <c r="O887" s="97"/>
      <c r="P887" s="97"/>
      <c r="Q887" s="97"/>
      <c r="R887" s="97"/>
      <c r="S887" s="97"/>
      <c r="T887" s="97"/>
      <c r="U887" s="97"/>
      <c r="V887" s="97"/>
      <c r="W887" s="97"/>
      <c r="X887" s="97"/>
      <c r="Y887" s="97"/>
      <c r="Z887" s="97"/>
      <c r="AA887" s="97"/>
      <c r="AB887" s="97"/>
      <c r="AC887" s="97"/>
      <c r="AD887" s="97"/>
      <c r="AE887" s="97"/>
    </row>
    <row r="888" ht="14.25" customHeight="1">
      <c r="A888" s="59"/>
      <c r="B888" s="97"/>
      <c r="C888" s="97"/>
      <c r="D888" s="97"/>
      <c r="E888" s="97"/>
      <c r="F888" s="97"/>
      <c r="G888" s="97"/>
      <c r="H888" s="99"/>
      <c r="I888" s="123"/>
      <c r="J888" s="123"/>
      <c r="K888" s="97"/>
      <c r="L888" s="97"/>
      <c r="M888" s="66"/>
      <c r="N888" s="97"/>
      <c r="O888" s="97"/>
      <c r="P888" s="97"/>
      <c r="Q888" s="97"/>
      <c r="R888" s="97"/>
      <c r="S888" s="97"/>
      <c r="T888" s="97"/>
      <c r="U888" s="97"/>
      <c r="V888" s="97"/>
      <c r="W888" s="97"/>
      <c r="X888" s="97"/>
      <c r="Y888" s="97"/>
      <c r="Z888" s="97"/>
      <c r="AA888" s="97"/>
      <c r="AB888" s="97"/>
      <c r="AC888" s="97"/>
      <c r="AD888" s="97"/>
      <c r="AE888" s="97"/>
    </row>
    <row r="889" ht="14.25" customHeight="1">
      <c r="A889" s="59"/>
      <c r="B889" s="97"/>
      <c r="C889" s="97"/>
      <c r="D889" s="97"/>
      <c r="E889" s="97"/>
      <c r="F889" s="97"/>
      <c r="G889" s="97"/>
      <c r="H889" s="99"/>
      <c r="I889" s="123"/>
      <c r="J889" s="123"/>
      <c r="K889" s="97"/>
      <c r="L889" s="97"/>
      <c r="M889" s="66"/>
      <c r="N889" s="97"/>
      <c r="O889" s="97"/>
      <c r="P889" s="97"/>
      <c r="Q889" s="97"/>
      <c r="R889" s="97"/>
      <c r="S889" s="97"/>
      <c r="T889" s="97"/>
      <c r="U889" s="97"/>
      <c r="V889" s="97"/>
      <c r="W889" s="97"/>
      <c r="X889" s="97"/>
      <c r="Y889" s="97"/>
      <c r="Z889" s="97"/>
      <c r="AA889" s="97"/>
      <c r="AB889" s="97"/>
      <c r="AC889" s="97"/>
      <c r="AD889" s="97"/>
      <c r="AE889" s="97"/>
    </row>
    <row r="890" ht="14.25" customHeight="1">
      <c r="A890" s="59"/>
      <c r="B890" s="97"/>
      <c r="C890" s="97"/>
      <c r="D890" s="97"/>
      <c r="E890" s="97"/>
      <c r="F890" s="97"/>
      <c r="G890" s="97"/>
      <c r="H890" s="99"/>
      <c r="I890" s="123"/>
      <c r="J890" s="123"/>
      <c r="K890" s="97"/>
      <c r="L890" s="97"/>
      <c r="M890" s="66"/>
      <c r="N890" s="97"/>
      <c r="O890" s="97"/>
      <c r="P890" s="97"/>
      <c r="Q890" s="97"/>
      <c r="R890" s="97"/>
      <c r="S890" s="97"/>
      <c r="T890" s="97"/>
      <c r="U890" s="97"/>
      <c r="V890" s="97"/>
      <c r="W890" s="97"/>
      <c r="X890" s="97"/>
      <c r="Y890" s="97"/>
      <c r="Z890" s="97"/>
      <c r="AA890" s="97"/>
      <c r="AB890" s="97"/>
      <c r="AC890" s="97"/>
      <c r="AD890" s="97"/>
      <c r="AE890" s="97"/>
    </row>
    <row r="891" ht="14.25" customHeight="1">
      <c r="A891" s="59"/>
      <c r="B891" s="97"/>
      <c r="C891" s="97"/>
      <c r="D891" s="97"/>
      <c r="E891" s="97"/>
      <c r="F891" s="97"/>
      <c r="G891" s="97"/>
      <c r="H891" s="99"/>
      <c r="I891" s="123"/>
      <c r="J891" s="123"/>
      <c r="K891" s="97"/>
      <c r="L891" s="97"/>
      <c r="M891" s="66"/>
      <c r="N891" s="97"/>
      <c r="O891" s="97"/>
      <c r="P891" s="97"/>
      <c r="Q891" s="97"/>
      <c r="R891" s="97"/>
      <c r="S891" s="97"/>
      <c r="T891" s="97"/>
      <c r="U891" s="97"/>
      <c r="V891" s="97"/>
      <c r="W891" s="97"/>
      <c r="X891" s="97"/>
      <c r="Y891" s="97"/>
      <c r="Z891" s="97"/>
      <c r="AA891" s="97"/>
      <c r="AB891" s="97"/>
      <c r="AC891" s="97"/>
      <c r="AD891" s="97"/>
      <c r="AE891" s="97"/>
    </row>
    <row r="892" ht="14.25" customHeight="1">
      <c r="A892" s="59"/>
      <c r="B892" s="97"/>
      <c r="C892" s="97"/>
      <c r="D892" s="97"/>
      <c r="E892" s="97"/>
      <c r="F892" s="97"/>
      <c r="G892" s="97"/>
      <c r="H892" s="99"/>
      <c r="I892" s="123"/>
      <c r="J892" s="123"/>
      <c r="K892" s="97"/>
      <c r="L892" s="97"/>
      <c r="M892" s="66"/>
      <c r="N892" s="97"/>
      <c r="O892" s="97"/>
      <c r="P892" s="97"/>
      <c r="Q892" s="97"/>
      <c r="R892" s="97"/>
      <c r="S892" s="97"/>
      <c r="T892" s="97"/>
      <c r="U892" s="97"/>
      <c r="V892" s="97"/>
      <c r="W892" s="97"/>
      <c r="X892" s="97"/>
      <c r="Y892" s="97"/>
      <c r="Z892" s="97"/>
      <c r="AA892" s="97"/>
      <c r="AB892" s="97"/>
      <c r="AC892" s="97"/>
      <c r="AD892" s="97"/>
      <c r="AE892" s="97"/>
    </row>
    <row r="893" ht="14.25" customHeight="1">
      <c r="A893" s="59"/>
      <c r="B893" s="97"/>
      <c r="C893" s="97"/>
      <c r="D893" s="97"/>
      <c r="E893" s="97"/>
      <c r="F893" s="97"/>
      <c r="G893" s="97"/>
      <c r="H893" s="99"/>
      <c r="I893" s="123"/>
      <c r="J893" s="123"/>
      <c r="K893" s="97"/>
      <c r="L893" s="97"/>
      <c r="M893" s="66"/>
      <c r="N893" s="97"/>
      <c r="O893" s="97"/>
      <c r="P893" s="97"/>
      <c r="Q893" s="97"/>
      <c r="R893" s="97"/>
      <c r="S893" s="97"/>
      <c r="T893" s="97"/>
      <c r="U893" s="97"/>
      <c r="V893" s="97"/>
      <c r="W893" s="97"/>
      <c r="X893" s="97"/>
      <c r="Y893" s="97"/>
      <c r="Z893" s="97"/>
      <c r="AA893" s="97"/>
      <c r="AB893" s="97"/>
      <c r="AC893" s="97"/>
      <c r="AD893" s="97"/>
      <c r="AE893" s="97"/>
    </row>
    <row r="894" ht="14.25" customHeight="1">
      <c r="A894" s="59"/>
      <c r="B894" s="97"/>
      <c r="C894" s="97"/>
      <c r="D894" s="97"/>
      <c r="E894" s="97"/>
      <c r="F894" s="97"/>
      <c r="G894" s="97"/>
      <c r="H894" s="99"/>
      <c r="I894" s="123"/>
      <c r="J894" s="123"/>
      <c r="K894" s="97"/>
      <c r="L894" s="97"/>
      <c r="M894" s="66"/>
      <c r="N894" s="97"/>
      <c r="O894" s="97"/>
      <c r="P894" s="97"/>
      <c r="Q894" s="97"/>
      <c r="R894" s="97"/>
      <c r="S894" s="97"/>
      <c r="T894" s="97"/>
      <c r="U894" s="97"/>
      <c r="V894" s="97"/>
      <c r="W894" s="97"/>
      <c r="X894" s="97"/>
      <c r="Y894" s="97"/>
      <c r="Z894" s="97"/>
      <c r="AA894" s="97"/>
      <c r="AB894" s="97"/>
      <c r="AC894" s="97"/>
      <c r="AD894" s="97"/>
      <c r="AE894" s="97"/>
    </row>
    <row r="895" ht="14.25" customHeight="1">
      <c r="A895" s="59"/>
      <c r="B895" s="97"/>
      <c r="C895" s="97"/>
      <c r="D895" s="97"/>
      <c r="E895" s="97"/>
      <c r="F895" s="97"/>
      <c r="G895" s="97"/>
      <c r="H895" s="99"/>
      <c r="I895" s="123"/>
      <c r="J895" s="123"/>
      <c r="K895" s="97"/>
      <c r="L895" s="97"/>
      <c r="M895" s="66"/>
      <c r="N895" s="97"/>
      <c r="O895" s="97"/>
      <c r="P895" s="97"/>
      <c r="Q895" s="97"/>
      <c r="R895" s="97"/>
      <c r="S895" s="97"/>
      <c r="T895" s="97"/>
      <c r="U895" s="97"/>
      <c r="V895" s="97"/>
      <c r="W895" s="97"/>
      <c r="X895" s="97"/>
      <c r="Y895" s="97"/>
      <c r="Z895" s="97"/>
      <c r="AA895" s="97"/>
      <c r="AB895" s="97"/>
      <c r="AC895" s="97"/>
      <c r="AD895" s="97"/>
      <c r="AE895" s="97"/>
    </row>
    <row r="896" ht="14.25" customHeight="1">
      <c r="A896" s="59"/>
      <c r="B896" s="97"/>
      <c r="C896" s="97"/>
      <c r="D896" s="97"/>
      <c r="E896" s="97"/>
      <c r="F896" s="97"/>
      <c r="G896" s="97"/>
      <c r="H896" s="99"/>
      <c r="I896" s="123"/>
      <c r="J896" s="123"/>
      <c r="K896" s="97"/>
      <c r="L896" s="97"/>
      <c r="M896" s="66"/>
      <c r="N896" s="97"/>
      <c r="O896" s="97"/>
      <c r="P896" s="97"/>
      <c r="Q896" s="97"/>
      <c r="R896" s="97"/>
      <c r="S896" s="97"/>
      <c r="T896" s="97"/>
      <c r="U896" s="97"/>
      <c r="V896" s="97"/>
      <c r="W896" s="97"/>
      <c r="X896" s="97"/>
      <c r="Y896" s="97"/>
      <c r="Z896" s="97"/>
      <c r="AA896" s="97"/>
      <c r="AB896" s="97"/>
      <c r="AC896" s="97"/>
      <c r="AD896" s="97"/>
      <c r="AE896" s="97"/>
    </row>
    <row r="897" ht="14.25" customHeight="1">
      <c r="A897" s="59"/>
      <c r="B897" s="97"/>
      <c r="C897" s="97"/>
      <c r="D897" s="97"/>
      <c r="E897" s="97"/>
      <c r="F897" s="97"/>
      <c r="G897" s="97"/>
      <c r="H897" s="99"/>
      <c r="I897" s="123"/>
      <c r="J897" s="123"/>
      <c r="K897" s="97"/>
      <c r="L897" s="97"/>
      <c r="M897" s="66"/>
      <c r="N897" s="97"/>
      <c r="O897" s="97"/>
      <c r="P897" s="97"/>
      <c r="Q897" s="97"/>
      <c r="R897" s="97"/>
      <c r="S897" s="97"/>
      <c r="T897" s="97"/>
      <c r="U897" s="97"/>
      <c r="V897" s="97"/>
      <c r="W897" s="97"/>
      <c r="X897" s="97"/>
      <c r="Y897" s="97"/>
      <c r="Z897" s="97"/>
      <c r="AA897" s="97"/>
      <c r="AB897" s="97"/>
      <c r="AC897" s="97"/>
      <c r="AD897" s="97"/>
      <c r="AE897" s="97"/>
    </row>
    <row r="898" ht="14.25" customHeight="1">
      <c r="A898" s="59"/>
      <c r="B898" s="97"/>
      <c r="C898" s="97"/>
      <c r="D898" s="97"/>
      <c r="E898" s="97"/>
      <c r="F898" s="97"/>
      <c r="G898" s="97"/>
      <c r="H898" s="99"/>
      <c r="I898" s="123"/>
      <c r="J898" s="123"/>
      <c r="K898" s="97"/>
      <c r="L898" s="97"/>
      <c r="M898" s="66"/>
      <c r="N898" s="97"/>
      <c r="O898" s="97"/>
      <c r="P898" s="97"/>
      <c r="Q898" s="97"/>
      <c r="R898" s="97"/>
      <c r="S898" s="97"/>
      <c r="T898" s="97"/>
      <c r="U898" s="97"/>
      <c r="V898" s="97"/>
      <c r="W898" s="97"/>
      <c r="X898" s="97"/>
      <c r="Y898" s="97"/>
      <c r="Z898" s="97"/>
      <c r="AA898" s="97"/>
      <c r="AB898" s="97"/>
      <c r="AC898" s="97"/>
      <c r="AD898" s="97"/>
      <c r="AE898" s="97"/>
    </row>
    <row r="899" ht="14.25" customHeight="1">
      <c r="A899" s="59"/>
      <c r="B899" s="97"/>
      <c r="C899" s="97"/>
      <c r="D899" s="97"/>
      <c r="E899" s="97"/>
      <c r="F899" s="97"/>
      <c r="G899" s="97"/>
      <c r="H899" s="99"/>
      <c r="I899" s="123"/>
      <c r="J899" s="123"/>
      <c r="K899" s="97"/>
      <c r="L899" s="97"/>
      <c r="M899" s="66"/>
      <c r="N899" s="97"/>
      <c r="O899" s="97"/>
      <c r="P899" s="97"/>
      <c r="Q899" s="97"/>
      <c r="R899" s="97"/>
      <c r="S899" s="97"/>
      <c r="T899" s="97"/>
      <c r="U899" s="97"/>
      <c r="V899" s="97"/>
      <c r="W899" s="97"/>
      <c r="X899" s="97"/>
      <c r="Y899" s="97"/>
      <c r="Z899" s="97"/>
      <c r="AA899" s="97"/>
      <c r="AB899" s="97"/>
      <c r="AC899" s="97"/>
      <c r="AD899" s="97"/>
      <c r="AE899" s="97"/>
    </row>
    <row r="900" ht="14.25" customHeight="1">
      <c r="A900" s="59"/>
      <c r="B900" s="97"/>
      <c r="C900" s="97"/>
      <c r="D900" s="97"/>
      <c r="E900" s="97"/>
      <c r="F900" s="97"/>
      <c r="G900" s="97"/>
      <c r="H900" s="99"/>
      <c r="I900" s="123"/>
      <c r="J900" s="123"/>
      <c r="K900" s="97"/>
      <c r="L900" s="97"/>
      <c r="M900" s="66"/>
      <c r="N900" s="97"/>
      <c r="O900" s="97"/>
      <c r="P900" s="97"/>
      <c r="Q900" s="97"/>
      <c r="R900" s="97"/>
      <c r="S900" s="97"/>
      <c r="T900" s="97"/>
      <c r="U900" s="97"/>
      <c r="V900" s="97"/>
      <c r="W900" s="97"/>
      <c r="X900" s="97"/>
      <c r="Y900" s="97"/>
      <c r="Z900" s="97"/>
      <c r="AA900" s="97"/>
      <c r="AB900" s="97"/>
      <c r="AC900" s="97"/>
      <c r="AD900" s="97"/>
      <c r="AE900" s="97"/>
    </row>
    <row r="901" ht="14.25" customHeight="1">
      <c r="A901" s="59"/>
      <c r="B901" s="97"/>
      <c r="C901" s="97"/>
      <c r="D901" s="97"/>
      <c r="E901" s="97"/>
      <c r="F901" s="97"/>
      <c r="G901" s="97"/>
      <c r="H901" s="99"/>
      <c r="I901" s="123"/>
      <c r="J901" s="123"/>
      <c r="K901" s="97"/>
      <c r="L901" s="97"/>
      <c r="M901" s="66"/>
      <c r="N901" s="97"/>
      <c r="O901" s="97"/>
      <c r="P901" s="97"/>
      <c r="Q901" s="97"/>
      <c r="R901" s="97"/>
      <c r="S901" s="97"/>
      <c r="T901" s="97"/>
      <c r="U901" s="97"/>
      <c r="V901" s="97"/>
      <c r="W901" s="97"/>
      <c r="X901" s="97"/>
      <c r="Y901" s="97"/>
      <c r="Z901" s="97"/>
      <c r="AA901" s="97"/>
      <c r="AB901" s="97"/>
      <c r="AC901" s="97"/>
      <c r="AD901" s="97"/>
      <c r="AE901" s="97"/>
    </row>
    <row r="902" ht="14.25" customHeight="1">
      <c r="A902" s="59"/>
      <c r="B902" s="97"/>
      <c r="C902" s="97"/>
      <c r="D902" s="97"/>
      <c r="E902" s="97"/>
      <c r="F902" s="97"/>
      <c r="G902" s="97"/>
      <c r="H902" s="99"/>
      <c r="I902" s="123"/>
      <c r="J902" s="123"/>
      <c r="K902" s="97"/>
      <c r="L902" s="97"/>
      <c r="M902" s="66"/>
      <c r="N902" s="97"/>
      <c r="O902" s="97"/>
      <c r="P902" s="97"/>
      <c r="Q902" s="97"/>
      <c r="R902" s="97"/>
      <c r="S902" s="97"/>
      <c r="T902" s="97"/>
      <c r="U902" s="97"/>
      <c r="V902" s="97"/>
      <c r="W902" s="97"/>
      <c r="X902" s="97"/>
      <c r="Y902" s="97"/>
      <c r="Z902" s="97"/>
      <c r="AA902" s="97"/>
      <c r="AB902" s="97"/>
      <c r="AC902" s="97"/>
      <c r="AD902" s="97"/>
      <c r="AE902" s="97"/>
    </row>
    <row r="903" ht="14.25" customHeight="1">
      <c r="A903" s="59"/>
      <c r="B903" s="97"/>
      <c r="C903" s="97"/>
      <c r="D903" s="97"/>
      <c r="E903" s="97"/>
      <c r="F903" s="97"/>
      <c r="G903" s="97"/>
      <c r="H903" s="99"/>
      <c r="I903" s="123"/>
      <c r="J903" s="123"/>
      <c r="K903" s="97"/>
      <c r="L903" s="97"/>
      <c r="M903" s="66"/>
      <c r="N903" s="97"/>
      <c r="O903" s="97"/>
      <c r="P903" s="97"/>
      <c r="Q903" s="97"/>
      <c r="R903" s="97"/>
      <c r="S903" s="97"/>
      <c r="T903" s="97"/>
      <c r="U903" s="97"/>
      <c r="V903" s="97"/>
      <c r="W903" s="97"/>
      <c r="X903" s="97"/>
      <c r="Y903" s="97"/>
      <c r="Z903" s="97"/>
      <c r="AA903" s="97"/>
      <c r="AB903" s="97"/>
      <c r="AC903" s="97"/>
      <c r="AD903" s="97"/>
      <c r="AE903" s="97"/>
    </row>
    <row r="904" ht="14.25" customHeight="1">
      <c r="A904" s="59"/>
      <c r="B904" s="97"/>
      <c r="C904" s="97"/>
      <c r="D904" s="97"/>
      <c r="E904" s="97"/>
      <c r="F904" s="97"/>
      <c r="G904" s="97"/>
      <c r="H904" s="99"/>
      <c r="I904" s="123"/>
      <c r="J904" s="123"/>
      <c r="K904" s="97"/>
      <c r="L904" s="97"/>
      <c r="M904" s="66"/>
      <c r="N904" s="97"/>
      <c r="O904" s="97"/>
      <c r="P904" s="97"/>
      <c r="Q904" s="97"/>
      <c r="R904" s="97"/>
      <c r="S904" s="97"/>
      <c r="T904" s="97"/>
      <c r="U904" s="97"/>
      <c r="V904" s="97"/>
      <c r="W904" s="97"/>
      <c r="X904" s="97"/>
      <c r="Y904" s="97"/>
      <c r="Z904" s="97"/>
      <c r="AA904" s="97"/>
      <c r="AB904" s="97"/>
      <c r="AC904" s="97"/>
      <c r="AD904" s="97"/>
      <c r="AE904" s="97"/>
    </row>
    <row r="905" ht="14.25" customHeight="1">
      <c r="A905" s="59"/>
      <c r="B905" s="97"/>
      <c r="C905" s="97"/>
      <c r="D905" s="97"/>
      <c r="E905" s="97"/>
      <c r="F905" s="97"/>
      <c r="G905" s="97"/>
      <c r="H905" s="99"/>
      <c r="I905" s="123"/>
      <c r="J905" s="123"/>
      <c r="K905" s="97"/>
      <c r="L905" s="97"/>
      <c r="M905" s="66"/>
      <c r="N905" s="97"/>
      <c r="O905" s="97"/>
      <c r="P905" s="97"/>
      <c r="Q905" s="97"/>
      <c r="R905" s="97"/>
      <c r="S905" s="97"/>
      <c r="T905" s="97"/>
      <c r="U905" s="97"/>
      <c r="V905" s="97"/>
      <c r="W905" s="97"/>
      <c r="X905" s="97"/>
      <c r="Y905" s="97"/>
      <c r="Z905" s="97"/>
      <c r="AA905" s="97"/>
      <c r="AB905" s="97"/>
      <c r="AC905" s="97"/>
      <c r="AD905" s="97"/>
      <c r="AE905" s="97"/>
    </row>
    <row r="906" ht="14.25" customHeight="1">
      <c r="A906" s="59"/>
      <c r="B906" s="97"/>
      <c r="C906" s="97"/>
      <c r="D906" s="97"/>
      <c r="E906" s="97"/>
      <c r="F906" s="97"/>
      <c r="G906" s="97"/>
      <c r="H906" s="99"/>
      <c r="I906" s="123"/>
      <c r="J906" s="123"/>
      <c r="K906" s="97"/>
      <c r="L906" s="97"/>
      <c r="M906" s="66"/>
      <c r="N906" s="97"/>
      <c r="O906" s="97"/>
      <c r="P906" s="97"/>
      <c r="Q906" s="97"/>
      <c r="R906" s="97"/>
      <c r="S906" s="97"/>
      <c r="T906" s="97"/>
      <c r="U906" s="97"/>
      <c r="V906" s="97"/>
      <c r="W906" s="97"/>
      <c r="X906" s="97"/>
      <c r="Y906" s="97"/>
      <c r="Z906" s="97"/>
      <c r="AA906" s="97"/>
      <c r="AB906" s="97"/>
      <c r="AC906" s="97"/>
      <c r="AD906" s="97"/>
      <c r="AE906" s="97"/>
    </row>
    <row r="907" ht="14.25" customHeight="1">
      <c r="A907" s="59"/>
      <c r="B907" s="97"/>
      <c r="C907" s="97"/>
      <c r="D907" s="97"/>
      <c r="E907" s="97"/>
      <c r="F907" s="97"/>
      <c r="G907" s="97"/>
      <c r="H907" s="99"/>
      <c r="I907" s="123"/>
      <c r="J907" s="123"/>
      <c r="K907" s="97"/>
      <c r="L907" s="97"/>
      <c r="M907" s="66"/>
      <c r="N907" s="97"/>
      <c r="O907" s="97"/>
      <c r="P907" s="97"/>
      <c r="Q907" s="97"/>
      <c r="R907" s="97"/>
      <c r="S907" s="97"/>
      <c r="T907" s="97"/>
      <c r="U907" s="97"/>
      <c r="V907" s="97"/>
      <c r="W907" s="97"/>
      <c r="X907" s="97"/>
      <c r="Y907" s="97"/>
      <c r="Z907" s="97"/>
      <c r="AA907" s="97"/>
      <c r="AB907" s="97"/>
      <c r="AC907" s="97"/>
      <c r="AD907" s="97"/>
      <c r="AE907" s="97"/>
    </row>
    <row r="908" ht="14.25" customHeight="1">
      <c r="A908" s="59"/>
      <c r="B908" s="97"/>
      <c r="C908" s="97"/>
      <c r="D908" s="97"/>
      <c r="E908" s="97"/>
      <c r="F908" s="97"/>
      <c r="G908" s="97"/>
      <c r="H908" s="99"/>
      <c r="I908" s="123"/>
      <c r="J908" s="123"/>
      <c r="K908" s="97"/>
      <c r="L908" s="97"/>
      <c r="M908" s="66"/>
      <c r="N908" s="97"/>
      <c r="O908" s="97"/>
      <c r="P908" s="97"/>
      <c r="Q908" s="97"/>
      <c r="R908" s="97"/>
      <c r="S908" s="97"/>
      <c r="T908" s="97"/>
      <c r="U908" s="97"/>
      <c r="V908" s="97"/>
      <c r="W908" s="97"/>
      <c r="X908" s="97"/>
      <c r="Y908" s="97"/>
      <c r="Z908" s="97"/>
      <c r="AA908" s="97"/>
      <c r="AB908" s="97"/>
      <c r="AC908" s="97"/>
      <c r="AD908" s="97"/>
      <c r="AE908" s="97"/>
    </row>
    <row r="909" ht="14.25" customHeight="1">
      <c r="A909" s="59"/>
      <c r="B909" s="97"/>
      <c r="C909" s="97"/>
      <c r="D909" s="97"/>
      <c r="E909" s="97"/>
      <c r="F909" s="97"/>
      <c r="G909" s="97"/>
      <c r="H909" s="99"/>
      <c r="I909" s="123"/>
      <c r="J909" s="123"/>
      <c r="K909" s="97"/>
      <c r="L909" s="97"/>
      <c r="M909" s="66"/>
      <c r="N909" s="97"/>
      <c r="O909" s="97"/>
      <c r="P909" s="97"/>
      <c r="Q909" s="97"/>
      <c r="R909" s="97"/>
      <c r="S909" s="97"/>
      <c r="T909" s="97"/>
      <c r="U909" s="97"/>
      <c r="V909" s="97"/>
      <c r="W909" s="97"/>
      <c r="X909" s="97"/>
      <c r="Y909" s="97"/>
      <c r="Z909" s="97"/>
      <c r="AA909" s="97"/>
      <c r="AB909" s="97"/>
      <c r="AC909" s="97"/>
      <c r="AD909" s="97"/>
      <c r="AE909" s="97"/>
    </row>
    <row r="910" ht="14.25" customHeight="1">
      <c r="A910" s="59"/>
      <c r="B910" s="97"/>
      <c r="C910" s="97"/>
      <c r="D910" s="97"/>
      <c r="E910" s="97"/>
      <c r="F910" s="97"/>
      <c r="G910" s="97"/>
      <c r="H910" s="99"/>
      <c r="I910" s="123"/>
      <c r="J910" s="123"/>
      <c r="K910" s="97"/>
      <c r="L910" s="97"/>
      <c r="M910" s="66"/>
      <c r="N910" s="97"/>
      <c r="O910" s="97"/>
      <c r="P910" s="97"/>
      <c r="Q910" s="97"/>
      <c r="R910" s="97"/>
      <c r="S910" s="97"/>
      <c r="T910" s="97"/>
      <c r="U910" s="97"/>
      <c r="V910" s="97"/>
      <c r="W910" s="97"/>
      <c r="X910" s="97"/>
      <c r="Y910" s="97"/>
      <c r="Z910" s="97"/>
      <c r="AA910" s="97"/>
      <c r="AB910" s="97"/>
      <c r="AC910" s="97"/>
      <c r="AD910" s="97"/>
      <c r="AE910" s="97"/>
    </row>
    <row r="911" ht="14.25" customHeight="1">
      <c r="A911" s="59"/>
      <c r="B911" s="97"/>
      <c r="C911" s="97"/>
      <c r="D911" s="97"/>
      <c r="E911" s="97"/>
      <c r="F911" s="97"/>
      <c r="G911" s="97"/>
      <c r="H911" s="99"/>
      <c r="I911" s="123"/>
      <c r="J911" s="123"/>
      <c r="K911" s="97"/>
      <c r="L911" s="97"/>
      <c r="M911" s="66"/>
      <c r="N911" s="97"/>
      <c r="O911" s="97"/>
      <c r="P911" s="97"/>
      <c r="Q911" s="97"/>
      <c r="R911" s="97"/>
      <c r="S911" s="97"/>
      <c r="T911" s="97"/>
      <c r="U911" s="97"/>
      <c r="V911" s="97"/>
      <c r="W911" s="97"/>
      <c r="X911" s="97"/>
      <c r="Y911" s="97"/>
      <c r="Z911" s="97"/>
      <c r="AA911" s="97"/>
      <c r="AB911" s="97"/>
      <c r="AC911" s="97"/>
      <c r="AD911" s="97"/>
      <c r="AE911" s="97"/>
    </row>
    <row r="912" ht="14.25" customHeight="1">
      <c r="A912" s="59"/>
      <c r="B912" s="97"/>
      <c r="C912" s="97"/>
      <c r="D912" s="97"/>
      <c r="E912" s="97"/>
      <c r="F912" s="97"/>
      <c r="G912" s="97"/>
      <c r="H912" s="99"/>
      <c r="I912" s="123"/>
      <c r="J912" s="123"/>
      <c r="K912" s="97"/>
      <c r="L912" s="97"/>
      <c r="M912" s="66"/>
      <c r="N912" s="97"/>
      <c r="O912" s="97"/>
      <c r="P912" s="97"/>
      <c r="Q912" s="97"/>
      <c r="R912" s="97"/>
      <c r="S912" s="97"/>
      <c r="T912" s="97"/>
      <c r="U912" s="97"/>
      <c r="V912" s="97"/>
      <c r="W912" s="97"/>
      <c r="X912" s="97"/>
      <c r="Y912" s="97"/>
      <c r="Z912" s="97"/>
      <c r="AA912" s="97"/>
      <c r="AB912" s="97"/>
      <c r="AC912" s="97"/>
      <c r="AD912" s="97"/>
      <c r="AE912" s="97"/>
    </row>
    <row r="913" ht="14.25" customHeight="1">
      <c r="A913" s="59"/>
      <c r="B913" s="97"/>
      <c r="C913" s="97"/>
      <c r="D913" s="97"/>
      <c r="E913" s="97"/>
      <c r="F913" s="97"/>
      <c r="G913" s="97"/>
      <c r="H913" s="99"/>
      <c r="I913" s="123"/>
      <c r="J913" s="123"/>
      <c r="K913" s="97"/>
      <c r="L913" s="97"/>
      <c r="M913" s="66"/>
      <c r="N913" s="97"/>
      <c r="O913" s="97"/>
      <c r="P913" s="97"/>
      <c r="Q913" s="97"/>
      <c r="R913" s="97"/>
      <c r="S913" s="97"/>
      <c r="T913" s="97"/>
      <c r="U913" s="97"/>
      <c r="V913" s="97"/>
      <c r="W913" s="97"/>
      <c r="X913" s="97"/>
      <c r="Y913" s="97"/>
      <c r="Z913" s="97"/>
      <c r="AA913" s="97"/>
      <c r="AB913" s="97"/>
      <c r="AC913" s="97"/>
      <c r="AD913" s="97"/>
      <c r="AE913" s="97"/>
    </row>
    <row r="914" ht="14.25" customHeight="1">
      <c r="A914" s="59"/>
      <c r="B914" s="97"/>
      <c r="C914" s="97"/>
      <c r="D914" s="97"/>
      <c r="E914" s="97"/>
      <c r="F914" s="97"/>
      <c r="G914" s="97"/>
      <c r="H914" s="99"/>
      <c r="I914" s="123"/>
      <c r="J914" s="123"/>
      <c r="K914" s="97"/>
      <c r="L914" s="97"/>
      <c r="M914" s="66"/>
      <c r="N914" s="97"/>
      <c r="O914" s="97"/>
      <c r="P914" s="97"/>
      <c r="Q914" s="97"/>
      <c r="R914" s="97"/>
      <c r="S914" s="97"/>
      <c r="T914" s="97"/>
      <c r="U914" s="97"/>
      <c r="V914" s="97"/>
      <c r="W914" s="97"/>
      <c r="X914" s="97"/>
      <c r="Y914" s="97"/>
      <c r="Z914" s="97"/>
      <c r="AA914" s="97"/>
      <c r="AB914" s="97"/>
      <c r="AC914" s="97"/>
      <c r="AD914" s="97"/>
      <c r="AE914" s="97"/>
    </row>
    <row r="915" ht="14.25" customHeight="1">
      <c r="A915" s="59"/>
      <c r="B915" s="97"/>
      <c r="C915" s="97"/>
      <c r="D915" s="97"/>
      <c r="E915" s="97"/>
      <c r="F915" s="97"/>
      <c r="G915" s="97"/>
      <c r="H915" s="99"/>
      <c r="I915" s="123"/>
      <c r="J915" s="123"/>
      <c r="K915" s="97"/>
      <c r="L915" s="97"/>
      <c r="M915" s="66"/>
      <c r="N915" s="97"/>
      <c r="O915" s="97"/>
      <c r="P915" s="97"/>
      <c r="Q915" s="97"/>
      <c r="R915" s="97"/>
      <c r="S915" s="97"/>
      <c r="T915" s="97"/>
      <c r="U915" s="97"/>
      <c r="V915" s="97"/>
      <c r="W915" s="97"/>
      <c r="X915" s="97"/>
      <c r="Y915" s="97"/>
      <c r="Z915" s="97"/>
      <c r="AA915" s="97"/>
      <c r="AB915" s="97"/>
      <c r="AC915" s="97"/>
      <c r="AD915" s="97"/>
      <c r="AE915" s="97"/>
    </row>
    <row r="916" ht="14.25" customHeight="1">
      <c r="A916" s="59"/>
      <c r="B916" s="97"/>
      <c r="C916" s="97"/>
      <c r="D916" s="97"/>
      <c r="E916" s="97"/>
      <c r="F916" s="97"/>
      <c r="G916" s="97"/>
      <c r="H916" s="99"/>
      <c r="I916" s="123"/>
      <c r="J916" s="123"/>
      <c r="K916" s="97"/>
      <c r="L916" s="97"/>
      <c r="M916" s="66"/>
      <c r="N916" s="97"/>
      <c r="O916" s="97"/>
      <c r="P916" s="97"/>
      <c r="Q916" s="97"/>
      <c r="R916" s="97"/>
      <c r="S916" s="97"/>
      <c r="T916" s="97"/>
      <c r="U916" s="97"/>
      <c r="V916" s="97"/>
      <c r="W916" s="97"/>
      <c r="X916" s="97"/>
      <c r="Y916" s="97"/>
      <c r="Z916" s="97"/>
      <c r="AA916" s="97"/>
      <c r="AB916" s="97"/>
      <c r="AC916" s="97"/>
      <c r="AD916" s="97"/>
      <c r="AE916" s="97"/>
    </row>
    <row r="917" ht="14.25" customHeight="1">
      <c r="A917" s="59"/>
      <c r="B917" s="97"/>
      <c r="C917" s="97"/>
      <c r="D917" s="97"/>
      <c r="E917" s="97"/>
      <c r="F917" s="97"/>
      <c r="G917" s="97"/>
      <c r="H917" s="99"/>
      <c r="I917" s="123"/>
      <c r="J917" s="123"/>
      <c r="K917" s="97"/>
      <c r="L917" s="97"/>
      <c r="M917" s="66"/>
      <c r="N917" s="97"/>
      <c r="O917" s="97"/>
      <c r="P917" s="97"/>
      <c r="Q917" s="97"/>
      <c r="R917" s="97"/>
      <c r="S917" s="97"/>
      <c r="T917" s="97"/>
      <c r="U917" s="97"/>
      <c r="V917" s="97"/>
      <c r="W917" s="97"/>
      <c r="X917" s="97"/>
      <c r="Y917" s="97"/>
      <c r="Z917" s="97"/>
      <c r="AA917" s="97"/>
      <c r="AB917" s="97"/>
      <c r="AC917" s="97"/>
      <c r="AD917" s="97"/>
      <c r="AE917" s="97"/>
    </row>
    <row r="918" ht="14.25" customHeight="1">
      <c r="A918" s="59"/>
      <c r="B918" s="97"/>
      <c r="C918" s="97"/>
      <c r="D918" s="97"/>
      <c r="E918" s="97"/>
      <c r="F918" s="97"/>
      <c r="G918" s="97"/>
      <c r="H918" s="99"/>
      <c r="I918" s="123"/>
      <c r="J918" s="123"/>
      <c r="K918" s="97"/>
      <c r="L918" s="97"/>
      <c r="M918" s="66"/>
      <c r="N918" s="97"/>
      <c r="O918" s="97"/>
      <c r="P918" s="97"/>
      <c r="Q918" s="97"/>
      <c r="R918" s="97"/>
      <c r="S918" s="97"/>
      <c r="T918" s="97"/>
      <c r="U918" s="97"/>
      <c r="V918" s="97"/>
      <c r="W918" s="97"/>
      <c r="X918" s="97"/>
      <c r="Y918" s="97"/>
      <c r="Z918" s="97"/>
      <c r="AA918" s="97"/>
      <c r="AB918" s="97"/>
      <c r="AC918" s="97"/>
      <c r="AD918" s="97"/>
      <c r="AE918" s="97"/>
    </row>
    <row r="919" ht="14.25" customHeight="1">
      <c r="A919" s="59"/>
      <c r="B919" s="97"/>
      <c r="C919" s="97"/>
      <c r="D919" s="97"/>
      <c r="E919" s="97"/>
      <c r="F919" s="97"/>
      <c r="G919" s="97"/>
      <c r="H919" s="99"/>
      <c r="I919" s="123"/>
      <c r="J919" s="123"/>
      <c r="K919" s="97"/>
      <c r="L919" s="97"/>
      <c r="M919" s="66"/>
      <c r="N919" s="97"/>
      <c r="O919" s="97"/>
      <c r="P919" s="97"/>
      <c r="Q919" s="97"/>
      <c r="R919" s="97"/>
      <c r="S919" s="97"/>
      <c r="T919" s="97"/>
      <c r="U919" s="97"/>
      <c r="V919" s="97"/>
      <c r="W919" s="97"/>
      <c r="X919" s="97"/>
      <c r="Y919" s="97"/>
      <c r="Z919" s="97"/>
      <c r="AA919" s="97"/>
      <c r="AB919" s="97"/>
      <c r="AC919" s="97"/>
      <c r="AD919" s="97"/>
      <c r="AE919" s="97"/>
    </row>
    <row r="920" ht="14.25" customHeight="1">
      <c r="A920" s="59"/>
      <c r="B920" s="97"/>
      <c r="C920" s="97"/>
      <c r="D920" s="97"/>
      <c r="E920" s="97"/>
      <c r="F920" s="97"/>
      <c r="G920" s="97"/>
      <c r="H920" s="99"/>
      <c r="I920" s="123"/>
      <c r="J920" s="123"/>
      <c r="K920" s="97"/>
      <c r="L920" s="97"/>
      <c r="M920" s="66"/>
      <c r="N920" s="97"/>
      <c r="O920" s="97"/>
      <c r="P920" s="97"/>
      <c r="Q920" s="97"/>
      <c r="R920" s="97"/>
      <c r="S920" s="97"/>
      <c r="T920" s="97"/>
      <c r="U920" s="97"/>
      <c r="V920" s="97"/>
      <c r="W920" s="97"/>
      <c r="X920" s="97"/>
      <c r="Y920" s="97"/>
      <c r="Z920" s="97"/>
      <c r="AA920" s="97"/>
      <c r="AB920" s="97"/>
      <c r="AC920" s="97"/>
      <c r="AD920" s="97"/>
      <c r="AE920" s="97"/>
    </row>
    <row r="921" ht="14.25" customHeight="1">
      <c r="A921" s="59"/>
      <c r="B921" s="97"/>
      <c r="C921" s="97"/>
      <c r="D921" s="97"/>
      <c r="E921" s="97"/>
      <c r="F921" s="97"/>
      <c r="G921" s="97"/>
      <c r="H921" s="99"/>
      <c r="I921" s="123"/>
      <c r="J921" s="123"/>
      <c r="K921" s="97"/>
      <c r="L921" s="97"/>
      <c r="M921" s="66"/>
      <c r="N921" s="97"/>
      <c r="O921" s="97"/>
      <c r="P921" s="97"/>
      <c r="Q921" s="97"/>
      <c r="R921" s="97"/>
      <c r="S921" s="97"/>
      <c r="T921" s="97"/>
      <c r="U921" s="97"/>
      <c r="V921" s="97"/>
      <c r="W921" s="97"/>
      <c r="X921" s="97"/>
      <c r="Y921" s="97"/>
      <c r="Z921" s="97"/>
      <c r="AA921" s="97"/>
      <c r="AB921" s="97"/>
      <c r="AC921" s="97"/>
      <c r="AD921" s="97"/>
      <c r="AE921" s="97"/>
    </row>
    <row r="922" ht="14.25" customHeight="1">
      <c r="A922" s="59"/>
      <c r="B922" s="97"/>
      <c r="C922" s="97"/>
      <c r="D922" s="97"/>
      <c r="E922" s="97"/>
      <c r="F922" s="97"/>
      <c r="G922" s="97"/>
      <c r="H922" s="99"/>
      <c r="I922" s="123"/>
      <c r="J922" s="123"/>
      <c r="K922" s="97"/>
      <c r="L922" s="97"/>
      <c r="M922" s="66"/>
      <c r="N922" s="97"/>
      <c r="O922" s="97"/>
      <c r="P922" s="97"/>
      <c r="Q922" s="97"/>
      <c r="R922" s="97"/>
      <c r="S922" s="97"/>
      <c r="T922" s="97"/>
      <c r="U922" s="97"/>
      <c r="V922" s="97"/>
      <c r="W922" s="97"/>
      <c r="X922" s="97"/>
      <c r="Y922" s="97"/>
      <c r="Z922" s="97"/>
      <c r="AA922" s="97"/>
      <c r="AB922" s="97"/>
      <c r="AC922" s="97"/>
      <c r="AD922" s="97"/>
      <c r="AE922" s="97"/>
    </row>
    <row r="923" ht="14.25" customHeight="1">
      <c r="A923" s="59"/>
      <c r="B923" s="97"/>
      <c r="C923" s="97"/>
      <c r="D923" s="97"/>
      <c r="E923" s="97"/>
      <c r="F923" s="97"/>
      <c r="G923" s="97"/>
      <c r="H923" s="99"/>
      <c r="I923" s="123"/>
      <c r="J923" s="123"/>
      <c r="K923" s="97"/>
      <c r="L923" s="97"/>
      <c r="M923" s="66"/>
      <c r="N923" s="97"/>
      <c r="O923" s="97"/>
      <c r="P923" s="97"/>
      <c r="Q923" s="97"/>
      <c r="R923" s="97"/>
      <c r="S923" s="97"/>
      <c r="T923" s="97"/>
      <c r="U923" s="97"/>
      <c r="V923" s="97"/>
      <c r="W923" s="97"/>
      <c r="X923" s="97"/>
      <c r="Y923" s="97"/>
      <c r="Z923" s="97"/>
      <c r="AA923" s="97"/>
      <c r="AB923" s="97"/>
      <c r="AC923" s="97"/>
      <c r="AD923" s="97"/>
      <c r="AE923" s="97"/>
    </row>
    <row r="924" ht="14.25" customHeight="1">
      <c r="A924" s="59"/>
      <c r="B924" s="97"/>
      <c r="C924" s="97"/>
      <c r="D924" s="97"/>
      <c r="E924" s="97"/>
      <c r="F924" s="97"/>
      <c r="G924" s="97"/>
      <c r="H924" s="99"/>
      <c r="I924" s="123"/>
      <c r="J924" s="123"/>
      <c r="K924" s="97"/>
      <c r="L924" s="97"/>
      <c r="M924" s="66"/>
      <c r="N924" s="97"/>
      <c r="O924" s="97"/>
      <c r="P924" s="97"/>
      <c r="Q924" s="97"/>
      <c r="R924" s="97"/>
      <c r="S924" s="97"/>
      <c r="T924" s="97"/>
      <c r="U924" s="97"/>
      <c r="V924" s="97"/>
      <c r="W924" s="97"/>
      <c r="X924" s="97"/>
      <c r="Y924" s="97"/>
      <c r="Z924" s="97"/>
      <c r="AA924" s="97"/>
      <c r="AB924" s="97"/>
      <c r="AC924" s="97"/>
      <c r="AD924" s="97"/>
      <c r="AE924" s="97"/>
    </row>
    <row r="925" ht="14.25" customHeight="1">
      <c r="A925" s="59"/>
      <c r="B925" s="97"/>
      <c r="C925" s="97"/>
      <c r="D925" s="97"/>
      <c r="E925" s="97"/>
      <c r="F925" s="97"/>
      <c r="G925" s="97"/>
      <c r="H925" s="99"/>
      <c r="I925" s="123"/>
      <c r="J925" s="123"/>
      <c r="K925" s="97"/>
      <c r="L925" s="97"/>
      <c r="M925" s="66"/>
      <c r="N925" s="97"/>
      <c r="O925" s="97"/>
      <c r="P925" s="97"/>
      <c r="Q925" s="97"/>
      <c r="R925" s="97"/>
      <c r="S925" s="97"/>
      <c r="T925" s="97"/>
      <c r="U925" s="97"/>
      <c r="V925" s="97"/>
      <c r="W925" s="97"/>
      <c r="X925" s="97"/>
      <c r="Y925" s="97"/>
      <c r="Z925" s="97"/>
      <c r="AA925" s="97"/>
      <c r="AB925" s="97"/>
      <c r="AC925" s="97"/>
      <c r="AD925" s="97"/>
      <c r="AE925" s="97"/>
    </row>
    <row r="926" ht="14.25" customHeight="1">
      <c r="A926" s="59"/>
      <c r="B926" s="97"/>
      <c r="C926" s="97"/>
      <c r="D926" s="97"/>
      <c r="E926" s="97"/>
      <c r="F926" s="97"/>
      <c r="G926" s="97"/>
      <c r="H926" s="99"/>
      <c r="I926" s="123"/>
      <c r="J926" s="123"/>
      <c r="K926" s="97"/>
      <c r="L926" s="97"/>
      <c r="M926" s="66"/>
      <c r="N926" s="97"/>
      <c r="O926" s="97"/>
      <c r="P926" s="97"/>
      <c r="Q926" s="97"/>
      <c r="R926" s="97"/>
      <c r="S926" s="97"/>
      <c r="T926" s="97"/>
      <c r="U926" s="97"/>
      <c r="V926" s="97"/>
      <c r="W926" s="97"/>
      <c r="X926" s="97"/>
      <c r="Y926" s="97"/>
      <c r="Z926" s="97"/>
      <c r="AA926" s="97"/>
      <c r="AB926" s="97"/>
      <c r="AC926" s="97"/>
      <c r="AD926" s="97"/>
      <c r="AE926" s="97"/>
    </row>
    <row r="927" ht="14.25" customHeight="1">
      <c r="A927" s="59"/>
      <c r="B927" s="97"/>
      <c r="C927" s="97"/>
      <c r="D927" s="97"/>
      <c r="E927" s="97"/>
      <c r="F927" s="97"/>
      <c r="G927" s="97"/>
      <c r="H927" s="99"/>
      <c r="I927" s="123"/>
      <c r="J927" s="123"/>
      <c r="K927" s="97"/>
      <c r="L927" s="97"/>
      <c r="M927" s="66"/>
      <c r="N927" s="97"/>
      <c r="O927" s="97"/>
      <c r="P927" s="97"/>
      <c r="Q927" s="97"/>
      <c r="R927" s="97"/>
      <c r="S927" s="97"/>
      <c r="T927" s="97"/>
      <c r="U927" s="97"/>
      <c r="V927" s="97"/>
      <c r="W927" s="97"/>
      <c r="X927" s="97"/>
      <c r="Y927" s="97"/>
      <c r="Z927" s="97"/>
      <c r="AA927" s="97"/>
      <c r="AB927" s="97"/>
      <c r="AC927" s="97"/>
      <c r="AD927" s="97"/>
      <c r="AE927" s="97"/>
    </row>
    <row r="928" ht="14.25" customHeight="1">
      <c r="A928" s="59"/>
      <c r="B928" s="97"/>
      <c r="C928" s="97"/>
      <c r="D928" s="97"/>
      <c r="E928" s="97"/>
      <c r="F928" s="97"/>
      <c r="G928" s="97"/>
      <c r="H928" s="99"/>
      <c r="I928" s="123"/>
      <c r="J928" s="123"/>
      <c r="K928" s="97"/>
      <c r="L928" s="97"/>
      <c r="M928" s="66"/>
      <c r="N928" s="97"/>
      <c r="O928" s="97"/>
      <c r="P928" s="97"/>
      <c r="Q928" s="97"/>
      <c r="R928" s="97"/>
      <c r="S928" s="97"/>
      <c r="T928" s="97"/>
      <c r="U928" s="97"/>
      <c r="V928" s="97"/>
      <c r="W928" s="97"/>
      <c r="X928" s="97"/>
      <c r="Y928" s="97"/>
      <c r="Z928" s="97"/>
      <c r="AA928" s="97"/>
      <c r="AB928" s="97"/>
      <c r="AC928" s="97"/>
      <c r="AD928" s="97"/>
      <c r="AE928" s="97"/>
    </row>
    <row r="929" ht="14.25" customHeight="1">
      <c r="A929" s="59"/>
      <c r="B929" s="97"/>
      <c r="C929" s="97"/>
      <c r="D929" s="97"/>
      <c r="E929" s="97"/>
      <c r="F929" s="97"/>
      <c r="G929" s="97"/>
      <c r="H929" s="99"/>
      <c r="I929" s="123"/>
      <c r="J929" s="123"/>
      <c r="K929" s="97"/>
      <c r="L929" s="97"/>
      <c r="M929" s="66"/>
      <c r="N929" s="97"/>
      <c r="O929" s="97"/>
      <c r="P929" s="97"/>
      <c r="Q929" s="97"/>
      <c r="R929" s="97"/>
      <c r="S929" s="97"/>
      <c r="T929" s="97"/>
      <c r="U929" s="97"/>
      <c r="V929" s="97"/>
      <c r="W929" s="97"/>
      <c r="X929" s="97"/>
      <c r="Y929" s="97"/>
      <c r="Z929" s="97"/>
      <c r="AA929" s="97"/>
      <c r="AB929" s="97"/>
      <c r="AC929" s="97"/>
      <c r="AD929" s="97"/>
      <c r="AE929" s="97"/>
    </row>
    <row r="930" ht="14.25" customHeight="1">
      <c r="A930" s="59"/>
      <c r="B930" s="97"/>
      <c r="C930" s="97"/>
      <c r="D930" s="97"/>
      <c r="E930" s="97"/>
      <c r="F930" s="97"/>
      <c r="G930" s="97"/>
      <c r="H930" s="99"/>
      <c r="I930" s="123"/>
      <c r="J930" s="123"/>
      <c r="K930" s="97"/>
      <c r="L930" s="97"/>
      <c r="M930" s="66"/>
      <c r="N930" s="97"/>
      <c r="O930" s="97"/>
      <c r="P930" s="97"/>
      <c r="Q930" s="97"/>
      <c r="R930" s="97"/>
      <c r="S930" s="97"/>
      <c r="T930" s="97"/>
      <c r="U930" s="97"/>
      <c r="V930" s="97"/>
      <c r="W930" s="97"/>
      <c r="X930" s="97"/>
      <c r="Y930" s="97"/>
      <c r="Z930" s="97"/>
      <c r="AA930" s="97"/>
      <c r="AB930" s="97"/>
      <c r="AC930" s="97"/>
      <c r="AD930" s="97"/>
      <c r="AE930" s="97"/>
    </row>
    <row r="931" ht="14.25" customHeight="1">
      <c r="A931" s="59"/>
      <c r="B931" s="97"/>
      <c r="C931" s="97"/>
      <c r="D931" s="97"/>
      <c r="E931" s="97"/>
      <c r="F931" s="97"/>
      <c r="G931" s="97"/>
      <c r="H931" s="99"/>
      <c r="I931" s="123"/>
      <c r="J931" s="123"/>
      <c r="K931" s="97"/>
      <c r="L931" s="97"/>
      <c r="M931" s="66"/>
      <c r="N931" s="97"/>
      <c r="O931" s="97"/>
      <c r="P931" s="97"/>
      <c r="Q931" s="97"/>
      <c r="R931" s="97"/>
      <c r="S931" s="97"/>
      <c r="T931" s="97"/>
      <c r="U931" s="97"/>
      <c r="V931" s="97"/>
      <c r="W931" s="97"/>
      <c r="X931" s="97"/>
      <c r="Y931" s="97"/>
      <c r="Z931" s="97"/>
      <c r="AA931" s="97"/>
      <c r="AB931" s="97"/>
      <c r="AC931" s="97"/>
      <c r="AD931" s="97"/>
      <c r="AE931" s="97"/>
    </row>
    <row r="932" ht="14.25" customHeight="1">
      <c r="A932" s="59"/>
      <c r="B932" s="97"/>
      <c r="C932" s="97"/>
      <c r="D932" s="97"/>
      <c r="E932" s="97"/>
      <c r="F932" s="97"/>
      <c r="G932" s="97"/>
      <c r="H932" s="99"/>
      <c r="I932" s="123"/>
      <c r="J932" s="123"/>
      <c r="K932" s="97"/>
      <c r="L932" s="97"/>
      <c r="M932" s="66"/>
      <c r="N932" s="97"/>
      <c r="O932" s="97"/>
      <c r="P932" s="97"/>
      <c r="Q932" s="97"/>
      <c r="R932" s="97"/>
      <c r="S932" s="97"/>
      <c r="T932" s="97"/>
      <c r="U932" s="97"/>
      <c r="V932" s="97"/>
      <c r="W932" s="97"/>
      <c r="X932" s="97"/>
      <c r="Y932" s="97"/>
      <c r="Z932" s="97"/>
      <c r="AA932" s="97"/>
      <c r="AB932" s="97"/>
      <c r="AC932" s="97"/>
      <c r="AD932" s="97"/>
      <c r="AE932" s="97"/>
    </row>
    <row r="933" ht="14.25" customHeight="1">
      <c r="A933" s="59"/>
      <c r="B933" s="97"/>
      <c r="C933" s="97"/>
      <c r="D933" s="97"/>
      <c r="E933" s="97"/>
      <c r="F933" s="97"/>
      <c r="G933" s="97"/>
      <c r="H933" s="99"/>
      <c r="I933" s="123"/>
      <c r="J933" s="123"/>
      <c r="K933" s="97"/>
      <c r="L933" s="97"/>
      <c r="M933" s="66"/>
      <c r="N933" s="97"/>
      <c r="O933" s="97"/>
      <c r="P933" s="97"/>
      <c r="Q933" s="97"/>
      <c r="R933" s="97"/>
      <c r="S933" s="97"/>
      <c r="T933" s="97"/>
      <c r="U933" s="97"/>
      <c r="V933" s="97"/>
      <c r="W933" s="97"/>
      <c r="X933" s="97"/>
      <c r="Y933" s="97"/>
      <c r="Z933" s="97"/>
      <c r="AA933" s="97"/>
      <c r="AB933" s="97"/>
      <c r="AC933" s="97"/>
      <c r="AD933" s="97"/>
      <c r="AE933" s="97"/>
    </row>
    <row r="934" ht="14.25" customHeight="1">
      <c r="A934" s="59"/>
      <c r="B934" s="97"/>
      <c r="C934" s="97"/>
      <c r="D934" s="97"/>
      <c r="E934" s="97"/>
      <c r="F934" s="97"/>
      <c r="G934" s="97"/>
      <c r="H934" s="99"/>
      <c r="I934" s="123"/>
      <c r="J934" s="123"/>
      <c r="K934" s="97"/>
      <c r="L934" s="97"/>
      <c r="M934" s="66"/>
      <c r="N934" s="97"/>
      <c r="O934" s="97"/>
      <c r="P934" s="97"/>
      <c r="Q934" s="97"/>
      <c r="R934" s="97"/>
      <c r="S934" s="97"/>
      <c r="T934" s="97"/>
      <c r="U934" s="97"/>
      <c r="V934" s="97"/>
      <c r="W934" s="97"/>
      <c r="X934" s="97"/>
      <c r="Y934" s="97"/>
      <c r="Z934" s="97"/>
      <c r="AA934" s="97"/>
      <c r="AB934" s="97"/>
      <c r="AC934" s="97"/>
      <c r="AD934" s="97"/>
      <c r="AE934" s="97"/>
    </row>
    <row r="935" ht="14.25" customHeight="1">
      <c r="A935" s="59"/>
      <c r="B935" s="97"/>
      <c r="C935" s="97"/>
      <c r="D935" s="97"/>
      <c r="E935" s="97"/>
      <c r="F935" s="97"/>
      <c r="G935" s="97"/>
      <c r="H935" s="99"/>
      <c r="I935" s="123"/>
      <c r="J935" s="123"/>
      <c r="K935" s="97"/>
      <c r="L935" s="97"/>
      <c r="M935" s="66"/>
      <c r="N935" s="97"/>
      <c r="O935" s="97"/>
      <c r="P935" s="97"/>
      <c r="Q935" s="97"/>
      <c r="R935" s="97"/>
      <c r="S935" s="97"/>
      <c r="T935" s="97"/>
      <c r="U935" s="97"/>
      <c r="V935" s="97"/>
      <c r="W935" s="97"/>
      <c r="X935" s="97"/>
      <c r="Y935" s="97"/>
      <c r="Z935" s="97"/>
      <c r="AA935" s="97"/>
      <c r="AB935" s="97"/>
      <c r="AC935" s="97"/>
      <c r="AD935" s="97"/>
      <c r="AE935" s="97"/>
    </row>
    <row r="936" ht="14.25" customHeight="1">
      <c r="A936" s="59"/>
      <c r="B936" s="97"/>
      <c r="C936" s="97"/>
      <c r="D936" s="97"/>
      <c r="E936" s="97"/>
      <c r="F936" s="97"/>
      <c r="G936" s="97"/>
      <c r="H936" s="99"/>
      <c r="I936" s="123"/>
      <c r="J936" s="123"/>
      <c r="K936" s="97"/>
      <c r="L936" s="97"/>
      <c r="M936" s="66"/>
      <c r="N936" s="97"/>
      <c r="O936" s="97"/>
      <c r="P936" s="97"/>
      <c r="Q936" s="97"/>
      <c r="R936" s="97"/>
      <c r="S936" s="97"/>
      <c r="T936" s="97"/>
      <c r="U936" s="97"/>
      <c r="V936" s="97"/>
      <c r="W936" s="97"/>
      <c r="X936" s="97"/>
      <c r="Y936" s="97"/>
      <c r="Z936" s="97"/>
      <c r="AA936" s="97"/>
      <c r="AB936" s="97"/>
      <c r="AC936" s="97"/>
      <c r="AD936" s="97"/>
      <c r="AE936" s="97"/>
    </row>
    <row r="937" ht="14.25" customHeight="1">
      <c r="A937" s="59"/>
      <c r="B937" s="97"/>
      <c r="C937" s="97"/>
      <c r="D937" s="97"/>
      <c r="E937" s="97"/>
      <c r="F937" s="97"/>
      <c r="G937" s="97"/>
      <c r="H937" s="99"/>
      <c r="I937" s="123"/>
      <c r="J937" s="123"/>
      <c r="K937" s="97"/>
      <c r="L937" s="97"/>
      <c r="M937" s="66"/>
      <c r="N937" s="97"/>
      <c r="O937" s="97"/>
      <c r="P937" s="97"/>
      <c r="Q937" s="97"/>
      <c r="R937" s="97"/>
      <c r="S937" s="97"/>
      <c r="T937" s="97"/>
      <c r="U937" s="97"/>
      <c r="V937" s="97"/>
      <c r="W937" s="97"/>
      <c r="X937" s="97"/>
      <c r="Y937" s="97"/>
      <c r="Z937" s="97"/>
      <c r="AA937" s="97"/>
      <c r="AB937" s="97"/>
      <c r="AC937" s="97"/>
      <c r="AD937" s="97"/>
      <c r="AE937" s="97"/>
    </row>
    <row r="938" ht="14.25" customHeight="1">
      <c r="A938" s="59"/>
      <c r="B938" s="97"/>
      <c r="C938" s="97"/>
      <c r="D938" s="97"/>
      <c r="E938" s="97"/>
      <c r="F938" s="97"/>
      <c r="G938" s="97"/>
      <c r="H938" s="99"/>
      <c r="I938" s="123"/>
      <c r="J938" s="123"/>
      <c r="K938" s="97"/>
      <c r="L938" s="97"/>
      <c r="M938" s="66"/>
      <c r="N938" s="97"/>
      <c r="O938" s="97"/>
      <c r="P938" s="97"/>
      <c r="Q938" s="97"/>
      <c r="R938" s="97"/>
      <c r="S938" s="97"/>
      <c r="T938" s="97"/>
      <c r="U938" s="97"/>
      <c r="V938" s="97"/>
      <c r="W938" s="97"/>
      <c r="X938" s="97"/>
      <c r="Y938" s="97"/>
      <c r="Z938" s="97"/>
      <c r="AA938" s="97"/>
      <c r="AB938" s="97"/>
      <c r="AC938" s="97"/>
      <c r="AD938" s="97"/>
      <c r="AE938" s="97"/>
    </row>
    <row r="939" ht="14.25" customHeight="1">
      <c r="A939" s="59"/>
      <c r="B939" s="97"/>
      <c r="C939" s="97"/>
      <c r="D939" s="97"/>
      <c r="E939" s="97"/>
      <c r="F939" s="97"/>
      <c r="G939" s="97"/>
      <c r="H939" s="99"/>
      <c r="I939" s="123"/>
      <c r="J939" s="123"/>
      <c r="K939" s="97"/>
      <c r="L939" s="97"/>
      <c r="M939" s="66"/>
      <c r="N939" s="97"/>
      <c r="O939" s="97"/>
      <c r="P939" s="97"/>
      <c r="Q939" s="97"/>
      <c r="R939" s="97"/>
      <c r="S939" s="97"/>
      <c r="T939" s="97"/>
      <c r="U939" s="97"/>
      <c r="V939" s="97"/>
      <c r="W939" s="97"/>
      <c r="X939" s="97"/>
      <c r="Y939" s="97"/>
      <c r="Z939" s="97"/>
      <c r="AA939" s="97"/>
      <c r="AB939" s="97"/>
      <c r="AC939" s="97"/>
      <c r="AD939" s="97"/>
      <c r="AE939" s="97"/>
    </row>
    <row r="940" ht="14.25" customHeight="1">
      <c r="A940" s="59"/>
      <c r="B940" s="97"/>
      <c r="C940" s="97"/>
      <c r="D940" s="97"/>
      <c r="E940" s="97"/>
      <c r="F940" s="97"/>
      <c r="G940" s="97"/>
      <c r="H940" s="99"/>
      <c r="I940" s="123"/>
      <c r="J940" s="123"/>
      <c r="K940" s="97"/>
      <c r="L940" s="97"/>
      <c r="M940" s="66"/>
      <c r="N940" s="97"/>
      <c r="O940" s="97"/>
      <c r="P940" s="97"/>
      <c r="Q940" s="97"/>
      <c r="R940" s="97"/>
      <c r="S940" s="97"/>
      <c r="T940" s="97"/>
      <c r="U940" s="97"/>
      <c r="V940" s="97"/>
      <c r="W940" s="97"/>
      <c r="X940" s="97"/>
      <c r="Y940" s="97"/>
      <c r="Z940" s="97"/>
      <c r="AA940" s="97"/>
      <c r="AB940" s="97"/>
      <c r="AC940" s="97"/>
      <c r="AD940" s="97"/>
      <c r="AE940" s="97"/>
    </row>
    <row r="941" ht="14.25" customHeight="1">
      <c r="A941" s="59"/>
      <c r="B941" s="97"/>
      <c r="C941" s="97"/>
      <c r="D941" s="97"/>
      <c r="E941" s="97"/>
      <c r="F941" s="97"/>
      <c r="G941" s="97"/>
      <c r="H941" s="99"/>
      <c r="I941" s="123"/>
      <c r="J941" s="123"/>
      <c r="K941" s="97"/>
      <c r="L941" s="97"/>
      <c r="M941" s="66"/>
      <c r="N941" s="97"/>
      <c r="O941" s="97"/>
      <c r="P941" s="97"/>
      <c r="Q941" s="97"/>
      <c r="R941" s="97"/>
      <c r="S941" s="97"/>
      <c r="T941" s="97"/>
      <c r="U941" s="97"/>
      <c r="V941" s="97"/>
      <c r="W941" s="97"/>
      <c r="X941" s="97"/>
      <c r="Y941" s="97"/>
      <c r="Z941" s="97"/>
      <c r="AA941" s="97"/>
      <c r="AB941" s="97"/>
      <c r="AC941" s="97"/>
      <c r="AD941" s="97"/>
      <c r="AE941" s="97"/>
    </row>
    <row r="942" ht="14.25" customHeight="1">
      <c r="A942" s="59"/>
      <c r="B942" s="97"/>
      <c r="C942" s="97"/>
      <c r="D942" s="97"/>
      <c r="E942" s="97"/>
      <c r="F942" s="97"/>
      <c r="G942" s="97"/>
      <c r="H942" s="99"/>
      <c r="I942" s="123"/>
      <c r="J942" s="123"/>
      <c r="K942" s="97"/>
      <c r="L942" s="97"/>
      <c r="M942" s="66"/>
      <c r="N942" s="97"/>
      <c r="O942" s="97"/>
      <c r="P942" s="97"/>
      <c r="Q942" s="97"/>
      <c r="R942" s="97"/>
      <c r="S942" s="97"/>
      <c r="T942" s="97"/>
      <c r="U942" s="97"/>
      <c r="V942" s="97"/>
      <c r="W942" s="97"/>
      <c r="X942" s="97"/>
      <c r="Y942" s="97"/>
      <c r="Z942" s="97"/>
      <c r="AA942" s="97"/>
      <c r="AB942" s="97"/>
      <c r="AC942" s="97"/>
      <c r="AD942" s="97"/>
      <c r="AE942" s="97"/>
    </row>
    <row r="943" ht="14.25" customHeight="1">
      <c r="A943" s="59"/>
      <c r="B943" s="97"/>
      <c r="C943" s="97"/>
      <c r="D943" s="97"/>
      <c r="E943" s="97"/>
      <c r="F943" s="97"/>
      <c r="G943" s="97"/>
      <c r="H943" s="99"/>
      <c r="I943" s="123"/>
      <c r="J943" s="123"/>
      <c r="K943" s="97"/>
      <c r="L943" s="97"/>
      <c r="M943" s="66"/>
      <c r="N943" s="97"/>
      <c r="O943" s="97"/>
      <c r="P943" s="97"/>
      <c r="Q943" s="97"/>
      <c r="R943" s="97"/>
      <c r="S943" s="97"/>
      <c r="T943" s="97"/>
      <c r="U943" s="97"/>
      <c r="V943" s="97"/>
      <c r="W943" s="97"/>
      <c r="X943" s="97"/>
      <c r="Y943" s="97"/>
      <c r="Z943" s="97"/>
      <c r="AA943" s="97"/>
      <c r="AB943" s="97"/>
      <c r="AC943" s="97"/>
      <c r="AD943" s="97"/>
      <c r="AE943" s="97"/>
    </row>
    <row r="944" ht="14.25" customHeight="1">
      <c r="A944" s="59"/>
      <c r="B944" s="97"/>
      <c r="C944" s="97"/>
      <c r="D944" s="97"/>
      <c r="E944" s="97"/>
      <c r="F944" s="97"/>
      <c r="G944" s="97"/>
      <c r="H944" s="99"/>
      <c r="I944" s="123"/>
      <c r="J944" s="123"/>
      <c r="K944" s="97"/>
      <c r="L944" s="97"/>
      <c r="M944" s="66"/>
      <c r="N944" s="97"/>
      <c r="O944" s="97"/>
      <c r="P944" s="97"/>
      <c r="Q944" s="97"/>
      <c r="R944" s="97"/>
      <c r="S944" s="97"/>
      <c r="T944" s="97"/>
      <c r="U944" s="97"/>
      <c r="V944" s="97"/>
      <c r="W944" s="97"/>
      <c r="X944" s="97"/>
      <c r="Y944" s="97"/>
      <c r="Z944" s="97"/>
      <c r="AA944" s="97"/>
      <c r="AB944" s="97"/>
      <c r="AC944" s="97"/>
      <c r="AD944" s="97"/>
      <c r="AE944" s="97"/>
    </row>
    <row r="945" ht="14.25" customHeight="1">
      <c r="A945" s="59"/>
      <c r="B945" s="97"/>
      <c r="C945" s="97"/>
      <c r="D945" s="97"/>
      <c r="E945" s="97"/>
      <c r="F945" s="97"/>
      <c r="G945" s="97"/>
      <c r="H945" s="99"/>
      <c r="I945" s="123"/>
      <c r="J945" s="123"/>
      <c r="K945" s="97"/>
      <c r="L945" s="97"/>
      <c r="M945" s="66"/>
      <c r="N945" s="97"/>
      <c r="O945" s="97"/>
      <c r="P945" s="97"/>
      <c r="Q945" s="97"/>
      <c r="R945" s="97"/>
      <c r="S945" s="97"/>
      <c r="T945" s="97"/>
      <c r="U945" s="97"/>
      <c r="V945" s="97"/>
      <c r="W945" s="97"/>
      <c r="X945" s="97"/>
      <c r="Y945" s="97"/>
      <c r="Z945" s="97"/>
      <c r="AA945" s="97"/>
      <c r="AB945" s="97"/>
      <c r="AC945" s="97"/>
      <c r="AD945" s="97"/>
      <c r="AE945" s="97"/>
    </row>
    <row r="946" ht="14.25" customHeight="1">
      <c r="A946" s="59"/>
      <c r="B946" s="97"/>
      <c r="C946" s="97"/>
      <c r="D946" s="97"/>
      <c r="E946" s="97"/>
      <c r="F946" s="97"/>
      <c r="G946" s="97"/>
      <c r="H946" s="99"/>
      <c r="I946" s="123"/>
      <c r="J946" s="123"/>
      <c r="K946" s="97"/>
      <c r="L946" s="97"/>
      <c r="M946" s="66"/>
      <c r="N946" s="97"/>
      <c r="O946" s="97"/>
      <c r="P946" s="97"/>
      <c r="Q946" s="97"/>
      <c r="R946" s="97"/>
      <c r="S946" s="97"/>
      <c r="T946" s="97"/>
      <c r="U946" s="97"/>
      <c r="V946" s="97"/>
      <c r="W946" s="97"/>
      <c r="X946" s="97"/>
      <c r="Y946" s="97"/>
      <c r="Z946" s="97"/>
      <c r="AA946" s="97"/>
      <c r="AB946" s="97"/>
      <c r="AC946" s="97"/>
      <c r="AD946" s="97"/>
      <c r="AE946" s="97"/>
    </row>
    <row r="947" ht="14.25" customHeight="1">
      <c r="A947" s="59"/>
      <c r="B947" s="97"/>
      <c r="C947" s="97"/>
      <c r="D947" s="97"/>
      <c r="E947" s="97"/>
      <c r="F947" s="97"/>
      <c r="G947" s="97"/>
      <c r="H947" s="99"/>
      <c r="I947" s="123"/>
      <c r="J947" s="123"/>
      <c r="K947" s="97"/>
      <c r="L947" s="97"/>
      <c r="M947" s="66"/>
      <c r="N947" s="97"/>
      <c r="O947" s="97"/>
      <c r="P947" s="97"/>
      <c r="Q947" s="97"/>
      <c r="R947" s="97"/>
      <c r="S947" s="97"/>
      <c r="T947" s="97"/>
      <c r="U947" s="97"/>
      <c r="V947" s="97"/>
      <c r="W947" s="97"/>
      <c r="X947" s="97"/>
      <c r="Y947" s="97"/>
      <c r="Z947" s="97"/>
      <c r="AA947" s="97"/>
      <c r="AB947" s="97"/>
      <c r="AC947" s="97"/>
      <c r="AD947" s="97"/>
      <c r="AE947" s="97"/>
    </row>
    <row r="948" ht="14.25" customHeight="1">
      <c r="A948" s="59"/>
      <c r="B948" s="97"/>
      <c r="C948" s="97"/>
      <c r="D948" s="97"/>
      <c r="E948" s="97"/>
      <c r="F948" s="97"/>
      <c r="G948" s="97"/>
      <c r="H948" s="99"/>
      <c r="I948" s="123"/>
      <c r="J948" s="123"/>
      <c r="K948" s="97"/>
      <c r="L948" s="97"/>
      <c r="M948" s="66"/>
      <c r="N948" s="97"/>
      <c r="O948" s="97"/>
      <c r="P948" s="97"/>
      <c r="Q948" s="97"/>
      <c r="R948" s="97"/>
      <c r="S948" s="97"/>
      <c r="T948" s="97"/>
      <c r="U948" s="97"/>
      <c r="V948" s="97"/>
      <c r="W948" s="97"/>
      <c r="X948" s="97"/>
      <c r="Y948" s="97"/>
      <c r="Z948" s="97"/>
      <c r="AA948" s="97"/>
      <c r="AB948" s="97"/>
      <c r="AC948" s="97"/>
      <c r="AD948" s="97"/>
      <c r="AE948" s="97"/>
    </row>
    <row r="949" ht="14.25" customHeight="1">
      <c r="A949" s="59"/>
      <c r="B949" s="97"/>
      <c r="C949" s="97"/>
      <c r="D949" s="97"/>
      <c r="E949" s="97"/>
      <c r="F949" s="97"/>
      <c r="G949" s="97"/>
      <c r="H949" s="99"/>
      <c r="I949" s="123"/>
      <c r="J949" s="123"/>
      <c r="K949" s="97"/>
      <c r="L949" s="97"/>
      <c r="M949" s="66"/>
      <c r="N949" s="97"/>
      <c r="O949" s="97"/>
      <c r="P949" s="97"/>
      <c r="Q949" s="97"/>
      <c r="R949" s="97"/>
      <c r="S949" s="97"/>
      <c r="T949" s="97"/>
      <c r="U949" s="97"/>
      <c r="V949" s="97"/>
      <c r="W949" s="97"/>
      <c r="X949" s="97"/>
      <c r="Y949" s="97"/>
      <c r="Z949" s="97"/>
      <c r="AA949" s="97"/>
      <c r="AB949" s="97"/>
      <c r="AC949" s="97"/>
      <c r="AD949" s="97"/>
      <c r="AE949" s="97"/>
    </row>
    <row r="950" ht="14.25" customHeight="1">
      <c r="A950" s="59"/>
      <c r="B950" s="97"/>
      <c r="C950" s="97"/>
      <c r="D950" s="97"/>
      <c r="E950" s="97"/>
      <c r="F950" s="97"/>
      <c r="G950" s="97"/>
      <c r="H950" s="99"/>
      <c r="I950" s="123"/>
      <c r="J950" s="123"/>
      <c r="K950" s="97"/>
      <c r="L950" s="97"/>
      <c r="M950" s="66"/>
      <c r="N950" s="97"/>
      <c r="O950" s="97"/>
      <c r="P950" s="97"/>
      <c r="Q950" s="97"/>
      <c r="R950" s="97"/>
      <c r="S950" s="97"/>
      <c r="T950" s="97"/>
      <c r="U950" s="97"/>
      <c r="V950" s="97"/>
      <c r="W950" s="97"/>
      <c r="X950" s="97"/>
      <c r="Y950" s="97"/>
      <c r="Z950" s="97"/>
      <c r="AA950" s="97"/>
      <c r="AB950" s="97"/>
      <c r="AC950" s="97"/>
      <c r="AD950" s="97"/>
      <c r="AE950" s="97"/>
    </row>
    <row r="951" ht="14.25" customHeight="1">
      <c r="A951" s="59"/>
      <c r="B951" s="97"/>
      <c r="C951" s="97"/>
      <c r="D951" s="97"/>
      <c r="E951" s="97"/>
      <c r="F951" s="97"/>
      <c r="G951" s="97"/>
      <c r="H951" s="99"/>
      <c r="I951" s="123"/>
      <c r="J951" s="123"/>
      <c r="K951" s="97"/>
      <c r="L951" s="97"/>
      <c r="M951" s="66"/>
      <c r="N951" s="97"/>
      <c r="O951" s="97"/>
      <c r="P951" s="97"/>
      <c r="Q951" s="97"/>
      <c r="R951" s="97"/>
      <c r="S951" s="97"/>
      <c r="T951" s="97"/>
      <c r="U951" s="97"/>
      <c r="V951" s="97"/>
      <c r="W951" s="97"/>
      <c r="X951" s="97"/>
      <c r="Y951" s="97"/>
      <c r="Z951" s="97"/>
      <c r="AA951" s="97"/>
      <c r="AB951" s="97"/>
      <c r="AC951" s="97"/>
      <c r="AD951" s="97"/>
      <c r="AE951" s="97"/>
    </row>
    <row r="952" ht="14.25" customHeight="1">
      <c r="A952" s="59"/>
      <c r="B952" s="97"/>
      <c r="C952" s="97"/>
      <c r="D952" s="97"/>
      <c r="E952" s="97"/>
      <c r="F952" s="97"/>
      <c r="G952" s="97"/>
      <c r="H952" s="99"/>
      <c r="I952" s="123"/>
      <c r="J952" s="123"/>
      <c r="K952" s="97"/>
      <c r="L952" s="97"/>
      <c r="M952" s="66"/>
      <c r="N952" s="97"/>
      <c r="O952" s="97"/>
      <c r="P952" s="97"/>
      <c r="Q952" s="97"/>
      <c r="R952" s="97"/>
      <c r="S952" s="97"/>
      <c r="T952" s="97"/>
      <c r="U952" s="97"/>
      <c r="V952" s="97"/>
      <c r="W952" s="97"/>
      <c r="X952" s="97"/>
      <c r="Y952" s="97"/>
      <c r="Z952" s="97"/>
      <c r="AA952" s="97"/>
      <c r="AB952" s="97"/>
      <c r="AC952" s="97"/>
      <c r="AD952" s="97"/>
      <c r="AE952" s="97"/>
    </row>
    <row r="953" ht="14.25" customHeight="1">
      <c r="A953" s="59"/>
      <c r="B953" s="97"/>
      <c r="C953" s="97"/>
      <c r="D953" s="97"/>
      <c r="E953" s="97"/>
      <c r="F953" s="97"/>
      <c r="G953" s="97"/>
      <c r="H953" s="99"/>
      <c r="I953" s="123"/>
      <c r="J953" s="123"/>
      <c r="K953" s="97"/>
      <c r="L953" s="97"/>
      <c r="M953" s="66"/>
      <c r="N953" s="97"/>
      <c r="O953" s="97"/>
      <c r="P953" s="97"/>
      <c r="Q953" s="97"/>
      <c r="R953" s="97"/>
      <c r="S953" s="97"/>
      <c r="T953" s="97"/>
      <c r="U953" s="97"/>
      <c r="V953" s="97"/>
      <c r="W953" s="97"/>
      <c r="X953" s="97"/>
      <c r="Y953" s="97"/>
      <c r="Z953" s="97"/>
      <c r="AA953" s="97"/>
      <c r="AB953" s="97"/>
      <c r="AC953" s="97"/>
      <c r="AD953" s="97"/>
      <c r="AE953" s="97"/>
    </row>
    <row r="954" ht="14.25" customHeight="1">
      <c r="A954" s="59"/>
      <c r="B954" s="97"/>
      <c r="C954" s="97"/>
      <c r="D954" s="97"/>
      <c r="E954" s="97"/>
      <c r="F954" s="97"/>
      <c r="G954" s="97"/>
      <c r="H954" s="99"/>
      <c r="I954" s="123"/>
      <c r="J954" s="123"/>
      <c r="K954" s="97"/>
      <c r="L954" s="97"/>
      <c r="M954" s="66"/>
      <c r="N954" s="97"/>
      <c r="O954" s="97"/>
      <c r="P954" s="97"/>
      <c r="Q954" s="97"/>
      <c r="R954" s="97"/>
      <c r="S954" s="97"/>
      <c r="T954" s="97"/>
      <c r="U954" s="97"/>
      <c r="V954" s="97"/>
      <c r="W954" s="97"/>
      <c r="X954" s="97"/>
      <c r="Y954" s="97"/>
      <c r="Z954" s="97"/>
      <c r="AA954" s="97"/>
      <c r="AB954" s="97"/>
      <c r="AC954" s="97"/>
      <c r="AD954" s="97"/>
      <c r="AE954" s="97"/>
    </row>
    <row r="955" ht="14.25" customHeight="1">
      <c r="A955" s="59"/>
      <c r="B955" s="97"/>
      <c r="C955" s="97"/>
      <c r="D955" s="97"/>
      <c r="E955" s="97"/>
      <c r="F955" s="97"/>
      <c r="G955" s="97"/>
      <c r="H955" s="99"/>
      <c r="I955" s="123"/>
      <c r="J955" s="123"/>
      <c r="K955" s="97"/>
      <c r="L955" s="97"/>
      <c r="M955" s="66"/>
      <c r="N955" s="97"/>
      <c r="O955" s="97"/>
      <c r="P955" s="97"/>
      <c r="Q955" s="97"/>
      <c r="R955" s="97"/>
      <c r="S955" s="97"/>
      <c r="T955" s="97"/>
      <c r="U955" s="97"/>
      <c r="V955" s="97"/>
      <c r="W955" s="97"/>
      <c r="X955" s="97"/>
      <c r="Y955" s="97"/>
      <c r="Z955" s="97"/>
      <c r="AA955" s="97"/>
      <c r="AB955" s="97"/>
      <c r="AC955" s="97"/>
      <c r="AD955" s="97"/>
      <c r="AE955" s="97"/>
    </row>
    <row r="956" ht="14.25" customHeight="1">
      <c r="A956" s="59"/>
      <c r="B956" s="97"/>
      <c r="C956" s="97"/>
      <c r="D956" s="97"/>
      <c r="E956" s="97"/>
      <c r="F956" s="97"/>
      <c r="G956" s="97"/>
      <c r="H956" s="99"/>
      <c r="I956" s="123"/>
      <c r="J956" s="123"/>
      <c r="K956" s="97"/>
      <c r="L956" s="97"/>
      <c r="M956" s="66"/>
      <c r="N956" s="97"/>
      <c r="O956" s="97"/>
      <c r="P956" s="97"/>
      <c r="Q956" s="97"/>
      <c r="R956" s="97"/>
      <c r="S956" s="97"/>
      <c r="T956" s="97"/>
      <c r="U956" s="97"/>
      <c r="V956" s="97"/>
      <c r="W956" s="97"/>
      <c r="X956" s="97"/>
      <c r="Y956" s="97"/>
      <c r="Z956" s="97"/>
      <c r="AA956" s="97"/>
      <c r="AB956" s="97"/>
      <c r="AC956" s="97"/>
      <c r="AD956" s="97"/>
      <c r="AE956" s="97"/>
    </row>
    <row r="957" ht="14.25" customHeight="1">
      <c r="A957" s="59"/>
      <c r="B957" s="97"/>
      <c r="C957" s="97"/>
      <c r="D957" s="97"/>
      <c r="E957" s="97"/>
      <c r="F957" s="97"/>
      <c r="G957" s="97"/>
      <c r="H957" s="99"/>
      <c r="I957" s="123"/>
      <c r="J957" s="123"/>
      <c r="K957" s="97"/>
      <c r="L957" s="97"/>
      <c r="M957" s="66"/>
      <c r="N957" s="97"/>
      <c r="O957" s="97"/>
      <c r="P957" s="97"/>
      <c r="Q957" s="97"/>
      <c r="R957" s="97"/>
      <c r="S957" s="97"/>
      <c r="T957" s="97"/>
      <c r="U957" s="97"/>
      <c r="V957" s="97"/>
      <c r="W957" s="97"/>
      <c r="X957" s="97"/>
      <c r="Y957" s="97"/>
      <c r="Z957" s="97"/>
      <c r="AA957" s="97"/>
      <c r="AB957" s="97"/>
      <c r="AC957" s="97"/>
      <c r="AD957" s="97"/>
      <c r="AE957" s="97"/>
    </row>
    <row r="958" ht="14.25" customHeight="1">
      <c r="A958" s="59"/>
      <c r="B958" s="97"/>
      <c r="C958" s="97"/>
      <c r="D958" s="97"/>
      <c r="E958" s="97"/>
      <c r="F958" s="97"/>
      <c r="G958" s="97"/>
      <c r="H958" s="99"/>
      <c r="I958" s="123"/>
      <c r="J958" s="123"/>
      <c r="K958" s="97"/>
      <c r="L958" s="97"/>
      <c r="M958" s="66"/>
      <c r="N958" s="97"/>
      <c r="O958" s="97"/>
      <c r="P958" s="97"/>
      <c r="Q958" s="97"/>
      <c r="R958" s="97"/>
      <c r="S958" s="97"/>
      <c r="T958" s="97"/>
      <c r="U958" s="97"/>
      <c r="V958" s="97"/>
      <c r="W958" s="97"/>
      <c r="X958" s="97"/>
      <c r="Y958" s="97"/>
      <c r="Z958" s="97"/>
      <c r="AA958" s="97"/>
      <c r="AB958" s="97"/>
      <c r="AC958" s="97"/>
      <c r="AD958" s="97"/>
      <c r="AE958" s="97"/>
    </row>
    <row r="959" ht="14.25" customHeight="1">
      <c r="A959" s="59"/>
      <c r="B959" s="97"/>
      <c r="C959" s="97"/>
      <c r="D959" s="97"/>
      <c r="E959" s="97"/>
      <c r="F959" s="97"/>
      <c r="G959" s="97"/>
      <c r="H959" s="99"/>
      <c r="I959" s="123"/>
      <c r="J959" s="123"/>
      <c r="K959" s="97"/>
      <c r="L959" s="97"/>
      <c r="M959" s="66"/>
      <c r="N959" s="97"/>
      <c r="O959" s="97"/>
      <c r="P959" s="97"/>
      <c r="Q959" s="97"/>
      <c r="R959" s="97"/>
      <c r="S959" s="97"/>
      <c r="T959" s="97"/>
      <c r="U959" s="97"/>
      <c r="V959" s="97"/>
      <c r="W959" s="97"/>
      <c r="X959" s="97"/>
      <c r="Y959" s="97"/>
      <c r="Z959" s="97"/>
      <c r="AA959" s="97"/>
      <c r="AB959" s="97"/>
      <c r="AC959" s="97"/>
      <c r="AD959" s="97"/>
      <c r="AE959" s="97"/>
    </row>
    <row r="960" ht="14.25" customHeight="1">
      <c r="A960" s="59"/>
      <c r="B960" s="97"/>
      <c r="C960" s="97"/>
      <c r="D960" s="97"/>
      <c r="E960" s="97"/>
      <c r="F960" s="97"/>
      <c r="G960" s="97"/>
      <c r="H960" s="99"/>
      <c r="I960" s="123"/>
      <c r="J960" s="123"/>
      <c r="K960" s="97"/>
      <c r="L960" s="97"/>
      <c r="M960" s="66"/>
      <c r="N960" s="97"/>
      <c r="O960" s="97"/>
      <c r="P960" s="97"/>
      <c r="Q960" s="97"/>
      <c r="R960" s="97"/>
      <c r="S960" s="97"/>
      <c r="T960" s="97"/>
      <c r="U960" s="97"/>
      <c r="V960" s="97"/>
      <c r="W960" s="97"/>
      <c r="X960" s="97"/>
      <c r="Y960" s="97"/>
      <c r="Z960" s="97"/>
      <c r="AA960" s="97"/>
      <c r="AB960" s="97"/>
      <c r="AC960" s="97"/>
      <c r="AD960" s="97"/>
      <c r="AE960" s="97"/>
    </row>
    <row r="961" ht="14.25" customHeight="1">
      <c r="A961" s="59"/>
      <c r="B961" s="97"/>
      <c r="C961" s="97"/>
      <c r="D961" s="97"/>
      <c r="E961" s="97"/>
      <c r="F961" s="97"/>
      <c r="G961" s="97"/>
      <c r="H961" s="99"/>
      <c r="I961" s="123"/>
      <c r="J961" s="123"/>
      <c r="K961" s="97"/>
      <c r="L961" s="97"/>
      <c r="M961" s="66"/>
      <c r="N961" s="97"/>
      <c r="O961" s="97"/>
      <c r="P961" s="97"/>
      <c r="Q961" s="97"/>
      <c r="R961" s="97"/>
      <c r="S961" s="97"/>
      <c r="T961" s="97"/>
      <c r="U961" s="97"/>
      <c r="V961" s="97"/>
      <c r="W961" s="97"/>
      <c r="X961" s="97"/>
      <c r="Y961" s="97"/>
      <c r="Z961" s="97"/>
      <c r="AA961" s="97"/>
      <c r="AB961" s="97"/>
      <c r="AC961" s="97"/>
      <c r="AD961" s="97"/>
      <c r="AE961" s="97"/>
    </row>
    <row r="962" ht="14.25" customHeight="1">
      <c r="A962" s="59"/>
      <c r="B962" s="97"/>
      <c r="C962" s="97"/>
      <c r="D962" s="97"/>
      <c r="E962" s="97"/>
      <c r="F962" s="97"/>
      <c r="G962" s="97"/>
      <c r="H962" s="99"/>
      <c r="I962" s="123"/>
      <c r="J962" s="123"/>
      <c r="K962" s="97"/>
      <c r="L962" s="97"/>
      <c r="M962" s="66"/>
      <c r="N962" s="97"/>
      <c r="O962" s="97"/>
      <c r="P962" s="97"/>
      <c r="Q962" s="97"/>
      <c r="R962" s="97"/>
      <c r="S962" s="97"/>
      <c r="T962" s="97"/>
      <c r="U962" s="97"/>
      <c r="V962" s="97"/>
      <c r="W962" s="97"/>
      <c r="X962" s="97"/>
      <c r="Y962" s="97"/>
      <c r="Z962" s="97"/>
      <c r="AA962" s="97"/>
      <c r="AB962" s="97"/>
      <c r="AC962" s="97"/>
      <c r="AD962" s="97"/>
      <c r="AE962" s="97"/>
    </row>
    <row r="963" ht="14.25" customHeight="1">
      <c r="A963" s="59"/>
      <c r="B963" s="97"/>
      <c r="C963" s="97"/>
      <c r="D963" s="97"/>
      <c r="E963" s="97"/>
      <c r="F963" s="97"/>
      <c r="G963" s="97"/>
      <c r="H963" s="99"/>
      <c r="I963" s="123"/>
      <c r="J963" s="123"/>
      <c r="K963" s="97"/>
      <c r="L963" s="97"/>
      <c r="M963" s="66"/>
      <c r="N963" s="97"/>
      <c r="O963" s="97"/>
      <c r="P963" s="97"/>
      <c r="Q963" s="97"/>
      <c r="R963" s="97"/>
      <c r="S963" s="97"/>
      <c r="T963" s="97"/>
      <c r="U963" s="97"/>
      <c r="V963" s="97"/>
      <c r="W963" s="97"/>
      <c r="X963" s="97"/>
      <c r="Y963" s="97"/>
      <c r="Z963" s="97"/>
      <c r="AA963" s="97"/>
      <c r="AB963" s="97"/>
      <c r="AC963" s="97"/>
      <c r="AD963" s="97"/>
      <c r="AE963" s="97"/>
    </row>
    <row r="964" ht="14.25" customHeight="1">
      <c r="A964" s="59"/>
      <c r="B964" s="97"/>
      <c r="C964" s="97"/>
      <c r="D964" s="97"/>
      <c r="E964" s="97"/>
      <c r="F964" s="97"/>
      <c r="G964" s="97"/>
      <c r="H964" s="99"/>
      <c r="I964" s="123"/>
      <c r="J964" s="123"/>
      <c r="K964" s="97"/>
      <c r="L964" s="97"/>
      <c r="M964" s="66"/>
      <c r="N964" s="97"/>
      <c r="O964" s="97"/>
      <c r="P964" s="97"/>
      <c r="Q964" s="97"/>
      <c r="R964" s="97"/>
      <c r="S964" s="97"/>
      <c r="T964" s="97"/>
      <c r="U964" s="97"/>
      <c r="V964" s="97"/>
      <c r="W964" s="97"/>
      <c r="X964" s="97"/>
      <c r="Y964" s="97"/>
      <c r="Z964" s="97"/>
      <c r="AA964" s="97"/>
      <c r="AB964" s="97"/>
      <c r="AC964" s="97"/>
      <c r="AD964" s="97"/>
      <c r="AE964" s="97"/>
    </row>
    <row r="965" ht="14.25" customHeight="1">
      <c r="A965" s="59"/>
      <c r="B965" s="97"/>
      <c r="C965" s="97"/>
      <c r="D965" s="97"/>
      <c r="E965" s="97"/>
      <c r="F965" s="97"/>
      <c r="G965" s="97"/>
      <c r="H965" s="99"/>
      <c r="I965" s="123"/>
      <c r="J965" s="123"/>
      <c r="K965" s="97"/>
      <c r="L965" s="97"/>
      <c r="M965" s="66"/>
      <c r="N965" s="97"/>
      <c r="O965" s="97"/>
      <c r="P965" s="97"/>
      <c r="Q965" s="97"/>
      <c r="R965" s="97"/>
      <c r="S965" s="97"/>
      <c r="T965" s="97"/>
      <c r="U965" s="97"/>
      <c r="V965" s="97"/>
      <c r="W965" s="97"/>
      <c r="X965" s="97"/>
      <c r="Y965" s="97"/>
      <c r="Z965" s="97"/>
      <c r="AA965" s="97"/>
      <c r="AB965" s="97"/>
      <c r="AC965" s="97"/>
      <c r="AD965" s="97"/>
      <c r="AE965" s="97"/>
    </row>
    <row r="966" ht="14.25" customHeight="1">
      <c r="A966" s="59"/>
      <c r="B966" s="97"/>
      <c r="C966" s="97"/>
      <c r="D966" s="97"/>
      <c r="E966" s="97"/>
      <c r="F966" s="97"/>
      <c r="G966" s="97"/>
      <c r="H966" s="99"/>
      <c r="I966" s="123"/>
      <c r="J966" s="123"/>
      <c r="K966" s="97"/>
      <c r="L966" s="97"/>
      <c r="M966" s="66"/>
      <c r="N966" s="97"/>
      <c r="O966" s="97"/>
      <c r="P966" s="97"/>
      <c r="Q966" s="97"/>
      <c r="R966" s="97"/>
      <c r="S966" s="97"/>
      <c r="T966" s="97"/>
      <c r="U966" s="97"/>
      <c r="V966" s="97"/>
      <c r="W966" s="97"/>
      <c r="X966" s="97"/>
      <c r="Y966" s="97"/>
      <c r="Z966" s="97"/>
      <c r="AA966" s="97"/>
      <c r="AB966" s="97"/>
      <c r="AC966" s="97"/>
      <c r="AD966" s="97"/>
      <c r="AE966" s="97"/>
    </row>
    <row r="967" ht="14.25" customHeight="1">
      <c r="A967" s="59"/>
      <c r="B967" s="97"/>
      <c r="C967" s="97"/>
      <c r="D967" s="97"/>
      <c r="E967" s="97"/>
      <c r="F967" s="97"/>
      <c r="G967" s="97"/>
      <c r="H967" s="99"/>
      <c r="I967" s="123"/>
      <c r="J967" s="123"/>
      <c r="K967" s="97"/>
      <c r="L967" s="97"/>
      <c r="M967" s="66"/>
      <c r="N967" s="97"/>
      <c r="O967" s="97"/>
      <c r="P967" s="97"/>
      <c r="Q967" s="97"/>
      <c r="R967" s="97"/>
      <c r="S967" s="97"/>
      <c r="T967" s="97"/>
      <c r="U967" s="97"/>
      <c r="V967" s="97"/>
      <c r="W967" s="97"/>
      <c r="X967" s="97"/>
      <c r="Y967" s="97"/>
      <c r="Z967" s="97"/>
      <c r="AA967" s="97"/>
      <c r="AB967" s="97"/>
      <c r="AC967" s="97"/>
      <c r="AD967" s="97"/>
      <c r="AE967" s="97"/>
    </row>
    <row r="968" ht="14.25" customHeight="1">
      <c r="A968" s="59"/>
      <c r="B968" s="97"/>
      <c r="C968" s="97"/>
      <c r="D968" s="97"/>
      <c r="E968" s="97"/>
      <c r="F968" s="97"/>
      <c r="G968" s="97"/>
      <c r="H968" s="99"/>
      <c r="I968" s="123"/>
      <c r="J968" s="123"/>
      <c r="K968" s="97"/>
      <c r="L968" s="97"/>
      <c r="M968" s="66"/>
      <c r="N968" s="97"/>
      <c r="O968" s="97"/>
      <c r="P968" s="97"/>
      <c r="Q968" s="97"/>
      <c r="R968" s="97"/>
      <c r="S968" s="97"/>
      <c r="T968" s="97"/>
      <c r="U968" s="97"/>
      <c r="V968" s="97"/>
      <c r="W968" s="97"/>
      <c r="X968" s="97"/>
      <c r="Y968" s="97"/>
      <c r="Z968" s="97"/>
      <c r="AA968" s="97"/>
      <c r="AB968" s="97"/>
      <c r="AC968" s="97"/>
      <c r="AD968" s="97"/>
      <c r="AE968" s="97"/>
    </row>
    <row r="969" ht="14.25" customHeight="1">
      <c r="A969" s="59"/>
      <c r="B969" s="97"/>
      <c r="C969" s="97"/>
      <c r="D969" s="97"/>
      <c r="E969" s="97"/>
      <c r="F969" s="97"/>
      <c r="G969" s="97"/>
      <c r="H969" s="99"/>
      <c r="I969" s="123"/>
      <c r="J969" s="123"/>
      <c r="K969" s="97"/>
      <c r="L969" s="97"/>
      <c r="M969" s="66"/>
      <c r="N969" s="97"/>
      <c r="O969" s="97"/>
      <c r="P969" s="97"/>
      <c r="Q969" s="97"/>
      <c r="R969" s="97"/>
      <c r="S969" s="97"/>
      <c r="T969" s="97"/>
      <c r="U969" s="97"/>
      <c r="V969" s="97"/>
      <c r="W969" s="97"/>
      <c r="X969" s="97"/>
      <c r="Y969" s="97"/>
      <c r="Z969" s="97"/>
      <c r="AA969" s="97"/>
      <c r="AB969" s="97"/>
      <c r="AC969" s="97"/>
      <c r="AD969" s="97"/>
      <c r="AE969" s="97"/>
    </row>
    <row r="970" ht="14.25" customHeight="1">
      <c r="A970" s="59"/>
      <c r="B970" s="97"/>
      <c r="C970" s="97"/>
      <c r="D970" s="97"/>
      <c r="E970" s="97"/>
      <c r="F970" s="97"/>
      <c r="G970" s="97"/>
      <c r="H970" s="99"/>
      <c r="I970" s="123"/>
      <c r="J970" s="123"/>
      <c r="K970" s="97"/>
      <c r="L970" s="97"/>
      <c r="M970" s="66"/>
      <c r="N970" s="97"/>
      <c r="O970" s="97"/>
      <c r="P970" s="97"/>
      <c r="Q970" s="97"/>
      <c r="R970" s="97"/>
      <c r="S970" s="97"/>
      <c r="T970" s="97"/>
      <c r="U970" s="97"/>
      <c r="V970" s="97"/>
      <c r="W970" s="97"/>
      <c r="X970" s="97"/>
      <c r="Y970" s="97"/>
      <c r="Z970" s="97"/>
      <c r="AA970" s="97"/>
      <c r="AB970" s="97"/>
      <c r="AC970" s="97"/>
      <c r="AD970" s="97"/>
      <c r="AE970" s="97"/>
    </row>
    <row r="971" ht="14.25" customHeight="1">
      <c r="A971" s="59"/>
      <c r="B971" s="97"/>
      <c r="C971" s="97"/>
      <c r="D971" s="97"/>
      <c r="E971" s="97"/>
      <c r="F971" s="97"/>
      <c r="G971" s="97"/>
      <c r="H971" s="99"/>
      <c r="I971" s="123"/>
      <c r="J971" s="123"/>
      <c r="K971" s="97"/>
      <c r="L971" s="97"/>
      <c r="M971" s="66"/>
      <c r="N971" s="97"/>
      <c r="O971" s="97"/>
      <c r="P971" s="97"/>
      <c r="Q971" s="97"/>
      <c r="R971" s="97"/>
      <c r="S971" s="97"/>
      <c r="T971" s="97"/>
      <c r="U971" s="97"/>
      <c r="V971" s="97"/>
      <c r="W971" s="97"/>
      <c r="X971" s="97"/>
      <c r="Y971" s="97"/>
      <c r="Z971" s="97"/>
      <c r="AA971" s="97"/>
      <c r="AB971" s="97"/>
      <c r="AC971" s="97"/>
      <c r="AD971" s="97"/>
      <c r="AE971" s="97"/>
    </row>
    <row r="972" ht="14.25" customHeight="1">
      <c r="A972" s="59"/>
      <c r="B972" s="97"/>
      <c r="C972" s="97"/>
      <c r="D972" s="97"/>
      <c r="E972" s="97"/>
      <c r="F972" s="97"/>
      <c r="G972" s="97"/>
      <c r="H972" s="99"/>
      <c r="I972" s="123"/>
      <c r="J972" s="123"/>
      <c r="K972" s="97"/>
      <c r="L972" s="97"/>
      <c r="M972" s="66"/>
      <c r="N972" s="97"/>
      <c r="O972" s="97"/>
      <c r="P972" s="97"/>
      <c r="Q972" s="97"/>
      <c r="R972" s="97"/>
      <c r="S972" s="97"/>
      <c r="T972" s="97"/>
      <c r="U972" s="97"/>
      <c r="V972" s="97"/>
      <c r="W972" s="97"/>
      <c r="X972" s="97"/>
      <c r="Y972" s="97"/>
      <c r="Z972" s="97"/>
      <c r="AA972" s="97"/>
      <c r="AB972" s="97"/>
      <c r="AC972" s="97"/>
      <c r="AD972" s="97"/>
      <c r="AE972" s="97"/>
    </row>
    <row r="973" ht="14.25" customHeight="1">
      <c r="A973" s="59"/>
      <c r="B973" s="97"/>
      <c r="C973" s="97"/>
      <c r="D973" s="97"/>
      <c r="E973" s="97"/>
      <c r="F973" s="97"/>
      <c r="G973" s="97"/>
      <c r="H973" s="99"/>
      <c r="I973" s="123"/>
      <c r="J973" s="123"/>
      <c r="K973" s="97"/>
      <c r="L973" s="97"/>
      <c r="M973" s="66"/>
      <c r="N973" s="97"/>
      <c r="O973" s="97"/>
      <c r="P973" s="97"/>
      <c r="Q973" s="97"/>
      <c r="R973" s="97"/>
      <c r="S973" s="97"/>
      <c r="T973" s="97"/>
      <c r="U973" s="97"/>
      <c r="V973" s="97"/>
      <c r="W973" s="97"/>
      <c r="X973" s="97"/>
      <c r="Y973" s="97"/>
      <c r="Z973" s="97"/>
      <c r="AA973" s="97"/>
      <c r="AB973" s="97"/>
      <c r="AC973" s="97"/>
      <c r="AD973" s="97"/>
      <c r="AE973" s="97"/>
    </row>
    <row r="974" ht="14.25" customHeight="1">
      <c r="A974" s="59"/>
      <c r="B974" s="97"/>
      <c r="C974" s="97"/>
      <c r="D974" s="97"/>
      <c r="E974" s="97"/>
      <c r="F974" s="97"/>
      <c r="G974" s="97"/>
      <c r="H974" s="99"/>
      <c r="I974" s="123"/>
      <c r="J974" s="123"/>
      <c r="K974" s="97"/>
      <c r="L974" s="97"/>
      <c r="M974" s="66"/>
      <c r="N974" s="97"/>
      <c r="O974" s="97"/>
      <c r="P974" s="97"/>
      <c r="Q974" s="97"/>
      <c r="R974" s="97"/>
      <c r="S974" s="97"/>
      <c r="T974" s="97"/>
      <c r="U974" s="97"/>
      <c r="V974" s="97"/>
      <c r="W974" s="97"/>
      <c r="X974" s="97"/>
      <c r="Y974" s="97"/>
      <c r="Z974" s="97"/>
      <c r="AA974" s="97"/>
      <c r="AB974" s="97"/>
      <c r="AC974" s="97"/>
      <c r="AD974" s="97"/>
      <c r="AE974" s="97"/>
    </row>
    <row r="975" ht="14.25" customHeight="1">
      <c r="A975" s="59"/>
      <c r="B975" s="97"/>
      <c r="C975" s="97"/>
      <c r="D975" s="97"/>
      <c r="E975" s="97"/>
      <c r="F975" s="97"/>
      <c r="G975" s="97"/>
      <c r="H975" s="99"/>
      <c r="I975" s="123"/>
      <c r="J975" s="123"/>
      <c r="K975" s="97"/>
      <c r="L975" s="97"/>
      <c r="M975" s="66"/>
      <c r="N975" s="97"/>
      <c r="O975" s="97"/>
      <c r="P975" s="97"/>
      <c r="Q975" s="97"/>
      <c r="R975" s="97"/>
      <c r="S975" s="97"/>
      <c r="T975" s="97"/>
      <c r="U975" s="97"/>
      <c r="V975" s="97"/>
      <c r="W975" s="97"/>
      <c r="X975" s="97"/>
      <c r="Y975" s="97"/>
      <c r="Z975" s="97"/>
      <c r="AA975" s="97"/>
      <c r="AB975" s="97"/>
      <c r="AC975" s="97"/>
      <c r="AD975" s="97"/>
      <c r="AE975" s="97"/>
    </row>
    <row r="976" ht="14.25" customHeight="1">
      <c r="A976" s="59"/>
      <c r="B976" s="97"/>
      <c r="C976" s="97"/>
      <c r="D976" s="97"/>
      <c r="E976" s="97"/>
      <c r="F976" s="97"/>
      <c r="G976" s="97"/>
      <c r="H976" s="99"/>
      <c r="I976" s="123"/>
      <c r="J976" s="123"/>
      <c r="K976" s="97"/>
      <c r="L976" s="97"/>
      <c r="M976" s="66"/>
      <c r="N976" s="97"/>
      <c r="O976" s="97"/>
      <c r="P976" s="97"/>
      <c r="Q976" s="97"/>
      <c r="R976" s="97"/>
      <c r="S976" s="97"/>
      <c r="T976" s="97"/>
      <c r="U976" s="97"/>
      <c r="V976" s="97"/>
      <c r="W976" s="97"/>
      <c r="X976" s="97"/>
      <c r="Y976" s="97"/>
      <c r="Z976" s="97"/>
      <c r="AA976" s="97"/>
      <c r="AB976" s="97"/>
      <c r="AC976" s="97"/>
      <c r="AD976" s="97"/>
      <c r="AE976" s="97"/>
    </row>
    <row r="977" ht="14.25" customHeight="1">
      <c r="A977" s="59"/>
      <c r="B977" s="97"/>
      <c r="C977" s="97"/>
      <c r="D977" s="97"/>
      <c r="E977" s="97"/>
      <c r="F977" s="97"/>
      <c r="G977" s="97"/>
      <c r="H977" s="99"/>
      <c r="I977" s="123"/>
      <c r="J977" s="123"/>
      <c r="K977" s="97"/>
      <c r="L977" s="97"/>
      <c r="M977" s="66"/>
      <c r="N977" s="97"/>
      <c r="O977" s="97"/>
      <c r="P977" s="97"/>
      <c r="Q977" s="97"/>
      <c r="R977" s="97"/>
      <c r="S977" s="97"/>
      <c r="T977" s="97"/>
      <c r="U977" s="97"/>
      <c r="V977" s="97"/>
      <c r="W977" s="97"/>
      <c r="X977" s="97"/>
      <c r="Y977" s="97"/>
      <c r="Z977" s="97"/>
      <c r="AA977" s="97"/>
      <c r="AB977" s="97"/>
      <c r="AC977" s="97"/>
      <c r="AD977" s="97"/>
      <c r="AE977" s="97"/>
    </row>
    <row r="978" ht="14.25" customHeight="1">
      <c r="A978" s="59"/>
      <c r="B978" s="97"/>
      <c r="C978" s="97"/>
      <c r="D978" s="97"/>
      <c r="E978" s="97"/>
      <c r="F978" s="97"/>
      <c r="G978" s="97"/>
      <c r="H978" s="99"/>
      <c r="I978" s="123"/>
      <c r="J978" s="123"/>
      <c r="K978" s="97"/>
      <c r="L978" s="97"/>
      <c r="M978" s="66"/>
      <c r="N978" s="97"/>
      <c r="O978" s="97"/>
      <c r="P978" s="97"/>
      <c r="Q978" s="97"/>
      <c r="R978" s="97"/>
      <c r="S978" s="97"/>
      <c r="T978" s="97"/>
      <c r="U978" s="97"/>
      <c r="V978" s="97"/>
      <c r="W978" s="97"/>
      <c r="X978" s="97"/>
      <c r="Y978" s="97"/>
      <c r="Z978" s="97"/>
      <c r="AA978" s="97"/>
      <c r="AB978" s="97"/>
      <c r="AC978" s="97"/>
      <c r="AD978" s="97"/>
      <c r="AE978" s="97"/>
    </row>
    <row r="979" ht="14.25" customHeight="1">
      <c r="A979" s="59"/>
      <c r="B979" s="97"/>
      <c r="C979" s="97"/>
      <c r="D979" s="97"/>
      <c r="E979" s="97"/>
      <c r="F979" s="97"/>
      <c r="G979" s="97"/>
      <c r="H979" s="99"/>
      <c r="I979" s="123"/>
      <c r="J979" s="123"/>
      <c r="K979" s="97"/>
      <c r="L979" s="97"/>
      <c r="M979" s="66"/>
      <c r="N979" s="97"/>
      <c r="O979" s="97"/>
      <c r="P979" s="97"/>
      <c r="Q979" s="97"/>
      <c r="R979" s="97"/>
      <c r="S979" s="97"/>
      <c r="T979" s="97"/>
      <c r="U979" s="97"/>
      <c r="V979" s="97"/>
      <c r="W979" s="97"/>
      <c r="X979" s="97"/>
      <c r="Y979" s="97"/>
      <c r="Z979" s="97"/>
      <c r="AA979" s="97"/>
      <c r="AB979" s="97"/>
      <c r="AC979" s="97"/>
      <c r="AD979" s="97"/>
      <c r="AE979" s="97"/>
    </row>
    <row r="980" ht="14.25" customHeight="1">
      <c r="A980" s="59"/>
      <c r="B980" s="97"/>
      <c r="C980" s="97"/>
      <c r="D980" s="97"/>
      <c r="E980" s="97"/>
      <c r="F980" s="97"/>
      <c r="G980" s="97"/>
      <c r="H980" s="99"/>
      <c r="I980" s="123"/>
      <c r="J980" s="123"/>
      <c r="K980" s="97"/>
      <c r="L980" s="97"/>
      <c r="M980" s="66"/>
      <c r="N980" s="97"/>
      <c r="O980" s="97"/>
      <c r="P980" s="97"/>
      <c r="Q980" s="97"/>
      <c r="R980" s="97"/>
      <c r="S980" s="97"/>
      <c r="T980" s="97"/>
      <c r="U980" s="97"/>
      <c r="V980" s="97"/>
      <c r="W980" s="97"/>
      <c r="X980" s="97"/>
      <c r="Y980" s="97"/>
      <c r="Z980" s="97"/>
      <c r="AA980" s="97"/>
      <c r="AB980" s="97"/>
      <c r="AC980" s="97"/>
      <c r="AD980" s="97"/>
      <c r="AE980" s="97"/>
    </row>
    <row r="981" ht="14.25" customHeight="1">
      <c r="A981" s="59"/>
      <c r="B981" s="97"/>
      <c r="C981" s="97"/>
      <c r="D981" s="97"/>
      <c r="E981" s="97"/>
      <c r="F981" s="97"/>
      <c r="G981" s="97"/>
      <c r="H981" s="99"/>
      <c r="I981" s="123"/>
      <c r="J981" s="123"/>
      <c r="K981" s="97"/>
      <c r="L981" s="97"/>
      <c r="M981" s="66"/>
      <c r="N981" s="97"/>
      <c r="O981" s="97"/>
      <c r="P981" s="97"/>
      <c r="Q981" s="97"/>
      <c r="R981" s="97"/>
      <c r="S981" s="97"/>
      <c r="T981" s="97"/>
      <c r="U981" s="97"/>
      <c r="V981" s="97"/>
      <c r="W981" s="97"/>
      <c r="X981" s="97"/>
      <c r="Y981" s="97"/>
      <c r="Z981" s="97"/>
      <c r="AA981" s="97"/>
      <c r="AB981" s="97"/>
      <c r="AC981" s="97"/>
      <c r="AD981" s="97"/>
      <c r="AE981" s="97"/>
    </row>
    <row r="982" ht="14.25" customHeight="1">
      <c r="A982" s="59"/>
      <c r="B982" s="97"/>
      <c r="C982" s="97"/>
      <c r="D982" s="97"/>
      <c r="E982" s="97"/>
      <c r="F982" s="97"/>
      <c r="G982" s="97"/>
      <c r="H982" s="99"/>
      <c r="I982" s="123"/>
      <c r="J982" s="123"/>
      <c r="K982" s="97"/>
      <c r="L982" s="97"/>
      <c r="M982" s="66"/>
      <c r="N982" s="97"/>
      <c r="O982" s="97"/>
      <c r="P982" s="97"/>
      <c r="Q982" s="97"/>
      <c r="R982" s="97"/>
      <c r="S982" s="97"/>
      <c r="T982" s="97"/>
      <c r="U982" s="97"/>
      <c r="V982" s="97"/>
      <c r="W982" s="97"/>
      <c r="X982" s="97"/>
      <c r="Y982" s="97"/>
      <c r="Z982" s="97"/>
      <c r="AA982" s="97"/>
      <c r="AB982" s="97"/>
      <c r="AC982" s="97"/>
      <c r="AD982" s="97"/>
      <c r="AE982" s="97"/>
    </row>
    <row r="983" ht="14.25" customHeight="1">
      <c r="A983" s="59"/>
      <c r="B983" s="97"/>
      <c r="C983" s="97"/>
      <c r="D983" s="97"/>
      <c r="E983" s="97"/>
      <c r="F983" s="97"/>
      <c r="G983" s="97"/>
      <c r="H983" s="99"/>
      <c r="I983" s="123"/>
      <c r="J983" s="123"/>
      <c r="K983" s="97"/>
      <c r="L983" s="97"/>
      <c r="M983" s="66"/>
      <c r="N983" s="97"/>
      <c r="O983" s="97"/>
      <c r="P983" s="97"/>
      <c r="Q983" s="97"/>
      <c r="R983" s="97"/>
      <c r="S983" s="97"/>
      <c r="T983" s="97"/>
      <c r="U983" s="97"/>
      <c r="V983" s="97"/>
      <c r="W983" s="97"/>
      <c r="X983" s="97"/>
      <c r="Y983" s="97"/>
      <c r="Z983" s="97"/>
      <c r="AA983" s="97"/>
      <c r="AB983" s="97"/>
      <c r="AC983" s="97"/>
      <c r="AD983" s="97"/>
      <c r="AE983" s="97"/>
    </row>
    <row r="984" ht="14.25" customHeight="1">
      <c r="A984" s="59"/>
      <c r="B984" s="97"/>
      <c r="C984" s="97"/>
      <c r="D984" s="97"/>
      <c r="E984" s="97"/>
      <c r="F984" s="97"/>
      <c r="G984" s="97"/>
      <c r="H984" s="99"/>
      <c r="I984" s="123"/>
      <c r="J984" s="123"/>
      <c r="K984" s="97"/>
      <c r="L984" s="97"/>
      <c r="M984" s="66"/>
      <c r="N984" s="97"/>
      <c r="O984" s="97"/>
      <c r="P984" s="97"/>
      <c r="Q984" s="97"/>
      <c r="R984" s="97"/>
      <c r="S984" s="97"/>
      <c r="T984" s="97"/>
      <c r="U984" s="97"/>
      <c r="V984" s="97"/>
      <c r="W984" s="97"/>
      <c r="X984" s="97"/>
      <c r="Y984" s="97"/>
      <c r="Z984" s="97"/>
      <c r="AA984" s="97"/>
      <c r="AB984" s="97"/>
      <c r="AC984" s="97"/>
      <c r="AD984" s="97"/>
      <c r="AE984" s="97"/>
    </row>
    <row r="985" ht="14.25" customHeight="1">
      <c r="A985" s="59"/>
      <c r="B985" s="97"/>
      <c r="C985" s="97"/>
      <c r="D985" s="97"/>
      <c r="E985" s="97"/>
      <c r="F985" s="97"/>
      <c r="G985" s="97"/>
      <c r="H985" s="99"/>
      <c r="I985" s="123"/>
      <c r="J985" s="123"/>
      <c r="K985" s="97"/>
      <c r="L985" s="97"/>
      <c r="M985" s="66"/>
      <c r="N985" s="97"/>
      <c r="O985" s="97"/>
      <c r="P985" s="97"/>
      <c r="Q985" s="97"/>
      <c r="R985" s="97"/>
      <c r="S985" s="97"/>
      <c r="T985" s="97"/>
      <c r="U985" s="97"/>
      <c r="V985" s="97"/>
      <c r="W985" s="97"/>
      <c r="X985" s="97"/>
      <c r="Y985" s="97"/>
      <c r="Z985" s="97"/>
      <c r="AA985" s="97"/>
      <c r="AB985" s="97"/>
      <c r="AC985" s="97"/>
      <c r="AD985" s="97"/>
      <c r="AE985" s="97"/>
    </row>
    <row r="986" ht="14.25" customHeight="1">
      <c r="A986" s="59"/>
      <c r="B986" s="97"/>
      <c r="C986" s="97"/>
      <c r="D986" s="97"/>
      <c r="E986" s="97"/>
      <c r="F986" s="97"/>
      <c r="G986" s="97"/>
      <c r="H986" s="99"/>
      <c r="I986" s="123"/>
      <c r="J986" s="123"/>
      <c r="K986" s="97"/>
      <c r="L986" s="97"/>
      <c r="M986" s="66"/>
      <c r="N986" s="97"/>
      <c r="O986" s="97"/>
      <c r="P986" s="97"/>
      <c r="Q986" s="97"/>
      <c r="R986" s="97"/>
      <c r="S986" s="97"/>
      <c r="T986" s="97"/>
      <c r="U986" s="97"/>
      <c r="V986" s="97"/>
      <c r="W986" s="97"/>
      <c r="X986" s="97"/>
      <c r="Y986" s="97"/>
      <c r="Z986" s="97"/>
      <c r="AA986" s="97"/>
      <c r="AB986" s="97"/>
      <c r="AC986" s="97"/>
      <c r="AD986" s="97"/>
      <c r="AE986" s="97"/>
    </row>
    <row r="987" ht="14.25" customHeight="1">
      <c r="A987" s="59"/>
      <c r="B987" s="97"/>
      <c r="C987" s="97"/>
      <c r="D987" s="97"/>
      <c r="E987" s="97"/>
      <c r="F987" s="97"/>
      <c r="G987" s="97"/>
      <c r="H987" s="99"/>
      <c r="I987" s="123"/>
      <c r="J987" s="123"/>
      <c r="K987" s="97"/>
      <c r="L987" s="97"/>
      <c r="M987" s="66"/>
      <c r="N987" s="97"/>
      <c r="O987" s="97"/>
      <c r="P987" s="97"/>
      <c r="Q987" s="97"/>
      <c r="R987" s="97"/>
      <c r="S987" s="97"/>
      <c r="T987" s="97"/>
      <c r="U987" s="97"/>
      <c r="V987" s="97"/>
      <c r="W987" s="97"/>
      <c r="X987" s="97"/>
      <c r="Y987" s="97"/>
      <c r="Z987" s="97"/>
      <c r="AA987" s="97"/>
      <c r="AB987" s="97"/>
      <c r="AC987" s="97"/>
      <c r="AD987" s="97"/>
      <c r="AE987" s="97"/>
    </row>
    <row r="988" ht="14.25" customHeight="1">
      <c r="A988" s="59"/>
      <c r="B988" s="97"/>
      <c r="C988" s="97"/>
      <c r="D988" s="97"/>
      <c r="E988" s="97"/>
      <c r="F988" s="97"/>
      <c r="G988" s="97"/>
      <c r="H988" s="99"/>
      <c r="I988" s="123"/>
      <c r="J988" s="123"/>
      <c r="K988" s="97"/>
      <c r="L988" s="97"/>
      <c r="M988" s="66"/>
      <c r="N988" s="97"/>
      <c r="O988" s="97"/>
      <c r="P988" s="97"/>
      <c r="Q988" s="97"/>
      <c r="R988" s="97"/>
      <c r="S988" s="97"/>
      <c r="T988" s="97"/>
      <c r="U988" s="97"/>
      <c r="V988" s="97"/>
      <c r="W988" s="97"/>
      <c r="X988" s="97"/>
      <c r="Y988" s="97"/>
      <c r="Z988" s="97"/>
      <c r="AA988" s="97"/>
      <c r="AB988" s="97"/>
      <c r="AC988" s="97"/>
      <c r="AD988" s="97"/>
      <c r="AE988" s="97"/>
    </row>
    <row r="989" ht="14.25" customHeight="1">
      <c r="A989" s="59"/>
      <c r="B989" s="97"/>
      <c r="C989" s="97"/>
      <c r="D989" s="97"/>
      <c r="E989" s="97"/>
      <c r="F989" s="97"/>
      <c r="G989" s="97"/>
      <c r="H989" s="99"/>
      <c r="I989" s="123"/>
      <c r="J989" s="123"/>
      <c r="K989" s="97"/>
      <c r="L989" s="97"/>
      <c r="M989" s="66"/>
      <c r="N989" s="97"/>
      <c r="O989" s="97"/>
      <c r="P989" s="97"/>
      <c r="Q989" s="97"/>
      <c r="R989" s="97"/>
      <c r="S989" s="97"/>
      <c r="T989" s="97"/>
      <c r="U989" s="97"/>
      <c r="V989" s="97"/>
      <c r="W989" s="97"/>
      <c r="X989" s="97"/>
      <c r="Y989" s="97"/>
      <c r="Z989" s="97"/>
      <c r="AA989" s="97"/>
      <c r="AB989" s="97"/>
      <c r="AC989" s="97"/>
      <c r="AD989" s="97"/>
      <c r="AE989" s="97"/>
    </row>
    <row r="990" ht="14.25" customHeight="1">
      <c r="A990" s="59"/>
      <c r="B990" s="97"/>
      <c r="C990" s="97"/>
      <c r="D990" s="97"/>
      <c r="E990" s="97"/>
      <c r="F990" s="97"/>
      <c r="G990" s="97"/>
      <c r="H990" s="99"/>
      <c r="I990" s="123"/>
      <c r="J990" s="123"/>
      <c r="K990" s="97"/>
      <c r="L990" s="97"/>
      <c r="M990" s="66"/>
      <c r="N990" s="97"/>
      <c r="O990" s="97"/>
      <c r="P990" s="97"/>
      <c r="Q990" s="97"/>
      <c r="R990" s="97"/>
      <c r="S990" s="97"/>
      <c r="T990" s="97"/>
      <c r="U990" s="97"/>
      <c r="V990" s="97"/>
      <c r="W990" s="97"/>
      <c r="X990" s="97"/>
      <c r="Y990" s="97"/>
      <c r="Z990" s="97"/>
      <c r="AA990" s="97"/>
      <c r="AB990" s="97"/>
      <c r="AC990" s="97"/>
      <c r="AD990" s="97"/>
      <c r="AE990" s="97"/>
    </row>
    <row r="991" ht="14.25" customHeight="1">
      <c r="A991" s="59"/>
      <c r="B991" s="97"/>
      <c r="C991" s="97"/>
      <c r="D991" s="97"/>
      <c r="E991" s="97"/>
      <c r="F991" s="97"/>
      <c r="G991" s="97"/>
      <c r="H991" s="99"/>
      <c r="I991" s="123"/>
      <c r="J991" s="123"/>
      <c r="K991" s="97"/>
      <c r="L991" s="97"/>
      <c r="M991" s="66"/>
      <c r="N991" s="97"/>
      <c r="O991" s="97"/>
      <c r="P991" s="97"/>
      <c r="Q991" s="97"/>
      <c r="R991" s="97"/>
      <c r="S991" s="97"/>
      <c r="T991" s="97"/>
      <c r="U991" s="97"/>
      <c r="V991" s="97"/>
      <c r="W991" s="97"/>
      <c r="X991" s="97"/>
      <c r="Y991" s="97"/>
      <c r="Z991" s="97"/>
      <c r="AA991" s="97"/>
      <c r="AB991" s="97"/>
      <c r="AC991" s="97"/>
      <c r="AD991" s="97"/>
      <c r="AE991" s="97"/>
    </row>
    <row r="992" ht="14.25" customHeight="1">
      <c r="A992" s="59"/>
      <c r="B992" s="97"/>
      <c r="C992" s="97"/>
      <c r="D992" s="97"/>
      <c r="E992" s="97"/>
      <c r="F992" s="97"/>
      <c r="G992" s="97"/>
      <c r="H992" s="99"/>
      <c r="I992" s="123"/>
      <c r="J992" s="123"/>
      <c r="K992" s="97"/>
      <c r="L992" s="97"/>
      <c r="M992" s="66"/>
      <c r="N992" s="97"/>
      <c r="O992" s="97"/>
      <c r="P992" s="97"/>
      <c r="Q992" s="97"/>
      <c r="R992" s="97"/>
      <c r="S992" s="97"/>
      <c r="T992" s="97"/>
      <c r="U992" s="97"/>
      <c r="V992" s="97"/>
      <c r="W992" s="97"/>
      <c r="X992" s="97"/>
      <c r="Y992" s="97"/>
      <c r="Z992" s="97"/>
      <c r="AA992" s="97"/>
      <c r="AB992" s="97"/>
      <c r="AC992" s="97"/>
      <c r="AD992" s="97"/>
      <c r="AE992" s="97"/>
    </row>
    <row r="993" ht="14.25" customHeight="1">
      <c r="A993" s="59"/>
      <c r="B993" s="97"/>
      <c r="C993" s="97"/>
      <c r="D993" s="97"/>
      <c r="E993" s="97"/>
      <c r="F993" s="97"/>
      <c r="G993" s="97"/>
      <c r="H993" s="99"/>
      <c r="I993" s="123"/>
      <c r="J993" s="123"/>
      <c r="K993" s="97"/>
      <c r="L993" s="97"/>
      <c r="M993" s="66"/>
      <c r="N993" s="97"/>
      <c r="O993" s="97"/>
      <c r="P993" s="97"/>
      <c r="Q993" s="97"/>
      <c r="R993" s="97"/>
      <c r="S993" s="97"/>
      <c r="T993" s="97"/>
      <c r="U993" s="97"/>
      <c r="V993" s="97"/>
      <c r="W993" s="97"/>
      <c r="X993" s="97"/>
      <c r="Y993" s="97"/>
      <c r="Z993" s="97"/>
      <c r="AA993" s="97"/>
      <c r="AB993" s="97"/>
      <c r="AC993" s="97"/>
      <c r="AD993" s="97"/>
      <c r="AE993" s="97"/>
    </row>
    <row r="994" ht="14.25" customHeight="1">
      <c r="A994" s="59"/>
      <c r="B994" s="97"/>
      <c r="C994" s="97"/>
      <c r="D994" s="97"/>
      <c r="E994" s="97"/>
      <c r="F994" s="97"/>
      <c r="G994" s="97"/>
      <c r="H994" s="99"/>
      <c r="I994" s="123"/>
      <c r="J994" s="123"/>
      <c r="K994" s="97"/>
      <c r="L994" s="97"/>
      <c r="M994" s="66"/>
      <c r="N994" s="97"/>
      <c r="O994" s="97"/>
      <c r="P994" s="97"/>
      <c r="Q994" s="97"/>
      <c r="R994" s="97"/>
      <c r="S994" s="97"/>
      <c r="T994" s="97"/>
      <c r="U994" s="97"/>
      <c r="V994" s="97"/>
      <c r="W994" s="97"/>
      <c r="X994" s="97"/>
      <c r="Y994" s="97"/>
      <c r="Z994" s="97"/>
      <c r="AA994" s="97"/>
      <c r="AB994" s="97"/>
      <c r="AC994" s="97"/>
      <c r="AD994" s="97"/>
      <c r="AE994" s="97"/>
    </row>
    <row r="995" ht="14.25" customHeight="1">
      <c r="A995" s="59"/>
      <c r="B995" s="97"/>
      <c r="C995" s="97"/>
      <c r="D995" s="97"/>
      <c r="E995" s="97"/>
      <c r="F995" s="97"/>
      <c r="G995" s="97"/>
      <c r="H995" s="99"/>
      <c r="I995" s="123"/>
      <c r="J995" s="123"/>
      <c r="K995" s="97"/>
      <c r="L995" s="97"/>
      <c r="M995" s="66"/>
      <c r="N995" s="97"/>
      <c r="O995" s="97"/>
      <c r="P995" s="97"/>
      <c r="Q995" s="97"/>
      <c r="R995" s="97"/>
      <c r="S995" s="97"/>
      <c r="T995" s="97"/>
      <c r="U995" s="97"/>
      <c r="V995" s="97"/>
      <c r="W995" s="97"/>
      <c r="X995" s="97"/>
      <c r="Y995" s="97"/>
      <c r="Z995" s="97"/>
      <c r="AA995" s="97"/>
      <c r="AB995" s="97"/>
      <c r="AC995" s="97"/>
      <c r="AD995" s="97"/>
      <c r="AE995" s="97"/>
    </row>
    <row r="996" ht="14.25" customHeight="1">
      <c r="A996" s="59"/>
      <c r="B996" s="97"/>
      <c r="C996" s="97"/>
      <c r="D996" s="97"/>
      <c r="E996" s="97"/>
      <c r="F996" s="97"/>
      <c r="G996" s="97"/>
      <c r="H996" s="99"/>
      <c r="I996" s="123"/>
      <c r="J996" s="123"/>
      <c r="K996" s="97"/>
      <c r="L996" s="97"/>
      <c r="M996" s="66"/>
      <c r="N996" s="97"/>
      <c r="O996" s="97"/>
      <c r="P996" s="97"/>
      <c r="Q996" s="97"/>
      <c r="R996" s="97"/>
      <c r="S996" s="97"/>
      <c r="T996" s="97"/>
      <c r="U996" s="97"/>
      <c r="V996" s="97"/>
      <c r="W996" s="97"/>
      <c r="X996" s="97"/>
      <c r="Y996" s="97"/>
      <c r="Z996" s="97"/>
      <c r="AA996" s="97"/>
      <c r="AB996" s="97"/>
      <c r="AC996" s="97"/>
      <c r="AD996" s="97"/>
      <c r="AE996" s="97"/>
    </row>
    <row r="997" ht="14.25" customHeight="1">
      <c r="A997" s="59"/>
      <c r="B997" s="97"/>
      <c r="C997" s="97"/>
      <c r="D997" s="97"/>
      <c r="E997" s="97"/>
      <c r="F997" s="97"/>
      <c r="G997" s="97"/>
      <c r="H997" s="99"/>
      <c r="I997" s="123"/>
      <c r="J997" s="123"/>
      <c r="K997" s="97"/>
      <c r="L997" s="97"/>
      <c r="M997" s="66"/>
      <c r="N997" s="97"/>
      <c r="O997" s="97"/>
      <c r="P997" s="97"/>
      <c r="Q997" s="97"/>
      <c r="R997" s="97"/>
      <c r="S997" s="97"/>
      <c r="T997" s="97"/>
      <c r="U997" s="97"/>
      <c r="V997" s="97"/>
      <c r="W997" s="97"/>
      <c r="X997" s="97"/>
      <c r="Y997" s="97"/>
      <c r="Z997" s="97"/>
      <c r="AA997" s="97"/>
      <c r="AB997" s="97"/>
      <c r="AC997" s="97"/>
      <c r="AD997" s="97"/>
      <c r="AE997" s="97"/>
    </row>
    <row r="998" ht="14.25" customHeight="1">
      <c r="A998" s="59"/>
      <c r="B998" s="97"/>
      <c r="C998" s="97"/>
      <c r="D998" s="97"/>
      <c r="E998" s="97"/>
      <c r="F998" s="97"/>
      <c r="G998" s="97"/>
      <c r="H998" s="99"/>
      <c r="I998" s="123"/>
      <c r="J998" s="123"/>
      <c r="K998" s="97"/>
      <c r="L998" s="97"/>
      <c r="M998" s="66"/>
      <c r="N998" s="97"/>
      <c r="O998" s="97"/>
      <c r="P998" s="97"/>
      <c r="Q998" s="97"/>
      <c r="R998" s="97"/>
      <c r="S998" s="97"/>
      <c r="T998" s="97"/>
      <c r="U998" s="97"/>
      <c r="V998" s="97"/>
      <c r="W998" s="97"/>
      <c r="X998" s="97"/>
      <c r="Y998" s="97"/>
      <c r="Z998" s="97"/>
      <c r="AA998" s="97"/>
      <c r="AB998" s="97"/>
      <c r="AC998" s="97"/>
      <c r="AD998" s="97"/>
      <c r="AE998" s="97"/>
    </row>
    <row r="999" ht="14.25" customHeight="1">
      <c r="A999" s="59"/>
      <c r="B999" s="97"/>
      <c r="C999" s="97"/>
      <c r="D999" s="97"/>
      <c r="E999" s="97"/>
      <c r="F999" s="97"/>
      <c r="G999" s="97"/>
      <c r="H999" s="99"/>
      <c r="I999" s="123"/>
      <c r="J999" s="123"/>
      <c r="K999" s="97"/>
      <c r="L999" s="97"/>
      <c r="M999" s="66"/>
      <c r="N999" s="97"/>
      <c r="O999" s="97"/>
      <c r="P999" s="97"/>
      <c r="Q999" s="97"/>
      <c r="R999" s="97"/>
      <c r="S999" s="97"/>
      <c r="T999" s="97"/>
      <c r="U999" s="97"/>
      <c r="V999" s="97"/>
      <c r="W999" s="97"/>
      <c r="X999" s="97"/>
      <c r="Y999" s="97"/>
      <c r="Z999" s="97"/>
      <c r="AA999" s="97"/>
      <c r="AB999" s="97"/>
      <c r="AC999" s="97"/>
      <c r="AD999" s="97"/>
      <c r="AE999" s="97"/>
    </row>
    <row r="1000" ht="14.25" customHeight="1">
      <c r="A1000" s="59"/>
      <c r="B1000" s="97"/>
      <c r="C1000" s="97"/>
      <c r="D1000" s="97"/>
      <c r="E1000" s="97"/>
      <c r="F1000" s="97"/>
      <c r="G1000" s="97"/>
      <c r="H1000" s="99"/>
      <c r="I1000" s="123"/>
      <c r="J1000" s="123"/>
      <c r="K1000" s="97"/>
      <c r="L1000" s="97"/>
      <c r="M1000" s="66"/>
      <c r="N1000" s="97"/>
      <c r="O1000" s="97"/>
      <c r="P1000" s="97"/>
      <c r="Q1000" s="97"/>
      <c r="R1000" s="97"/>
      <c r="S1000" s="97"/>
      <c r="T1000" s="97"/>
      <c r="U1000" s="97"/>
      <c r="V1000" s="97"/>
      <c r="W1000" s="97"/>
      <c r="X1000" s="97"/>
      <c r="Y1000" s="97"/>
      <c r="Z1000" s="97"/>
      <c r="AA1000" s="97"/>
      <c r="AB1000" s="97"/>
      <c r="AC1000" s="97"/>
      <c r="AD1000" s="97"/>
      <c r="AE1000" s="97"/>
    </row>
  </sheetData>
  <mergeCells count="2">
    <mergeCell ref="B8:E8"/>
    <mergeCell ref="B10:D10"/>
  </mergeCells>
  <conditionalFormatting sqref="G11">
    <cfRule type="containsText" dxfId="0" priority="1" operator="containsText" text="Not noticed">
      <formula>NOT(ISERROR(SEARCH(("Not noticed"),(G11))))</formula>
    </cfRule>
  </conditionalFormatting>
  <conditionalFormatting sqref="G18">
    <cfRule type="containsText" dxfId="0" priority="2" operator="containsText" text="Not noticed">
      <formula>NOT(ISERROR(SEARCH(("Not noticed"),(G18))))</formula>
    </cfRule>
  </conditionalFormatting>
  <conditionalFormatting sqref="G20">
    <cfRule type="containsText" dxfId="0" priority="3" operator="containsText" text="Not noticed">
      <formula>NOT(ISERROR(SEARCH(("Not noticed"),(G20))))</formula>
    </cfRule>
  </conditionalFormatting>
  <conditionalFormatting sqref="G22">
    <cfRule type="containsText" dxfId="0" priority="4" operator="containsText" text="Not noticed">
      <formula>NOT(ISERROR(SEARCH(("Not noticed"),(G22))))</formula>
    </cfRule>
  </conditionalFormatting>
  <conditionalFormatting sqref="G27:G29">
    <cfRule type="containsText" dxfId="0" priority="5" operator="containsText" text="Not noticed">
      <formula>NOT(ISERROR(SEARCH(("Not noticed"),(G27))))</formula>
    </cfRule>
  </conditionalFormatting>
  <conditionalFormatting sqref="G31:G42">
    <cfRule type="containsText" dxfId="0" priority="6" operator="containsText" text="Not noticed">
      <formula>NOT(ISERROR(SEARCH(("Not noticed"),(G31))))</formula>
    </cfRule>
  </conditionalFormatting>
  <conditionalFormatting sqref="G44:G46">
    <cfRule type="containsText" dxfId="0" priority="7" operator="containsText" text="Not noticed">
      <formula>NOT(ISERROR(SEARCH(("Not noticed"),(G44))))</formula>
    </cfRule>
  </conditionalFormatting>
  <conditionalFormatting sqref="G48:G51">
    <cfRule type="containsText" dxfId="0" priority="8" operator="containsText" text="Not noticed">
      <formula>NOT(ISERROR(SEARCH(("Not noticed"),(G48))))</formula>
    </cfRule>
  </conditionalFormatting>
  <conditionalFormatting sqref="G53:G57">
    <cfRule type="containsText" dxfId="0" priority="9" operator="containsText" text="Not noticed">
      <formula>NOT(ISERROR(SEARCH(("Not noticed"),(G53))))</formula>
    </cfRule>
  </conditionalFormatting>
  <conditionalFormatting sqref="G59">
    <cfRule type="containsText" dxfId="0" priority="10" operator="containsText" text="Not noticed">
      <formula>NOT(ISERROR(SEARCH(("Not noticed"),(G59))))</formula>
    </cfRule>
  </conditionalFormatting>
  <conditionalFormatting sqref="G61">
    <cfRule type="containsText" dxfId="0" priority="11" operator="containsText" text="Not noticed">
      <formula>NOT(ISERROR(SEARCH(("Not noticed"),(G61))))</formula>
    </cfRule>
  </conditionalFormatting>
  <conditionalFormatting sqref="G60">
    <cfRule type="containsText" dxfId="0" priority="12" operator="containsText" text="Yes">
      <formula>NOT(ISERROR(SEARCH(("Yes"),(G60))))</formula>
    </cfRule>
  </conditionalFormatting>
  <conditionalFormatting sqref="G62:G67">
    <cfRule type="containsText" dxfId="0" priority="13" operator="containsText" text="Yes">
      <formula>NOT(ISERROR(SEARCH(("Yes"),(G62))))</formula>
    </cfRule>
  </conditionalFormatting>
  <conditionalFormatting sqref="G12">
    <cfRule type="endsWith" dxfId="0" priority="14" operator="endsWith" text="o">
      <formula>RIGHT((G12),LEN("o"))=("o")</formula>
    </cfRule>
  </conditionalFormatting>
  <conditionalFormatting sqref="G13:G17">
    <cfRule type="containsText" dxfId="0" priority="15" operator="containsText" text="Low Dependancy">
      <formula>NOT(ISERROR(SEARCH(("Low Dependancy"),(G13))))</formula>
    </cfRule>
  </conditionalFormatting>
  <conditionalFormatting sqref="G19">
    <cfRule type="containsText" dxfId="0" priority="16" operator="containsText" text="Low Dependancy">
      <formula>NOT(ISERROR(SEARCH(("Low Dependancy"),(G19))))</formula>
    </cfRule>
  </conditionalFormatting>
  <conditionalFormatting sqref="G26">
    <cfRule type="containsText" dxfId="0" priority="17" operator="containsText" text="Yes">
      <formula>NOT(ISERROR(SEARCH(("Yes"),(G26))))</formula>
    </cfRule>
  </conditionalFormatting>
  <conditionalFormatting sqref="G24:G25">
    <cfRule type="containsText" dxfId="0" priority="18" operator="containsText" text="Few Residents Concerned">
      <formula>NOT(ISERROR(SEARCH(("Few Residents Concerned"),(G24))))</formula>
    </cfRule>
  </conditionalFormatting>
  <conditionalFormatting sqref="G21">
    <cfRule type="containsText" dxfId="0" priority="19" operator="containsText" text="Almost Nobody Has">
      <formula>NOT(ISERROR(SEARCH(("Almost Nobody Has"),(G21))))</formula>
    </cfRule>
  </conditionalFormatting>
  <conditionalFormatting sqref="G52">
    <cfRule type="endsWith" dxfId="0" priority="20" operator="endsWith" text="o">
      <formula>RIGHT((G52),LEN("o"))=("o")</formula>
    </cfRule>
  </conditionalFormatting>
  <dataValidations>
    <dataValidation type="list" allowBlank="1" showErrorMessage="1" sqref="G22 G40:G41 G44:G46 G49:G50 G54 G59 G61">
      <formula1>$J$53:$J$55</formula1>
    </dataValidation>
    <dataValidation type="list" allowBlank="1" showErrorMessage="1" sqref="G13:G17 G19">
      <formula1>$J$17:$J$19</formula1>
    </dataValidation>
    <dataValidation type="list" allowBlank="1" showErrorMessage="1" sqref="G24:G25">
      <formula1>$J$33:$J$35</formula1>
    </dataValidation>
    <dataValidation type="list" allowBlank="1" showErrorMessage="1" sqref="G12 G52 G60 G62:G67">
      <formula1>$J$63:$J$65</formula1>
    </dataValidation>
    <dataValidation type="list" allowBlank="1" showErrorMessage="1" sqref="G18 G20 G27:G29 G31:G39 G42 G48 G51 G53 G55:G57">
      <formula1>$J$22:$J$24</formula1>
    </dataValidation>
    <dataValidation type="list" allowBlank="1" showErrorMessage="1" sqref="G21">
      <formula1>$J$27:$J$29</formula1>
    </dataValidation>
    <dataValidation type="list" allowBlank="1" showErrorMessage="1" sqref="G26">
      <formula1>$J$43:$J$45</formula1>
    </dataValidation>
    <dataValidation type="list" allowBlank="1" showErrorMessage="1" sqref="G11">
      <formula1>$J$11:$J$13</formula1>
    </dataValidation>
  </dataValidations>
  <printOptions/>
  <pageMargins bottom="0.75" footer="0.0" header="0.0" left="0.7" right="0.7" top="0.75"/>
  <pageSetup paperSize="9" orientation="portrait"/>
  <headerFooter>
    <oddFooter>&amp;R#000000C2 - Safaricom Internal</oddFooter>
  </headerFooter>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5.57"/>
    <col customWidth="1" min="2" max="2" width="6.43"/>
    <col customWidth="1" min="3" max="3" width="21.57"/>
    <col customWidth="1" min="4" max="4" width="22.43"/>
    <col customWidth="1" min="5" max="5" width="111.43"/>
    <col customWidth="1" min="6" max="6" width="71.57"/>
    <col customWidth="1" min="7" max="7" width="26.43"/>
    <col customWidth="1" min="8" max="8" width="28.0"/>
    <col customWidth="1" hidden="1" min="9" max="9" width="11.43"/>
    <col customWidth="1" hidden="1" min="10" max="10" width="27.57"/>
    <col customWidth="1" hidden="1" min="11" max="11" width="23.57"/>
    <col customWidth="1" hidden="1" min="12" max="12" width="12.43"/>
    <col customWidth="1" hidden="1" min="13" max="13" width="8.43"/>
    <col customWidth="1" hidden="1" min="14" max="14" width="9.14"/>
    <col customWidth="1" hidden="1" min="15" max="15" width="10.43"/>
    <col customWidth="1" hidden="1" min="16" max="27" width="9.14"/>
    <col customWidth="1" min="28" max="37" width="8.71"/>
  </cols>
  <sheetData>
    <row r="1" ht="14.25" customHeight="1">
      <c r="A1" s="56"/>
      <c r="B1" s="1"/>
      <c r="C1" s="1"/>
      <c r="D1" s="1"/>
      <c r="E1" s="1"/>
      <c r="F1" s="1"/>
      <c r="G1" s="1"/>
      <c r="H1" s="98"/>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row>
    <row r="2" ht="14.25" customHeight="1">
      <c r="A2" s="56"/>
      <c r="B2" s="1"/>
      <c r="C2" s="1"/>
      <c r="D2" s="1"/>
      <c r="E2" s="1"/>
      <c r="F2" s="1"/>
      <c r="G2" s="1"/>
      <c r="H2" s="98"/>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row>
    <row r="3" ht="14.25" customHeight="1">
      <c r="A3" s="56"/>
      <c r="B3" s="1"/>
      <c r="C3" s="1"/>
      <c r="D3" s="1"/>
      <c r="E3" s="1"/>
      <c r="F3" s="1"/>
      <c r="G3" s="1"/>
      <c r="H3" s="98"/>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row>
    <row r="4" ht="14.25" customHeight="1">
      <c r="A4" s="56"/>
      <c r="B4" s="1"/>
      <c r="C4" s="1"/>
      <c r="D4" s="1"/>
      <c r="E4" s="1"/>
      <c r="F4" s="1"/>
      <c r="G4" s="1"/>
      <c r="H4" s="98"/>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row>
    <row r="5" ht="14.25" customHeight="1">
      <c r="A5" s="56"/>
      <c r="B5" s="1"/>
      <c r="C5" s="1"/>
      <c r="D5" s="1"/>
      <c r="E5" s="1"/>
      <c r="F5" s="1"/>
      <c r="G5" s="1"/>
      <c r="H5" s="98"/>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row>
    <row r="6" ht="14.25" customHeight="1">
      <c r="A6" s="59"/>
      <c r="B6" s="60"/>
      <c r="C6" s="60"/>
      <c r="D6" s="60"/>
      <c r="E6" s="60"/>
      <c r="F6" s="60"/>
      <c r="G6" s="60"/>
      <c r="H6" s="98"/>
      <c r="I6" s="59"/>
      <c r="J6" s="59"/>
      <c r="K6" s="59"/>
      <c r="L6" s="59"/>
      <c r="M6" s="118"/>
      <c r="N6" s="59"/>
      <c r="O6" s="59"/>
      <c r="P6" s="100"/>
      <c r="Q6" s="100"/>
      <c r="R6" s="100"/>
      <c r="S6" s="100"/>
      <c r="T6" s="100"/>
      <c r="U6" s="100"/>
      <c r="V6" s="100"/>
      <c r="W6" s="100"/>
      <c r="X6" s="100"/>
      <c r="Y6" s="100"/>
      <c r="Z6" s="100"/>
      <c r="AA6" s="100"/>
      <c r="AB6" s="59"/>
      <c r="AC6" s="59"/>
      <c r="AD6" s="59"/>
      <c r="AE6" s="59"/>
      <c r="AF6" s="59"/>
      <c r="AG6" s="59"/>
      <c r="AH6" s="59"/>
      <c r="AI6" s="59"/>
      <c r="AJ6" s="59"/>
      <c r="AK6" s="59"/>
    </row>
    <row r="7" ht="33.75" customHeight="1">
      <c r="A7" s="59"/>
      <c r="B7" s="60"/>
      <c r="C7" s="60"/>
      <c r="D7" s="60"/>
      <c r="E7" s="60"/>
      <c r="F7" s="64" t="s">
        <v>27</v>
      </c>
      <c r="G7" s="60"/>
      <c r="H7" s="98"/>
      <c r="I7" s="59"/>
      <c r="J7" s="59"/>
      <c r="K7" s="101"/>
      <c r="L7" s="59"/>
      <c r="M7" s="118"/>
      <c r="N7" s="59"/>
      <c r="O7" s="59"/>
      <c r="P7" s="100"/>
      <c r="Q7" s="100"/>
      <c r="R7" s="100"/>
      <c r="S7" s="100"/>
      <c r="T7" s="100"/>
      <c r="U7" s="100"/>
      <c r="V7" s="100"/>
      <c r="W7" s="100"/>
      <c r="X7" s="100"/>
      <c r="Y7" s="100"/>
      <c r="Z7" s="100"/>
      <c r="AA7" s="100"/>
      <c r="AB7" s="59"/>
      <c r="AC7" s="59"/>
      <c r="AD7" s="59"/>
      <c r="AE7" s="59"/>
      <c r="AF7" s="59"/>
      <c r="AG7" s="59"/>
      <c r="AH7" s="59"/>
      <c r="AI7" s="59"/>
      <c r="AJ7" s="59"/>
      <c r="AK7" s="59"/>
    </row>
    <row r="8" ht="36.0" customHeight="1">
      <c r="A8" s="59"/>
      <c r="B8" s="65" t="s">
        <v>474</v>
      </c>
      <c r="C8" s="3"/>
      <c r="D8" s="3"/>
      <c r="E8" s="4"/>
      <c r="F8" s="66"/>
      <c r="G8" s="66"/>
      <c r="H8" s="99"/>
      <c r="I8" s="59"/>
      <c r="J8" s="101" t="s">
        <v>172</v>
      </c>
      <c r="K8" s="59"/>
      <c r="L8" s="59"/>
      <c r="M8" s="59"/>
      <c r="N8" s="59"/>
      <c r="O8" s="100"/>
      <c r="P8" s="100"/>
      <c r="Q8" s="100"/>
      <c r="R8" s="100"/>
      <c r="S8" s="100"/>
      <c r="T8" s="100"/>
      <c r="U8" s="100"/>
      <c r="V8" s="100"/>
      <c r="W8" s="100"/>
      <c r="X8" s="100"/>
      <c r="Y8" s="100"/>
      <c r="Z8" s="100"/>
      <c r="AA8" s="59"/>
      <c r="AB8" s="59"/>
      <c r="AC8" s="59"/>
      <c r="AD8" s="59"/>
      <c r="AE8" s="59"/>
      <c r="AF8" s="59"/>
      <c r="AG8" s="59"/>
      <c r="AH8" s="59"/>
      <c r="AI8" s="59"/>
      <c r="AJ8" s="59"/>
      <c r="AK8" s="59"/>
    </row>
    <row r="9" ht="15.75" customHeight="1">
      <c r="A9" s="59"/>
      <c r="B9" s="60"/>
      <c r="C9" s="60"/>
      <c r="D9" s="60"/>
      <c r="E9" s="60"/>
      <c r="F9" s="60"/>
      <c r="G9" s="60"/>
      <c r="H9" s="99"/>
      <c r="I9" s="59"/>
      <c r="J9" s="59" t="str">
        <f>""</f>
        <v/>
      </c>
      <c r="K9" s="59"/>
      <c r="L9" s="59"/>
      <c r="M9" s="59"/>
      <c r="N9" s="59"/>
      <c r="O9" s="100"/>
      <c r="P9" s="100"/>
      <c r="Q9" s="100"/>
      <c r="R9" s="100"/>
      <c r="S9" s="100"/>
      <c r="T9" s="100"/>
      <c r="U9" s="100"/>
      <c r="V9" s="100"/>
      <c r="W9" s="100"/>
      <c r="X9" s="100"/>
      <c r="Y9" s="100"/>
      <c r="Z9" s="100"/>
      <c r="AA9" s="59"/>
      <c r="AB9" s="59"/>
      <c r="AC9" s="59"/>
      <c r="AD9" s="59"/>
      <c r="AE9" s="59"/>
      <c r="AF9" s="59"/>
      <c r="AG9" s="59"/>
      <c r="AH9" s="59"/>
      <c r="AI9" s="59"/>
      <c r="AJ9" s="59"/>
      <c r="AK9" s="59"/>
    </row>
    <row r="10" ht="23.25" customHeight="1">
      <c r="A10" s="59"/>
      <c r="B10" s="68" t="s">
        <v>475</v>
      </c>
      <c r="C10" s="69"/>
      <c r="D10" s="70"/>
      <c r="E10" s="102" t="s">
        <v>32</v>
      </c>
      <c r="F10" s="71" t="s">
        <v>33</v>
      </c>
      <c r="G10" s="72" t="s">
        <v>34</v>
      </c>
      <c r="H10" s="133" t="s">
        <v>35</v>
      </c>
      <c r="I10" s="92" t="s">
        <v>36</v>
      </c>
      <c r="J10" s="103" t="s">
        <v>37</v>
      </c>
      <c r="K10" s="94" t="s">
        <v>476</v>
      </c>
      <c r="L10" s="59"/>
      <c r="M10" s="59"/>
      <c r="N10" s="59"/>
      <c r="O10" s="100"/>
      <c r="P10" s="100"/>
      <c r="Q10" s="100"/>
      <c r="R10" s="100"/>
      <c r="S10" s="100"/>
      <c r="T10" s="100"/>
      <c r="U10" s="100"/>
      <c r="V10" s="100"/>
      <c r="W10" s="100"/>
      <c r="X10" s="100"/>
      <c r="Y10" s="100"/>
      <c r="Z10" s="100"/>
      <c r="AA10" s="59"/>
      <c r="AB10" s="59"/>
      <c r="AC10" s="59"/>
      <c r="AD10" s="59"/>
      <c r="AE10" s="59"/>
      <c r="AF10" s="59"/>
      <c r="AG10" s="59"/>
      <c r="AH10" s="59"/>
      <c r="AI10" s="59"/>
      <c r="AJ10" s="59"/>
      <c r="AK10" s="59"/>
    </row>
    <row r="11" ht="14.25" customHeight="1">
      <c r="A11" s="134">
        <v>1.0</v>
      </c>
      <c r="B11" s="104">
        <v>1.0</v>
      </c>
      <c r="C11" s="105" t="s">
        <v>174</v>
      </c>
      <c r="D11" s="106" t="s">
        <v>175</v>
      </c>
      <c r="E11" s="107" t="s">
        <v>477</v>
      </c>
      <c r="F11" s="108" t="s">
        <v>478</v>
      </c>
      <c r="G11" s="83" t="s">
        <v>60</v>
      </c>
      <c r="H11" s="110" t="str">
        <f t="shared" ref="H11:H12" si="1">IF(OR(G11=$J$11,G11=$J$12,G11=$J$13),$J$9,$J$8)</f>
        <v/>
      </c>
      <c r="I11" s="92">
        <f t="shared" ref="I11:I12" si="2">IF(G11=$J$11,$K$11,IF(G11=$J$12,$K$12,$K$13))</f>
        <v>3</v>
      </c>
      <c r="J11" s="59" t="s">
        <v>52</v>
      </c>
      <c r="K11" s="59">
        <v>1.0</v>
      </c>
      <c r="L11" s="59"/>
      <c r="M11" s="59"/>
      <c r="N11" s="59"/>
      <c r="O11" s="100"/>
      <c r="P11" s="100"/>
      <c r="Q11" s="100"/>
      <c r="R11" s="100"/>
      <c r="S11" s="100"/>
      <c r="T11" s="100"/>
      <c r="U11" s="100"/>
      <c r="V11" s="100"/>
      <c r="W11" s="100"/>
      <c r="X11" s="100"/>
      <c r="Y11" s="100"/>
      <c r="Z11" s="100"/>
      <c r="AA11" s="59"/>
      <c r="AB11" s="59"/>
      <c r="AC11" s="59"/>
      <c r="AD11" s="59"/>
      <c r="AE11" s="59"/>
      <c r="AF11" s="59"/>
      <c r="AG11" s="59"/>
      <c r="AH11" s="59"/>
      <c r="AI11" s="59"/>
      <c r="AJ11" s="59"/>
      <c r="AK11" s="59"/>
    </row>
    <row r="12" ht="14.25" customHeight="1">
      <c r="A12" s="135"/>
      <c r="B12" s="136"/>
      <c r="C12" s="137"/>
      <c r="D12" s="106" t="s">
        <v>180</v>
      </c>
      <c r="E12" s="107" t="s">
        <v>479</v>
      </c>
      <c r="F12" s="108" t="s">
        <v>478</v>
      </c>
      <c r="G12" s="83" t="s">
        <v>60</v>
      </c>
      <c r="H12" s="110" t="str">
        <f t="shared" si="1"/>
        <v/>
      </c>
      <c r="I12" s="92">
        <f t="shared" si="2"/>
        <v>3</v>
      </c>
      <c r="J12" s="59" t="s">
        <v>63</v>
      </c>
      <c r="K12" s="59">
        <v>2.0</v>
      </c>
      <c r="L12" s="59"/>
      <c r="M12" s="59"/>
      <c r="N12" s="59"/>
      <c r="O12" s="100"/>
      <c r="P12" s="100"/>
      <c r="Q12" s="100"/>
      <c r="R12" s="100"/>
      <c r="S12" s="100"/>
      <c r="T12" s="100"/>
      <c r="U12" s="100"/>
      <c r="V12" s="100"/>
      <c r="W12" s="100"/>
      <c r="X12" s="100"/>
      <c r="Y12" s="100"/>
      <c r="Z12" s="100"/>
      <c r="AA12" s="59"/>
      <c r="AB12" s="59"/>
      <c r="AC12" s="59"/>
      <c r="AD12" s="59"/>
      <c r="AE12" s="59"/>
      <c r="AF12" s="59"/>
      <c r="AG12" s="59"/>
      <c r="AH12" s="59"/>
      <c r="AI12" s="59"/>
      <c r="AJ12" s="59"/>
      <c r="AK12" s="59"/>
    </row>
    <row r="13" ht="14.25" customHeight="1">
      <c r="A13" s="134">
        <f>A5+1</f>
        <v>1</v>
      </c>
      <c r="B13" s="111"/>
      <c r="C13" s="112"/>
      <c r="D13" s="106" t="s">
        <v>184</v>
      </c>
      <c r="E13" s="81" t="s">
        <v>480</v>
      </c>
      <c r="F13" s="108" t="s">
        <v>481</v>
      </c>
      <c r="G13" s="83" t="s">
        <v>60</v>
      </c>
      <c r="H13" s="110" t="str">
        <f t="shared" ref="H13:H14" si="3">IF(OR(G13=$J$17,G13=$J$18,G13=$J$19),$J$9,$J$8)</f>
        <v/>
      </c>
      <c r="I13" s="92">
        <f t="shared" ref="I13:I14" si="4">IF(G13=$J$17,$K$17,IF(G13=$J$18,$K$18,$K$19))</f>
        <v>3</v>
      </c>
      <c r="J13" s="59" t="s">
        <v>60</v>
      </c>
      <c r="K13" s="59">
        <v>3.0</v>
      </c>
      <c r="L13" s="59"/>
      <c r="M13" s="59"/>
      <c r="N13" s="59"/>
      <c r="O13" s="100"/>
      <c r="P13" s="100"/>
      <c r="Q13" s="100"/>
      <c r="R13" s="100"/>
      <c r="S13" s="100"/>
      <c r="T13" s="100"/>
      <c r="U13" s="100"/>
      <c r="V13" s="100"/>
      <c r="W13" s="100"/>
      <c r="X13" s="100"/>
      <c r="Y13" s="100"/>
      <c r="Z13" s="100"/>
      <c r="AA13" s="59"/>
      <c r="AB13" s="59"/>
      <c r="AC13" s="59"/>
      <c r="AD13" s="59"/>
      <c r="AE13" s="59"/>
      <c r="AF13" s="59"/>
      <c r="AG13" s="59"/>
      <c r="AH13" s="59"/>
      <c r="AI13" s="59"/>
      <c r="AJ13" s="59"/>
      <c r="AK13" s="59"/>
    </row>
    <row r="14" ht="14.25" customHeight="1">
      <c r="A14" s="134">
        <f t="shared" ref="A14:A16" si="5">A3+1</f>
        <v>1</v>
      </c>
      <c r="B14" s="111"/>
      <c r="C14" s="112"/>
      <c r="D14" s="106" t="s">
        <v>187</v>
      </c>
      <c r="E14" s="81" t="s">
        <v>482</v>
      </c>
      <c r="F14" s="108" t="s">
        <v>483</v>
      </c>
      <c r="G14" s="83" t="s">
        <v>60</v>
      </c>
      <c r="H14" s="110" t="str">
        <f t="shared" si="3"/>
        <v/>
      </c>
      <c r="I14" s="92">
        <f t="shared" si="4"/>
        <v>3</v>
      </c>
      <c r="J14" s="59"/>
      <c r="K14" s="59"/>
      <c r="L14" s="59"/>
      <c r="M14" s="59"/>
      <c r="N14" s="59"/>
      <c r="O14" s="100"/>
      <c r="P14" s="100"/>
      <c r="Q14" s="100"/>
      <c r="R14" s="100"/>
      <c r="S14" s="100"/>
      <c r="T14" s="100"/>
      <c r="U14" s="100"/>
      <c r="V14" s="100"/>
      <c r="W14" s="100"/>
      <c r="X14" s="100"/>
      <c r="Y14" s="100"/>
      <c r="Z14" s="100"/>
      <c r="AA14" s="59"/>
      <c r="AB14" s="59"/>
      <c r="AC14" s="59"/>
      <c r="AD14" s="59"/>
      <c r="AE14" s="59"/>
      <c r="AF14" s="59"/>
      <c r="AG14" s="59"/>
      <c r="AH14" s="59"/>
      <c r="AI14" s="59"/>
      <c r="AJ14" s="59"/>
      <c r="AK14" s="59"/>
    </row>
    <row r="15" ht="14.25" customHeight="1">
      <c r="A15" s="134">
        <f t="shared" si="5"/>
        <v>1</v>
      </c>
      <c r="B15" s="111"/>
      <c r="C15" s="112"/>
      <c r="D15" s="106" t="s">
        <v>190</v>
      </c>
      <c r="E15" s="81" t="s">
        <v>484</v>
      </c>
      <c r="F15" s="108" t="s">
        <v>478</v>
      </c>
      <c r="G15" s="83" t="s">
        <v>60</v>
      </c>
      <c r="H15" s="110" t="str">
        <f t="shared" ref="H15:H22" si="6">IF(OR(G15=$J$11,G15=$J$12,G15=$J$13),$J$9,$J$8)</f>
        <v/>
      </c>
      <c r="I15" s="92">
        <f t="shared" ref="I15:I22" si="7">IF(G15=$J$11,$K$11,IF(G15=$J$12,$K$12,$K$13))</f>
        <v>3</v>
      </c>
      <c r="J15" s="59"/>
      <c r="K15" s="59"/>
      <c r="L15" s="59"/>
      <c r="M15" s="59"/>
      <c r="N15" s="59"/>
      <c r="O15" s="100"/>
      <c r="P15" s="100"/>
      <c r="Q15" s="100"/>
      <c r="R15" s="100"/>
      <c r="S15" s="100"/>
      <c r="T15" s="100"/>
      <c r="U15" s="100"/>
      <c r="V15" s="100"/>
      <c r="W15" s="100"/>
      <c r="X15" s="100"/>
      <c r="Y15" s="100"/>
      <c r="Z15" s="100"/>
      <c r="AA15" s="59"/>
      <c r="AB15" s="59"/>
      <c r="AC15" s="59"/>
      <c r="AD15" s="59"/>
      <c r="AE15" s="59"/>
      <c r="AF15" s="59"/>
      <c r="AG15" s="59"/>
      <c r="AH15" s="59"/>
      <c r="AI15" s="59"/>
      <c r="AJ15" s="59"/>
      <c r="AK15" s="59"/>
    </row>
    <row r="16" ht="14.25" customHeight="1">
      <c r="A16" s="134">
        <f t="shared" si="5"/>
        <v>1</v>
      </c>
      <c r="B16" s="111"/>
      <c r="C16" s="112"/>
      <c r="D16" s="106" t="s">
        <v>193</v>
      </c>
      <c r="E16" s="81" t="s">
        <v>485</v>
      </c>
      <c r="F16" s="108" t="s">
        <v>486</v>
      </c>
      <c r="G16" s="83" t="s">
        <v>60</v>
      </c>
      <c r="H16" s="110" t="str">
        <f t="shared" si="6"/>
        <v/>
      </c>
      <c r="I16" s="92">
        <f t="shared" si="7"/>
        <v>3</v>
      </c>
      <c r="J16" s="59" t="s">
        <v>56</v>
      </c>
      <c r="K16" s="59" t="s">
        <v>476</v>
      </c>
      <c r="L16" s="59"/>
      <c r="M16" s="59"/>
      <c r="N16" s="59"/>
      <c r="O16" s="100"/>
      <c r="P16" s="100"/>
      <c r="Q16" s="100"/>
      <c r="R16" s="100"/>
      <c r="S16" s="100"/>
      <c r="T16" s="100"/>
      <c r="U16" s="100"/>
      <c r="V16" s="100"/>
      <c r="W16" s="100"/>
      <c r="X16" s="100"/>
      <c r="Y16" s="100"/>
      <c r="Z16" s="100"/>
      <c r="AA16" s="59"/>
      <c r="AB16" s="59"/>
      <c r="AC16" s="59"/>
      <c r="AD16" s="59"/>
      <c r="AE16" s="59"/>
      <c r="AF16" s="59"/>
      <c r="AG16" s="59"/>
      <c r="AH16" s="59"/>
      <c r="AI16" s="59"/>
      <c r="AJ16" s="59"/>
      <c r="AK16" s="59"/>
    </row>
    <row r="17" ht="14.25" customHeight="1">
      <c r="A17" s="134">
        <f t="shared" ref="A17:A21" si="8">A7+1</f>
        <v>1</v>
      </c>
      <c r="B17" s="111"/>
      <c r="C17" s="112"/>
      <c r="D17" s="106" t="s">
        <v>196</v>
      </c>
      <c r="E17" s="81" t="s">
        <v>487</v>
      </c>
      <c r="F17" s="108" t="s">
        <v>488</v>
      </c>
      <c r="G17" s="83" t="s">
        <v>60</v>
      </c>
      <c r="H17" s="110" t="str">
        <f t="shared" si="6"/>
        <v/>
      </c>
      <c r="I17" s="92">
        <f t="shared" si="7"/>
        <v>3</v>
      </c>
      <c r="J17" s="59" t="s">
        <v>52</v>
      </c>
      <c r="K17" s="59">
        <v>1.0</v>
      </c>
      <c r="L17" s="59"/>
      <c r="M17" s="59"/>
      <c r="N17" s="59"/>
      <c r="O17" s="100"/>
      <c r="P17" s="100"/>
      <c r="Q17" s="100"/>
      <c r="R17" s="100"/>
      <c r="S17" s="100"/>
      <c r="T17" s="100"/>
      <c r="U17" s="100"/>
      <c r="V17" s="100"/>
      <c r="W17" s="100"/>
      <c r="X17" s="100"/>
      <c r="Y17" s="100"/>
      <c r="Z17" s="100"/>
      <c r="AA17" s="59"/>
      <c r="AB17" s="59"/>
      <c r="AC17" s="59"/>
      <c r="AD17" s="59"/>
      <c r="AE17" s="59"/>
      <c r="AF17" s="59"/>
      <c r="AG17" s="59"/>
      <c r="AH17" s="59"/>
      <c r="AI17" s="59"/>
      <c r="AJ17" s="59"/>
      <c r="AK17" s="59"/>
    </row>
    <row r="18" ht="14.25" customHeight="1">
      <c r="A18" s="134">
        <f t="shared" si="8"/>
        <v>1</v>
      </c>
      <c r="B18" s="111"/>
      <c r="C18" s="112"/>
      <c r="D18" s="106" t="s">
        <v>200</v>
      </c>
      <c r="E18" s="81" t="s">
        <v>489</v>
      </c>
      <c r="F18" s="108" t="s">
        <v>490</v>
      </c>
      <c r="G18" s="83" t="s">
        <v>60</v>
      </c>
      <c r="H18" s="110" t="str">
        <f t="shared" si="6"/>
        <v/>
      </c>
      <c r="I18" s="92">
        <f t="shared" si="7"/>
        <v>3</v>
      </c>
      <c r="J18" s="59" t="s">
        <v>60</v>
      </c>
      <c r="K18" s="59">
        <v>3.0</v>
      </c>
      <c r="L18" s="59"/>
      <c r="M18" s="59"/>
      <c r="N18" s="59"/>
      <c r="O18" s="100"/>
      <c r="P18" s="100"/>
      <c r="Q18" s="100"/>
      <c r="R18" s="100"/>
      <c r="S18" s="100"/>
      <c r="T18" s="100"/>
      <c r="U18" s="100"/>
      <c r="V18" s="100"/>
      <c r="W18" s="100"/>
      <c r="X18" s="100"/>
      <c r="Y18" s="100"/>
      <c r="Z18" s="100"/>
      <c r="AA18" s="59"/>
      <c r="AB18" s="59"/>
      <c r="AC18" s="59"/>
      <c r="AD18" s="59"/>
      <c r="AE18" s="59"/>
      <c r="AF18" s="59"/>
      <c r="AG18" s="59"/>
      <c r="AH18" s="59"/>
      <c r="AI18" s="59"/>
      <c r="AJ18" s="59"/>
      <c r="AK18" s="59"/>
    </row>
    <row r="19" ht="14.25" customHeight="1">
      <c r="A19" s="134">
        <f t="shared" si="8"/>
        <v>1</v>
      </c>
      <c r="B19" s="111"/>
      <c r="C19" s="112"/>
      <c r="D19" s="106" t="s">
        <v>204</v>
      </c>
      <c r="E19" s="81" t="s">
        <v>491</v>
      </c>
      <c r="F19" s="108" t="s">
        <v>492</v>
      </c>
      <c r="G19" s="83" t="s">
        <v>60</v>
      </c>
      <c r="H19" s="110" t="str">
        <f t="shared" si="6"/>
        <v/>
      </c>
      <c r="I19" s="92">
        <f t="shared" si="7"/>
        <v>3</v>
      </c>
      <c r="J19" s="59" t="s">
        <v>322</v>
      </c>
      <c r="K19" s="59">
        <v>2.0</v>
      </c>
      <c r="L19" s="59"/>
      <c r="M19" s="59"/>
      <c r="N19" s="59"/>
      <c r="O19" s="100"/>
      <c r="P19" s="100"/>
      <c r="Q19" s="100"/>
      <c r="R19" s="100"/>
      <c r="S19" s="100"/>
      <c r="T19" s="100"/>
      <c r="U19" s="100"/>
      <c r="V19" s="100"/>
      <c r="W19" s="100"/>
      <c r="X19" s="100"/>
      <c r="Y19" s="100"/>
      <c r="Z19" s="100"/>
      <c r="AA19" s="59"/>
      <c r="AB19" s="59"/>
      <c r="AC19" s="59"/>
      <c r="AD19" s="59"/>
      <c r="AE19" s="59"/>
      <c r="AF19" s="59"/>
      <c r="AG19" s="59"/>
      <c r="AH19" s="59"/>
      <c r="AI19" s="59"/>
      <c r="AJ19" s="59"/>
      <c r="AK19" s="59"/>
    </row>
    <row r="20" ht="14.25" customHeight="1">
      <c r="A20" s="134">
        <f t="shared" si="8"/>
        <v>1</v>
      </c>
      <c r="B20" s="111"/>
      <c r="C20" s="112"/>
      <c r="D20" s="106" t="s">
        <v>209</v>
      </c>
      <c r="E20" s="81" t="s">
        <v>493</v>
      </c>
      <c r="F20" s="108" t="s">
        <v>494</v>
      </c>
      <c r="G20" s="83" t="s">
        <v>60</v>
      </c>
      <c r="H20" s="110" t="str">
        <f t="shared" si="6"/>
        <v/>
      </c>
      <c r="I20" s="92">
        <f t="shared" si="7"/>
        <v>3</v>
      </c>
      <c r="J20" s="59"/>
      <c r="K20" s="59"/>
      <c r="L20" s="59"/>
      <c r="M20" s="59"/>
      <c r="N20" s="59"/>
      <c r="O20" s="100"/>
      <c r="P20" s="100"/>
      <c r="Q20" s="100"/>
      <c r="R20" s="100"/>
      <c r="S20" s="100"/>
      <c r="T20" s="100"/>
      <c r="U20" s="100"/>
      <c r="V20" s="100"/>
      <c r="W20" s="100"/>
      <c r="X20" s="100"/>
      <c r="Y20" s="100"/>
      <c r="Z20" s="100"/>
      <c r="AA20" s="59"/>
      <c r="AB20" s="59"/>
      <c r="AC20" s="59"/>
      <c r="AD20" s="59"/>
      <c r="AE20" s="59"/>
      <c r="AF20" s="59"/>
      <c r="AG20" s="59"/>
      <c r="AH20" s="59"/>
      <c r="AI20" s="59"/>
      <c r="AJ20" s="59"/>
      <c r="AK20" s="59"/>
    </row>
    <row r="21" ht="14.25" customHeight="1">
      <c r="A21" s="134">
        <f t="shared" si="8"/>
        <v>2</v>
      </c>
      <c r="B21" s="111"/>
      <c r="C21" s="112"/>
      <c r="D21" s="106" t="s">
        <v>212</v>
      </c>
      <c r="E21" s="81" t="s">
        <v>495</v>
      </c>
      <c r="F21" s="108" t="s">
        <v>496</v>
      </c>
      <c r="G21" s="83" t="s">
        <v>60</v>
      </c>
      <c r="H21" s="110" t="str">
        <f t="shared" si="6"/>
        <v/>
      </c>
      <c r="I21" s="92">
        <f t="shared" si="7"/>
        <v>3</v>
      </c>
      <c r="J21" s="59" t="s">
        <v>70</v>
      </c>
      <c r="K21" s="59" t="s">
        <v>497</v>
      </c>
      <c r="L21" s="59"/>
      <c r="M21" s="59"/>
      <c r="N21" s="59"/>
      <c r="O21" s="100"/>
      <c r="P21" s="100"/>
      <c r="Q21" s="100"/>
      <c r="R21" s="100"/>
      <c r="S21" s="100"/>
      <c r="T21" s="100"/>
      <c r="U21" s="100"/>
      <c r="V21" s="100"/>
      <c r="W21" s="100"/>
      <c r="X21" s="100"/>
      <c r="Y21" s="100"/>
      <c r="Z21" s="100"/>
      <c r="AA21" s="59"/>
      <c r="AB21" s="59"/>
      <c r="AC21" s="59"/>
      <c r="AD21" s="59"/>
      <c r="AE21" s="59"/>
      <c r="AF21" s="59"/>
      <c r="AG21" s="59"/>
      <c r="AH21" s="59"/>
      <c r="AI21" s="59"/>
      <c r="AJ21" s="59"/>
      <c r="AK21" s="59"/>
    </row>
    <row r="22" ht="14.25" customHeight="1">
      <c r="A22" s="135"/>
      <c r="B22" s="129"/>
      <c r="C22" s="130"/>
      <c r="D22" s="106" t="s">
        <v>217</v>
      </c>
      <c r="E22" s="81" t="s">
        <v>498</v>
      </c>
      <c r="F22" s="108" t="s">
        <v>499</v>
      </c>
      <c r="G22" s="83" t="s">
        <v>60</v>
      </c>
      <c r="H22" s="138" t="str">
        <f t="shared" si="6"/>
        <v/>
      </c>
      <c r="I22" s="92">
        <f t="shared" si="7"/>
        <v>3</v>
      </c>
      <c r="J22" s="59" t="s">
        <v>52</v>
      </c>
      <c r="K22" s="59">
        <v>1.0</v>
      </c>
      <c r="L22" s="59"/>
      <c r="M22" s="59"/>
      <c r="N22" s="59"/>
      <c r="O22" s="100"/>
      <c r="P22" s="100"/>
      <c r="Q22" s="100"/>
      <c r="R22" s="100"/>
      <c r="S22" s="100"/>
      <c r="T22" s="100"/>
      <c r="U22" s="100"/>
      <c r="V22" s="100"/>
      <c r="W22" s="100"/>
      <c r="X22" s="100"/>
      <c r="Y22" s="100"/>
      <c r="Z22" s="100"/>
      <c r="AA22" s="59"/>
      <c r="AB22" s="59"/>
      <c r="AC22" s="59"/>
      <c r="AD22" s="59"/>
      <c r="AE22" s="59"/>
      <c r="AF22" s="59"/>
      <c r="AG22" s="59"/>
      <c r="AH22" s="59"/>
      <c r="AI22" s="59"/>
      <c r="AJ22" s="59"/>
      <c r="AK22" s="59"/>
    </row>
    <row r="23" ht="14.25" customHeight="1">
      <c r="A23" s="139"/>
      <c r="B23" s="89"/>
      <c r="C23" s="89"/>
      <c r="D23" s="89"/>
      <c r="E23" s="89"/>
      <c r="F23" s="89"/>
      <c r="G23" s="89"/>
      <c r="H23" s="110"/>
      <c r="I23" s="92"/>
      <c r="J23" s="59" t="s">
        <v>322</v>
      </c>
      <c r="K23" s="59">
        <v>2.0</v>
      </c>
      <c r="L23" s="59"/>
      <c r="M23" s="59"/>
      <c r="N23" s="59"/>
      <c r="O23" s="100"/>
      <c r="P23" s="100"/>
      <c r="Q23" s="100"/>
      <c r="R23" s="100"/>
      <c r="S23" s="100"/>
      <c r="T23" s="100"/>
      <c r="U23" s="100"/>
      <c r="V23" s="100"/>
      <c r="W23" s="100"/>
      <c r="X23" s="100"/>
      <c r="Y23" s="100"/>
      <c r="Z23" s="100"/>
      <c r="AA23" s="59"/>
      <c r="AB23" s="59"/>
      <c r="AC23" s="59"/>
      <c r="AD23" s="59"/>
      <c r="AE23" s="59"/>
      <c r="AF23" s="59"/>
      <c r="AG23" s="59"/>
      <c r="AH23" s="59"/>
      <c r="AI23" s="59"/>
      <c r="AJ23" s="59"/>
      <c r="AK23" s="59"/>
    </row>
    <row r="24" ht="14.25" customHeight="1">
      <c r="A24" s="134">
        <f>A22+1</f>
        <v>1</v>
      </c>
      <c r="B24" s="104">
        <v>2.0</v>
      </c>
      <c r="C24" s="105" t="s">
        <v>223</v>
      </c>
      <c r="D24" s="106" t="s">
        <v>224</v>
      </c>
      <c r="E24" s="81" t="s">
        <v>500</v>
      </c>
      <c r="F24" s="108" t="s">
        <v>501</v>
      </c>
      <c r="G24" s="83" t="s">
        <v>60</v>
      </c>
      <c r="H24" s="110" t="str">
        <f>IF(OR(G24=$J$11,G24=$J$12,G24=$J$13),$J$9,$J$8)</f>
        <v/>
      </c>
      <c r="I24" s="92">
        <f>IF(G24=$J$11,$K$11,IF(G24=$J$12,$K$12,$K$13))</f>
        <v>3</v>
      </c>
      <c r="J24" s="59" t="s">
        <v>60</v>
      </c>
      <c r="K24" s="94">
        <v>3.0</v>
      </c>
      <c r="L24" s="59"/>
      <c r="M24" s="59"/>
      <c r="N24" s="59"/>
      <c r="O24" s="100"/>
      <c r="P24" s="100"/>
      <c r="Q24" s="100"/>
      <c r="R24" s="100"/>
      <c r="S24" s="100"/>
      <c r="T24" s="100"/>
      <c r="U24" s="100"/>
      <c r="V24" s="100"/>
      <c r="W24" s="100"/>
      <c r="X24" s="100"/>
      <c r="Y24" s="100"/>
      <c r="Z24" s="100"/>
      <c r="AA24" s="59"/>
      <c r="AB24" s="59"/>
      <c r="AC24" s="59"/>
      <c r="AD24" s="59"/>
      <c r="AE24" s="59"/>
      <c r="AF24" s="59"/>
      <c r="AG24" s="59"/>
      <c r="AH24" s="59"/>
      <c r="AI24" s="59"/>
      <c r="AJ24" s="59"/>
      <c r="AK24" s="59"/>
    </row>
    <row r="25" ht="14.25" customHeight="1">
      <c r="A25" s="134">
        <f t="shared" ref="A25:A28" si="9">A21+1</f>
        <v>3</v>
      </c>
      <c r="B25" s="111"/>
      <c r="C25" s="111"/>
      <c r="D25" s="106" t="s">
        <v>227</v>
      </c>
      <c r="E25" s="81" t="s">
        <v>502</v>
      </c>
      <c r="F25" s="108" t="s">
        <v>503</v>
      </c>
      <c r="G25" s="83" t="s">
        <v>60</v>
      </c>
      <c r="H25" s="110" t="str">
        <f>IF(OR(G25=$J$17,G25=$J$18,G25=$J$19),$J$9,$J$8)</f>
        <v/>
      </c>
      <c r="I25" s="92">
        <f>IF(G25=$J$17,$K$17,IF(G25=$J$18,$K$18,$K$19))</f>
        <v>3</v>
      </c>
      <c r="J25" s="59"/>
      <c r="K25" s="59"/>
      <c r="L25" s="59"/>
      <c r="M25" s="59"/>
      <c r="N25" s="59"/>
      <c r="O25" s="100"/>
      <c r="P25" s="100"/>
      <c r="Q25" s="100"/>
      <c r="R25" s="100"/>
      <c r="S25" s="100"/>
      <c r="T25" s="100"/>
      <c r="U25" s="100"/>
      <c r="V25" s="100"/>
      <c r="W25" s="100"/>
      <c r="X25" s="100"/>
      <c r="Y25" s="100"/>
      <c r="Z25" s="100"/>
      <c r="AA25" s="59"/>
      <c r="AB25" s="59"/>
      <c r="AC25" s="59"/>
      <c r="AD25" s="59"/>
      <c r="AE25" s="59"/>
      <c r="AF25" s="59"/>
      <c r="AG25" s="59"/>
      <c r="AH25" s="59"/>
      <c r="AI25" s="59"/>
      <c r="AJ25" s="59"/>
      <c r="AK25" s="59"/>
    </row>
    <row r="26" ht="14.25" customHeight="1">
      <c r="A26" s="134">
        <f t="shared" si="9"/>
        <v>1</v>
      </c>
      <c r="B26" s="111"/>
      <c r="C26" s="111"/>
      <c r="D26" s="106" t="s">
        <v>230</v>
      </c>
      <c r="E26" s="81" t="s">
        <v>504</v>
      </c>
      <c r="F26" s="108" t="s">
        <v>505</v>
      </c>
      <c r="G26" s="83" t="s">
        <v>60</v>
      </c>
      <c r="H26" s="110" t="str">
        <f t="shared" ref="H26:H27" si="10">IF(OR(G26=$J$11,G26=$J$12,G26=$J$13),$J$9,$J$8)</f>
        <v/>
      </c>
      <c r="I26" s="92">
        <f t="shared" ref="I26:I27" si="11">IF(G26=$J$11,$K$11,IF(G26=$J$12,$K$12,$K$13))</f>
        <v>3</v>
      </c>
      <c r="J26" s="59"/>
      <c r="K26" s="59"/>
      <c r="L26" s="59"/>
      <c r="M26" s="59"/>
      <c r="N26" s="59"/>
      <c r="O26" s="100"/>
      <c r="P26" s="100"/>
      <c r="Q26" s="100"/>
      <c r="R26" s="100"/>
      <c r="S26" s="100"/>
      <c r="T26" s="100"/>
      <c r="U26" s="100"/>
      <c r="V26" s="100"/>
      <c r="W26" s="100"/>
      <c r="X26" s="100"/>
      <c r="Y26" s="100"/>
      <c r="Z26" s="100"/>
      <c r="AA26" s="59"/>
      <c r="AB26" s="59"/>
      <c r="AC26" s="59"/>
      <c r="AD26" s="59"/>
      <c r="AE26" s="59"/>
      <c r="AF26" s="59"/>
      <c r="AG26" s="59"/>
      <c r="AH26" s="59"/>
      <c r="AI26" s="59"/>
      <c r="AJ26" s="59"/>
      <c r="AK26" s="59"/>
    </row>
    <row r="27" ht="14.25" customHeight="1">
      <c r="A27" s="134">
        <f t="shared" si="9"/>
        <v>1</v>
      </c>
      <c r="B27" s="111"/>
      <c r="C27" s="111"/>
      <c r="D27" s="106" t="s">
        <v>235</v>
      </c>
      <c r="E27" s="81" t="s">
        <v>506</v>
      </c>
      <c r="F27" s="108" t="s">
        <v>507</v>
      </c>
      <c r="G27" s="83" t="s">
        <v>60</v>
      </c>
      <c r="H27" s="110" t="str">
        <f t="shared" si="10"/>
        <v/>
      </c>
      <c r="I27" s="92">
        <f t="shared" si="11"/>
        <v>3</v>
      </c>
      <c r="J27" s="59"/>
      <c r="K27" s="59"/>
      <c r="L27" s="59"/>
      <c r="M27" s="59"/>
      <c r="N27" s="59"/>
      <c r="O27" s="100"/>
      <c r="P27" s="100"/>
      <c r="Q27" s="100"/>
      <c r="R27" s="100"/>
      <c r="S27" s="100"/>
      <c r="T27" s="100"/>
      <c r="U27" s="100"/>
      <c r="V27" s="100"/>
      <c r="W27" s="100"/>
      <c r="X27" s="100"/>
      <c r="Y27" s="100"/>
      <c r="Z27" s="100"/>
      <c r="AA27" s="59"/>
      <c r="AB27" s="59"/>
      <c r="AC27" s="59"/>
      <c r="AD27" s="59"/>
      <c r="AE27" s="59"/>
      <c r="AF27" s="59"/>
      <c r="AG27" s="59"/>
      <c r="AH27" s="59"/>
      <c r="AI27" s="59"/>
      <c r="AJ27" s="59"/>
      <c r="AK27" s="59"/>
    </row>
    <row r="28" ht="14.25" customHeight="1">
      <c r="A28" s="134">
        <f t="shared" si="9"/>
        <v>2</v>
      </c>
      <c r="B28" s="111"/>
      <c r="C28" s="111"/>
      <c r="D28" s="106" t="s">
        <v>239</v>
      </c>
      <c r="E28" s="81" t="s">
        <v>508</v>
      </c>
      <c r="F28" s="108" t="s">
        <v>509</v>
      </c>
      <c r="G28" s="83" t="s">
        <v>60</v>
      </c>
      <c r="H28" s="110" t="str">
        <f>IF(OR(G28=$J$17,G28=$J$18,G28=$J$19),$J$9,$J$8)</f>
        <v/>
      </c>
      <c r="I28" s="92">
        <f>IF(G28=$J$17,$K$17,IF(G28=$J$18,$K$18,$K$19))</f>
        <v>3</v>
      </c>
      <c r="J28" s="59"/>
      <c r="K28" s="59"/>
      <c r="L28" s="59"/>
      <c r="M28" s="59"/>
      <c r="N28" s="59"/>
      <c r="O28" s="100"/>
      <c r="P28" s="100"/>
      <c r="Q28" s="100"/>
      <c r="R28" s="100"/>
      <c r="S28" s="100"/>
      <c r="T28" s="100"/>
      <c r="U28" s="100"/>
      <c r="V28" s="100"/>
      <c r="W28" s="100"/>
      <c r="X28" s="100"/>
      <c r="Y28" s="100"/>
      <c r="Z28" s="100"/>
      <c r="AA28" s="59"/>
      <c r="AB28" s="59"/>
      <c r="AC28" s="59"/>
      <c r="AD28" s="59"/>
      <c r="AE28" s="59"/>
      <c r="AF28" s="59"/>
      <c r="AG28" s="59"/>
      <c r="AH28" s="59"/>
      <c r="AI28" s="59"/>
      <c r="AJ28" s="59"/>
      <c r="AK28" s="59"/>
    </row>
    <row r="29" ht="14.25" customHeight="1">
      <c r="A29" s="134">
        <f>A28+1</f>
        <v>3</v>
      </c>
      <c r="B29" s="113"/>
      <c r="C29" s="113"/>
      <c r="D29" s="106" t="s">
        <v>243</v>
      </c>
      <c r="E29" s="81" t="s">
        <v>510</v>
      </c>
      <c r="F29" s="108" t="s">
        <v>511</v>
      </c>
      <c r="G29" s="83" t="s">
        <v>60</v>
      </c>
      <c r="H29" s="110" t="str">
        <f>IF(OR(G29=$J$11,G29=$J$12,G29=$J$13),$J$9,$J$8)</f>
        <v/>
      </c>
      <c r="I29" s="92">
        <f>IF(G29=$J$11,$K$11,IF(G29=$J$12,$K$12,$K$13))</f>
        <v>3</v>
      </c>
      <c r="J29" s="59"/>
      <c r="K29" s="94"/>
      <c r="L29" s="59"/>
      <c r="M29" s="59"/>
      <c r="N29" s="59"/>
      <c r="O29" s="100"/>
      <c r="P29" s="100"/>
      <c r="Q29" s="100"/>
      <c r="R29" s="100"/>
      <c r="S29" s="100"/>
      <c r="T29" s="100"/>
      <c r="U29" s="100"/>
      <c r="V29" s="100"/>
      <c r="W29" s="100"/>
      <c r="X29" s="100"/>
      <c r="Y29" s="100"/>
      <c r="Z29" s="100"/>
      <c r="AA29" s="59"/>
      <c r="AB29" s="59"/>
      <c r="AC29" s="59"/>
      <c r="AD29" s="59"/>
      <c r="AE29" s="59"/>
      <c r="AF29" s="59"/>
      <c r="AG29" s="59"/>
      <c r="AH29" s="59"/>
      <c r="AI29" s="59"/>
      <c r="AJ29" s="59"/>
      <c r="AK29" s="59"/>
    </row>
    <row r="30" ht="14.25" customHeight="1">
      <c r="A30" s="139"/>
      <c r="B30" s="89"/>
      <c r="C30" s="89"/>
      <c r="D30" s="89"/>
      <c r="E30" s="89"/>
      <c r="F30" s="89"/>
      <c r="G30" s="89"/>
      <c r="H30" s="110"/>
      <c r="I30" s="92"/>
      <c r="J30" s="59"/>
      <c r="K30" s="59"/>
      <c r="L30" s="59"/>
      <c r="M30" s="59"/>
      <c r="N30" s="59"/>
      <c r="O30" s="100"/>
      <c r="P30" s="100"/>
      <c r="Q30" s="100"/>
      <c r="R30" s="100"/>
      <c r="S30" s="100"/>
      <c r="T30" s="100"/>
      <c r="U30" s="100"/>
      <c r="V30" s="100"/>
      <c r="W30" s="100"/>
      <c r="X30" s="100"/>
      <c r="Y30" s="100"/>
      <c r="Z30" s="100"/>
      <c r="AA30" s="59"/>
      <c r="AB30" s="59"/>
      <c r="AC30" s="59"/>
      <c r="AD30" s="59"/>
      <c r="AE30" s="59"/>
      <c r="AF30" s="59"/>
      <c r="AG30" s="59"/>
      <c r="AH30" s="59"/>
      <c r="AI30" s="59"/>
      <c r="AJ30" s="59"/>
      <c r="AK30" s="59"/>
    </row>
    <row r="31" ht="14.25" customHeight="1">
      <c r="A31" s="134">
        <f>A29+1</f>
        <v>4</v>
      </c>
      <c r="B31" s="104">
        <v>3.0</v>
      </c>
      <c r="C31" s="104" t="s">
        <v>246</v>
      </c>
      <c r="D31" s="106" t="s">
        <v>247</v>
      </c>
      <c r="E31" s="81" t="s">
        <v>512</v>
      </c>
      <c r="F31" s="108" t="s">
        <v>513</v>
      </c>
      <c r="G31" s="83" t="s">
        <v>60</v>
      </c>
      <c r="H31" s="110" t="str">
        <f>IF(OR(G31=$J$22,G31=$J$23,G31=$J$24),$J$9,$J$8)</f>
        <v/>
      </c>
      <c r="I31" s="92">
        <f>IF(G31=$J$22,$K$22,IF(G31=$J$23,$K$23,$K$24))</f>
        <v>3</v>
      </c>
      <c r="J31" s="59"/>
      <c r="K31" s="59"/>
      <c r="L31" s="59"/>
      <c r="M31" s="59"/>
      <c r="N31" s="59"/>
      <c r="O31" s="100"/>
      <c r="P31" s="100"/>
      <c r="Q31" s="100"/>
      <c r="R31" s="100"/>
      <c r="S31" s="100"/>
      <c r="T31" s="100"/>
      <c r="U31" s="100"/>
      <c r="V31" s="100"/>
      <c r="W31" s="100"/>
      <c r="X31" s="100"/>
      <c r="Y31" s="100"/>
      <c r="Z31" s="100"/>
      <c r="AA31" s="59"/>
      <c r="AB31" s="59"/>
      <c r="AC31" s="59"/>
      <c r="AD31" s="59"/>
      <c r="AE31" s="59"/>
      <c r="AF31" s="59"/>
      <c r="AG31" s="59"/>
      <c r="AH31" s="59"/>
      <c r="AI31" s="59"/>
      <c r="AJ31" s="59"/>
      <c r="AK31" s="59"/>
    </row>
    <row r="32" ht="14.25" customHeight="1">
      <c r="A32" s="134">
        <f>A22+1</f>
        <v>1</v>
      </c>
      <c r="B32" s="111"/>
      <c r="C32" s="111"/>
      <c r="D32" s="106" t="s">
        <v>250</v>
      </c>
      <c r="E32" s="81" t="s">
        <v>514</v>
      </c>
      <c r="F32" s="108" t="s">
        <v>515</v>
      </c>
      <c r="G32" s="83" t="s">
        <v>60</v>
      </c>
      <c r="H32" s="110" t="str">
        <f t="shared" ref="H32:H40" si="12">IF(OR(G32=$J$17,G32=$J$18,G32=$J$19),$J$9,$J$8)</f>
        <v/>
      </c>
      <c r="I32" s="92">
        <f t="shared" ref="I32:I40" si="13">IF(G32=$J$17,$K$17,IF(G32=$J$18,$K$18,$K$19))</f>
        <v>3</v>
      </c>
      <c r="J32" s="59"/>
      <c r="K32" s="59"/>
      <c r="L32" s="59"/>
      <c r="M32" s="59"/>
      <c r="N32" s="59"/>
      <c r="O32" s="100"/>
      <c r="P32" s="100"/>
      <c r="Q32" s="100"/>
      <c r="R32" s="100"/>
      <c r="S32" s="100"/>
      <c r="T32" s="100"/>
      <c r="U32" s="100"/>
      <c r="V32" s="100"/>
      <c r="W32" s="100"/>
      <c r="X32" s="100"/>
      <c r="Y32" s="100"/>
      <c r="Z32" s="100"/>
      <c r="AA32" s="59"/>
      <c r="AB32" s="59"/>
      <c r="AC32" s="59"/>
      <c r="AD32" s="59"/>
      <c r="AE32" s="59"/>
      <c r="AF32" s="59"/>
      <c r="AG32" s="59"/>
      <c r="AH32" s="59"/>
      <c r="AI32" s="59"/>
      <c r="AJ32" s="59"/>
      <c r="AK32" s="59"/>
    </row>
    <row r="33" ht="14.25" customHeight="1">
      <c r="A33" s="134">
        <f t="shared" ref="A33:A34" si="14">A32+1</f>
        <v>2</v>
      </c>
      <c r="B33" s="111"/>
      <c r="C33" s="111"/>
      <c r="D33" s="106" t="s">
        <v>253</v>
      </c>
      <c r="E33" s="81" t="s">
        <v>516</v>
      </c>
      <c r="F33" s="108" t="s">
        <v>517</v>
      </c>
      <c r="G33" s="83" t="s">
        <v>60</v>
      </c>
      <c r="H33" s="110" t="str">
        <f t="shared" si="12"/>
        <v/>
      </c>
      <c r="I33" s="92">
        <f t="shared" si="13"/>
        <v>3</v>
      </c>
      <c r="J33" s="59"/>
      <c r="K33" s="59"/>
      <c r="L33" s="59"/>
      <c r="M33" s="59"/>
      <c r="N33" s="59"/>
      <c r="O33" s="100"/>
      <c r="P33" s="100"/>
      <c r="Q33" s="100"/>
      <c r="R33" s="100"/>
      <c r="S33" s="100"/>
      <c r="T33" s="100"/>
      <c r="U33" s="100"/>
      <c r="V33" s="100"/>
      <c r="W33" s="100"/>
      <c r="X33" s="100"/>
      <c r="Y33" s="100"/>
      <c r="Z33" s="100"/>
      <c r="AA33" s="59"/>
      <c r="AB33" s="59"/>
      <c r="AC33" s="59"/>
      <c r="AD33" s="59"/>
      <c r="AE33" s="59"/>
      <c r="AF33" s="59"/>
      <c r="AG33" s="59"/>
      <c r="AH33" s="59"/>
      <c r="AI33" s="59"/>
      <c r="AJ33" s="59"/>
      <c r="AK33" s="59"/>
    </row>
    <row r="34" ht="14.25" customHeight="1">
      <c r="A34" s="134">
        <f t="shared" si="14"/>
        <v>3</v>
      </c>
      <c r="B34" s="111"/>
      <c r="C34" s="111"/>
      <c r="D34" s="106" t="s">
        <v>257</v>
      </c>
      <c r="E34" s="81" t="s">
        <v>518</v>
      </c>
      <c r="F34" s="108" t="s">
        <v>519</v>
      </c>
      <c r="G34" s="83" t="s">
        <v>60</v>
      </c>
      <c r="H34" s="110" t="str">
        <f t="shared" si="12"/>
        <v/>
      </c>
      <c r="I34" s="92">
        <f t="shared" si="13"/>
        <v>3</v>
      </c>
      <c r="J34" s="59"/>
      <c r="K34" s="59"/>
      <c r="L34" s="59"/>
      <c r="M34" s="59"/>
      <c r="N34" s="59"/>
      <c r="O34" s="100"/>
      <c r="P34" s="100"/>
      <c r="Q34" s="100"/>
      <c r="R34" s="100"/>
      <c r="S34" s="100"/>
      <c r="T34" s="100"/>
      <c r="U34" s="100"/>
      <c r="V34" s="100"/>
      <c r="W34" s="100"/>
      <c r="X34" s="100"/>
      <c r="Y34" s="100"/>
      <c r="Z34" s="100"/>
      <c r="AA34" s="59"/>
      <c r="AB34" s="59"/>
      <c r="AC34" s="59"/>
      <c r="AD34" s="59"/>
      <c r="AE34" s="59"/>
      <c r="AF34" s="59"/>
      <c r="AG34" s="59"/>
      <c r="AH34" s="59"/>
      <c r="AI34" s="59"/>
      <c r="AJ34" s="59"/>
      <c r="AK34" s="59"/>
    </row>
    <row r="35" ht="14.25" customHeight="1">
      <c r="A35" s="134">
        <f>A25+1</f>
        <v>4</v>
      </c>
      <c r="B35" s="111"/>
      <c r="C35" s="111"/>
      <c r="D35" s="106" t="s">
        <v>261</v>
      </c>
      <c r="E35" s="81" t="s">
        <v>520</v>
      </c>
      <c r="F35" s="108" t="s">
        <v>521</v>
      </c>
      <c r="G35" s="83" t="s">
        <v>60</v>
      </c>
      <c r="H35" s="110" t="str">
        <f t="shared" si="12"/>
        <v/>
      </c>
      <c r="I35" s="92">
        <f t="shared" si="13"/>
        <v>3</v>
      </c>
      <c r="J35" s="59"/>
      <c r="K35" s="94"/>
      <c r="L35" s="59"/>
      <c r="M35" s="59"/>
      <c r="N35" s="59"/>
      <c r="O35" s="100"/>
      <c r="P35" s="100"/>
      <c r="Q35" s="100"/>
      <c r="R35" s="100"/>
      <c r="S35" s="100"/>
      <c r="T35" s="100"/>
      <c r="U35" s="100"/>
      <c r="V35" s="100"/>
      <c r="W35" s="100"/>
      <c r="X35" s="100"/>
      <c r="Y35" s="100"/>
      <c r="Z35" s="100"/>
      <c r="AA35" s="59"/>
      <c r="AB35" s="59"/>
      <c r="AC35" s="59"/>
      <c r="AD35" s="59"/>
      <c r="AE35" s="59"/>
      <c r="AF35" s="59"/>
      <c r="AG35" s="59"/>
      <c r="AH35" s="59"/>
      <c r="AI35" s="59"/>
      <c r="AJ35" s="59"/>
      <c r="AK35" s="59"/>
    </row>
    <row r="36" ht="14.25" customHeight="1">
      <c r="A36" s="134">
        <f>A28+1</f>
        <v>3</v>
      </c>
      <c r="B36" s="111"/>
      <c r="C36" s="111"/>
      <c r="D36" s="106" t="s">
        <v>264</v>
      </c>
      <c r="E36" s="81" t="s">
        <v>522</v>
      </c>
      <c r="F36" s="108" t="s">
        <v>515</v>
      </c>
      <c r="G36" s="83" t="s">
        <v>60</v>
      </c>
      <c r="H36" s="110" t="str">
        <f t="shared" si="12"/>
        <v/>
      </c>
      <c r="I36" s="92">
        <f t="shared" si="13"/>
        <v>3</v>
      </c>
      <c r="J36" s="103"/>
      <c r="K36" s="94"/>
      <c r="L36" s="59"/>
      <c r="M36" s="59"/>
      <c r="N36" s="59"/>
      <c r="O36" s="100"/>
      <c r="P36" s="100"/>
      <c r="Q36" s="100"/>
      <c r="R36" s="100"/>
      <c r="S36" s="100"/>
      <c r="T36" s="100"/>
      <c r="U36" s="100"/>
      <c r="V36" s="100"/>
      <c r="W36" s="100"/>
      <c r="X36" s="100"/>
      <c r="Y36" s="100"/>
      <c r="Z36" s="100"/>
      <c r="AA36" s="59"/>
      <c r="AB36" s="59"/>
      <c r="AC36" s="59"/>
      <c r="AD36" s="59"/>
      <c r="AE36" s="59"/>
      <c r="AF36" s="59"/>
      <c r="AG36" s="59"/>
      <c r="AH36" s="59"/>
      <c r="AI36" s="59"/>
      <c r="AJ36" s="59"/>
      <c r="AK36" s="59"/>
    </row>
    <row r="37" ht="14.25" customHeight="1">
      <c r="A37" s="134">
        <f t="shared" ref="A37:A42" si="15">A36+1</f>
        <v>4</v>
      </c>
      <c r="B37" s="111"/>
      <c r="C37" s="111"/>
      <c r="D37" s="106" t="s">
        <v>267</v>
      </c>
      <c r="E37" s="81" t="s">
        <v>523</v>
      </c>
      <c r="F37" s="108" t="s">
        <v>524</v>
      </c>
      <c r="G37" s="83" t="s">
        <v>60</v>
      </c>
      <c r="H37" s="110" t="str">
        <f t="shared" si="12"/>
        <v/>
      </c>
      <c r="I37" s="92">
        <f t="shared" si="13"/>
        <v>3</v>
      </c>
      <c r="J37" s="59"/>
      <c r="K37" s="59"/>
      <c r="L37" s="59"/>
      <c r="M37" s="59"/>
      <c r="N37" s="59"/>
      <c r="O37" s="100"/>
      <c r="P37" s="100"/>
      <c r="Q37" s="100"/>
      <c r="R37" s="100"/>
      <c r="S37" s="100"/>
      <c r="T37" s="100"/>
      <c r="U37" s="100"/>
      <c r="V37" s="100"/>
      <c r="W37" s="100"/>
      <c r="X37" s="100"/>
      <c r="Y37" s="100"/>
      <c r="Z37" s="100"/>
      <c r="AA37" s="59"/>
      <c r="AB37" s="59"/>
      <c r="AC37" s="59"/>
      <c r="AD37" s="59"/>
      <c r="AE37" s="59"/>
      <c r="AF37" s="59"/>
      <c r="AG37" s="59"/>
      <c r="AH37" s="59"/>
      <c r="AI37" s="59"/>
      <c r="AJ37" s="59"/>
      <c r="AK37" s="59"/>
    </row>
    <row r="38" ht="14.25" customHeight="1">
      <c r="A38" s="134">
        <f t="shared" si="15"/>
        <v>5</v>
      </c>
      <c r="B38" s="111"/>
      <c r="C38" s="111"/>
      <c r="D38" s="106" t="s">
        <v>270</v>
      </c>
      <c r="E38" s="81" t="s">
        <v>525</v>
      </c>
      <c r="F38" s="108" t="s">
        <v>521</v>
      </c>
      <c r="G38" s="83" t="s">
        <v>60</v>
      </c>
      <c r="H38" s="110" t="str">
        <f t="shared" si="12"/>
        <v/>
      </c>
      <c r="I38" s="92">
        <f t="shared" si="13"/>
        <v>3</v>
      </c>
      <c r="J38" s="59"/>
      <c r="K38" s="59"/>
      <c r="L38" s="59"/>
      <c r="M38" s="59"/>
      <c r="N38" s="59"/>
      <c r="O38" s="100"/>
      <c r="P38" s="100"/>
      <c r="Q38" s="100"/>
      <c r="R38" s="100"/>
      <c r="S38" s="100"/>
      <c r="T38" s="100"/>
      <c r="U38" s="100"/>
      <c r="V38" s="100"/>
      <c r="W38" s="100"/>
      <c r="X38" s="100"/>
      <c r="Y38" s="100"/>
      <c r="Z38" s="100"/>
      <c r="AA38" s="59"/>
      <c r="AB38" s="59"/>
      <c r="AC38" s="59"/>
      <c r="AD38" s="59"/>
      <c r="AE38" s="59"/>
      <c r="AF38" s="59"/>
      <c r="AG38" s="59"/>
      <c r="AH38" s="59"/>
      <c r="AI38" s="59"/>
      <c r="AJ38" s="59"/>
      <c r="AK38" s="59"/>
    </row>
    <row r="39" ht="14.25" customHeight="1">
      <c r="A39" s="134">
        <f t="shared" si="15"/>
        <v>6</v>
      </c>
      <c r="B39" s="111"/>
      <c r="C39" s="111"/>
      <c r="D39" s="106" t="s">
        <v>273</v>
      </c>
      <c r="E39" s="81" t="s">
        <v>526</v>
      </c>
      <c r="F39" s="108" t="s">
        <v>527</v>
      </c>
      <c r="G39" s="83" t="s">
        <v>60</v>
      </c>
      <c r="H39" s="110" t="str">
        <f t="shared" si="12"/>
        <v/>
      </c>
      <c r="I39" s="92">
        <f t="shared" si="13"/>
        <v>3</v>
      </c>
      <c r="J39" s="59"/>
      <c r="K39" s="94"/>
      <c r="L39" s="59"/>
      <c r="M39" s="59"/>
      <c r="N39" s="59"/>
      <c r="O39" s="100"/>
      <c r="P39" s="100"/>
      <c r="Q39" s="100"/>
      <c r="R39" s="100"/>
      <c r="S39" s="100"/>
      <c r="T39" s="100"/>
      <c r="U39" s="100"/>
      <c r="V39" s="100"/>
      <c r="W39" s="100"/>
      <c r="X39" s="100"/>
      <c r="Y39" s="100"/>
      <c r="Z39" s="100"/>
      <c r="AA39" s="59"/>
      <c r="AB39" s="59"/>
      <c r="AC39" s="59"/>
      <c r="AD39" s="59"/>
      <c r="AE39" s="59"/>
      <c r="AF39" s="59"/>
      <c r="AG39" s="59"/>
      <c r="AH39" s="59"/>
      <c r="AI39" s="59"/>
      <c r="AJ39" s="59"/>
      <c r="AK39" s="59"/>
    </row>
    <row r="40" ht="14.25" customHeight="1">
      <c r="A40" s="134">
        <f t="shared" si="15"/>
        <v>7</v>
      </c>
      <c r="B40" s="111"/>
      <c r="C40" s="111"/>
      <c r="D40" s="106" t="s">
        <v>276</v>
      </c>
      <c r="E40" s="81" t="s">
        <v>528</v>
      </c>
      <c r="F40" s="108" t="s">
        <v>529</v>
      </c>
      <c r="G40" s="83" t="s">
        <v>60</v>
      </c>
      <c r="H40" s="110" t="str">
        <f t="shared" si="12"/>
        <v/>
      </c>
      <c r="I40" s="92">
        <f t="shared" si="13"/>
        <v>3</v>
      </c>
      <c r="J40" s="59"/>
      <c r="K40" s="59"/>
      <c r="L40" s="59"/>
      <c r="M40" s="59"/>
      <c r="N40" s="59"/>
      <c r="O40" s="100"/>
      <c r="P40" s="100"/>
      <c r="Q40" s="100"/>
      <c r="R40" s="100"/>
      <c r="S40" s="100"/>
      <c r="T40" s="100"/>
      <c r="U40" s="100"/>
      <c r="V40" s="100"/>
      <c r="W40" s="100"/>
      <c r="X40" s="100"/>
      <c r="Y40" s="100"/>
      <c r="Z40" s="100"/>
      <c r="AA40" s="59"/>
      <c r="AB40" s="59"/>
      <c r="AC40" s="59"/>
      <c r="AD40" s="59"/>
      <c r="AE40" s="59"/>
      <c r="AF40" s="59"/>
      <c r="AG40" s="59"/>
      <c r="AH40" s="59"/>
      <c r="AI40" s="59"/>
      <c r="AJ40" s="59"/>
      <c r="AK40" s="59"/>
    </row>
    <row r="41" ht="14.25" customHeight="1">
      <c r="A41" s="134">
        <f t="shared" si="15"/>
        <v>8</v>
      </c>
      <c r="B41" s="111"/>
      <c r="C41" s="111"/>
      <c r="D41" s="106" t="s">
        <v>279</v>
      </c>
      <c r="E41" s="81" t="s">
        <v>530</v>
      </c>
      <c r="F41" s="108" t="s">
        <v>521</v>
      </c>
      <c r="G41" s="83" t="s">
        <v>60</v>
      </c>
      <c r="H41" s="110" t="str">
        <f t="shared" ref="H41:H42" si="16">IF(OR(G41=$J$22,G41=$J$23,G41=$J$24),$J$9,$J$8)</f>
        <v/>
      </c>
      <c r="I41" s="92">
        <f t="shared" ref="I41:I42" si="17">IF(G41=$J$22,$K$22,IF(G41=$J$23,$K$23,$K$24))</f>
        <v>3</v>
      </c>
      <c r="J41" s="59"/>
      <c r="K41" s="59"/>
      <c r="L41" s="59"/>
      <c r="M41" s="59"/>
      <c r="N41" s="59"/>
      <c r="O41" s="100"/>
      <c r="P41" s="100"/>
      <c r="Q41" s="100"/>
      <c r="R41" s="100"/>
      <c r="S41" s="100"/>
      <c r="T41" s="100"/>
      <c r="U41" s="100"/>
      <c r="V41" s="100"/>
      <c r="W41" s="100"/>
      <c r="X41" s="100"/>
      <c r="Y41" s="100"/>
      <c r="Z41" s="100"/>
      <c r="AA41" s="59"/>
      <c r="AB41" s="59"/>
      <c r="AC41" s="59"/>
      <c r="AD41" s="59"/>
      <c r="AE41" s="59"/>
      <c r="AF41" s="59"/>
      <c r="AG41" s="59"/>
      <c r="AH41" s="59"/>
      <c r="AI41" s="59"/>
      <c r="AJ41" s="59"/>
      <c r="AK41" s="59"/>
    </row>
    <row r="42" ht="14.25" customHeight="1">
      <c r="A42" s="134">
        <f t="shared" si="15"/>
        <v>9</v>
      </c>
      <c r="B42" s="113"/>
      <c r="C42" s="113"/>
      <c r="D42" s="106" t="s">
        <v>282</v>
      </c>
      <c r="E42" s="81" t="s">
        <v>531</v>
      </c>
      <c r="F42" s="108" t="s">
        <v>521</v>
      </c>
      <c r="G42" s="83" t="s">
        <v>60</v>
      </c>
      <c r="H42" s="110" t="str">
        <f t="shared" si="16"/>
        <v/>
      </c>
      <c r="I42" s="92">
        <f t="shared" si="17"/>
        <v>3</v>
      </c>
      <c r="J42" s="59"/>
      <c r="K42" s="59"/>
      <c r="L42" s="59"/>
      <c r="M42" s="59"/>
      <c r="N42" s="59"/>
      <c r="O42" s="100"/>
      <c r="P42" s="100"/>
      <c r="Q42" s="100"/>
      <c r="R42" s="100"/>
      <c r="S42" s="100"/>
      <c r="T42" s="100"/>
      <c r="U42" s="100"/>
      <c r="V42" s="100"/>
      <c r="W42" s="100"/>
      <c r="X42" s="100"/>
      <c r="Y42" s="100"/>
      <c r="Z42" s="100"/>
      <c r="AA42" s="59"/>
      <c r="AB42" s="59"/>
      <c r="AC42" s="59"/>
      <c r="AD42" s="59"/>
      <c r="AE42" s="59"/>
      <c r="AF42" s="59"/>
      <c r="AG42" s="59"/>
      <c r="AH42" s="59"/>
      <c r="AI42" s="59"/>
      <c r="AJ42" s="59"/>
      <c r="AK42" s="59"/>
    </row>
    <row r="43" ht="14.25" customHeight="1">
      <c r="A43" s="134"/>
      <c r="B43" s="89"/>
      <c r="C43" s="89"/>
      <c r="D43" s="89"/>
      <c r="E43" s="89"/>
      <c r="F43" s="89"/>
      <c r="G43" s="89"/>
      <c r="H43" s="110"/>
      <c r="I43" s="92"/>
      <c r="J43" s="59"/>
      <c r="K43" s="59"/>
      <c r="L43" s="59"/>
      <c r="M43" s="59"/>
      <c r="N43" s="59"/>
      <c r="O43" s="100"/>
      <c r="P43" s="100"/>
      <c r="Q43" s="100"/>
      <c r="R43" s="100"/>
      <c r="S43" s="100"/>
      <c r="T43" s="100"/>
      <c r="U43" s="100"/>
      <c r="V43" s="100"/>
      <c r="W43" s="100"/>
      <c r="X43" s="100"/>
      <c r="Y43" s="100"/>
      <c r="Z43" s="100"/>
      <c r="AA43" s="59"/>
      <c r="AB43" s="59"/>
      <c r="AC43" s="59"/>
      <c r="AD43" s="59"/>
      <c r="AE43" s="59"/>
      <c r="AF43" s="59"/>
      <c r="AG43" s="59"/>
      <c r="AH43" s="59"/>
      <c r="AI43" s="59"/>
      <c r="AJ43" s="59"/>
      <c r="AK43" s="59"/>
    </row>
    <row r="44" ht="14.25" customHeight="1">
      <c r="A44" s="134">
        <f t="shared" ref="A44:A46" si="18">A43+1</f>
        <v>1</v>
      </c>
      <c r="B44" s="104">
        <v>4.0</v>
      </c>
      <c r="C44" s="104" t="s">
        <v>287</v>
      </c>
      <c r="D44" s="106" t="s">
        <v>288</v>
      </c>
      <c r="E44" s="81" t="s">
        <v>532</v>
      </c>
      <c r="F44" s="108" t="s">
        <v>533</v>
      </c>
      <c r="G44" s="83" t="s">
        <v>60</v>
      </c>
      <c r="H44" s="110" t="str">
        <f>IF(OR(G44=$J$22,G44=$J$23,G44=$J$24),$J$9,$J$8)</f>
        <v/>
      </c>
      <c r="I44" s="92">
        <f>IF(G44=$J$22,$K$22,IF(G44=$J$23,$K$23,$K$24))</f>
        <v>3</v>
      </c>
      <c r="J44" s="103"/>
      <c r="K44" s="94"/>
      <c r="L44" s="59"/>
      <c r="M44" s="59"/>
      <c r="N44" s="59"/>
      <c r="O44" s="100"/>
      <c r="P44" s="100"/>
      <c r="Q44" s="100"/>
      <c r="R44" s="100"/>
      <c r="S44" s="100"/>
      <c r="T44" s="100"/>
      <c r="U44" s="100"/>
      <c r="V44" s="100"/>
      <c r="W44" s="100"/>
      <c r="X44" s="100"/>
      <c r="Y44" s="100"/>
      <c r="Z44" s="100"/>
      <c r="AA44" s="59"/>
      <c r="AB44" s="59"/>
      <c r="AC44" s="59"/>
      <c r="AD44" s="59"/>
      <c r="AE44" s="59"/>
      <c r="AF44" s="59"/>
      <c r="AG44" s="59"/>
      <c r="AH44" s="59"/>
      <c r="AI44" s="59"/>
      <c r="AJ44" s="59"/>
      <c r="AK44" s="59"/>
    </row>
    <row r="45" ht="14.25" customHeight="1">
      <c r="A45" s="134">
        <f t="shared" si="18"/>
        <v>2</v>
      </c>
      <c r="B45" s="111"/>
      <c r="C45" s="111"/>
      <c r="D45" s="106" t="s">
        <v>292</v>
      </c>
      <c r="E45" s="81" t="s">
        <v>534</v>
      </c>
      <c r="F45" s="108" t="s">
        <v>533</v>
      </c>
      <c r="G45" s="83" t="s">
        <v>60</v>
      </c>
      <c r="H45" s="110" t="str">
        <f>IF(OR(G45=$J$11,G45=$J$12,G45=$J$13),$J$9,$J$8)</f>
        <v/>
      </c>
      <c r="I45" s="92">
        <f>IF(G45=$J$11,$K$11,IF(G45=$J$12,$K$12,$K$13))</f>
        <v>3</v>
      </c>
      <c r="J45" s="59"/>
      <c r="K45" s="59"/>
      <c r="L45" s="59"/>
      <c r="M45" s="59"/>
      <c r="N45" s="59"/>
      <c r="O45" s="100"/>
      <c r="P45" s="100"/>
      <c r="Q45" s="100"/>
      <c r="R45" s="100"/>
      <c r="S45" s="100"/>
      <c r="T45" s="100"/>
      <c r="U45" s="100"/>
      <c r="V45" s="100"/>
      <c r="W45" s="100"/>
      <c r="X45" s="100"/>
      <c r="Y45" s="100"/>
      <c r="Z45" s="100"/>
      <c r="AA45" s="59"/>
      <c r="AB45" s="59"/>
      <c r="AC45" s="59"/>
      <c r="AD45" s="59"/>
      <c r="AE45" s="59"/>
      <c r="AF45" s="59"/>
      <c r="AG45" s="59"/>
      <c r="AH45" s="59"/>
      <c r="AI45" s="59"/>
      <c r="AJ45" s="59"/>
      <c r="AK45" s="59"/>
    </row>
    <row r="46" ht="14.25" customHeight="1">
      <c r="A46" s="134">
        <f t="shared" si="18"/>
        <v>3</v>
      </c>
      <c r="B46" s="113"/>
      <c r="C46" s="113"/>
      <c r="D46" s="106" t="s">
        <v>295</v>
      </c>
      <c r="E46" s="81" t="s">
        <v>535</v>
      </c>
      <c r="F46" s="108" t="s">
        <v>533</v>
      </c>
      <c r="G46" s="83" t="s">
        <v>60</v>
      </c>
      <c r="H46" s="110" t="str">
        <f>IF(OR(G46=$J$22,G46=$J$23,G46=$J$24),$J$9,$J$8)</f>
        <v/>
      </c>
      <c r="I46" s="92">
        <f>IF(G46=$J$22,$K$22,IF(G46=$J$23,$K$23,$K$24))</f>
        <v>3</v>
      </c>
      <c r="J46" s="59"/>
      <c r="K46" s="59"/>
      <c r="L46" s="59"/>
      <c r="M46" s="59"/>
      <c r="N46" s="59"/>
      <c r="O46" s="100"/>
      <c r="P46" s="100"/>
      <c r="Q46" s="100"/>
      <c r="R46" s="100"/>
      <c r="S46" s="100"/>
      <c r="T46" s="100"/>
      <c r="U46" s="100"/>
      <c r="V46" s="100"/>
      <c r="W46" s="100"/>
      <c r="X46" s="100"/>
      <c r="Y46" s="100"/>
      <c r="Z46" s="100"/>
      <c r="AA46" s="59"/>
      <c r="AB46" s="59"/>
      <c r="AC46" s="59"/>
      <c r="AD46" s="59"/>
      <c r="AE46" s="59"/>
      <c r="AF46" s="59"/>
      <c r="AG46" s="59"/>
      <c r="AH46" s="59"/>
      <c r="AI46" s="59"/>
      <c r="AJ46" s="59"/>
      <c r="AK46" s="59"/>
    </row>
    <row r="47" ht="14.25" customHeight="1">
      <c r="A47" s="139"/>
      <c r="B47" s="89"/>
      <c r="C47" s="89"/>
      <c r="D47" s="89"/>
      <c r="E47" s="89"/>
      <c r="F47" s="89"/>
      <c r="G47" s="89"/>
      <c r="H47" s="110"/>
      <c r="I47" s="92"/>
      <c r="J47" s="59"/>
      <c r="K47" s="59"/>
      <c r="L47" s="59"/>
      <c r="M47" s="59"/>
      <c r="N47" s="59"/>
      <c r="O47" s="100"/>
      <c r="P47" s="100"/>
      <c r="Q47" s="100"/>
      <c r="R47" s="100"/>
      <c r="S47" s="100"/>
      <c r="T47" s="100"/>
      <c r="U47" s="100"/>
      <c r="V47" s="100"/>
      <c r="W47" s="100"/>
      <c r="X47" s="100"/>
      <c r="Y47" s="100"/>
      <c r="Z47" s="100"/>
      <c r="AA47" s="59"/>
      <c r="AB47" s="59"/>
      <c r="AC47" s="59"/>
      <c r="AD47" s="59"/>
      <c r="AE47" s="59"/>
      <c r="AF47" s="59"/>
      <c r="AG47" s="59"/>
      <c r="AH47" s="59"/>
      <c r="AI47" s="59"/>
      <c r="AJ47" s="59"/>
      <c r="AK47" s="59"/>
    </row>
    <row r="48" ht="14.25" customHeight="1">
      <c r="A48" s="134">
        <f t="shared" ref="A48:A57" si="19">A47+1</f>
        <v>1</v>
      </c>
      <c r="B48" s="104">
        <v>5.0</v>
      </c>
      <c r="C48" s="104" t="s">
        <v>298</v>
      </c>
      <c r="D48" s="106" t="s">
        <v>299</v>
      </c>
      <c r="E48" s="81" t="s">
        <v>536</v>
      </c>
      <c r="F48" s="108" t="s">
        <v>537</v>
      </c>
      <c r="G48" s="83" t="s">
        <v>60</v>
      </c>
      <c r="H48" s="110" t="str">
        <f t="shared" ref="H48:H57" si="20">IF(OR(G48=$J$22,G48=$J$23,G48=$J$24),$J$9,$J$8)</f>
        <v/>
      </c>
      <c r="I48" s="92">
        <f t="shared" ref="I48:I57" si="21">IF(G48=$J$22,$K$22,IF(G48=$J$23,$K$23,$K$24))</f>
        <v>3</v>
      </c>
      <c r="J48" s="59"/>
      <c r="K48" s="59"/>
      <c r="L48" s="59"/>
      <c r="M48" s="59"/>
      <c r="N48" s="59"/>
      <c r="O48" s="100"/>
      <c r="P48" s="100"/>
      <c r="Q48" s="100"/>
      <c r="R48" s="100"/>
      <c r="S48" s="100"/>
      <c r="T48" s="100"/>
      <c r="U48" s="100"/>
      <c r="V48" s="100"/>
      <c r="W48" s="100"/>
      <c r="X48" s="100"/>
      <c r="Y48" s="100"/>
      <c r="Z48" s="100"/>
      <c r="AA48" s="59"/>
      <c r="AB48" s="59"/>
      <c r="AC48" s="59"/>
      <c r="AD48" s="59"/>
      <c r="AE48" s="59"/>
      <c r="AF48" s="59"/>
      <c r="AG48" s="59"/>
      <c r="AH48" s="59"/>
      <c r="AI48" s="59"/>
      <c r="AJ48" s="59"/>
      <c r="AK48" s="59"/>
    </row>
    <row r="49" ht="14.25" customHeight="1">
      <c r="A49" s="134">
        <f t="shared" si="19"/>
        <v>2</v>
      </c>
      <c r="B49" s="111"/>
      <c r="C49" s="111"/>
      <c r="D49" s="106" t="s">
        <v>302</v>
      </c>
      <c r="E49" s="81" t="s">
        <v>538</v>
      </c>
      <c r="F49" s="108" t="s">
        <v>539</v>
      </c>
      <c r="G49" s="83" t="s">
        <v>60</v>
      </c>
      <c r="H49" s="110" t="str">
        <f t="shared" si="20"/>
        <v/>
      </c>
      <c r="I49" s="92">
        <f t="shared" si="21"/>
        <v>3</v>
      </c>
      <c r="J49" s="103"/>
      <c r="K49" s="94"/>
      <c r="L49" s="59"/>
      <c r="M49" s="59"/>
      <c r="N49" s="59"/>
      <c r="O49" s="100"/>
      <c r="P49" s="100"/>
      <c r="Q49" s="100"/>
      <c r="R49" s="100"/>
      <c r="S49" s="100"/>
      <c r="T49" s="100"/>
      <c r="U49" s="100"/>
      <c r="V49" s="100"/>
      <c r="W49" s="100"/>
      <c r="X49" s="100"/>
      <c r="Y49" s="100"/>
      <c r="Z49" s="100"/>
      <c r="AA49" s="59"/>
      <c r="AB49" s="59"/>
      <c r="AC49" s="59"/>
      <c r="AD49" s="59"/>
      <c r="AE49" s="59"/>
      <c r="AF49" s="59"/>
      <c r="AG49" s="59"/>
      <c r="AH49" s="59"/>
      <c r="AI49" s="59"/>
      <c r="AJ49" s="59"/>
      <c r="AK49" s="59"/>
    </row>
    <row r="50" ht="14.25" customHeight="1">
      <c r="A50" s="134">
        <f t="shared" si="19"/>
        <v>3</v>
      </c>
      <c r="B50" s="111"/>
      <c r="C50" s="111"/>
      <c r="D50" s="106" t="s">
        <v>305</v>
      </c>
      <c r="E50" s="81" t="s">
        <v>540</v>
      </c>
      <c r="F50" s="108" t="s">
        <v>541</v>
      </c>
      <c r="G50" s="83" t="s">
        <v>60</v>
      </c>
      <c r="H50" s="110" t="str">
        <f t="shared" si="20"/>
        <v/>
      </c>
      <c r="I50" s="92">
        <f t="shared" si="21"/>
        <v>3</v>
      </c>
      <c r="J50" s="59"/>
      <c r="K50" s="59"/>
      <c r="L50" s="59"/>
      <c r="M50" s="59"/>
      <c r="N50" s="59"/>
      <c r="O50" s="100"/>
      <c r="P50" s="100"/>
      <c r="Q50" s="100"/>
      <c r="R50" s="100"/>
      <c r="S50" s="100"/>
      <c r="T50" s="100"/>
      <c r="U50" s="100"/>
      <c r="V50" s="100"/>
      <c r="W50" s="100"/>
      <c r="X50" s="100"/>
      <c r="Y50" s="100"/>
      <c r="Z50" s="100"/>
      <c r="AA50" s="59"/>
      <c r="AB50" s="59"/>
      <c r="AC50" s="59"/>
      <c r="AD50" s="59"/>
      <c r="AE50" s="59"/>
      <c r="AF50" s="59"/>
      <c r="AG50" s="59"/>
      <c r="AH50" s="59"/>
      <c r="AI50" s="59"/>
      <c r="AJ50" s="59"/>
      <c r="AK50" s="59"/>
    </row>
    <row r="51" ht="14.25" customHeight="1">
      <c r="A51" s="134">
        <f t="shared" si="19"/>
        <v>4</v>
      </c>
      <c r="B51" s="111"/>
      <c r="C51" s="111"/>
      <c r="D51" s="106" t="s">
        <v>308</v>
      </c>
      <c r="E51" s="81" t="s">
        <v>542</v>
      </c>
      <c r="F51" s="108" t="s">
        <v>543</v>
      </c>
      <c r="G51" s="83" t="s">
        <v>60</v>
      </c>
      <c r="H51" s="110" t="str">
        <f t="shared" si="20"/>
        <v/>
      </c>
      <c r="I51" s="92">
        <f t="shared" si="21"/>
        <v>3</v>
      </c>
      <c r="J51" s="59"/>
      <c r="K51" s="59"/>
      <c r="L51" s="59"/>
      <c r="M51" s="59"/>
      <c r="N51" s="59"/>
      <c r="O51" s="100"/>
      <c r="P51" s="100"/>
      <c r="Q51" s="100"/>
      <c r="R51" s="100"/>
      <c r="S51" s="100"/>
      <c r="T51" s="100"/>
      <c r="U51" s="100"/>
      <c r="V51" s="100"/>
      <c r="W51" s="100"/>
      <c r="X51" s="100"/>
      <c r="Y51" s="100"/>
      <c r="Z51" s="100"/>
      <c r="AA51" s="59"/>
      <c r="AB51" s="59"/>
      <c r="AC51" s="59"/>
      <c r="AD51" s="59"/>
      <c r="AE51" s="59"/>
      <c r="AF51" s="59"/>
      <c r="AG51" s="59"/>
      <c r="AH51" s="59"/>
      <c r="AI51" s="59"/>
      <c r="AJ51" s="59"/>
      <c r="AK51" s="59"/>
    </row>
    <row r="52" ht="16.5" customHeight="1">
      <c r="A52" s="134">
        <f t="shared" si="19"/>
        <v>5</v>
      </c>
      <c r="B52" s="111"/>
      <c r="C52" s="111"/>
      <c r="D52" s="106" t="s">
        <v>311</v>
      </c>
      <c r="E52" s="81" t="s">
        <v>544</v>
      </c>
      <c r="F52" s="108" t="s">
        <v>545</v>
      </c>
      <c r="G52" s="83" t="s">
        <v>60</v>
      </c>
      <c r="H52" s="110" t="str">
        <f t="shared" si="20"/>
        <v/>
      </c>
      <c r="I52" s="92">
        <f t="shared" si="21"/>
        <v>3</v>
      </c>
      <c r="J52" s="103"/>
      <c r="K52" s="94"/>
      <c r="L52" s="59"/>
      <c r="M52" s="59"/>
      <c r="N52" s="59"/>
      <c r="O52" s="100"/>
      <c r="P52" s="100"/>
      <c r="Q52" s="100"/>
      <c r="R52" s="100"/>
      <c r="S52" s="100"/>
      <c r="T52" s="100"/>
      <c r="U52" s="100"/>
      <c r="V52" s="100"/>
      <c r="W52" s="100"/>
      <c r="X52" s="100"/>
      <c r="Y52" s="100"/>
      <c r="Z52" s="100"/>
      <c r="AA52" s="59"/>
      <c r="AB52" s="59"/>
      <c r="AC52" s="59"/>
      <c r="AD52" s="59"/>
      <c r="AE52" s="59"/>
      <c r="AF52" s="59"/>
      <c r="AG52" s="59"/>
      <c r="AH52" s="59"/>
      <c r="AI52" s="59"/>
      <c r="AJ52" s="59"/>
      <c r="AK52" s="59"/>
    </row>
    <row r="53" ht="14.25" customHeight="1">
      <c r="A53" s="134">
        <f t="shared" si="19"/>
        <v>6</v>
      </c>
      <c r="B53" s="111"/>
      <c r="C53" s="111"/>
      <c r="D53" s="106" t="s">
        <v>315</v>
      </c>
      <c r="E53" s="81" t="s">
        <v>546</v>
      </c>
      <c r="F53" s="108" t="s">
        <v>547</v>
      </c>
      <c r="G53" s="83" t="s">
        <v>60</v>
      </c>
      <c r="H53" s="110" t="str">
        <f t="shared" si="20"/>
        <v/>
      </c>
      <c r="I53" s="92">
        <f t="shared" si="21"/>
        <v>3</v>
      </c>
      <c r="J53" s="59"/>
      <c r="K53" s="59"/>
      <c r="L53" s="59"/>
      <c r="M53" s="59"/>
      <c r="N53" s="59"/>
      <c r="O53" s="100"/>
      <c r="P53" s="100"/>
      <c r="Q53" s="100"/>
      <c r="R53" s="100"/>
      <c r="S53" s="100"/>
      <c r="T53" s="100"/>
      <c r="U53" s="100"/>
      <c r="V53" s="100"/>
      <c r="W53" s="100"/>
      <c r="X53" s="100"/>
      <c r="Y53" s="100"/>
      <c r="Z53" s="100"/>
      <c r="AA53" s="59"/>
      <c r="AB53" s="59"/>
      <c r="AC53" s="59"/>
      <c r="AD53" s="59"/>
      <c r="AE53" s="59"/>
      <c r="AF53" s="59"/>
      <c r="AG53" s="59"/>
      <c r="AH53" s="59"/>
      <c r="AI53" s="59"/>
      <c r="AJ53" s="59"/>
      <c r="AK53" s="59"/>
    </row>
    <row r="54" ht="14.25" customHeight="1">
      <c r="A54" s="134">
        <f t="shared" si="19"/>
        <v>7</v>
      </c>
      <c r="B54" s="111"/>
      <c r="C54" s="111"/>
      <c r="D54" s="106" t="s">
        <v>319</v>
      </c>
      <c r="E54" s="81" t="s">
        <v>548</v>
      </c>
      <c r="F54" s="108" t="s">
        <v>549</v>
      </c>
      <c r="G54" s="83" t="s">
        <v>60</v>
      </c>
      <c r="H54" s="110" t="str">
        <f t="shared" si="20"/>
        <v/>
      </c>
      <c r="I54" s="92">
        <f t="shared" si="21"/>
        <v>3</v>
      </c>
      <c r="J54" s="59"/>
      <c r="K54" s="59"/>
      <c r="L54" s="59"/>
      <c r="M54" s="59"/>
      <c r="N54" s="59"/>
      <c r="O54" s="100"/>
      <c r="P54" s="100"/>
      <c r="Q54" s="100"/>
      <c r="R54" s="100"/>
      <c r="S54" s="100"/>
      <c r="T54" s="100"/>
      <c r="U54" s="100"/>
      <c r="V54" s="100"/>
      <c r="W54" s="100"/>
      <c r="X54" s="100"/>
      <c r="Y54" s="100"/>
      <c r="Z54" s="100"/>
      <c r="AA54" s="59"/>
      <c r="AB54" s="59"/>
      <c r="AC54" s="59"/>
      <c r="AD54" s="59"/>
      <c r="AE54" s="59"/>
      <c r="AF54" s="59"/>
      <c r="AG54" s="59"/>
      <c r="AH54" s="59"/>
      <c r="AI54" s="59"/>
      <c r="AJ54" s="59"/>
      <c r="AK54" s="59"/>
    </row>
    <row r="55" ht="14.25" customHeight="1">
      <c r="A55" s="134">
        <f t="shared" si="19"/>
        <v>8</v>
      </c>
      <c r="B55" s="111"/>
      <c r="C55" s="111"/>
      <c r="D55" s="106" t="s">
        <v>323</v>
      </c>
      <c r="E55" s="81" t="s">
        <v>550</v>
      </c>
      <c r="F55" s="108" t="s">
        <v>551</v>
      </c>
      <c r="G55" s="83" t="s">
        <v>60</v>
      </c>
      <c r="H55" s="110" t="str">
        <f t="shared" si="20"/>
        <v/>
      </c>
      <c r="I55" s="92">
        <f t="shared" si="21"/>
        <v>3</v>
      </c>
      <c r="J55" s="59"/>
      <c r="K55" s="59"/>
      <c r="L55" s="59"/>
      <c r="M55" s="59"/>
      <c r="N55" s="59"/>
      <c r="O55" s="100"/>
      <c r="P55" s="100"/>
      <c r="Q55" s="100"/>
      <c r="R55" s="100"/>
      <c r="S55" s="100"/>
      <c r="T55" s="100"/>
      <c r="U55" s="100"/>
      <c r="V55" s="100"/>
      <c r="W55" s="100"/>
      <c r="X55" s="100"/>
      <c r="Y55" s="100"/>
      <c r="Z55" s="100"/>
      <c r="AA55" s="59"/>
      <c r="AB55" s="59"/>
      <c r="AC55" s="59"/>
      <c r="AD55" s="59"/>
      <c r="AE55" s="59"/>
      <c r="AF55" s="59"/>
      <c r="AG55" s="59"/>
      <c r="AH55" s="59"/>
      <c r="AI55" s="59"/>
      <c r="AJ55" s="59"/>
      <c r="AK55" s="59"/>
    </row>
    <row r="56" ht="14.25" customHeight="1">
      <c r="A56" s="134">
        <f t="shared" si="19"/>
        <v>9</v>
      </c>
      <c r="B56" s="111"/>
      <c r="C56" s="111"/>
      <c r="D56" s="106" t="s">
        <v>326</v>
      </c>
      <c r="E56" s="81" t="s">
        <v>552</v>
      </c>
      <c r="F56" s="108" t="s">
        <v>553</v>
      </c>
      <c r="G56" s="83" t="s">
        <v>60</v>
      </c>
      <c r="H56" s="110" t="str">
        <f t="shared" si="20"/>
        <v/>
      </c>
      <c r="I56" s="92">
        <f t="shared" si="21"/>
        <v>3</v>
      </c>
      <c r="J56" s="103"/>
      <c r="K56" s="94"/>
      <c r="L56" s="59"/>
      <c r="M56" s="59"/>
      <c r="N56" s="59"/>
      <c r="O56" s="100"/>
      <c r="P56" s="100"/>
      <c r="Q56" s="100"/>
      <c r="R56" s="100"/>
      <c r="S56" s="100"/>
      <c r="T56" s="100"/>
      <c r="U56" s="100"/>
      <c r="V56" s="100"/>
      <c r="W56" s="100"/>
      <c r="X56" s="100"/>
      <c r="Y56" s="100"/>
      <c r="Z56" s="100"/>
      <c r="AA56" s="59"/>
      <c r="AB56" s="59"/>
      <c r="AC56" s="59"/>
      <c r="AD56" s="59"/>
      <c r="AE56" s="59"/>
      <c r="AF56" s="59"/>
      <c r="AG56" s="59"/>
      <c r="AH56" s="59"/>
      <c r="AI56" s="59"/>
      <c r="AJ56" s="59"/>
      <c r="AK56" s="59"/>
    </row>
    <row r="57" ht="14.25" customHeight="1">
      <c r="A57" s="134">
        <f t="shared" si="19"/>
        <v>10</v>
      </c>
      <c r="B57" s="113"/>
      <c r="C57" s="113"/>
      <c r="D57" s="106" t="s">
        <v>329</v>
      </c>
      <c r="E57" s="81" t="s">
        <v>554</v>
      </c>
      <c r="F57" s="108" t="s">
        <v>555</v>
      </c>
      <c r="G57" s="83" t="s">
        <v>60</v>
      </c>
      <c r="H57" s="110" t="str">
        <f t="shared" si="20"/>
        <v/>
      </c>
      <c r="I57" s="92">
        <f t="shared" si="21"/>
        <v>3</v>
      </c>
      <c r="J57" s="103"/>
      <c r="K57" s="94"/>
      <c r="L57" s="59"/>
      <c r="M57" s="59"/>
      <c r="N57" s="59"/>
      <c r="O57" s="100"/>
      <c r="P57" s="100"/>
      <c r="Q57" s="100"/>
      <c r="R57" s="100"/>
      <c r="S57" s="100"/>
      <c r="T57" s="100"/>
      <c r="U57" s="100"/>
      <c r="V57" s="100"/>
      <c r="W57" s="100"/>
      <c r="X57" s="100"/>
      <c r="Y57" s="100"/>
      <c r="Z57" s="100"/>
      <c r="AA57" s="59"/>
      <c r="AB57" s="59"/>
      <c r="AC57" s="59"/>
      <c r="AD57" s="59"/>
      <c r="AE57" s="59"/>
      <c r="AF57" s="59"/>
      <c r="AG57" s="59"/>
      <c r="AH57" s="59"/>
      <c r="AI57" s="59"/>
      <c r="AJ57" s="59"/>
      <c r="AK57" s="59"/>
    </row>
    <row r="58" ht="14.25" customHeight="1">
      <c r="A58" s="139"/>
      <c r="B58" s="89"/>
      <c r="C58" s="89"/>
      <c r="D58" s="89"/>
      <c r="E58" s="89"/>
      <c r="F58" s="89"/>
      <c r="G58" s="89"/>
      <c r="H58" s="110"/>
      <c r="I58" s="92"/>
      <c r="J58" s="59"/>
      <c r="K58" s="59"/>
      <c r="L58" s="59"/>
      <c r="M58" s="59"/>
      <c r="N58" s="59"/>
      <c r="O58" s="100"/>
      <c r="P58" s="100"/>
      <c r="Q58" s="100"/>
      <c r="R58" s="100"/>
      <c r="S58" s="100"/>
      <c r="T58" s="100"/>
      <c r="U58" s="100"/>
      <c r="V58" s="100"/>
      <c r="W58" s="100"/>
      <c r="X58" s="100"/>
      <c r="Y58" s="100"/>
      <c r="Z58" s="100"/>
      <c r="AA58" s="59"/>
      <c r="AB58" s="59"/>
      <c r="AC58" s="59"/>
      <c r="AD58" s="59"/>
      <c r="AE58" s="59"/>
      <c r="AF58" s="59"/>
      <c r="AG58" s="59"/>
      <c r="AH58" s="59"/>
      <c r="AI58" s="59"/>
      <c r="AJ58" s="59"/>
      <c r="AK58" s="59"/>
    </row>
    <row r="59" ht="14.25" customHeight="1">
      <c r="A59" s="134">
        <f t="shared" ref="A59:A67" si="22">A58+1</f>
        <v>1</v>
      </c>
      <c r="B59" s="104">
        <v>6.0</v>
      </c>
      <c r="C59" s="104" t="s">
        <v>333</v>
      </c>
      <c r="D59" s="106" t="s">
        <v>334</v>
      </c>
      <c r="E59" s="81" t="s">
        <v>556</v>
      </c>
      <c r="F59" s="108" t="s">
        <v>557</v>
      </c>
      <c r="G59" s="83" t="s">
        <v>60</v>
      </c>
      <c r="H59" s="110" t="str">
        <f t="shared" ref="H59:H67" si="23">IF(OR(G59=$J$22,G59=$J$23,G59=$J$24),$J$9,$J$8)</f>
        <v/>
      </c>
      <c r="I59" s="92">
        <f t="shared" ref="I59:I67" si="24">IF(G59=$J$22,$K$22,IF(G59=$J$23,$K$23,$K$24))</f>
        <v>3</v>
      </c>
      <c r="J59" s="59"/>
      <c r="K59" s="59"/>
      <c r="L59" s="59"/>
      <c r="M59" s="59"/>
      <c r="N59" s="59"/>
      <c r="O59" s="100"/>
      <c r="P59" s="100"/>
      <c r="Q59" s="100"/>
      <c r="R59" s="100"/>
      <c r="S59" s="100"/>
      <c r="T59" s="100"/>
      <c r="U59" s="100"/>
      <c r="V59" s="100"/>
      <c r="W59" s="100"/>
      <c r="X59" s="100"/>
      <c r="Y59" s="100"/>
      <c r="Z59" s="100"/>
      <c r="AA59" s="59"/>
      <c r="AB59" s="59"/>
      <c r="AC59" s="59"/>
      <c r="AD59" s="59"/>
      <c r="AE59" s="59"/>
      <c r="AF59" s="59"/>
      <c r="AG59" s="59"/>
      <c r="AH59" s="59"/>
      <c r="AI59" s="59"/>
      <c r="AJ59" s="59"/>
      <c r="AK59" s="59"/>
    </row>
    <row r="60" ht="14.25" customHeight="1">
      <c r="A60" s="134">
        <f t="shared" si="22"/>
        <v>2</v>
      </c>
      <c r="B60" s="111"/>
      <c r="C60" s="111"/>
      <c r="D60" s="106" t="s">
        <v>337</v>
      </c>
      <c r="E60" s="81" t="s">
        <v>558</v>
      </c>
      <c r="F60" s="108" t="s">
        <v>559</v>
      </c>
      <c r="G60" s="83" t="s">
        <v>60</v>
      </c>
      <c r="H60" s="110" t="str">
        <f t="shared" si="23"/>
        <v/>
      </c>
      <c r="I60" s="92">
        <f t="shared" si="24"/>
        <v>3</v>
      </c>
      <c r="J60" s="59"/>
      <c r="K60" s="59"/>
      <c r="L60" s="59"/>
      <c r="M60" s="59"/>
      <c r="N60" s="59"/>
      <c r="O60" s="100"/>
      <c r="P60" s="100"/>
      <c r="Q60" s="100"/>
      <c r="R60" s="100"/>
      <c r="S60" s="100"/>
      <c r="T60" s="100"/>
      <c r="U60" s="100"/>
      <c r="V60" s="100"/>
      <c r="W60" s="100"/>
      <c r="X60" s="100"/>
      <c r="Y60" s="100"/>
      <c r="Z60" s="100"/>
      <c r="AA60" s="59"/>
      <c r="AB60" s="59"/>
      <c r="AC60" s="59"/>
      <c r="AD60" s="59"/>
      <c r="AE60" s="59"/>
      <c r="AF60" s="59"/>
      <c r="AG60" s="59"/>
      <c r="AH60" s="59"/>
      <c r="AI60" s="59"/>
      <c r="AJ60" s="59"/>
      <c r="AK60" s="59"/>
    </row>
    <row r="61" ht="14.25" customHeight="1">
      <c r="A61" s="134">
        <f t="shared" si="22"/>
        <v>3</v>
      </c>
      <c r="B61" s="111"/>
      <c r="C61" s="111"/>
      <c r="D61" s="106" t="s">
        <v>341</v>
      </c>
      <c r="E61" s="81" t="s">
        <v>560</v>
      </c>
      <c r="F61" s="108" t="s">
        <v>561</v>
      </c>
      <c r="G61" s="83" t="s">
        <v>60</v>
      </c>
      <c r="H61" s="110" t="str">
        <f t="shared" si="23"/>
        <v/>
      </c>
      <c r="I61" s="92">
        <f t="shared" si="24"/>
        <v>3</v>
      </c>
      <c r="J61" s="59"/>
      <c r="K61" s="59"/>
      <c r="L61" s="59"/>
      <c r="M61" s="59"/>
      <c r="N61" s="59"/>
      <c r="O61" s="100"/>
      <c r="P61" s="100"/>
      <c r="Q61" s="100"/>
      <c r="R61" s="100"/>
      <c r="S61" s="100"/>
      <c r="T61" s="100"/>
      <c r="U61" s="100"/>
      <c r="V61" s="100"/>
      <c r="W61" s="100"/>
      <c r="X61" s="100"/>
      <c r="Y61" s="100"/>
      <c r="Z61" s="100"/>
      <c r="AA61" s="59"/>
      <c r="AB61" s="59"/>
      <c r="AC61" s="59"/>
      <c r="AD61" s="59"/>
      <c r="AE61" s="59"/>
      <c r="AF61" s="59"/>
      <c r="AG61" s="59"/>
      <c r="AH61" s="59"/>
      <c r="AI61" s="59"/>
      <c r="AJ61" s="59"/>
      <c r="AK61" s="59"/>
    </row>
    <row r="62" ht="14.25" customHeight="1">
      <c r="A62" s="134">
        <f t="shared" si="22"/>
        <v>4</v>
      </c>
      <c r="B62" s="111"/>
      <c r="C62" s="111"/>
      <c r="D62" s="106" t="s">
        <v>344</v>
      </c>
      <c r="E62" s="81" t="s">
        <v>562</v>
      </c>
      <c r="F62" s="108" t="s">
        <v>563</v>
      </c>
      <c r="G62" s="83" t="s">
        <v>60</v>
      </c>
      <c r="H62" s="110" t="str">
        <f t="shared" si="23"/>
        <v/>
      </c>
      <c r="I62" s="92">
        <f t="shared" si="24"/>
        <v>3</v>
      </c>
      <c r="J62" s="103"/>
      <c r="K62" s="94"/>
      <c r="L62" s="59"/>
      <c r="M62" s="59"/>
      <c r="N62" s="59"/>
      <c r="O62" s="100"/>
      <c r="P62" s="100"/>
      <c r="Q62" s="100"/>
      <c r="R62" s="100"/>
      <c r="S62" s="100"/>
      <c r="T62" s="100"/>
      <c r="U62" s="100"/>
      <c r="V62" s="100"/>
      <c r="W62" s="100"/>
      <c r="X62" s="100"/>
      <c r="Y62" s="100"/>
      <c r="Z62" s="100"/>
      <c r="AA62" s="59"/>
      <c r="AB62" s="59"/>
      <c r="AC62" s="59"/>
      <c r="AD62" s="59"/>
      <c r="AE62" s="59"/>
      <c r="AF62" s="59"/>
      <c r="AG62" s="59"/>
      <c r="AH62" s="59"/>
      <c r="AI62" s="59"/>
      <c r="AJ62" s="59"/>
      <c r="AK62" s="59"/>
    </row>
    <row r="63" ht="14.25" customHeight="1">
      <c r="A63" s="134">
        <f t="shared" si="22"/>
        <v>5</v>
      </c>
      <c r="B63" s="111"/>
      <c r="C63" s="111"/>
      <c r="D63" s="106" t="s">
        <v>348</v>
      </c>
      <c r="E63" s="81" t="s">
        <v>564</v>
      </c>
      <c r="F63" s="108" t="s">
        <v>565</v>
      </c>
      <c r="G63" s="83" t="s">
        <v>60</v>
      </c>
      <c r="H63" s="110" t="str">
        <f t="shared" si="23"/>
        <v/>
      </c>
      <c r="I63" s="92">
        <f t="shared" si="24"/>
        <v>3</v>
      </c>
      <c r="J63" s="59"/>
      <c r="K63" s="59"/>
      <c r="L63" s="59"/>
      <c r="M63" s="59"/>
      <c r="N63" s="59"/>
      <c r="O63" s="100"/>
      <c r="P63" s="100"/>
      <c r="Q63" s="100"/>
      <c r="R63" s="100"/>
      <c r="S63" s="100"/>
      <c r="T63" s="100"/>
      <c r="U63" s="100"/>
      <c r="V63" s="100"/>
      <c r="W63" s="100"/>
      <c r="X63" s="100"/>
      <c r="Y63" s="100"/>
      <c r="Z63" s="100"/>
      <c r="AA63" s="59"/>
      <c r="AB63" s="59"/>
      <c r="AC63" s="59"/>
      <c r="AD63" s="59"/>
      <c r="AE63" s="59"/>
      <c r="AF63" s="59"/>
      <c r="AG63" s="59"/>
      <c r="AH63" s="59"/>
      <c r="AI63" s="59"/>
      <c r="AJ63" s="59"/>
      <c r="AK63" s="59"/>
    </row>
    <row r="64" ht="14.25" customHeight="1">
      <c r="A64" s="134">
        <f t="shared" si="22"/>
        <v>6</v>
      </c>
      <c r="B64" s="111"/>
      <c r="C64" s="111"/>
      <c r="D64" s="106" t="s">
        <v>351</v>
      </c>
      <c r="E64" s="81" t="s">
        <v>566</v>
      </c>
      <c r="F64" s="108" t="s">
        <v>567</v>
      </c>
      <c r="G64" s="83" t="s">
        <v>60</v>
      </c>
      <c r="H64" s="110" t="str">
        <f t="shared" si="23"/>
        <v/>
      </c>
      <c r="I64" s="92">
        <f t="shared" si="24"/>
        <v>3</v>
      </c>
      <c r="J64" s="59"/>
      <c r="K64" s="59"/>
      <c r="L64" s="59"/>
      <c r="M64" s="59"/>
      <c r="N64" s="59"/>
      <c r="O64" s="100"/>
      <c r="P64" s="100"/>
      <c r="Q64" s="100"/>
      <c r="R64" s="100"/>
      <c r="S64" s="100"/>
      <c r="T64" s="100"/>
      <c r="U64" s="100"/>
      <c r="V64" s="100"/>
      <c r="W64" s="100"/>
      <c r="X64" s="100"/>
      <c r="Y64" s="100"/>
      <c r="Z64" s="100"/>
      <c r="AA64" s="59"/>
      <c r="AB64" s="59"/>
      <c r="AC64" s="59"/>
      <c r="AD64" s="59"/>
      <c r="AE64" s="59"/>
      <c r="AF64" s="59"/>
      <c r="AG64" s="59"/>
      <c r="AH64" s="59"/>
      <c r="AI64" s="59"/>
      <c r="AJ64" s="59"/>
      <c r="AK64" s="59"/>
    </row>
    <row r="65" ht="14.25" customHeight="1">
      <c r="A65" s="134">
        <f t="shared" si="22"/>
        <v>7</v>
      </c>
      <c r="B65" s="111"/>
      <c r="C65" s="111"/>
      <c r="D65" s="106" t="s">
        <v>354</v>
      </c>
      <c r="E65" s="81" t="s">
        <v>568</v>
      </c>
      <c r="F65" s="108" t="s">
        <v>569</v>
      </c>
      <c r="G65" s="83" t="s">
        <v>60</v>
      </c>
      <c r="H65" s="110" t="str">
        <f t="shared" si="23"/>
        <v/>
      </c>
      <c r="I65" s="92">
        <f t="shared" si="24"/>
        <v>3</v>
      </c>
      <c r="J65" s="59"/>
      <c r="K65" s="59"/>
      <c r="L65" s="59"/>
      <c r="M65" s="59"/>
      <c r="N65" s="59"/>
      <c r="O65" s="100"/>
      <c r="P65" s="100"/>
      <c r="Q65" s="100"/>
      <c r="R65" s="100"/>
      <c r="S65" s="100"/>
      <c r="T65" s="100"/>
      <c r="U65" s="100"/>
      <c r="V65" s="100"/>
      <c r="W65" s="100"/>
      <c r="X65" s="100"/>
      <c r="Y65" s="100"/>
      <c r="Z65" s="100"/>
      <c r="AA65" s="59"/>
      <c r="AB65" s="59"/>
      <c r="AC65" s="59"/>
      <c r="AD65" s="59"/>
      <c r="AE65" s="59"/>
      <c r="AF65" s="59"/>
      <c r="AG65" s="59"/>
      <c r="AH65" s="59"/>
      <c r="AI65" s="59"/>
      <c r="AJ65" s="59"/>
      <c r="AK65" s="59"/>
    </row>
    <row r="66" ht="14.25" customHeight="1">
      <c r="A66" s="134">
        <f t="shared" si="22"/>
        <v>8</v>
      </c>
      <c r="B66" s="111"/>
      <c r="C66" s="111"/>
      <c r="D66" s="106" t="s">
        <v>357</v>
      </c>
      <c r="E66" s="81" t="s">
        <v>570</v>
      </c>
      <c r="F66" s="108" t="s">
        <v>571</v>
      </c>
      <c r="G66" s="83" t="s">
        <v>60</v>
      </c>
      <c r="H66" s="110" t="str">
        <f t="shared" si="23"/>
        <v/>
      </c>
      <c r="I66" s="92">
        <f t="shared" si="24"/>
        <v>3</v>
      </c>
      <c r="J66" s="59"/>
      <c r="K66" s="59"/>
      <c r="L66" s="59"/>
      <c r="M66" s="59"/>
      <c r="N66" s="59"/>
      <c r="O66" s="100"/>
      <c r="P66" s="100"/>
      <c r="Q66" s="100"/>
      <c r="R66" s="100"/>
      <c r="S66" s="100"/>
      <c r="T66" s="100"/>
      <c r="U66" s="100"/>
      <c r="V66" s="100"/>
      <c r="W66" s="100"/>
      <c r="X66" s="100"/>
      <c r="Y66" s="100"/>
      <c r="Z66" s="100"/>
      <c r="AA66" s="59"/>
      <c r="AB66" s="59"/>
      <c r="AC66" s="59"/>
      <c r="AD66" s="59"/>
      <c r="AE66" s="59"/>
      <c r="AF66" s="59"/>
      <c r="AG66" s="59"/>
      <c r="AH66" s="59"/>
      <c r="AI66" s="59"/>
      <c r="AJ66" s="59"/>
      <c r="AK66" s="59"/>
    </row>
    <row r="67" ht="14.25" customHeight="1">
      <c r="A67" s="134">
        <f t="shared" si="22"/>
        <v>9</v>
      </c>
      <c r="B67" s="111"/>
      <c r="C67" s="111"/>
      <c r="D67" s="106" t="s">
        <v>360</v>
      </c>
      <c r="E67" s="140" t="s">
        <v>572</v>
      </c>
      <c r="F67" s="141" t="s">
        <v>573</v>
      </c>
      <c r="G67" s="83" t="s">
        <v>60</v>
      </c>
      <c r="H67" s="110" t="str">
        <f t="shared" si="23"/>
        <v/>
      </c>
      <c r="I67" s="92">
        <f t="shared" si="24"/>
        <v>3</v>
      </c>
      <c r="J67" s="103"/>
      <c r="K67" s="94"/>
      <c r="L67" s="59"/>
      <c r="M67" s="59"/>
      <c r="N67" s="59"/>
      <c r="O67" s="100"/>
      <c r="P67" s="100"/>
      <c r="Q67" s="100"/>
      <c r="R67" s="100"/>
      <c r="S67" s="100"/>
      <c r="T67" s="100"/>
      <c r="U67" s="100"/>
      <c r="V67" s="100"/>
      <c r="W67" s="100"/>
      <c r="X67" s="100"/>
      <c r="Y67" s="100"/>
      <c r="Z67" s="100"/>
      <c r="AA67" s="59"/>
      <c r="AB67" s="59"/>
      <c r="AC67" s="59"/>
      <c r="AD67" s="59"/>
      <c r="AE67" s="59"/>
      <c r="AF67" s="59"/>
      <c r="AG67" s="59"/>
      <c r="AH67" s="59"/>
      <c r="AI67" s="59"/>
      <c r="AJ67" s="59"/>
      <c r="AK67" s="59"/>
    </row>
    <row r="68" ht="62.25" customHeight="1">
      <c r="A68" s="62"/>
      <c r="B68" s="97"/>
      <c r="C68" s="97"/>
      <c r="D68" s="97"/>
      <c r="E68" s="97"/>
      <c r="F68" s="97"/>
      <c r="G68" s="97"/>
      <c r="H68" s="99"/>
      <c r="I68" s="59"/>
      <c r="J68" s="59"/>
      <c r="K68" s="59"/>
      <c r="L68" s="59"/>
      <c r="M68" s="118"/>
      <c r="N68" s="59"/>
      <c r="O68" s="59"/>
      <c r="P68" s="59"/>
      <c r="Q68" s="59"/>
      <c r="R68" s="59"/>
      <c r="S68" s="59"/>
      <c r="T68" s="59"/>
      <c r="U68" s="59"/>
      <c r="V68" s="59"/>
      <c r="W68" s="59"/>
      <c r="X68" s="59"/>
      <c r="Y68" s="59"/>
      <c r="Z68" s="59"/>
      <c r="AA68" s="59"/>
      <c r="AB68" s="59"/>
      <c r="AC68" s="59"/>
      <c r="AD68" s="59"/>
      <c r="AE68" s="59"/>
      <c r="AF68" s="59"/>
      <c r="AG68" s="59"/>
      <c r="AH68" s="59"/>
      <c r="AI68" s="59"/>
      <c r="AJ68" s="59"/>
      <c r="AK68" s="59"/>
    </row>
    <row r="69" ht="14.25" hidden="1" customHeight="1">
      <c r="A69" s="62"/>
      <c r="B69" s="97"/>
      <c r="C69" s="97"/>
      <c r="D69" s="97"/>
      <c r="E69" s="97"/>
      <c r="F69" s="97"/>
      <c r="G69" s="97"/>
      <c r="H69" s="99"/>
      <c r="I69" s="59"/>
      <c r="J69" s="59"/>
      <c r="K69" s="59"/>
      <c r="L69" s="59"/>
      <c r="M69" s="118"/>
      <c r="N69" s="59"/>
      <c r="O69" s="59"/>
      <c r="P69" s="59"/>
      <c r="Q69" s="59"/>
      <c r="R69" s="59"/>
      <c r="S69" s="59"/>
      <c r="T69" s="59"/>
      <c r="U69" s="59"/>
      <c r="V69" s="59"/>
      <c r="W69" s="59"/>
      <c r="X69" s="59"/>
      <c r="Y69" s="59"/>
      <c r="Z69" s="59"/>
      <c r="AA69" s="59"/>
      <c r="AB69" s="59"/>
      <c r="AC69" s="59"/>
      <c r="AD69" s="59"/>
      <c r="AE69" s="59"/>
      <c r="AF69" s="59"/>
      <c r="AG69" s="59"/>
      <c r="AH69" s="59"/>
      <c r="AI69" s="59"/>
      <c r="AJ69" s="59"/>
      <c r="AK69" s="59"/>
    </row>
    <row r="70" ht="14.25" hidden="1" customHeight="1">
      <c r="A70" s="62"/>
      <c r="B70" s="97"/>
      <c r="C70" s="97"/>
      <c r="D70" s="97"/>
      <c r="E70" s="97"/>
      <c r="F70" s="97"/>
      <c r="G70" s="97"/>
      <c r="H70" s="99"/>
      <c r="I70" s="59"/>
      <c r="J70" s="59"/>
      <c r="K70" s="59"/>
      <c r="L70" s="59"/>
      <c r="M70" s="118"/>
      <c r="N70" s="59"/>
      <c r="O70" s="59"/>
      <c r="P70" s="59"/>
      <c r="Q70" s="59"/>
      <c r="R70" s="59"/>
      <c r="S70" s="59"/>
      <c r="T70" s="59"/>
      <c r="U70" s="59"/>
      <c r="V70" s="59"/>
      <c r="W70" s="59"/>
      <c r="X70" s="59"/>
      <c r="Y70" s="59"/>
      <c r="Z70" s="59"/>
      <c r="AA70" s="59"/>
      <c r="AB70" s="59"/>
      <c r="AC70" s="59"/>
      <c r="AD70" s="59"/>
      <c r="AE70" s="59"/>
      <c r="AF70" s="59"/>
      <c r="AG70" s="59"/>
      <c r="AH70" s="59"/>
      <c r="AI70" s="59"/>
      <c r="AJ70" s="59"/>
      <c r="AK70" s="59"/>
    </row>
    <row r="71" ht="14.25" hidden="1" customHeight="1">
      <c r="A71" s="62"/>
      <c r="B71" s="97"/>
      <c r="C71" s="97"/>
      <c r="D71" s="97"/>
      <c r="E71" s="97"/>
      <c r="F71" s="97"/>
      <c r="G71" s="97"/>
      <c r="H71" s="99"/>
      <c r="I71" s="59"/>
      <c r="J71" s="59"/>
      <c r="K71" s="59"/>
      <c r="L71" s="59"/>
      <c r="M71" s="118"/>
      <c r="N71" s="59"/>
      <c r="O71" s="59"/>
      <c r="P71" s="59"/>
      <c r="Q71" s="59"/>
      <c r="R71" s="59"/>
      <c r="S71" s="59"/>
      <c r="T71" s="59"/>
      <c r="U71" s="59"/>
      <c r="V71" s="59"/>
      <c r="W71" s="59"/>
      <c r="X71" s="59"/>
      <c r="Y71" s="59"/>
      <c r="Z71" s="59"/>
      <c r="AA71" s="59"/>
      <c r="AB71" s="59"/>
      <c r="AC71" s="59"/>
      <c r="AD71" s="59"/>
      <c r="AE71" s="59"/>
      <c r="AF71" s="59"/>
      <c r="AG71" s="59"/>
      <c r="AH71" s="59"/>
      <c r="AI71" s="59"/>
      <c r="AJ71" s="59"/>
      <c r="AK71" s="59"/>
    </row>
    <row r="72" ht="14.25" hidden="1" customHeight="1">
      <c r="A72" s="62"/>
      <c r="B72" s="97"/>
      <c r="C72" s="97"/>
      <c r="D72" s="97"/>
      <c r="E72" s="97"/>
      <c r="F72" s="97"/>
      <c r="G72" s="97"/>
      <c r="H72" s="99"/>
      <c r="I72" s="59"/>
      <c r="J72" s="59"/>
      <c r="K72" s="59"/>
      <c r="L72" s="59"/>
      <c r="M72" s="118"/>
      <c r="N72" s="59"/>
      <c r="O72" s="59"/>
      <c r="P72" s="59"/>
      <c r="Q72" s="59"/>
      <c r="R72" s="59"/>
      <c r="S72" s="59"/>
      <c r="T72" s="59"/>
      <c r="U72" s="59"/>
      <c r="V72" s="59"/>
      <c r="W72" s="59"/>
      <c r="X72" s="59"/>
      <c r="Y72" s="59"/>
      <c r="Z72" s="59"/>
      <c r="AA72" s="59"/>
      <c r="AB72" s="59"/>
      <c r="AC72" s="59"/>
      <c r="AD72" s="59"/>
      <c r="AE72" s="59"/>
      <c r="AF72" s="59"/>
      <c r="AG72" s="59"/>
      <c r="AH72" s="59"/>
      <c r="AI72" s="59"/>
      <c r="AJ72" s="59"/>
      <c r="AK72" s="59"/>
    </row>
    <row r="73" ht="14.25" hidden="1" customHeight="1">
      <c r="A73" s="62"/>
      <c r="B73" s="97"/>
      <c r="C73" s="97"/>
      <c r="D73" s="97"/>
      <c r="E73" s="97"/>
      <c r="F73" s="97"/>
      <c r="G73" s="97"/>
      <c r="H73" s="99"/>
      <c r="I73" s="59"/>
      <c r="J73" s="59"/>
      <c r="K73" s="59"/>
      <c r="L73" s="59"/>
      <c r="M73" s="118"/>
      <c r="N73" s="59"/>
      <c r="O73" s="59"/>
      <c r="P73" s="59"/>
      <c r="Q73" s="59"/>
      <c r="R73" s="59"/>
      <c r="S73" s="59"/>
      <c r="T73" s="59"/>
      <c r="U73" s="59"/>
      <c r="V73" s="59"/>
      <c r="W73" s="59"/>
      <c r="X73" s="59"/>
      <c r="Y73" s="59"/>
      <c r="Z73" s="59"/>
      <c r="AA73" s="59"/>
      <c r="AB73" s="59"/>
      <c r="AC73" s="59"/>
      <c r="AD73" s="59"/>
      <c r="AE73" s="59"/>
      <c r="AF73" s="59"/>
      <c r="AG73" s="59"/>
      <c r="AH73" s="59"/>
      <c r="AI73" s="59"/>
      <c r="AJ73" s="59"/>
      <c r="AK73" s="59"/>
    </row>
    <row r="74" ht="14.25" hidden="1" customHeight="1">
      <c r="A74" s="62"/>
      <c r="B74" s="97"/>
      <c r="C74" s="97"/>
      <c r="D74" s="97"/>
      <c r="E74" s="97"/>
      <c r="F74" s="97"/>
      <c r="G74" s="97"/>
      <c r="H74" s="99"/>
      <c r="I74" s="59"/>
      <c r="J74" s="59"/>
      <c r="K74" s="59"/>
      <c r="L74" s="59"/>
      <c r="M74" s="118"/>
      <c r="N74" s="59"/>
      <c r="O74" s="59"/>
      <c r="P74" s="59"/>
      <c r="Q74" s="59"/>
      <c r="R74" s="59"/>
      <c r="S74" s="59"/>
      <c r="T74" s="59"/>
      <c r="U74" s="59"/>
      <c r="V74" s="59"/>
      <c r="W74" s="59"/>
      <c r="X74" s="59"/>
      <c r="Y74" s="59"/>
      <c r="Z74" s="59"/>
      <c r="AA74" s="59"/>
      <c r="AB74" s="59"/>
      <c r="AC74" s="59"/>
      <c r="AD74" s="59"/>
      <c r="AE74" s="59"/>
      <c r="AF74" s="59"/>
      <c r="AG74" s="59"/>
      <c r="AH74" s="59"/>
      <c r="AI74" s="59"/>
      <c r="AJ74" s="59"/>
      <c r="AK74" s="59"/>
    </row>
    <row r="75" ht="14.25" hidden="1" customHeight="1">
      <c r="A75" s="62"/>
      <c r="B75" s="97"/>
      <c r="C75" s="97"/>
      <c r="D75" s="97"/>
      <c r="E75" s="97"/>
      <c r="F75" s="97"/>
      <c r="G75" s="97"/>
      <c r="H75" s="99"/>
      <c r="I75" s="59"/>
      <c r="J75" s="59"/>
      <c r="K75" s="59"/>
      <c r="L75" s="59"/>
      <c r="M75" s="118"/>
      <c r="N75" s="59"/>
      <c r="O75" s="59"/>
      <c r="P75" s="59"/>
      <c r="Q75" s="59"/>
      <c r="R75" s="59"/>
      <c r="S75" s="59"/>
      <c r="T75" s="59"/>
      <c r="U75" s="59"/>
      <c r="V75" s="59"/>
      <c r="W75" s="59"/>
      <c r="X75" s="59"/>
      <c r="Y75" s="59"/>
      <c r="Z75" s="59"/>
      <c r="AA75" s="59"/>
      <c r="AB75" s="59"/>
      <c r="AC75" s="59"/>
      <c r="AD75" s="59"/>
      <c r="AE75" s="59"/>
      <c r="AF75" s="59"/>
      <c r="AG75" s="59"/>
      <c r="AH75" s="59"/>
      <c r="AI75" s="59"/>
      <c r="AJ75" s="59"/>
      <c r="AK75" s="59"/>
    </row>
    <row r="76" ht="14.25" hidden="1" customHeight="1">
      <c r="A76" s="62"/>
      <c r="B76" s="97"/>
      <c r="C76" s="97"/>
      <c r="D76" s="97"/>
      <c r="E76" s="97"/>
      <c r="F76" s="97"/>
      <c r="G76" s="97"/>
      <c r="H76" s="99"/>
      <c r="I76" s="59"/>
      <c r="J76" s="59"/>
      <c r="K76" s="59"/>
      <c r="L76" s="59"/>
      <c r="M76" s="118"/>
      <c r="N76" s="59"/>
      <c r="O76" s="59"/>
      <c r="P76" s="59"/>
      <c r="Q76" s="59"/>
      <c r="R76" s="59"/>
      <c r="S76" s="59"/>
      <c r="T76" s="59"/>
      <c r="U76" s="59"/>
      <c r="V76" s="59"/>
      <c r="W76" s="59"/>
      <c r="X76" s="59"/>
      <c r="Y76" s="59"/>
      <c r="Z76" s="59"/>
      <c r="AA76" s="59"/>
      <c r="AB76" s="59"/>
      <c r="AC76" s="59"/>
      <c r="AD76" s="59"/>
      <c r="AE76" s="59"/>
      <c r="AF76" s="59"/>
      <c r="AG76" s="59"/>
      <c r="AH76" s="59"/>
      <c r="AI76" s="59"/>
      <c r="AJ76" s="59"/>
      <c r="AK76" s="59"/>
    </row>
    <row r="77" ht="14.25" hidden="1" customHeight="1">
      <c r="A77" s="62"/>
      <c r="B77" s="97"/>
      <c r="C77" s="97"/>
      <c r="D77" s="97"/>
      <c r="E77" s="97"/>
      <c r="F77" s="97"/>
      <c r="G77" s="97"/>
      <c r="H77" s="99"/>
      <c r="I77" s="59"/>
      <c r="J77" s="59"/>
      <c r="K77" s="59"/>
      <c r="L77" s="59"/>
      <c r="M77" s="118"/>
      <c r="N77" s="59"/>
      <c r="O77" s="59"/>
      <c r="P77" s="59"/>
      <c r="Q77" s="59"/>
      <c r="R77" s="59"/>
      <c r="S77" s="59"/>
      <c r="T77" s="59"/>
      <c r="U77" s="59"/>
      <c r="V77" s="59"/>
      <c r="W77" s="59"/>
      <c r="X77" s="59"/>
      <c r="Y77" s="59"/>
      <c r="Z77" s="59"/>
      <c r="AA77" s="59"/>
      <c r="AB77" s="59"/>
      <c r="AC77" s="59"/>
      <c r="AD77" s="59"/>
      <c r="AE77" s="59"/>
      <c r="AF77" s="59"/>
      <c r="AG77" s="59"/>
      <c r="AH77" s="59"/>
      <c r="AI77" s="59"/>
      <c r="AJ77" s="59"/>
      <c r="AK77" s="59"/>
    </row>
    <row r="78" ht="14.25" hidden="1" customHeight="1">
      <c r="A78" s="62"/>
      <c r="B78" s="97"/>
      <c r="C78" s="97"/>
      <c r="D78" s="97"/>
      <c r="E78" s="97"/>
      <c r="F78" s="97"/>
      <c r="G78" s="97"/>
      <c r="H78" s="99"/>
      <c r="I78" s="59"/>
      <c r="J78" s="59"/>
      <c r="K78" s="59"/>
      <c r="L78" s="59"/>
      <c r="M78" s="118"/>
      <c r="N78" s="59"/>
      <c r="O78" s="59"/>
      <c r="P78" s="59"/>
      <c r="Q78" s="59"/>
      <c r="R78" s="59"/>
      <c r="S78" s="59"/>
      <c r="T78" s="59"/>
      <c r="U78" s="59"/>
      <c r="V78" s="59"/>
      <c r="W78" s="59"/>
      <c r="X78" s="59"/>
      <c r="Y78" s="59"/>
      <c r="Z78" s="59"/>
      <c r="AA78" s="59"/>
      <c r="AB78" s="59"/>
      <c r="AC78" s="59"/>
      <c r="AD78" s="59"/>
      <c r="AE78" s="59"/>
      <c r="AF78" s="59"/>
      <c r="AG78" s="59"/>
      <c r="AH78" s="59"/>
      <c r="AI78" s="59"/>
      <c r="AJ78" s="59"/>
      <c r="AK78" s="59"/>
    </row>
    <row r="79" ht="14.25" hidden="1" customHeight="1">
      <c r="A79" s="62"/>
      <c r="B79" s="97"/>
      <c r="C79" s="97"/>
      <c r="D79" s="97"/>
      <c r="E79" s="97"/>
      <c r="F79" s="97"/>
      <c r="G79" s="97"/>
      <c r="H79" s="99"/>
      <c r="I79" s="59"/>
      <c r="J79" s="59"/>
      <c r="K79" s="59"/>
      <c r="L79" s="59"/>
      <c r="M79" s="118"/>
      <c r="N79" s="59"/>
      <c r="O79" s="59"/>
      <c r="P79" s="59"/>
      <c r="Q79" s="59"/>
      <c r="R79" s="59"/>
      <c r="S79" s="59"/>
      <c r="T79" s="59"/>
      <c r="U79" s="59"/>
      <c r="V79" s="59"/>
      <c r="W79" s="59"/>
      <c r="X79" s="59"/>
      <c r="Y79" s="59"/>
      <c r="Z79" s="59"/>
      <c r="AA79" s="59"/>
      <c r="AB79" s="59"/>
      <c r="AC79" s="59"/>
      <c r="AD79" s="59"/>
      <c r="AE79" s="59"/>
      <c r="AF79" s="59"/>
      <c r="AG79" s="59"/>
      <c r="AH79" s="59"/>
      <c r="AI79" s="59"/>
      <c r="AJ79" s="59"/>
      <c r="AK79" s="59"/>
    </row>
    <row r="80" ht="14.25" hidden="1" customHeight="1">
      <c r="A80" s="62"/>
      <c r="B80" s="97"/>
      <c r="C80" s="97"/>
      <c r="D80" s="97"/>
      <c r="E80" s="97"/>
      <c r="F80" s="97"/>
      <c r="G80" s="97"/>
      <c r="H80" s="99"/>
      <c r="I80" s="59"/>
      <c r="J80" s="59"/>
      <c r="K80" s="59"/>
      <c r="L80" s="59"/>
      <c r="M80" s="118"/>
      <c r="N80" s="59"/>
      <c r="O80" s="59"/>
      <c r="P80" s="59"/>
      <c r="Q80" s="59"/>
      <c r="R80" s="59"/>
      <c r="S80" s="59"/>
      <c r="T80" s="59"/>
      <c r="U80" s="59"/>
      <c r="V80" s="59"/>
      <c r="W80" s="59"/>
      <c r="X80" s="59"/>
      <c r="Y80" s="59"/>
      <c r="Z80" s="59"/>
      <c r="AA80" s="59"/>
      <c r="AB80" s="59"/>
      <c r="AC80" s="59"/>
      <c r="AD80" s="59"/>
      <c r="AE80" s="59"/>
      <c r="AF80" s="59"/>
      <c r="AG80" s="59"/>
      <c r="AH80" s="59"/>
      <c r="AI80" s="59"/>
      <c r="AJ80" s="59"/>
      <c r="AK80" s="59"/>
    </row>
    <row r="81" ht="14.25" hidden="1" customHeight="1">
      <c r="A81" s="62"/>
      <c r="B81" s="97"/>
      <c r="C81" s="97"/>
      <c r="D81" s="97"/>
      <c r="E81" s="97"/>
      <c r="F81" s="97"/>
      <c r="G81" s="97"/>
      <c r="H81" s="99"/>
      <c r="I81" s="59"/>
      <c r="J81" s="59"/>
      <c r="K81" s="59"/>
      <c r="L81" s="59"/>
      <c r="M81" s="118"/>
      <c r="N81" s="59"/>
      <c r="O81" s="59"/>
      <c r="P81" s="59"/>
      <c r="Q81" s="59"/>
      <c r="R81" s="59"/>
      <c r="S81" s="59"/>
      <c r="T81" s="59"/>
      <c r="U81" s="59"/>
      <c r="V81" s="59"/>
      <c r="W81" s="59"/>
      <c r="X81" s="59"/>
      <c r="Y81" s="59"/>
      <c r="Z81" s="59"/>
      <c r="AA81" s="59"/>
      <c r="AB81" s="59"/>
      <c r="AC81" s="59"/>
      <c r="AD81" s="59"/>
      <c r="AE81" s="59"/>
      <c r="AF81" s="59"/>
      <c r="AG81" s="59"/>
      <c r="AH81" s="59"/>
      <c r="AI81" s="59"/>
      <c r="AJ81" s="59"/>
      <c r="AK81" s="59"/>
    </row>
    <row r="82" ht="14.25" hidden="1" customHeight="1">
      <c r="A82" s="62"/>
      <c r="B82" s="97"/>
      <c r="C82" s="97"/>
      <c r="D82" s="97"/>
      <c r="E82" s="97"/>
      <c r="F82" s="97"/>
      <c r="G82" s="97"/>
      <c r="H82" s="99"/>
      <c r="I82" s="59"/>
      <c r="J82" s="59"/>
      <c r="K82" s="59"/>
      <c r="L82" s="59"/>
      <c r="M82" s="118"/>
      <c r="N82" s="59"/>
      <c r="O82" s="59"/>
      <c r="P82" s="59"/>
      <c r="Q82" s="59"/>
      <c r="R82" s="59"/>
      <c r="S82" s="59"/>
      <c r="T82" s="59"/>
      <c r="U82" s="59"/>
      <c r="V82" s="59"/>
      <c r="W82" s="59"/>
      <c r="X82" s="59"/>
      <c r="Y82" s="59"/>
      <c r="Z82" s="59"/>
      <c r="AA82" s="59"/>
      <c r="AB82" s="59"/>
      <c r="AC82" s="59"/>
      <c r="AD82" s="59"/>
      <c r="AE82" s="59"/>
      <c r="AF82" s="59"/>
      <c r="AG82" s="59"/>
      <c r="AH82" s="59"/>
      <c r="AI82" s="59"/>
      <c r="AJ82" s="59"/>
      <c r="AK82" s="59"/>
    </row>
    <row r="83" ht="14.25" hidden="1" customHeight="1">
      <c r="A83" s="62"/>
      <c r="B83" s="97"/>
      <c r="C83" s="97"/>
      <c r="D83" s="97"/>
      <c r="E83" s="97"/>
      <c r="F83" s="97"/>
      <c r="G83" s="97"/>
      <c r="H83" s="99"/>
      <c r="I83" s="59"/>
      <c r="J83" s="59"/>
      <c r="K83" s="59"/>
      <c r="L83" s="59"/>
      <c r="M83" s="118"/>
      <c r="N83" s="59"/>
      <c r="O83" s="59"/>
      <c r="P83" s="59"/>
      <c r="Q83" s="59"/>
      <c r="R83" s="59"/>
      <c r="S83" s="59"/>
      <c r="T83" s="59"/>
      <c r="U83" s="59"/>
      <c r="V83" s="59"/>
      <c r="W83" s="59"/>
      <c r="X83" s="59"/>
      <c r="Y83" s="59"/>
      <c r="Z83" s="59"/>
      <c r="AA83" s="59"/>
      <c r="AB83" s="59"/>
      <c r="AC83" s="59"/>
      <c r="AD83" s="59"/>
      <c r="AE83" s="59"/>
      <c r="AF83" s="59"/>
      <c r="AG83" s="59"/>
      <c r="AH83" s="59"/>
      <c r="AI83" s="59"/>
      <c r="AJ83" s="59"/>
      <c r="AK83" s="59"/>
    </row>
    <row r="84" ht="14.25" hidden="1" customHeight="1">
      <c r="A84" s="62"/>
      <c r="B84" s="97"/>
      <c r="C84" s="97"/>
      <c r="D84" s="97"/>
      <c r="E84" s="97"/>
      <c r="F84" s="97"/>
      <c r="G84" s="97"/>
      <c r="H84" s="99"/>
      <c r="I84" s="59"/>
      <c r="J84" s="59"/>
      <c r="K84" s="59"/>
      <c r="L84" s="59"/>
      <c r="M84" s="118"/>
      <c r="N84" s="59"/>
      <c r="O84" s="59"/>
      <c r="P84" s="59"/>
      <c r="Q84" s="59"/>
      <c r="R84" s="59"/>
      <c r="S84" s="59"/>
      <c r="T84" s="59"/>
      <c r="U84" s="59"/>
      <c r="V84" s="59"/>
      <c r="W84" s="59"/>
      <c r="X84" s="59"/>
      <c r="Y84" s="59"/>
      <c r="Z84" s="59"/>
      <c r="AA84" s="59"/>
      <c r="AB84" s="59"/>
      <c r="AC84" s="59"/>
      <c r="AD84" s="59"/>
      <c r="AE84" s="59"/>
      <c r="AF84" s="59"/>
      <c r="AG84" s="59"/>
      <c r="AH84" s="59"/>
      <c r="AI84" s="59"/>
      <c r="AJ84" s="59"/>
      <c r="AK84" s="59"/>
    </row>
    <row r="85" ht="14.25" hidden="1" customHeight="1">
      <c r="A85" s="62"/>
      <c r="B85" s="97"/>
      <c r="C85" s="97"/>
      <c r="D85" s="97"/>
      <c r="E85" s="97"/>
      <c r="F85" s="97"/>
      <c r="G85" s="97"/>
      <c r="H85" s="99"/>
      <c r="I85" s="59"/>
      <c r="J85" s="59"/>
      <c r="K85" s="59"/>
      <c r="L85" s="59"/>
      <c r="M85" s="118"/>
      <c r="N85" s="59"/>
      <c r="O85" s="59"/>
      <c r="P85" s="59"/>
      <c r="Q85" s="59"/>
      <c r="R85" s="59"/>
      <c r="S85" s="59"/>
      <c r="T85" s="59"/>
      <c r="U85" s="59"/>
      <c r="V85" s="59"/>
      <c r="W85" s="59"/>
      <c r="X85" s="59"/>
      <c r="Y85" s="59"/>
      <c r="Z85" s="59"/>
      <c r="AA85" s="59"/>
      <c r="AB85" s="59"/>
      <c r="AC85" s="59"/>
      <c r="AD85" s="59"/>
      <c r="AE85" s="59"/>
      <c r="AF85" s="59"/>
      <c r="AG85" s="59"/>
      <c r="AH85" s="59"/>
      <c r="AI85" s="59"/>
      <c r="AJ85" s="59"/>
      <c r="AK85" s="59"/>
    </row>
    <row r="86" ht="14.25" hidden="1" customHeight="1">
      <c r="A86" s="62"/>
      <c r="B86" s="97"/>
      <c r="C86" s="97"/>
      <c r="D86" s="97"/>
      <c r="E86" s="97"/>
      <c r="F86" s="97"/>
      <c r="G86" s="97"/>
      <c r="H86" s="99"/>
      <c r="I86" s="59"/>
      <c r="J86" s="59"/>
      <c r="K86" s="59"/>
      <c r="L86" s="59"/>
      <c r="M86" s="118"/>
      <c r="N86" s="59"/>
      <c r="O86" s="59"/>
      <c r="P86" s="59"/>
      <c r="Q86" s="59"/>
      <c r="R86" s="59"/>
      <c r="S86" s="59"/>
      <c r="T86" s="59"/>
      <c r="U86" s="59"/>
      <c r="V86" s="59"/>
      <c r="W86" s="59"/>
      <c r="X86" s="59"/>
      <c r="Y86" s="59"/>
      <c r="Z86" s="59"/>
      <c r="AA86" s="59"/>
      <c r="AB86" s="59"/>
      <c r="AC86" s="59"/>
      <c r="AD86" s="59"/>
      <c r="AE86" s="59"/>
      <c r="AF86" s="59"/>
      <c r="AG86" s="59"/>
      <c r="AH86" s="59"/>
      <c r="AI86" s="59"/>
      <c r="AJ86" s="59"/>
      <c r="AK86" s="59"/>
    </row>
    <row r="87" ht="14.25" hidden="1" customHeight="1">
      <c r="A87" s="62"/>
      <c r="B87" s="97"/>
      <c r="C87" s="97"/>
      <c r="D87" s="97"/>
      <c r="E87" s="97"/>
      <c r="F87" s="97"/>
      <c r="G87" s="97"/>
      <c r="H87" s="99"/>
      <c r="I87" s="59"/>
      <c r="J87" s="59"/>
      <c r="K87" s="59"/>
      <c r="L87" s="59"/>
      <c r="M87" s="118"/>
      <c r="N87" s="59"/>
      <c r="O87" s="59"/>
      <c r="P87" s="59"/>
      <c r="Q87" s="59"/>
      <c r="R87" s="59"/>
      <c r="S87" s="59"/>
      <c r="T87" s="59"/>
      <c r="U87" s="59"/>
      <c r="V87" s="59"/>
      <c r="W87" s="59"/>
      <c r="X87" s="59"/>
      <c r="Y87" s="59"/>
      <c r="Z87" s="59"/>
      <c r="AA87" s="59"/>
      <c r="AB87" s="59"/>
      <c r="AC87" s="59"/>
      <c r="AD87" s="59"/>
      <c r="AE87" s="59"/>
      <c r="AF87" s="59"/>
      <c r="AG87" s="59"/>
      <c r="AH87" s="59"/>
      <c r="AI87" s="59"/>
      <c r="AJ87" s="59"/>
      <c r="AK87" s="59"/>
    </row>
    <row r="88" ht="14.25" hidden="1" customHeight="1">
      <c r="A88" s="62"/>
      <c r="B88" s="97"/>
      <c r="C88" s="97"/>
      <c r="D88" s="97"/>
      <c r="E88" s="97"/>
      <c r="F88" s="97"/>
      <c r="G88" s="97"/>
      <c r="H88" s="99"/>
      <c r="I88" s="59"/>
      <c r="J88" s="59"/>
      <c r="K88" s="59"/>
      <c r="L88" s="59"/>
      <c r="M88" s="118"/>
      <c r="N88" s="59"/>
      <c r="O88" s="59"/>
      <c r="P88" s="59"/>
      <c r="Q88" s="59"/>
      <c r="R88" s="59"/>
      <c r="S88" s="59"/>
      <c r="T88" s="59"/>
      <c r="U88" s="59"/>
      <c r="V88" s="59"/>
      <c r="W88" s="59"/>
      <c r="X88" s="59"/>
      <c r="Y88" s="59"/>
      <c r="Z88" s="59"/>
      <c r="AA88" s="59"/>
      <c r="AB88" s="59"/>
      <c r="AC88" s="59"/>
      <c r="AD88" s="59"/>
      <c r="AE88" s="59"/>
      <c r="AF88" s="59"/>
      <c r="AG88" s="59"/>
      <c r="AH88" s="59"/>
      <c r="AI88" s="59"/>
      <c r="AJ88" s="59"/>
      <c r="AK88" s="59"/>
    </row>
    <row r="89" ht="14.25" hidden="1" customHeight="1">
      <c r="A89" s="62"/>
      <c r="B89" s="97"/>
      <c r="C89" s="97"/>
      <c r="D89" s="97"/>
      <c r="E89" s="97"/>
      <c r="F89" s="97"/>
      <c r="G89" s="97"/>
      <c r="H89" s="99"/>
      <c r="I89" s="59"/>
      <c r="J89" s="59"/>
      <c r="K89" s="59"/>
      <c r="L89" s="59"/>
      <c r="M89" s="118"/>
      <c r="N89" s="59"/>
      <c r="O89" s="59"/>
      <c r="P89" s="59"/>
      <c r="Q89" s="59"/>
      <c r="R89" s="59"/>
      <c r="S89" s="59"/>
      <c r="T89" s="59"/>
      <c r="U89" s="59"/>
      <c r="V89" s="59"/>
      <c r="W89" s="59"/>
      <c r="X89" s="59"/>
      <c r="Y89" s="59"/>
      <c r="Z89" s="59"/>
      <c r="AA89" s="59"/>
      <c r="AB89" s="59"/>
      <c r="AC89" s="59"/>
      <c r="AD89" s="59"/>
      <c r="AE89" s="59"/>
      <c r="AF89" s="59"/>
      <c r="AG89" s="59"/>
      <c r="AH89" s="59"/>
      <c r="AI89" s="59"/>
      <c r="AJ89" s="59"/>
      <c r="AK89" s="59"/>
    </row>
    <row r="90" ht="14.25" hidden="1" customHeight="1">
      <c r="A90" s="62"/>
      <c r="B90" s="97"/>
      <c r="C90" s="97"/>
      <c r="D90" s="97"/>
      <c r="E90" s="97"/>
      <c r="F90" s="97"/>
      <c r="G90" s="97"/>
      <c r="H90" s="99"/>
      <c r="I90" s="59"/>
      <c r="J90" s="59"/>
      <c r="K90" s="59"/>
      <c r="L90" s="59"/>
      <c r="M90" s="118"/>
      <c r="N90" s="59"/>
      <c r="O90" s="59"/>
      <c r="P90" s="59"/>
      <c r="Q90" s="59"/>
      <c r="R90" s="59"/>
      <c r="S90" s="59"/>
      <c r="T90" s="59"/>
      <c r="U90" s="59"/>
      <c r="V90" s="59"/>
      <c r="W90" s="59"/>
      <c r="X90" s="59"/>
      <c r="Y90" s="59"/>
      <c r="Z90" s="59"/>
      <c r="AA90" s="59"/>
      <c r="AB90" s="59"/>
      <c r="AC90" s="59"/>
      <c r="AD90" s="59"/>
      <c r="AE90" s="59"/>
      <c r="AF90" s="59"/>
      <c r="AG90" s="59"/>
      <c r="AH90" s="59"/>
      <c r="AI90" s="59"/>
      <c r="AJ90" s="59"/>
      <c r="AK90" s="59"/>
    </row>
    <row r="91" ht="14.25" hidden="1" customHeight="1">
      <c r="A91" s="62"/>
      <c r="B91" s="97"/>
      <c r="C91" s="97"/>
      <c r="D91" s="97"/>
      <c r="E91" s="97"/>
      <c r="F91" s="97"/>
      <c r="G91" s="97"/>
      <c r="H91" s="99"/>
      <c r="I91" s="59"/>
      <c r="J91" s="59"/>
      <c r="K91" s="59"/>
      <c r="L91" s="59"/>
      <c r="M91" s="118"/>
      <c r="N91" s="59"/>
      <c r="O91" s="59"/>
      <c r="P91" s="59"/>
      <c r="Q91" s="59"/>
      <c r="R91" s="59"/>
      <c r="S91" s="59"/>
      <c r="T91" s="59"/>
      <c r="U91" s="59"/>
      <c r="V91" s="59"/>
      <c r="W91" s="59"/>
      <c r="X91" s="59"/>
      <c r="Y91" s="59"/>
      <c r="Z91" s="59"/>
      <c r="AA91" s="59"/>
      <c r="AB91" s="59"/>
      <c r="AC91" s="59"/>
      <c r="AD91" s="59"/>
      <c r="AE91" s="59"/>
      <c r="AF91" s="59"/>
      <c r="AG91" s="59"/>
      <c r="AH91" s="59"/>
      <c r="AI91" s="59"/>
      <c r="AJ91" s="59"/>
      <c r="AK91" s="59"/>
    </row>
    <row r="92" ht="14.25" hidden="1" customHeight="1">
      <c r="A92" s="62"/>
      <c r="B92" s="97"/>
      <c r="C92" s="97"/>
      <c r="D92" s="97"/>
      <c r="E92" s="97"/>
      <c r="F92" s="97"/>
      <c r="G92" s="97"/>
      <c r="H92" s="99"/>
      <c r="I92" s="59"/>
      <c r="J92" s="59"/>
      <c r="K92" s="59"/>
      <c r="L92" s="59"/>
      <c r="M92" s="118"/>
      <c r="N92" s="59"/>
      <c r="O92" s="59"/>
      <c r="P92" s="59"/>
      <c r="Q92" s="59"/>
      <c r="R92" s="59"/>
      <c r="S92" s="59"/>
      <c r="T92" s="59"/>
      <c r="U92" s="59"/>
      <c r="V92" s="59"/>
      <c r="W92" s="59"/>
      <c r="X92" s="59"/>
      <c r="Y92" s="59"/>
      <c r="Z92" s="59"/>
      <c r="AA92" s="59"/>
      <c r="AB92" s="59"/>
      <c r="AC92" s="59"/>
      <c r="AD92" s="59"/>
      <c r="AE92" s="59"/>
      <c r="AF92" s="59"/>
      <c r="AG92" s="59"/>
      <c r="AH92" s="59"/>
      <c r="AI92" s="59"/>
      <c r="AJ92" s="59"/>
      <c r="AK92" s="59"/>
    </row>
    <row r="93" ht="14.25" hidden="1" customHeight="1">
      <c r="A93" s="62"/>
      <c r="B93" s="97"/>
      <c r="C93" s="97"/>
      <c r="D93" s="97"/>
      <c r="E93" s="97"/>
      <c r="F93" s="97"/>
      <c r="G93" s="97"/>
      <c r="H93" s="99"/>
      <c r="I93" s="59"/>
      <c r="J93" s="59"/>
      <c r="K93" s="59"/>
      <c r="L93" s="59"/>
      <c r="M93" s="118"/>
      <c r="N93" s="59"/>
      <c r="O93" s="59"/>
      <c r="P93" s="59"/>
      <c r="Q93" s="59"/>
      <c r="R93" s="59"/>
      <c r="S93" s="59"/>
      <c r="T93" s="59"/>
      <c r="U93" s="59"/>
      <c r="V93" s="59"/>
      <c r="W93" s="59"/>
      <c r="X93" s="59"/>
      <c r="Y93" s="59"/>
      <c r="Z93" s="59"/>
      <c r="AA93" s="59"/>
      <c r="AB93" s="59"/>
      <c r="AC93" s="59"/>
      <c r="AD93" s="59"/>
      <c r="AE93" s="59"/>
      <c r="AF93" s="59"/>
      <c r="AG93" s="59"/>
      <c r="AH93" s="59"/>
      <c r="AI93" s="59"/>
      <c r="AJ93" s="59"/>
      <c r="AK93" s="59"/>
    </row>
    <row r="94" ht="14.25" hidden="1" customHeight="1">
      <c r="A94" s="62"/>
      <c r="B94" s="97"/>
      <c r="C94" s="97"/>
      <c r="D94" s="97"/>
      <c r="E94" s="97"/>
      <c r="F94" s="97"/>
      <c r="G94" s="97"/>
      <c r="H94" s="99"/>
      <c r="I94" s="59"/>
      <c r="J94" s="59"/>
      <c r="K94" s="59"/>
      <c r="L94" s="59"/>
      <c r="M94" s="118"/>
      <c r="N94" s="59"/>
      <c r="O94" s="59"/>
      <c r="P94" s="59"/>
      <c r="Q94" s="59"/>
      <c r="R94" s="59"/>
      <c r="S94" s="59"/>
      <c r="T94" s="59"/>
      <c r="U94" s="59"/>
      <c r="V94" s="59"/>
      <c r="W94" s="59"/>
      <c r="X94" s="59"/>
      <c r="Y94" s="59"/>
      <c r="Z94" s="59"/>
      <c r="AA94" s="59"/>
      <c r="AB94" s="59"/>
      <c r="AC94" s="59"/>
      <c r="AD94" s="59"/>
      <c r="AE94" s="59"/>
      <c r="AF94" s="59"/>
      <c r="AG94" s="59"/>
      <c r="AH94" s="59"/>
      <c r="AI94" s="59"/>
      <c r="AJ94" s="59"/>
      <c r="AK94" s="59"/>
    </row>
    <row r="95" ht="14.25" hidden="1" customHeight="1">
      <c r="A95" s="62"/>
      <c r="B95" s="97"/>
      <c r="C95" s="97"/>
      <c r="D95" s="97"/>
      <c r="E95" s="97"/>
      <c r="F95" s="97"/>
      <c r="G95" s="97"/>
      <c r="H95" s="99"/>
      <c r="I95" s="59"/>
      <c r="J95" s="59"/>
      <c r="K95" s="59"/>
      <c r="L95" s="59"/>
      <c r="M95" s="118"/>
      <c r="N95" s="59"/>
      <c r="O95" s="59"/>
      <c r="P95" s="59"/>
      <c r="Q95" s="59"/>
      <c r="R95" s="59"/>
      <c r="S95" s="59"/>
      <c r="T95" s="59"/>
      <c r="U95" s="59"/>
      <c r="V95" s="59"/>
      <c r="W95" s="59"/>
      <c r="X95" s="59"/>
      <c r="Y95" s="59"/>
      <c r="Z95" s="59"/>
      <c r="AA95" s="59"/>
      <c r="AB95" s="59"/>
      <c r="AC95" s="59"/>
      <c r="AD95" s="59"/>
      <c r="AE95" s="59"/>
      <c r="AF95" s="59"/>
      <c r="AG95" s="59"/>
      <c r="AH95" s="59"/>
      <c r="AI95" s="59"/>
      <c r="AJ95" s="59"/>
      <c r="AK95" s="59"/>
    </row>
    <row r="96" ht="14.25" hidden="1" customHeight="1">
      <c r="A96" s="62"/>
      <c r="B96" s="97"/>
      <c r="C96" s="97"/>
      <c r="D96" s="97"/>
      <c r="E96" s="97"/>
      <c r="F96" s="97"/>
      <c r="G96" s="97"/>
      <c r="H96" s="99"/>
      <c r="I96" s="59"/>
      <c r="J96" s="59"/>
      <c r="K96" s="59"/>
      <c r="L96" s="59"/>
      <c r="M96" s="118"/>
      <c r="N96" s="59"/>
      <c r="O96" s="59"/>
      <c r="P96" s="59"/>
      <c r="Q96" s="59"/>
      <c r="R96" s="59"/>
      <c r="S96" s="59"/>
      <c r="T96" s="59"/>
      <c r="U96" s="59"/>
      <c r="V96" s="59"/>
      <c r="W96" s="59"/>
      <c r="X96" s="59"/>
      <c r="Y96" s="59"/>
      <c r="Z96" s="59"/>
      <c r="AA96" s="59"/>
      <c r="AB96" s="59"/>
      <c r="AC96" s="59"/>
      <c r="AD96" s="59"/>
      <c r="AE96" s="59"/>
      <c r="AF96" s="59"/>
      <c r="AG96" s="59"/>
      <c r="AH96" s="59"/>
      <c r="AI96" s="59"/>
      <c r="AJ96" s="59"/>
      <c r="AK96" s="59"/>
    </row>
    <row r="97" ht="14.25" hidden="1" customHeight="1">
      <c r="A97" s="62"/>
      <c r="B97" s="97"/>
      <c r="C97" s="97"/>
      <c r="D97" s="97"/>
      <c r="E97" s="97"/>
      <c r="F97" s="97"/>
      <c r="G97" s="97"/>
      <c r="H97" s="99"/>
      <c r="I97" s="59"/>
      <c r="J97" s="59"/>
      <c r="K97" s="59"/>
      <c r="L97" s="59"/>
      <c r="M97" s="118"/>
      <c r="N97" s="59"/>
      <c r="O97" s="59"/>
      <c r="P97" s="59"/>
      <c r="Q97" s="59"/>
      <c r="R97" s="59"/>
      <c r="S97" s="59"/>
      <c r="T97" s="59"/>
      <c r="U97" s="59"/>
      <c r="V97" s="59"/>
      <c r="W97" s="59"/>
      <c r="X97" s="59"/>
      <c r="Y97" s="59"/>
      <c r="Z97" s="59"/>
      <c r="AA97" s="59"/>
      <c r="AB97" s="59"/>
      <c r="AC97" s="59"/>
      <c r="AD97" s="59"/>
      <c r="AE97" s="59"/>
      <c r="AF97" s="59"/>
      <c r="AG97" s="59"/>
      <c r="AH97" s="59"/>
      <c r="AI97" s="59"/>
      <c r="AJ97" s="59"/>
      <c r="AK97" s="59"/>
    </row>
    <row r="98" ht="14.25" hidden="1" customHeight="1">
      <c r="A98" s="62"/>
      <c r="B98" s="97"/>
      <c r="C98" s="97"/>
      <c r="D98" s="97"/>
      <c r="E98" s="97"/>
      <c r="F98" s="97"/>
      <c r="G98" s="97"/>
      <c r="H98" s="99"/>
      <c r="I98" s="59"/>
      <c r="J98" s="59"/>
      <c r="K98" s="59"/>
      <c r="L98" s="59"/>
      <c r="M98" s="118"/>
      <c r="N98" s="59"/>
      <c r="O98" s="59"/>
      <c r="P98" s="59"/>
      <c r="Q98" s="59"/>
      <c r="R98" s="59"/>
      <c r="S98" s="59"/>
      <c r="T98" s="59"/>
      <c r="U98" s="59"/>
      <c r="V98" s="59"/>
      <c r="W98" s="59"/>
      <c r="X98" s="59"/>
      <c r="Y98" s="59"/>
      <c r="Z98" s="59"/>
      <c r="AA98" s="59"/>
      <c r="AB98" s="59"/>
      <c r="AC98" s="59"/>
      <c r="AD98" s="59"/>
      <c r="AE98" s="59"/>
      <c r="AF98" s="59"/>
      <c r="AG98" s="59"/>
      <c r="AH98" s="59"/>
      <c r="AI98" s="59"/>
      <c r="AJ98" s="59"/>
      <c r="AK98" s="59"/>
    </row>
    <row r="99" ht="14.25" hidden="1" customHeight="1">
      <c r="A99" s="62"/>
      <c r="B99" s="97"/>
      <c r="C99" s="97"/>
      <c r="D99" s="97"/>
      <c r="E99" s="97"/>
      <c r="F99" s="97"/>
      <c r="G99" s="97"/>
      <c r="H99" s="99"/>
      <c r="I99" s="59"/>
      <c r="J99" s="59"/>
      <c r="K99" s="59"/>
      <c r="L99" s="59"/>
      <c r="M99" s="118"/>
      <c r="N99" s="59"/>
      <c r="O99" s="59"/>
      <c r="P99" s="59"/>
      <c r="Q99" s="59"/>
      <c r="R99" s="59"/>
      <c r="S99" s="59"/>
      <c r="T99" s="59"/>
      <c r="U99" s="59"/>
      <c r="V99" s="59"/>
      <c r="W99" s="59"/>
      <c r="X99" s="59"/>
      <c r="Y99" s="59"/>
      <c r="Z99" s="59"/>
      <c r="AA99" s="59"/>
      <c r="AB99" s="59"/>
      <c r="AC99" s="59"/>
      <c r="AD99" s="59"/>
      <c r="AE99" s="59"/>
      <c r="AF99" s="59"/>
      <c r="AG99" s="59"/>
      <c r="AH99" s="59"/>
      <c r="AI99" s="59"/>
      <c r="AJ99" s="59"/>
      <c r="AK99" s="59"/>
    </row>
    <row r="100" ht="14.25" hidden="1" customHeight="1">
      <c r="A100" s="62"/>
      <c r="B100" s="97"/>
      <c r="C100" s="97"/>
      <c r="D100" s="97"/>
      <c r="E100" s="97"/>
      <c r="F100" s="97"/>
      <c r="G100" s="97"/>
      <c r="H100" s="99"/>
      <c r="I100" s="59"/>
      <c r="J100" s="59"/>
      <c r="K100" s="59"/>
      <c r="L100" s="59"/>
      <c r="M100" s="118"/>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row>
    <row r="101" ht="14.25" hidden="1" customHeight="1">
      <c r="A101" s="62"/>
      <c r="B101" s="97"/>
      <c r="C101" s="97"/>
      <c r="D101" s="97"/>
      <c r="E101" s="97"/>
      <c r="F101" s="97"/>
      <c r="G101" s="97"/>
      <c r="H101" s="99"/>
      <c r="I101" s="59"/>
      <c r="J101" s="59"/>
      <c r="K101" s="59"/>
      <c r="L101" s="59"/>
      <c r="M101" s="118"/>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row>
    <row r="102" ht="14.25" hidden="1" customHeight="1">
      <c r="A102" s="62"/>
      <c r="B102" s="97"/>
      <c r="C102" s="97"/>
      <c r="D102" s="97"/>
      <c r="E102" s="97"/>
      <c r="F102" s="97"/>
      <c r="G102" s="97"/>
      <c r="H102" s="99"/>
      <c r="I102" s="59"/>
      <c r="J102" s="59"/>
      <c r="K102" s="59"/>
      <c r="L102" s="59"/>
      <c r="M102" s="118"/>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row>
    <row r="103" ht="14.25" hidden="1" customHeight="1">
      <c r="A103" s="62"/>
      <c r="B103" s="97"/>
      <c r="C103" s="97"/>
      <c r="D103" s="97"/>
      <c r="E103" s="97"/>
      <c r="F103" s="97"/>
      <c r="G103" s="97"/>
      <c r="H103" s="99"/>
      <c r="I103" s="59"/>
      <c r="J103" s="59"/>
      <c r="K103" s="59"/>
      <c r="L103" s="59"/>
      <c r="M103" s="118"/>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row>
    <row r="104" ht="14.25" hidden="1" customHeight="1">
      <c r="A104" s="62"/>
      <c r="B104" s="97"/>
      <c r="C104" s="97"/>
      <c r="D104" s="97"/>
      <c r="E104" s="97"/>
      <c r="F104" s="97"/>
      <c r="G104" s="97"/>
      <c r="H104" s="99"/>
      <c r="I104" s="59"/>
      <c r="J104" s="59"/>
      <c r="K104" s="59"/>
      <c r="L104" s="59"/>
      <c r="M104" s="118"/>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row>
    <row r="105" ht="14.25" hidden="1" customHeight="1">
      <c r="A105" s="62"/>
      <c r="B105" s="97"/>
      <c r="C105" s="97"/>
      <c r="D105" s="97"/>
      <c r="E105" s="97"/>
      <c r="F105" s="97"/>
      <c r="G105" s="97"/>
      <c r="H105" s="99"/>
      <c r="I105" s="59"/>
      <c r="J105" s="59"/>
      <c r="K105" s="59"/>
      <c r="L105" s="59"/>
      <c r="M105" s="118"/>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row>
    <row r="106" ht="14.25" hidden="1" customHeight="1">
      <c r="A106" s="62"/>
      <c r="B106" s="97"/>
      <c r="C106" s="97"/>
      <c r="D106" s="97"/>
      <c r="E106" s="97"/>
      <c r="F106" s="97"/>
      <c r="G106" s="97"/>
      <c r="H106" s="99"/>
      <c r="I106" s="59"/>
      <c r="J106" s="59"/>
      <c r="K106" s="59"/>
      <c r="L106" s="59"/>
      <c r="M106" s="118"/>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row>
    <row r="107" ht="14.25" hidden="1" customHeight="1">
      <c r="A107" s="62"/>
      <c r="B107" s="97"/>
      <c r="C107" s="97"/>
      <c r="D107" s="97"/>
      <c r="E107" s="97"/>
      <c r="F107" s="97"/>
      <c r="G107" s="97"/>
      <c r="H107" s="99"/>
      <c r="I107" s="59"/>
      <c r="J107" s="59"/>
      <c r="K107" s="59"/>
      <c r="L107" s="59"/>
      <c r="M107" s="118"/>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row>
    <row r="108" ht="14.25" hidden="1" customHeight="1">
      <c r="A108" s="62"/>
      <c r="B108" s="97"/>
      <c r="C108" s="97"/>
      <c r="D108" s="97"/>
      <c r="E108" s="97"/>
      <c r="F108" s="97"/>
      <c r="G108" s="97"/>
      <c r="H108" s="99"/>
      <c r="I108" s="59"/>
      <c r="J108" s="59"/>
      <c r="K108" s="59"/>
      <c r="L108" s="59"/>
      <c r="M108" s="118"/>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row>
    <row r="109" ht="14.25" hidden="1" customHeight="1">
      <c r="A109" s="62"/>
      <c r="B109" s="97"/>
      <c r="C109" s="97"/>
      <c r="D109" s="97"/>
      <c r="E109" s="97"/>
      <c r="F109" s="97"/>
      <c r="G109" s="97"/>
      <c r="H109" s="99"/>
      <c r="I109" s="59"/>
      <c r="J109" s="59"/>
      <c r="K109" s="59"/>
      <c r="L109" s="59"/>
      <c r="M109" s="118"/>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row>
    <row r="110" ht="14.25" hidden="1" customHeight="1">
      <c r="A110" s="62"/>
      <c r="B110" s="97"/>
      <c r="C110" s="97"/>
      <c r="D110" s="97"/>
      <c r="E110" s="97"/>
      <c r="F110" s="97"/>
      <c r="G110" s="97"/>
      <c r="H110" s="99"/>
      <c r="I110" s="59"/>
      <c r="J110" s="59"/>
      <c r="K110" s="59"/>
      <c r="L110" s="59"/>
      <c r="M110" s="118"/>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row>
    <row r="111" ht="14.25" hidden="1" customHeight="1">
      <c r="A111" s="62"/>
      <c r="B111" s="97"/>
      <c r="C111" s="97"/>
      <c r="D111" s="97"/>
      <c r="E111" s="97"/>
      <c r="F111" s="97"/>
      <c r="G111" s="97"/>
      <c r="H111" s="99"/>
      <c r="I111" s="59"/>
      <c r="J111" s="59"/>
      <c r="K111" s="59"/>
      <c r="L111" s="59"/>
      <c r="M111" s="118"/>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row>
    <row r="112" ht="14.25" hidden="1" customHeight="1">
      <c r="A112" s="62"/>
      <c r="B112" s="97"/>
      <c r="C112" s="97"/>
      <c r="D112" s="97"/>
      <c r="E112" s="97"/>
      <c r="F112" s="97"/>
      <c r="G112" s="97"/>
      <c r="H112" s="99"/>
      <c r="I112" s="59"/>
      <c r="J112" s="59"/>
      <c r="K112" s="59"/>
      <c r="L112" s="59"/>
      <c r="M112" s="118"/>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row>
    <row r="113" ht="14.25" hidden="1" customHeight="1">
      <c r="A113" s="62"/>
      <c r="B113" s="97"/>
      <c r="C113" s="97"/>
      <c r="D113" s="97"/>
      <c r="E113" s="97"/>
      <c r="F113" s="97"/>
      <c r="G113" s="97"/>
      <c r="H113" s="99"/>
      <c r="I113" s="59"/>
      <c r="J113" s="59"/>
      <c r="K113" s="59"/>
      <c r="L113" s="59"/>
      <c r="M113" s="118"/>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row>
    <row r="114" ht="14.25" hidden="1" customHeight="1">
      <c r="A114" s="62"/>
      <c r="B114" s="97"/>
      <c r="C114" s="97"/>
      <c r="D114" s="97"/>
      <c r="E114" s="97"/>
      <c r="F114" s="97"/>
      <c r="G114" s="97"/>
      <c r="H114" s="99"/>
      <c r="I114" s="59"/>
      <c r="J114" s="59"/>
      <c r="K114" s="59"/>
      <c r="L114" s="59"/>
      <c r="M114" s="118"/>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row>
    <row r="115" ht="14.25" hidden="1" customHeight="1">
      <c r="A115" s="62"/>
      <c r="B115" s="97"/>
      <c r="C115" s="97"/>
      <c r="D115" s="97"/>
      <c r="E115" s="97"/>
      <c r="F115" s="97"/>
      <c r="G115" s="97"/>
      <c r="H115" s="99"/>
      <c r="I115" s="59"/>
      <c r="J115" s="59"/>
      <c r="K115" s="59"/>
      <c r="L115" s="59"/>
      <c r="M115" s="118"/>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row>
    <row r="116" ht="14.25" hidden="1" customHeight="1">
      <c r="A116" s="62"/>
      <c r="B116" s="97"/>
      <c r="C116" s="97"/>
      <c r="D116" s="97"/>
      <c r="E116" s="97"/>
      <c r="F116" s="97"/>
      <c r="G116" s="97"/>
      <c r="H116" s="99"/>
      <c r="I116" s="59"/>
      <c r="J116" s="59"/>
      <c r="K116" s="59"/>
      <c r="L116" s="59"/>
      <c r="M116" s="118"/>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row>
    <row r="117" ht="14.25" hidden="1" customHeight="1">
      <c r="A117" s="62"/>
      <c r="B117" s="97"/>
      <c r="C117" s="97"/>
      <c r="D117" s="97"/>
      <c r="E117" s="97"/>
      <c r="F117" s="97"/>
      <c r="G117" s="97"/>
      <c r="H117" s="99"/>
      <c r="I117" s="59"/>
      <c r="J117" s="59"/>
      <c r="K117" s="59"/>
      <c r="L117" s="59"/>
      <c r="M117" s="118"/>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row>
    <row r="118" ht="14.25" hidden="1" customHeight="1">
      <c r="A118" s="62"/>
      <c r="B118" s="97"/>
      <c r="C118" s="97"/>
      <c r="D118" s="97"/>
      <c r="E118" s="97"/>
      <c r="F118" s="97"/>
      <c r="G118" s="97"/>
      <c r="H118" s="99"/>
      <c r="I118" s="59"/>
      <c r="J118" s="59"/>
      <c r="K118" s="59"/>
      <c r="L118" s="59"/>
      <c r="M118" s="118"/>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row>
    <row r="119" ht="14.25" hidden="1" customHeight="1">
      <c r="A119" s="62"/>
      <c r="B119" s="97"/>
      <c r="C119" s="97"/>
      <c r="D119" s="97"/>
      <c r="E119" s="97"/>
      <c r="F119" s="97"/>
      <c r="G119" s="97"/>
      <c r="H119" s="99"/>
      <c r="I119" s="59"/>
      <c r="J119" s="59"/>
      <c r="K119" s="59"/>
      <c r="L119" s="59"/>
      <c r="M119" s="118"/>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row>
    <row r="120" ht="14.25" hidden="1" customHeight="1">
      <c r="A120" s="62"/>
      <c r="B120" s="97"/>
      <c r="C120" s="97"/>
      <c r="D120" s="97"/>
      <c r="E120" s="97"/>
      <c r="F120" s="97"/>
      <c r="G120" s="97"/>
      <c r="H120" s="99"/>
      <c r="I120" s="59"/>
      <c r="J120" s="59"/>
      <c r="K120" s="59"/>
      <c r="L120" s="59"/>
      <c r="M120" s="118"/>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row>
    <row r="121" ht="14.25" hidden="1" customHeight="1">
      <c r="A121" s="62"/>
      <c r="B121" s="97"/>
      <c r="C121" s="97"/>
      <c r="D121" s="97"/>
      <c r="E121" s="97"/>
      <c r="F121" s="97"/>
      <c r="G121" s="97"/>
      <c r="H121" s="99"/>
      <c r="I121" s="59"/>
      <c r="J121" s="59"/>
      <c r="K121" s="59"/>
      <c r="L121" s="59"/>
      <c r="M121" s="118"/>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row>
    <row r="122" ht="14.25" hidden="1" customHeight="1">
      <c r="A122" s="62"/>
      <c r="B122" s="97"/>
      <c r="C122" s="97"/>
      <c r="D122" s="97"/>
      <c r="E122" s="97"/>
      <c r="F122" s="97"/>
      <c r="G122" s="97"/>
      <c r="H122" s="99"/>
      <c r="I122" s="59"/>
      <c r="J122" s="59"/>
      <c r="K122" s="59"/>
      <c r="L122" s="59"/>
      <c r="M122" s="118"/>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row>
    <row r="123" ht="14.25" hidden="1" customHeight="1">
      <c r="A123" s="62"/>
      <c r="B123" s="97"/>
      <c r="C123" s="97"/>
      <c r="D123" s="97"/>
      <c r="E123" s="97"/>
      <c r="F123" s="97"/>
      <c r="G123" s="97"/>
      <c r="H123" s="99"/>
      <c r="I123" s="59"/>
      <c r="J123" s="59"/>
      <c r="K123" s="59"/>
      <c r="L123" s="59"/>
      <c r="M123" s="118"/>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row>
    <row r="124" ht="14.25" hidden="1" customHeight="1">
      <c r="A124" s="62"/>
      <c r="B124" s="97"/>
      <c r="C124" s="97"/>
      <c r="D124" s="97"/>
      <c r="E124" s="97"/>
      <c r="F124" s="97"/>
      <c r="G124" s="97"/>
      <c r="H124" s="99"/>
      <c r="I124" s="59"/>
      <c r="J124" s="59"/>
      <c r="K124" s="59"/>
      <c r="L124" s="59"/>
      <c r="M124" s="118"/>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row>
    <row r="125" ht="14.25" customHeight="1">
      <c r="A125" s="59"/>
      <c r="B125" s="97"/>
      <c r="C125" s="97"/>
      <c r="D125" s="97"/>
      <c r="E125" s="97"/>
      <c r="F125" s="97"/>
      <c r="G125" s="97"/>
      <c r="H125" s="99"/>
      <c r="I125" s="59"/>
      <c r="J125" s="59"/>
      <c r="K125" s="59"/>
      <c r="L125" s="59"/>
      <c r="M125" s="118"/>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row>
    <row r="126" ht="14.25" customHeight="1">
      <c r="A126" s="59"/>
      <c r="B126" s="97"/>
      <c r="C126" s="97"/>
      <c r="D126" s="97"/>
      <c r="E126" s="97"/>
      <c r="F126" s="97"/>
      <c r="G126" s="97"/>
      <c r="H126" s="99"/>
      <c r="I126" s="59"/>
      <c r="J126" s="59"/>
      <c r="K126" s="59"/>
      <c r="L126" s="59"/>
      <c r="M126" s="118"/>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row>
    <row r="127" ht="14.25" customHeight="1">
      <c r="A127" s="59"/>
      <c r="B127" s="97"/>
      <c r="C127" s="97"/>
      <c r="D127" s="97"/>
      <c r="E127" s="97"/>
      <c r="F127" s="97"/>
      <c r="G127" s="97"/>
      <c r="H127" s="99"/>
      <c r="I127" s="59"/>
      <c r="J127" s="59"/>
      <c r="K127" s="59"/>
      <c r="L127" s="59"/>
      <c r="M127" s="118"/>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row>
    <row r="128" ht="14.25" customHeight="1">
      <c r="A128" s="59"/>
      <c r="B128" s="97"/>
      <c r="C128" s="97"/>
      <c r="D128" s="97"/>
      <c r="E128" s="97"/>
      <c r="F128" s="97"/>
      <c r="G128" s="97"/>
      <c r="H128" s="99"/>
      <c r="I128" s="59"/>
      <c r="J128" s="59"/>
      <c r="K128" s="59"/>
      <c r="L128" s="59"/>
      <c r="M128" s="118"/>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row>
    <row r="129" ht="14.25" customHeight="1">
      <c r="A129" s="59"/>
      <c r="B129" s="97"/>
      <c r="C129" s="97"/>
      <c r="D129" s="97"/>
      <c r="E129" s="97"/>
      <c r="F129" s="97"/>
      <c r="G129" s="97"/>
      <c r="H129" s="99"/>
      <c r="I129" s="59"/>
      <c r="J129" s="59"/>
      <c r="K129" s="59"/>
      <c r="L129" s="59"/>
      <c r="M129" s="118"/>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row>
    <row r="130" ht="14.25" customHeight="1">
      <c r="A130" s="59"/>
      <c r="B130" s="97"/>
      <c r="C130" s="97"/>
      <c r="D130" s="97"/>
      <c r="E130" s="97"/>
      <c r="F130" s="97"/>
      <c r="G130" s="97"/>
      <c r="H130" s="99"/>
      <c r="I130" s="59"/>
      <c r="J130" s="59"/>
      <c r="K130" s="59"/>
      <c r="L130" s="59"/>
      <c r="M130" s="118"/>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row>
    <row r="131" ht="14.25" customHeight="1">
      <c r="A131" s="59"/>
      <c r="B131" s="97"/>
      <c r="C131" s="97"/>
      <c r="D131" s="97"/>
      <c r="E131" s="97"/>
      <c r="F131" s="97"/>
      <c r="G131" s="97"/>
      <c r="H131" s="99"/>
      <c r="I131" s="59"/>
      <c r="J131" s="59"/>
      <c r="K131" s="59"/>
      <c r="L131" s="59"/>
      <c r="M131" s="118"/>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row>
    <row r="132" ht="14.25" customHeight="1">
      <c r="A132" s="59"/>
      <c r="B132" s="97"/>
      <c r="C132" s="97"/>
      <c r="D132" s="97"/>
      <c r="E132" s="97"/>
      <c r="F132" s="97"/>
      <c r="G132" s="97"/>
      <c r="H132" s="99"/>
      <c r="I132" s="59"/>
      <c r="J132" s="59"/>
      <c r="K132" s="59"/>
      <c r="L132" s="59"/>
      <c r="M132" s="118"/>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row>
    <row r="133" ht="14.25" customHeight="1">
      <c r="A133" s="59"/>
      <c r="B133" s="97"/>
      <c r="C133" s="97"/>
      <c r="D133" s="97"/>
      <c r="E133" s="97"/>
      <c r="F133" s="97"/>
      <c r="G133" s="97"/>
      <c r="H133" s="99"/>
      <c r="I133" s="59"/>
      <c r="J133" s="59"/>
      <c r="K133" s="59"/>
      <c r="L133" s="59"/>
      <c r="M133" s="118"/>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row>
    <row r="134" ht="14.25" customHeight="1">
      <c r="A134" s="59"/>
      <c r="B134" s="97"/>
      <c r="C134" s="97"/>
      <c r="D134" s="97"/>
      <c r="E134" s="97"/>
      <c r="F134" s="97"/>
      <c r="G134" s="97"/>
      <c r="H134" s="99"/>
      <c r="I134" s="59"/>
      <c r="J134" s="59"/>
      <c r="K134" s="59"/>
      <c r="L134" s="59"/>
      <c r="M134" s="118"/>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row>
    <row r="135" ht="14.25" customHeight="1">
      <c r="A135" s="59"/>
      <c r="B135" s="97"/>
      <c r="C135" s="97"/>
      <c r="D135" s="97"/>
      <c r="E135" s="97"/>
      <c r="F135" s="97"/>
      <c r="G135" s="97"/>
      <c r="H135" s="99"/>
      <c r="I135" s="59"/>
      <c r="J135" s="59"/>
      <c r="K135" s="59"/>
      <c r="L135" s="59"/>
      <c r="M135" s="118"/>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row>
    <row r="136" ht="14.25" customHeight="1">
      <c r="A136" s="59"/>
      <c r="B136" s="97"/>
      <c r="C136" s="97"/>
      <c r="D136" s="97"/>
      <c r="E136" s="97"/>
      <c r="F136" s="97"/>
      <c r="G136" s="97"/>
      <c r="H136" s="99"/>
      <c r="I136" s="59"/>
      <c r="J136" s="59"/>
      <c r="K136" s="59"/>
      <c r="L136" s="59"/>
      <c r="M136" s="118"/>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row>
    <row r="137" ht="14.25" customHeight="1">
      <c r="A137" s="59"/>
      <c r="B137" s="97"/>
      <c r="C137" s="97"/>
      <c r="D137" s="97"/>
      <c r="E137" s="97"/>
      <c r="F137" s="97"/>
      <c r="G137" s="97"/>
      <c r="H137" s="99"/>
      <c r="I137" s="59"/>
      <c r="J137" s="59"/>
      <c r="K137" s="59"/>
      <c r="L137" s="59"/>
      <c r="M137" s="118"/>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row>
    <row r="138" ht="14.25" customHeight="1">
      <c r="A138" s="59"/>
      <c r="B138" s="97"/>
      <c r="C138" s="97"/>
      <c r="D138" s="97"/>
      <c r="E138" s="97"/>
      <c r="F138" s="97"/>
      <c r="G138" s="97"/>
      <c r="H138" s="99"/>
      <c r="I138" s="59"/>
      <c r="J138" s="59"/>
      <c r="K138" s="59"/>
      <c r="L138" s="59"/>
      <c r="M138" s="118"/>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row>
    <row r="139" ht="14.25" customHeight="1">
      <c r="A139" s="59"/>
      <c r="B139" s="97"/>
      <c r="C139" s="97"/>
      <c r="D139" s="97"/>
      <c r="E139" s="97"/>
      <c r="F139" s="97"/>
      <c r="G139" s="97"/>
      <c r="H139" s="99"/>
      <c r="I139" s="59"/>
      <c r="J139" s="59"/>
      <c r="K139" s="59"/>
      <c r="L139" s="59"/>
      <c r="M139" s="118"/>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row>
    <row r="140" ht="14.25" customHeight="1">
      <c r="A140" s="59"/>
      <c r="B140" s="97"/>
      <c r="C140" s="97"/>
      <c r="D140" s="97"/>
      <c r="E140" s="97"/>
      <c r="F140" s="97"/>
      <c r="G140" s="97"/>
      <c r="H140" s="99"/>
      <c r="I140" s="59"/>
      <c r="J140" s="59"/>
      <c r="K140" s="59"/>
      <c r="L140" s="59"/>
      <c r="M140" s="118"/>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row>
    <row r="141" ht="14.25" customHeight="1">
      <c r="A141" s="59"/>
      <c r="B141" s="97"/>
      <c r="C141" s="97"/>
      <c r="D141" s="97"/>
      <c r="E141" s="97"/>
      <c r="F141" s="97"/>
      <c r="G141" s="97"/>
      <c r="H141" s="99"/>
      <c r="I141" s="59"/>
      <c r="J141" s="59"/>
      <c r="K141" s="59"/>
      <c r="L141" s="59"/>
      <c r="M141" s="118"/>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row>
    <row r="142" ht="14.25" customHeight="1">
      <c r="A142" s="59"/>
      <c r="B142" s="97"/>
      <c r="C142" s="97"/>
      <c r="D142" s="97"/>
      <c r="E142" s="97"/>
      <c r="F142" s="97"/>
      <c r="G142" s="97"/>
      <c r="H142" s="99"/>
      <c r="I142" s="59"/>
      <c r="J142" s="59"/>
      <c r="K142" s="59"/>
      <c r="L142" s="59"/>
      <c r="M142" s="118"/>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row>
    <row r="143" ht="14.25" customHeight="1">
      <c r="A143" s="59"/>
      <c r="B143" s="97"/>
      <c r="C143" s="97"/>
      <c r="D143" s="97"/>
      <c r="E143" s="97"/>
      <c r="F143" s="97"/>
      <c r="G143" s="97"/>
      <c r="H143" s="99"/>
      <c r="I143" s="59"/>
      <c r="J143" s="59"/>
      <c r="K143" s="59"/>
      <c r="L143" s="59"/>
      <c r="M143" s="118"/>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row>
    <row r="144" ht="14.25" customHeight="1">
      <c r="A144" s="59"/>
      <c r="B144" s="97"/>
      <c r="C144" s="97"/>
      <c r="D144" s="97"/>
      <c r="E144" s="97"/>
      <c r="F144" s="97"/>
      <c r="G144" s="97"/>
      <c r="H144" s="99"/>
      <c r="I144" s="59"/>
      <c r="J144" s="59"/>
      <c r="K144" s="59"/>
      <c r="L144" s="59"/>
      <c r="M144" s="118"/>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row>
    <row r="145" ht="14.25" customHeight="1">
      <c r="A145" s="59"/>
      <c r="B145" s="97"/>
      <c r="C145" s="97"/>
      <c r="D145" s="97"/>
      <c r="E145" s="97"/>
      <c r="F145" s="97"/>
      <c r="G145" s="97"/>
      <c r="H145" s="99"/>
      <c r="I145" s="59"/>
      <c r="J145" s="59"/>
      <c r="K145" s="59"/>
      <c r="L145" s="59"/>
      <c r="M145" s="118"/>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row>
    <row r="146" ht="14.25" customHeight="1">
      <c r="A146" s="59"/>
      <c r="B146" s="97"/>
      <c r="C146" s="97"/>
      <c r="D146" s="97"/>
      <c r="E146" s="97"/>
      <c r="F146" s="97"/>
      <c r="G146" s="97"/>
      <c r="H146" s="99"/>
      <c r="I146" s="59"/>
      <c r="J146" s="59"/>
      <c r="K146" s="59"/>
      <c r="L146" s="59"/>
      <c r="M146" s="118"/>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row>
    <row r="147" ht="14.25" customHeight="1">
      <c r="A147" s="59"/>
      <c r="B147" s="97"/>
      <c r="C147" s="97"/>
      <c r="D147" s="97"/>
      <c r="E147" s="97"/>
      <c r="F147" s="97"/>
      <c r="G147" s="97"/>
      <c r="H147" s="99"/>
      <c r="I147" s="59"/>
      <c r="J147" s="59"/>
      <c r="K147" s="59"/>
      <c r="L147" s="59"/>
      <c r="M147" s="118"/>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row>
    <row r="148" ht="14.25" customHeight="1">
      <c r="A148" s="59"/>
      <c r="B148" s="97"/>
      <c r="C148" s="97"/>
      <c r="D148" s="97"/>
      <c r="E148" s="97"/>
      <c r="F148" s="97"/>
      <c r="G148" s="97"/>
      <c r="H148" s="99"/>
      <c r="I148" s="59"/>
      <c r="J148" s="59"/>
      <c r="K148" s="59"/>
      <c r="L148" s="59"/>
      <c r="M148" s="118"/>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row>
    <row r="149" ht="14.25" customHeight="1">
      <c r="A149" s="59"/>
      <c r="B149" s="97"/>
      <c r="C149" s="97"/>
      <c r="D149" s="97"/>
      <c r="E149" s="97"/>
      <c r="F149" s="97"/>
      <c r="G149" s="97"/>
      <c r="H149" s="99"/>
      <c r="I149" s="59"/>
      <c r="J149" s="59"/>
      <c r="K149" s="59"/>
      <c r="L149" s="59"/>
      <c r="M149" s="118"/>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row>
    <row r="150" ht="14.25" customHeight="1">
      <c r="A150" s="59"/>
      <c r="B150" s="97"/>
      <c r="C150" s="97"/>
      <c r="D150" s="97"/>
      <c r="E150" s="97"/>
      <c r="F150" s="97"/>
      <c r="G150" s="97"/>
      <c r="H150" s="99"/>
      <c r="I150" s="59"/>
      <c r="J150" s="59"/>
      <c r="K150" s="59"/>
      <c r="L150" s="59"/>
      <c r="M150" s="118"/>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row>
    <row r="151" ht="14.25" customHeight="1">
      <c r="A151" s="59"/>
      <c r="B151" s="97"/>
      <c r="C151" s="97"/>
      <c r="D151" s="97"/>
      <c r="E151" s="97"/>
      <c r="F151" s="97"/>
      <c r="G151" s="97"/>
      <c r="H151" s="99"/>
      <c r="I151" s="59"/>
      <c r="J151" s="59"/>
      <c r="K151" s="59"/>
      <c r="L151" s="59"/>
      <c r="M151" s="118"/>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row>
    <row r="152" ht="14.25" customHeight="1">
      <c r="A152" s="59"/>
      <c r="B152" s="97"/>
      <c r="C152" s="97"/>
      <c r="D152" s="97"/>
      <c r="E152" s="97"/>
      <c r="F152" s="97"/>
      <c r="G152" s="97"/>
      <c r="H152" s="99"/>
      <c r="I152" s="59"/>
      <c r="J152" s="59"/>
      <c r="K152" s="59"/>
      <c r="L152" s="59"/>
      <c r="M152" s="118"/>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row>
    <row r="153" ht="14.25" customHeight="1">
      <c r="A153" s="59"/>
      <c r="B153" s="97"/>
      <c r="C153" s="97"/>
      <c r="D153" s="97"/>
      <c r="E153" s="97"/>
      <c r="F153" s="97"/>
      <c r="G153" s="97"/>
      <c r="H153" s="99"/>
      <c r="I153" s="59"/>
      <c r="J153" s="59"/>
      <c r="K153" s="59"/>
      <c r="L153" s="59"/>
      <c r="M153" s="118"/>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row>
    <row r="154" ht="14.25" customHeight="1">
      <c r="A154" s="59"/>
      <c r="B154" s="97"/>
      <c r="C154" s="97"/>
      <c r="D154" s="97"/>
      <c r="E154" s="97"/>
      <c r="F154" s="97"/>
      <c r="G154" s="97"/>
      <c r="H154" s="99"/>
      <c r="I154" s="59"/>
      <c r="J154" s="59"/>
      <c r="K154" s="59"/>
      <c r="L154" s="59"/>
      <c r="M154" s="118"/>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row>
    <row r="155" ht="14.25" customHeight="1">
      <c r="A155" s="59"/>
      <c r="B155" s="97"/>
      <c r="C155" s="97"/>
      <c r="D155" s="97"/>
      <c r="E155" s="97"/>
      <c r="F155" s="97"/>
      <c r="G155" s="97"/>
      <c r="H155" s="99"/>
      <c r="I155" s="59"/>
      <c r="J155" s="59"/>
      <c r="K155" s="59"/>
      <c r="L155" s="59"/>
      <c r="M155" s="118"/>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row>
    <row r="156" ht="14.25" customHeight="1">
      <c r="A156" s="59"/>
      <c r="B156" s="97"/>
      <c r="C156" s="97"/>
      <c r="D156" s="97"/>
      <c r="E156" s="97"/>
      <c r="F156" s="97"/>
      <c r="G156" s="97"/>
      <c r="H156" s="99"/>
      <c r="I156" s="59"/>
      <c r="J156" s="59"/>
      <c r="K156" s="59"/>
      <c r="L156" s="59"/>
      <c r="M156" s="118"/>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row>
    <row r="157" ht="14.25" customHeight="1">
      <c r="A157" s="59"/>
      <c r="B157" s="97"/>
      <c r="C157" s="97"/>
      <c r="D157" s="97"/>
      <c r="E157" s="97"/>
      <c r="F157" s="97"/>
      <c r="G157" s="97"/>
      <c r="H157" s="99"/>
      <c r="I157" s="59"/>
      <c r="J157" s="59"/>
      <c r="K157" s="59"/>
      <c r="L157" s="59"/>
      <c r="M157" s="118"/>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row>
    <row r="158" ht="14.25" customHeight="1">
      <c r="A158" s="59"/>
      <c r="B158" s="97"/>
      <c r="C158" s="97"/>
      <c r="D158" s="97"/>
      <c r="E158" s="97"/>
      <c r="F158" s="97"/>
      <c r="G158" s="97"/>
      <c r="H158" s="99"/>
      <c r="I158" s="59"/>
      <c r="J158" s="59"/>
      <c r="K158" s="59"/>
      <c r="L158" s="59"/>
      <c r="M158" s="118"/>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row>
    <row r="159" ht="14.25" customHeight="1">
      <c r="A159" s="59"/>
      <c r="B159" s="97"/>
      <c r="C159" s="97"/>
      <c r="D159" s="97"/>
      <c r="E159" s="97"/>
      <c r="F159" s="97"/>
      <c r="G159" s="97"/>
      <c r="H159" s="99"/>
      <c r="I159" s="59"/>
      <c r="J159" s="59"/>
      <c r="K159" s="59"/>
      <c r="L159" s="59"/>
      <c r="M159" s="118"/>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row>
    <row r="160" ht="14.25" customHeight="1">
      <c r="A160" s="59"/>
      <c r="B160" s="97"/>
      <c r="C160" s="97"/>
      <c r="D160" s="97"/>
      <c r="E160" s="97"/>
      <c r="F160" s="97"/>
      <c r="G160" s="97"/>
      <c r="H160" s="99"/>
      <c r="I160" s="59"/>
      <c r="J160" s="59"/>
      <c r="K160" s="59"/>
      <c r="L160" s="59"/>
      <c r="M160" s="118"/>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row>
    <row r="161" ht="14.25" customHeight="1">
      <c r="A161" s="59"/>
      <c r="B161" s="97"/>
      <c r="C161" s="97"/>
      <c r="D161" s="97"/>
      <c r="E161" s="97"/>
      <c r="F161" s="97"/>
      <c r="G161" s="97"/>
      <c r="H161" s="99"/>
      <c r="I161" s="59"/>
      <c r="J161" s="59"/>
      <c r="K161" s="59"/>
      <c r="L161" s="59"/>
      <c r="M161" s="118"/>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row>
    <row r="162" ht="14.25" customHeight="1">
      <c r="A162" s="59"/>
      <c r="B162" s="97"/>
      <c r="C162" s="97"/>
      <c r="D162" s="97"/>
      <c r="E162" s="97"/>
      <c r="F162" s="97"/>
      <c r="G162" s="97"/>
      <c r="H162" s="99"/>
      <c r="I162" s="59"/>
      <c r="J162" s="59"/>
      <c r="K162" s="59"/>
      <c r="L162" s="59"/>
      <c r="M162" s="118"/>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row>
    <row r="163" ht="14.25" customHeight="1">
      <c r="A163" s="59"/>
      <c r="B163" s="97"/>
      <c r="C163" s="97"/>
      <c r="D163" s="97"/>
      <c r="E163" s="97"/>
      <c r="F163" s="97"/>
      <c r="G163" s="97"/>
      <c r="H163" s="99"/>
      <c r="I163" s="59"/>
      <c r="J163" s="59"/>
      <c r="K163" s="59"/>
      <c r="L163" s="59"/>
      <c r="M163" s="118"/>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row>
    <row r="164" ht="14.25" customHeight="1">
      <c r="A164" s="59"/>
      <c r="B164" s="97"/>
      <c r="C164" s="97"/>
      <c r="D164" s="97"/>
      <c r="E164" s="97"/>
      <c r="F164" s="97"/>
      <c r="G164" s="97"/>
      <c r="H164" s="99"/>
      <c r="I164" s="59"/>
      <c r="J164" s="59"/>
      <c r="K164" s="59"/>
      <c r="L164" s="59"/>
      <c r="M164" s="118"/>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row>
    <row r="165" ht="14.25" customHeight="1">
      <c r="A165" s="59"/>
      <c r="B165" s="97"/>
      <c r="C165" s="97"/>
      <c r="D165" s="97"/>
      <c r="E165" s="97"/>
      <c r="F165" s="97"/>
      <c r="G165" s="97"/>
      <c r="H165" s="99"/>
      <c r="I165" s="59"/>
      <c r="J165" s="59"/>
      <c r="K165" s="59"/>
      <c r="L165" s="59"/>
      <c r="M165" s="118"/>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row>
    <row r="166" ht="14.25" customHeight="1">
      <c r="A166" s="59"/>
      <c r="B166" s="97"/>
      <c r="C166" s="97"/>
      <c r="D166" s="97"/>
      <c r="E166" s="97"/>
      <c r="F166" s="97"/>
      <c r="G166" s="97"/>
      <c r="H166" s="99"/>
      <c r="I166" s="59"/>
      <c r="J166" s="59"/>
      <c r="K166" s="59"/>
      <c r="L166" s="59"/>
      <c r="M166" s="118"/>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row>
    <row r="167" ht="14.25" customHeight="1">
      <c r="A167" s="59"/>
      <c r="B167" s="97"/>
      <c r="C167" s="97"/>
      <c r="D167" s="97"/>
      <c r="E167" s="97"/>
      <c r="F167" s="97"/>
      <c r="G167" s="97"/>
      <c r="H167" s="99"/>
      <c r="I167" s="59"/>
      <c r="J167" s="59"/>
      <c r="K167" s="59"/>
      <c r="L167" s="59"/>
      <c r="M167" s="118"/>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row>
    <row r="168" ht="14.25" customHeight="1">
      <c r="A168" s="59"/>
      <c r="B168" s="97"/>
      <c r="C168" s="97"/>
      <c r="D168" s="97"/>
      <c r="E168" s="97"/>
      <c r="F168" s="97"/>
      <c r="G168" s="97"/>
      <c r="H168" s="99"/>
      <c r="I168" s="59"/>
      <c r="J168" s="59"/>
      <c r="K168" s="59"/>
      <c r="L168" s="59"/>
      <c r="M168" s="118"/>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row>
    <row r="169" ht="14.25" customHeight="1">
      <c r="A169" s="59"/>
      <c r="B169" s="97"/>
      <c r="C169" s="97"/>
      <c r="D169" s="97"/>
      <c r="E169" s="97"/>
      <c r="F169" s="97"/>
      <c r="G169" s="97"/>
      <c r="H169" s="99"/>
      <c r="I169" s="59"/>
      <c r="J169" s="59"/>
      <c r="K169" s="59"/>
      <c r="L169" s="59"/>
      <c r="M169" s="118"/>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row>
    <row r="170" ht="14.25" customHeight="1">
      <c r="A170" s="59"/>
      <c r="B170" s="97"/>
      <c r="C170" s="97"/>
      <c r="D170" s="97"/>
      <c r="E170" s="97"/>
      <c r="F170" s="97"/>
      <c r="G170" s="97"/>
      <c r="H170" s="99"/>
      <c r="I170" s="59"/>
      <c r="J170" s="59"/>
      <c r="K170" s="59"/>
      <c r="L170" s="59"/>
      <c r="M170" s="118"/>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row>
    <row r="171" ht="14.25" customHeight="1">
      <c r="A171" s="59"/>
      <c r="B171" s="97"/>
      <c r="C171" s="97"/>
      <c r="D171" s="97"/>
      <c r="E171" s="97"/>
      <c r="F171" s="97"/>
      <c r="G171" s="97"/>
      <c r="H171" s="99"/>
      <c r="I171" s="59"/>
      <c r="J171" s="59"/>
      <c r="K171" s="59"/>
      <c r="L171" s="59"/>
      <c r="M171" s="118"/>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row>
    <row r="172" ht="14.25" customHeight="1">
      <c r="A172" s="59"/>
      <c r="B172" s="97"/>
      <c r="C172" s="97"/>
      <c r="D172" s="97"/>
      <c r="E172" s="97"/>
      <c r="F172" s="97"/>
      <c r="G172" s="97"/>
      <c r="H172" s="99"/>
      <c r="I172" s="59"/>
      <c r="J172" s="59"/>
      <c r="K172" s="59"/>
      <c r="L172" s="59"/>
      <c r="M172" s="118"/>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row>
    <row r="173" ht="14.25" customHeight="1">
      <c r="A173" s="59"/>
      <c r="B173" s="97"/>
      <c r="C173" s="97"/>
      <c r="D173" s="97"/>
      <c r="E173" s="97"/>
      <c r="F173" s="97"/>
      <c r="G173" s="97"/>
      <c r="H173" s="99"/>
      <c r="I173" s="59"/>
      <c r="J173" s="59"/>
      <c r="K173" s="59"/>
      <c r="L173" s="59"/>
      <c r="M173" s="118"/>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row>
    <row r="174" ht="14.25" customHeight="1">
      <c r="A174" s="59"/>
      <c r="B174" s="97"/>
      <c r="C174" s="97"/>
      <c r="D174" s="97"/>
      <c r="E174" s="97"/>
      <c r="F174" s="97"/>
      <c r="G174" s="97"/>
      <c r="H174" s="99"/>
      <c r="I174" s="59"/>
      <c r="J174" s="59"/>
      <c r="K174" s="59"/>
      <c r="L174" s="59"/>
      <c r="M174" s="118"/>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row>
    <row r="175" ht="14.25" customHeight="1">
      <c r="A175" s="59"/>
      <c r="B175" s="97"/>
      <c r="C175" s="97"/>
      <c r="D175" s="97"/>
      <c r="E175" s="97"/>
      <c r="F175" s="97"/>
      <c r="G175" s="97"/>
      <c r="H175" s="99"/>
      <c r="I175" s="59"/>
      <c r="J175" s="59"/>
      <c r="K175" s="59"/>
      <c r="L175" s="59"/>
      <c r="M175" s="118"/>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row>
    <row r="176" ht="14.25" customHeight="1">
      <c r="A176" s="59"/>
      <c r="B176" s="97"/>
      <c r="C176" s="97"/>
      <c r="D176" s="97"/>
      <c r="E176" s="97"/>
      <c r="F176" s="97"/>
      <c r="G176" s="97"/>
      <c r="H176" s="99"/>
      <c r="I176" s="59"/>
      <c r="J176" s="59"/>
      <c r="K176" s="59"/>
      <c r="L176" s="59"/>
      <c r="M176" s="118"/>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row>
    <row r="177" ht="14.25" customHeight="1">
      <c r="A177" s="59"/>
      <c r="B177" s="97"/>
      <c r="C177" s="97"/>
      <c r="D177" s="97"/>
      <c r="E177" s="97"/>
      <c r="F177" s="97"/>
      <c r="G177" s="97"/>
      <c r="H177" s="99"/>
      <c r="I177" s="59"/>
      <c r="J177" s="59"/>
      <c r="K177" s="59"/>
      <c r="L177" s="59"/>
      <c r="M177" s="118"/>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row>
    <row r="178" ht="14.25" customHeight="1">
      <c r="A178" s="59"/>
      <c r="B178" s="97"/>
      <c r="C178" s="97"/>
      <c r="D178" s="97"/>
      <c r="E178" s="97"/>
      <c r="F178" s="97"/>
      <c r="G178" s="97"/>
      <c r="H178" s="99"/>
      <c r="I178" s="59"/>
      <c r="J178" s="59"/>
      <c r="K178" s="59"/>
      <c r="L178" s="59"/>
      <c r="M178" s="118"/>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row>
    <row r="179" ht="14.25" customHeight="1">
      <c r="A179" s="59"/>
      <c r="B179" s="97"/>
      <c r="C179" s="97"/>
      <c r="D179" s="97"/>
      <c r="E179" s="97"/>
      <c r="F179" s="97"/>
      <c r="G179" s="97"/>
      <c r="H179" s="99"/>
      <c r="I179" s="59"/>
      <c r="J179" s="59"/>
      <c r="K179" s="59"/>
      <c r="L179" s="59"/>
      <c r="M179" s="118"/>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row>
    <row r="180" ht="14.25" customHeight="1">
      <c r="A180" s="59"/>
      <c r="B180" s="97"/>
      <c r="C180" s="97"/>
      <c r="D180" s="97"/>
      <c r="E180" s="97"/>
      <c r="F180" s="97"/>
      <c r="G180" s="97"/>
      <c r="H180" s="99"/>
      <c r="I180" s="59"/>
      <c r="J180" s="59"/>
      <c r="K180" s="59"/>
      <c r="L180" s="59"/>
      <c r="M180" s="118"/>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row>
    <row r="181" ht="14.25" customHeight="1">
      <c r="A181" s="59"/>
      <c r="B181" s="97"/>
      <c r="C181" s="97"/>
      <c r="D181" s="97"/>
      <c r="E181" s="97"/>
      <c r="F181" s="97"/>
      <c r="G181" s="97"/>
      <c r="H181" s="99"/>
      <c r="I181" s="59"/>
      <c r="J181" s="59"/>
      <c r="K181" s="59"/>
      <c r="L181" s="59"/>
      <c r="M181" s="118"/>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row>
    <row r="182" ht="14.25" customHeight="1">
      <c r="A182" s="59"/>
      <c r="B182" s="97"/>
      <c r="C182" s="97"/>
      <c r="D182" s="97"/>
      <c r="E182" s="97"/>
      <c r="F182" s="97"/>
      <c r="G182" s="97"/>
      <c r="H182" s="99"/>
      <c r="I182" s="59"/>
      <c r="J182" s="59"/>
      <c r="K182" s="59"/>
      <c r="L182" s="59"/>
      <c r="M182" s="118"/>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row>
    <row r="183" ht="14.25" customHeight="1">
      <c r="A183" s="59"/>
      <c r="B183" s="97"/>
      <c r="C183" s="97"/>
      <c r="D183" s="97"/>
      <c r="E183" s="97"/>
      <c r="F183" s="97"/>
      <c r="G183" s="97"/>
      <c r="H183" s="99"/>
      <c r="I183" s="59"/>
      <c r="J183" s="59"/>
      <c r="K183" s="59"/>
      <c r="L183" s="59"/>
      <c r="M183" s="118"/>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row>
    <row r="184" ht="14.25" customHeight="1">
      <c r="A184" s="59"/>
      <c r="B184" s="97"/>
      <c r="C184" s="97"/>
      <c r="D184" s="97"/>
      <c r="E184" s="97"/>
      <c r="F184" s="97"/>
      <c r="G184" s="97"/>
      <c r="H184" s="99"/>
      <c r="I184" s="59"/>
      <c r="J184" s="59"/>
      <c r="K184" s="59"/>
      <c r="L184" s="59"/>
      <c r="M184" s="118"/>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row>
    <row r="185" ht="14.25" customHeight="1">
      <c r="A185" s="59"/>
      <c r="B185" s="97"/>
      <c r="C185" s="97"/>
      <c r="D185" s="97"/>
      <c r="E185" s="97"/>
      <c r="F185" s="97"/>
      <c r="G185" s="97"/>
      <c r="H185" s="99"/>
      <c r="I185" s="59"/>
      <c r="J185" s="59"/>
      <c r="K185" s="59"/>
      <c r="L185" s="59"/>
      <c r="M185" s="118"/>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row>
    <row r="186" ht="14.25" customHeight="1">
      <c r="A186" s="59"/>
      <c r="B186" s="97"/>
      <c r="C186" s="97"/>
      <c r="D186" s="97"/>
      <c r="E186" s="97"/>
      <c r="F186" s="97"/>
      <c r="G186" s="97"/>
      <c r="H186" s="99"/>
      <c r="I186" s="59"/>
      <c r="J186" s="59"/>
      <c r="K186" s="59"/>
      <c r="L186" s="59"/>
      <c r="M186" s="118"/>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row>
    <row r="187" ht="14.25" customHeight="1">
      <c r="A187" s="59"/>
      <c r="B187" s="97"/>
      <c r="C187" s="97"/>
      <c r="D187" s="97"/>
      <c r="E187" s="97"/>
      <c r="F187" s="97"/>
      <c r="G187" s="97"/>
      <c r="H187" s="99"/>
      <c r="I187" s="59"/>
      <c r="J187" s="59"/>
      <c r="K187" s="59"/>
      <c r="L187" s="59"/>
      <c r="M187" s="118"/>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row>
    <row r="188" ht="14.25" customHeight="1">
      <c r="A188" s="59"/>
      <c r="B188" s="97"/>
      <c r="C188" s="97"/>
      <c r="D188" s="97"/>
      <c r="E188" s="97"/>
      <c r="F188" s="97"/>
      <c r="G188" s="97"/>
      <c r="H188" s="99"/>
      <c r="I188" s="59"/>
      <c r="J188" s="59"/>
      <c r="K188" s="59"/>
      <c r="L188" s="59"/>
      <c r="M188" s="118"/>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row>
    <row r="189" ht="14.25" customHeight="1">
      <c r="A189" s="59"/>
      <c r="B189" s="97"/>
      <c r="C189" s="97"/>
      <c r="D189" s="97"/>
      <c r="E189" s="97"/>
      <c r="F189" s="97"/>
      <c r="G189" s="97"/>
      <c r="H189" s="99"/>
      <c r="I189" s="59"/>
      <c r="J189" s="59"/>
      <c r="K189" s="59"/>
      <c r="L189" s="59"/>
      <c r="M189" s="118"/>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row>
    <row r="190" ht="14.25" customHeight="1">
      <c r="A190" s="59"/>
      <c r="B190" s="97"/>
      <c r="C190" s="97"/>
      <c r="D190" s="97"/>
      <c r="E190" s="97"/>
      <c r="F190" s="97"/>
      <c r="G190" s="97"/>
      <c r="H190" s="99"/>
      <c r="I190" s="59"/>
      <c r="J190" s="59"/>
      <c r="K190" s="59"/>
      <c r="L190" s="59"/>
      <c r="M190" s="118"/>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row>
    <row r="191" ht="14.25" customHeight="1">
      <c r="A191" s="59"/>
      <c r="B191" s="97"/>
      <c r="C191" s="97"/>
      <c r="D191" s="97"/>
      <c r="E191" s="97"/>
      <c r="F191" s="97"/>
      <c r="G191" s="97"/>
      <c r="H191" s="99"/>
      <c r="I191" s="59"/>
      <c r="J191" s="59"/>
      <c r="K191" s="59"/>
      <c r="L191" s="59"/>
      <c r="M191" s="118"/>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row>
    <row r="192" ht="14.25" customHeight="1">
      <c r="A192" s="59"/>
      <c r="B192" s="97"/>
      <c r="C192" s="97"/>
      <c r="D192" s="97"/>
      <c r="E192" s="97"/>
      <c r="F192" s="97"/>
      <c r="G192" s="97"/>
      <c r="H192" s="99"/>
      <c r="I192" s="59"/>
      <c r="J192" s="59"/>
      <c r="K192" s="59"/>
      <c r="L192" s="59"/>
      <c r="M192" s="118"/>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row>
    <row r="193" ht="14.25" customHeight="1">
      <c r="A193" s="59"/>
      <c r="B193" s="97"/>
      <c r="C193" s="97"/>
      <c r="D193" s="97"/>
      <c r="E193" s="97"/>
      <c r="F193" s="97"/>
      <c r="G193" s="97"/>
      <c r="H193" s="99"/>
      <c r="I193" s="59"/>
      <c r="J193" s="59"/>
      <c r="K193" s="59"/>
      <c r="L193" s="59"/>
      <c r="M193" s="118"/>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row>
    <row r="194" ht="14.25" customHeight="1">
      <c r="A194" s="59"/>
      <c r="B194" s="97"/>
      <c r="C194" s="97"/>
      <c r="D194" s="97"/>
      <c r="E194" s="97"/>
      <c r="F194" s="97"/>
      <c r="G194" s="97"/>
      <c r="H194" s="99"/>
      <c r="I194" s="59"/>
      <c r="J194" s="59"/>
      <c r="K194" s="59"/>
      <c r="L194" s="59"/>
      <c r="M194" s="118"/>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row>
    <row r="195" ht="14.25" customHeight="1">
      <c r="A195" s="59"/>
      <c r="B195" s="97"/>
      <c r="C195" s="97"/>
      <c r="D195" s="97"/>
      <c r="E195" s="97"/>
      <c r="F195" s="97"/>
      <c r="G195" s="97"/>
      <c r="H195" s="99"/>
      <c r="I195" s="59"/>
      <c r="J195" s="59"/>
      <c r="K195" s="59"/>
      <c r="L195" s="59"/>
      <c r="M195" s="118"/>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row>
    <row r="196" ht="14.25" customHeight="1">
      <c r="A196" s="59"/>
      <c r="B196" s="97"/>
      <c r="C196" s="97"/>
      <c r="D196" s="97"/>
      <c r="E196" s="97"/>
      <c r="F196" s="97"/>
      <c r="G196" s="97"/>
      <c r="H196" s="99"/>
      <c r="I196" s="59"/>
      <c r="J196" s="59"/>
      <c r="K196" s="59"/>
      <c r="L196" s="59"/>
      <c r="M196" s="118"/>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row>
    <row r="197" ht="14.25" customHeight="1">
      <c r="A197" s="59"/>
      <c r="B197" s="97"/>
      <c r="C197" s="97"/>
      <c r="D197" s="97"/>
      <c r="E197" s="97"/>
      <c r="F197" s="97"/>
      <c r="G197" s="97"/>
      <c r="H197" s="99"/>
      <c r="I197" s="59"/>
      <c r="J197" s="59"/>
      <c r="K197" s="59"/>
      <c r="L197" s="59"/>
      <c r="M197" s="118"/>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row>
    <row r="198" ht="14.25" customHeight="1">
      <c r="A198" s="59"/>
      <c r="B198" s="97"/>
      <c r="C198" s="97"/>
      <c r="D198" s="97"/>
      <c r="E198" s="97"/>
      <c r="F198" s="97"/>
      <c r="G198" s="97"/>
      <c r="H198" s="99"/>
      <c r="I198" s="59"/>
      <c r="J198" s="59"/>
      <c r="K198" s="59"/>
      <c r="L198" s="59"/>
      <c r="M198" s="118"/>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row>
    <row r="199" ht="14.25" customHeight="1">
      <c r="A199" s="59"/>
      <c r="B199" s="97"/>
      <c r="C199" s="97"/>
      <c r="D199" s="97"/>
      <c r="E199" s="97"/>
      <c r="F199" s="97"/>
      <c r="G199" s="97"/>
      <c r="H199" s="99"/>
      <c r="I199" s="59"/>
      <c r="J199" s="59"/>
      <c r="K199" s="59"/>
      <c r="L199" s="59"/>
      <c r="M199" s="118"/>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row>
    <row r="200" ht="14.25" customHeight="1">
      <c r="A200" s="59"/>
      <c r="B200" s="97"/>
      <c r="C200" s="97"/>
      <c r="D200" s="97"/>
      <c r="E200" s="97"/>
      <c r="F200" s="97"/>
      <c r="G200" s="97"/>
      <c r="H200" s="99"/>
      <c r="I200" s="59"/>
      <c r="J200" s="59"/>
      <c r="K200" s="59"/>
      <c r="L200" s="59"/>
      <c r="M200" s="118"/>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row>
    <row r="201" ht="14.25" customHeight="1">
      <c r="A201" s="59"/>
      <c r="B201" s="97"/>
      <c r="C201" s="97"/>
      <c r="D201" s="97"/>
      <c r="E201" s="97"/>
      <c r="F201" s="97"/>
      <c r="G201" s="97"/>
      <c r="H201" s="99"/>
      <c r="I201" s="59"/>
      <c r="J201" s="59"/>
      <c r="K201" s="59"/>
      <c r="L201" s="59"/>
      <c r="M201" s="118"/>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row>
    <row r="202" ht="14.25" customHeight="1">
      <c r="A202" s="59"/>
      <c r="B202" s="97"/>
      <c r="C202" s="97"/>
      <c r="D202" s="97"/>
      <c r="E202" s="97"/>
      <c r="F202" s="97"/>
      <c r="G202" s="97"/>
      <c r="H202" s="99"/>
      <c r="I202" s="59"/>
      <c r="J202" s="59"/>
      <c r="K202" s="59"/>
      <c r="L202" s="59"/>
      <c r="M202" s="118"/>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row>
    <row r="203" ht="14.25" customHeight="1">
      <c r="A203" s="59"/>
      <c r="B203" s="97"/>
      <c r="C203" s="97"/>
      <c r="D203" s="97"/>
      <c r="E203" s="97"/>
      <c r="F203" s="97"/>
      <c r="G203" s="97"/>
      <c r="H203" s="99"/>
      <c r="I203" s="59"/>
      <c r="J203" s="59"/>
      <c r="K203" s="59"/>
      <c r="L203" s="59"/>
      <c r="M203" s="118"/>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row>
    <row r="204" ht="14.25" customHeight="1">
      <c r="A204" s="59"/>
      <c r="B204" s="97"/>
      <c r="C204" s="97"/>
      <c r="D204" s="97"/>
      <c r="E204" s="97"/>
      <c r="F204" s="97"/>
      <c r="G204" s="97"/>
      <c r="H204" s="99"/>
      <c r="I204" s="59"/>
      <c r="J204" s="59"/>
      <c r="K204" s="59"/>
      <c r="L204" s="59"/>
      <c r="M204" s="118"/>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row>
    <row r="205" ht="14.25" customHeight="1">
      <c r="A205" s="59"/>
      <c r="B205" s="97"/>
      <c r="C205" s="97"/>
      <c r="D205" s="97"/>
      <c r="E205" s="97"/>
      <c r="F205" s="97"/>
      <c r="G205" s="97"/>
      <c r="H205" s="99"/>
      <c r="I205" s="59"/>
      <c r="J205" s="59"/>
      <c r="K205" s="59"/>
      <c r="L205" s="59"/>
      <c r="M205" s="118"/>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row>
    <row r="206" ht="14.25" customHeight="1">
      <c r="A206" s="59"/>
      <c r="B206" s="97"/>
      <c r="C206" s="97"/>
      <c r="D206" s="97"/>
      <c r="E206" s="97"/>
      <c r="F206" s="97"/>
      <c r="G206" s="97"/>
      <c r="H206" s="99"/>
      <c r="I206" s="59"/>
      <c r="J206" s="59"/>
      <c r="K206" s="59"/>
      <c r="L206" s="59"/>
      <c r="M206" s="118"/>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row>
    <row r="207" ht="14.25" customHeight="1">
      <c r="A207" s="59"/>
      <c r="B207" s="97"/>
      <c r="C207" s="97"/>
      <c r="D207" s="97"/>
      <c r="E207" s="97"/>
      <c r="F207" s="97"/>
      <c r="G207" s="97"/>
      <c r="H207" s="99"/>
      <c r="I207" s="59"/>
      <c r="J207" s="59"/>
      <c r="K207" s="59"/>
      <c r="L207" s="59"/>
      <c r="M207" s="118"/>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row>
    <row r="208" ht="14.25" customHeight="1">
      <c r="A208" s="59"/>
      <c r="B208" s="97"/>
      <c r="C208" s="97"/>
      <c r="D208" s="97"/>
      <c r="E208" s="97"/>
      <c r="F208" s="97"/>
      <c r="G208" s="97"/>
      <c r="H208" s="99"/>
      <c r="I208" s="59"/>
      <c r="J208" s="59"/>
      <c r="K208" s="59"/>
      <c r="L208" s="59"/>
      <c r="M208" s="118"/>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row>
    <row r="209" ht="14.25" customHeight="1">
      <c r="A209" s="59"/>
      <c r="B209" s="97"/>
      <c r="C209" s="97"/>
      <c r="D209" s="97"/>
      <c r="E209" s="97"/>
      <c r="F209" s="97"/>
      <c r="G209" s="97"/>
      <c r="H209" s="99"/>
      <c r="I209" s="59"/>
      <c r="J209" s="59"/>
      <c r="K209" s="59"/>
      <c r="L209" s="59"/>
      <c r="M209" s="118"/>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row>
    <row r="210" ht="14.25" customHeight="1">
      <c r="A210" s="59"/>
      <c r="B210" s="97"/>
      <c r="C210" s="97"/>
      <c r="D210" s="97"/>
      <c r="E210" s="97"/>
      <c r="F210" s="97"/>
      <c r="G210" s="97"/>
      <c r="H210" s="99"/>
      <c r="I210" s="59"/>
      <c r="J210" s="59"/>
      <c r="K210" s="59"/>
      <c r="L210" s="59"/>
      <c r="M210" s="118"/>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row>
    <row r="211" ht="14.25" customHeight="1">
      <c r="A211" s="59"/>
      <c r="B211" s="97"/>
      <c r="C211" s="97"/>
      <c r="D211" s="97"/>
      <c r="E211" s="97"/>
      <c r="F211" s="97"/>
      <c r="G211" s="97"/>
      <c r="H211" s="99"/>
      <c r="I211" s="59"/>
      <c r="J211" s="59"/>
      <c r="K211" s="59"/>
      <c r="L211" s="59"/>
      <c r="M211" s="118"/>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row>
    <row r="212" ht="14.25" customHeight="1">
      <c r="A212" s="59"/>
      <c r="B212" s="97"/>
      <c r="C212" s="97"/>
      <c r="D212" s="97"/>
      <c r="E212" s="97"/>
      <c r="F212" s="97"/>
      <c r="G212" s="97"/>
      <c r="H212" s="99"/>
      <c r="I212" s="59"/>
      <c r="J212" s="59"/>
      <c r="K212" s="59"/>
      <c r="L212" s="59"/>
      <c r="M212" s="118"/>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row>
    <row r="213" ht="14.25" customHeight="1">
      <c r="A213" s="59"/>
      <c r="B213" s="97"/>
      <c r="C213" s="97"/>
      <c r="D213" s="97"/>
      <c r="E213" s="97"/>
      <c r="F213" s="97"/>
      <c r="G213" s="97"/>
      <c r="H213" s="99"/>
      <c r="I213" s="59"/>
      <c r="J213" s="59"/>
      <c r="K213" s="59"/>
      <c r="L213" s="59"/>
      <c r="M213" s="118"/>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row>
    <row r="214" ht="14.25" customHeight="1">
      <c r="A214" s="59"/>
      <c r="B214" s="97"/>
      <c r="C214" s="97"/>
      <c r="D214" s="97"/>
      <c r="E214" s="97"/>
      <c r="F214" s="97"/>
      <c r="G214" s="97"/>
      <c r="H214" s="99"/>
      <c r="I214" s="59"/>
      <c r="J214" s="59"/>
      <c r="K214" s="59"/>
      <c r="L214" s="59"/>
      <c r="M214" s="118"/>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row>
    <row r="215" ht="14.25" customHeight="1">
      <c r="A215" s="59"/>
      <c r="B215" s="97"/>
      <c r="C215" s="97"/>
      <c r="D215" s="97"/>
      <c r="E215" s="97"/>
      <c r="F215" s="97"/>
      <c r="G215" s="97"/>
      <c r="H215" s="99"/>
      <c r="I215" s="59"/>
      <c r="J215" s="59"/>
      <c r="K215" s="59"/>
      <c r="L215" s="59"/>
      <c r="M215" s="118"/>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row>
    <row r="216" ht="14.25" customHeight="1">
      <c r="A216" s="59"/>
      <c r="B216" s="97"/>
      <c r="C216" s="97"/>
      <c r="D216" s="97"/>
      <c r="E216" s="97"/>
      <c r="F216" s="97"/>
      <c r="G216" s="97"/>
      <c r="H216" s="99"/>
      <c r="I216" s="59"/>
      <c r="J216" s="59"/>
      <c r="K216" s="59"/>
      <c r="L216" s="59"/>
      <c r="M216" s="118"/>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row>
    <row r="217" ht="14.25" customHeight="1">
      <c r="A217" s="59"/>
      <c r="B217" s="97"/>
      <c r="C217" s="97"/>
      <c r="D217" s="97"/>
      <c r="E217" s="97"/>
      <c r="F217" s="97"/>
      <c r="G217" s="97"/>
      <c r="H217" s="99"/>
      <c r="I217" s="59"/>
      <c r="J217" s="59"/>
      <c r="K217" s="59"/>
      <c r="L217" s="59"/>
      <c r="M217" s="118"/>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row>
    <row r="218" ht="14.25" customHeight="1">
      <c r="A218" s="59"/>
      <c r="B218" s="97"/>
      <c r="C218" s="97"/>
      <c r="D218" s="97"/>
      <c r="E218" s="97"/>
      <c r="F218" s="97"/>
      <c r="G218" s="97"/>
      <c r="H218" s="99"/>
      <c r="I218" s="59"/>
      <c r="J218" s="59"/>
      <c r="K218" s="59"/>
      <c r="L218" s="59"/>
      <c r="M218" s="118"/>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row>
    <row r="219" ht="14.25" customHeight="1">
      <c r="A219" s="59"/>
      <c r="B219" s="97"/>
      <c r="C219" s="97"/>
      <c r="D219" s="97"/>
      <c r="E219" s="97"/>
      <c r="F219" s="97"/>
      <c r="G219" s="97"/>
      <c r="H219" s="99"/>
      <c r="I219" s="59"/>
      <c r="J219" s="59"/>
      <c r="K219" s="59"/>
      <c r="L219" s="59"/>
      <c r="M219" s="118"/>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row>
    <row r="220" ht="14.25" customHeight="1">
      <c r="A220" s="59"/>
      <c r="B220" s="97"/>
      <c r="C220" s="97"/>
      <c r="D220" s="97"/>
      <c r="E220" s="97"/>
      <c r="F220" s="97"/>
      <c r="G220" s="97"/>
      <c r="H220" s="99"/>
      <c r="I220" s="59"/>
      <c r="J220" s="59"/>
      <c r="K220" s="59"/>
      <c r="L220" s="59"/>
      <c r="M220" s="118"/>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row>
    <row r="221" ht="14.25" customHeight="1">
      <c r="A221" s="59"/>
      <c r="B221" s="97"/>
      <c r="C221" s="97"/>
      <c r="D221" s="97"/>
      <c r="E221" s="97"/>
      <c r="F221" s="97"/>
      <c r="G221" s="97"/>
      <c r="H221" s="99"/>
      <c r="I221" s="59"/>
      <c r="J221" s="59"/>
      <c r="K221" s="59"/>
      <c r="L221" s="59"/>
      <c r="M221" s="118"/>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row>
    <row r="222" ht="14.25" customHeight="1">
      <c r="A222" s="59"/>
      <c r="B222" s="97"/>
      <c r="C222" s="97"/>
      <c r="D222" s="97"/>
      <c r="E222" s="97"/>
      <c r="F222" s="97"/>
      <c r="G222" s="97"/>
      <c r="H222" s="99"/>
      <c r="I222" s="59"/>
      <c r="J222" s="59"/>
      <c r="K222" s="59"/>
      <c r="L222" s="59"/>
      <c r="M222" s="118"/>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row>
    <row r="223" ht="14.25" customHeight="1">
      <c r="A223" s="59"/>
      <c r="B223" s="97"/>
      <c r="C223" s="97"/>
      <c r="D223" s="97"/>
      <c r="E223" s="97"/>
      <c r="F223" s="97"/>
      <c r="G223" s="97"/>
      <c r="H223" s="99"/>
      <c r="I223" s="59"/>
      <c r="J223" s="59"/>
      <c r="K223" s="59"/>
      <c r="L223" s="59"/>
      <c r="M223" s="118"/>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row>
    <row r="224" ht="14.25" customHeight="1">
      <c r="A224" s="59"/>
      <c r="B224" s="97"/>
      <c r="C224" s="97"/>
      <c r="D224" s="97"/>
      <c r="E224" s="97"/>
      <c r="F224" s="97"/>
      <c r="G224" s="97"/>
      <c r="H224" s="99"/>
      <c r="I224" s="59"/>
      <c r="J224" s="59"/>
      <c r="K224" s="59"/>
      <c r="L224" s="59"/>
      <c r="M224" s="118"/>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row>
    <row r="225" ht="14.25" customHeight="1">
      <c r="A225" s="59"/>
      <c r="B225" s="97"/>
      <c r="C225" s="97"/>
      <c r="D225" s="97"/>
      <c r="E225" s="97"/>
      <c r="F225" s="97"/>
      <c r="G225" s="97"/>
      <c r="H225" s="99"/>
      <c r="I225" s="59"/>
      <c r="J225" s="59"/>
      <c r="K225" s="59"/>
      <c r="L225" s="59"/>
      <c r="M225" s="118"/>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row>
    <row r="226" ht="14.25" customHeight="1">
      <c r="A226" s="59"/>
      <c r="B226" s="97"/>
      <c r="C226" s="97"/>
      <c r="D226" s="97"/>
      <c r="E226" s="97"/>
      <c r="F226" s="97"/>
      <c r="G226" s="97"/>
      <c r="H226" s="99"/>
      <c r="I226" s="59"/>
      <c r="J226" s="59"/>
      <c r="K226" s="59"/>
      <c r="L226" s="59"/>
      <c r="M226" s="118"/>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row>
    <row r="227" ht="14.25" customHeight="1">
      <c r="A227" s="59"/>
      <c r="B227" s="97"/>
      <c r="C227" s="97"/>
      <c r="D227" s="97"/>
      <c r="E227" s="97"/>
      <c r="F227" s="97"/>
      <c r="G227" s="97"/>
      <c r="H227" s="99"/>
      <c r="I227" s="59"/>
      <c r="J227" s="59"/>
      <c r="K227" s="59"/>
      <c r="L227" s="59"/>
      <c r="M227" s="118"/>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row>
    <row r="228" ht="14.25" customHeight="1">
      <c r="A228" s="59"/>
      <c r="B228" s="97"/>
      <c r="C228" s="97"/>
      <c r="D228" s="97"/>
      <c r="E228" s="97"/>
      <c r="F228" s="97"/>
      <c r="G228" s="97"/>
      <c r="H228" s="99"/>
      <c r="I228" s="59"/>
      <c r="J228" s="59"/>
      <c r="K228" s="59"/>
      <c r="L228" s="59"/>
      <c r="M228" s="118"/>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row>
    <row r="229" ht="14.25" customHeight="1">
      <c r="A229" s="59"/>
      <c r="B229" s="97"/>
      <c r="C229" s="97"/>
      <c r="D229" s="97"/>
      <c r="E229" s="97"/>
      <c r="F229" s="97"/>
      <c r="G229" s="97"/>
      <c r="H229" s="99"/>
      <c r="I229" s="59"/>
      <c r="J229" s="59"/>
      <c r="K229" s="59"/>
      <c r="L229" s="59"/>
      <c r="M229" s="118"/>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row>
    <row r="230" ht="14.25" customHeight="1">
      <c r="A230" s="59"/>
      <c r="B230" s="97"/>
      <c r="C230" s="97"/>
      <c r="D230" s="97"/>
      <c r="E230" s="97"/>
      <c r="F230" s="97"/>
      <c r="G230" s="97"/>
      <c r="H230" s="99"/>
      <c r="I230" s="59"/>
      <c r="J230" s="59"/>
      <c r="K230" s="59"/>
      <c r="L230" s="59"/>
      <c r="M230" s="118"/>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row>
    <row r="231" ht="14.25" customHeight="1">
      <c r="A231" s="59"/>
      <c r="B231" s="97"/>
      <c r="C231" s="97"/>
      <c r="D231" s="97"/>
      <c r="E231" s="97"/>
      <c r="F231" s="97"/>
      <c r="G231" s="97"/>
      <c r="H231" s="99"/>
      <c r="I231" s="59"/>
      <c r="J231" s="59"/>
      <c r="K231" s="59"/>
      <c r="L231" s="59"/>
      <c r="M231" s="118"/>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row>
    <row r="232" ht="14.25" customHeight="1">
      <c r="A232" s="59"/>
      <c r="B232" s="97"/>
      <c r="C232" s="97"/>
      <c r="D232" s="97"/>
      <c r="E232" s="97"/>
      <c r="F232" s="97"/>
      <c r="G232" s="97"/>
      <c r="H232" s="99"/>
      <c r="I232" s="59"/>
      <c r="J232" s="59"/>
      <c r="K232" s="59"/>
      <c r="L232" s="59"/>
      <c r="M232" s="118"/>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row>
    <row r="233" ht="14.25" customHeight="1">
      <c r="A233" s="59"/>
      <c r="B233" s="97"/>
      <c r="C233" s="97"/>
      <c r="D233" s="97"/>
      <c r="E233" s="97"/>
      <c r="F233" s="97"/>
      <c r="G233" s="97"/>
      <c r="H233" s="99"/>
      <c r="I233" s="59"/>
      <c r="J233" s="59"/>
      <c r="K233" s="59"/>
      <c r="L233" s="59"/>
      <c r="M233" s="118"/>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row>
    <row r="234" ht="14.25" customHeight="1">
      <c r="A234" s="59"/>
      <c r="B234" s="97"/>
      <c r="C234" s="97"/>
      <c r="D234" s="97"/>
      <c r="E234" s="97"/>
      <c r="F234" s="97"/>
      <c r="G234" s="97"/>
      <c r="H234" s="99"/>
      <c r="I234" s="59"/>
      <c r="J234" s="59"/>
      <c r="K234" s="59"/>
      <c r="L234" s="59"/>
      <c r="M234" s="118"/>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row>
    <row r="235" ht="14.25" customHeight="1">
      <c r="A235" s="59"/>
      <c r="B235" s="97"/>
      <c r="C235" s="97"/>
      <c r="D235" s="97"/>
      <c r="E235" s="97"/>
      <c r="F235" s="97"/>
      <c r="G235" s="97"/>
      <c r="H235" s="99"/>
      <c r="I235" s="59"/>
      <c r="J235" s="59"/>
      <c r="K235" s="59"/>
      <c r="L235" s="59"/>
      <c r="M235" s="118"/>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row>
    <row r="236" ht="14.25" customHeight="1">
      <c r="A236" s="59"/>
      <c r="B236" s="97"/>
      <c r="C236" s="97"/>
      <c r="D236" s="97"/>
      <c r="E236" s="97"/>
      <c r="F236" s="97"/>
      <c r="G236" s="97"/>
      <c r="H236" s="99"/>
      <c r="I236" s="59"/>
      <c r="J236" s="59"/>
      <c r="K236" s="59"/>
      <c r="L236" s="59"/>
      <c r="M236" s="118"/>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row>
    <row r="237" ht="14.25" customHeight="1">
      <c r="A237" s="59"/>
      <c r="B237" s="97"/>
      <c r="C237" s="97"/>
      <c r="D237" s="97"/>
      <c r="E237" s="97"/>
      <c r="F237" s="97"/>
      <c r="G237" s="97"/>
      <c r="H237" s="99"/>
      <c r="I237" s="59"/>
      <c r="J237" s="59"/>
      <c r="K237" s="59"/>
      <c r="L237" s="59"/>
      <c r="M237" s="118"/>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row>
    <row r="238" ht="14.25" customHeight="1">
      <c r="A238" s="59"/>
      <c r="B238" s="97"/>
      <c r="C238" s="97"/>
      <c r="D238" s="97"/>
      <c r="E238" s="97"/>
      <c r="F238" s="97"/>
      <c r="G238" s="97"/>
      <c r="H238" s="99"/>
      <c r="I238" s="59"/>
      <c r="J238" s="59"/>
      <c r="K238" s="59"/>
      <c r="L238" s="59"/>
      <c r="M238" s="118"/>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row>
    <row r="239" ht="14.25" customHeight="1">
      <c r="A239" s="59"/>
      <c r="B239" s="97"/>
      <c r="C239" s="97"/>
      <c r="D239" s="97"/>
      <c r="E239" s="97"/>
      <c r="F239" s="97"/>
      <c r="G239" s="97"/>
      <c r="H239" s="99"/>
      <c r="I239" s="59"/>
      <c r="J239" s="59"/>
      <c r="K239" s="59"/>
      <c r="L239" s="59"/>
      <c r="M239" s="118"/>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row>
    <row r="240" ht="14.25" customHeight="1">
      <c r="A240" s="59"/>
      <c r="B240" s="97"/>
      <c r="C240" s="97"/>
      <c r="D240" s="97"/>
      <c r="E240" s="97"/>
      <c r="F240" s="97"/>
      <c r="G240" s="97"/>
      <c r="H240" s="99"/>
      <c r="I240" s="59"/>
      <c r="J240" s="59"/>
      <c r="K240" s="59"/>
      <c r="L240" s="59"/>
      <c r="M240" s="118"/>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row>
    <row r="241" ht="14.25" customHeight="1">
      <c r="A241" s="59"/>
      <c r="B241" s="97"/>
      <c r="C241" s="97"/>
      <c r="D241" s="97"/>
      <c r="E241" s="97"/>
      <c r="F241" s="97"/>
      <c r="G241" s="97"/>
      <c r="H241" s="99"/>
      <c r="I241" s="59"/>
      <c r="J241" s="59"/>
      <c r="K241" s="59"/>
      <c r="L241" s="59"/>
      <c r="M241" s="118"/>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row>
    <row r="242" ht="14.25" customHeight="1">
      <c r="A242" s="59"/>
      <c r="B242" s="97"/>
      <c r="C242" s="97"/>
      <c r="D242" s="97"/>
      <c r="E242" s="97"/>
      <c r="F242" s="97"/>
      <c r="G242" s="97"/>
      <c r="H242" s="99"/>
      <c r="I242" s="59"/>
      <c r="J242" s="59"/>
      <c r="K242" s="59"/>
      <c r="L242" s="59"/>
      <c r="M242" s="118"/>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row>
    <row r="243" ht="14.25" customHeight="1">
      <c r="A243" s="59"/>
      <c r="B243" s="97"/>
      <c r="C243" s="97"/>
      <c r="D243" s="97"/>
      <c r="E243" s="97"/>
      <c r="F243" s="97"/>
      <c r="G243" s="97"/>
      <c r="H243" s="99"/>
      <c r="I243" s="59"/>
      <c r="J243" s="59"/>
      <c r="K243" s="59"/>
      <c r="L243" s="59"/>
      <c r="M243" s="118"/>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row>
    <row r="244" ht="14.25" customHeight="1">
      <c r="A244" s="59"/>
      <c r="B244" s="97"/>
      <c r="C244" s="97"/>
      <c r="D244" s="97"/>
      <c r="E244" s="97"/>
      <c r="F244" s="97"/>
      <c r="G244" s="97"/>
      <c r="H244" s="99"/>
      <c r="I244" s="59"/>
      <c r="J244" s="59"/>
      <c r="K244" s="59"/>
      <c r="L244" s="59"/>
      <c r="M244" s="118"/>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row>
    <row r="245" ht="14.25" customHeight="1">
      <c r="A245" s="59"/>
      <c r="B245" s="97"/>
      <c r="C245" s="97"/>
      <c r="D245" s="97"/>
      <c r="E245" s="97"/>
      <c r="F245" s="97"/>
      <c r="G245" s="97"/>
      <c r="H245" s="99"/>
      <c r="I245" s="59"/>
      <c r="J245" s="59"/>
      <c r="K245" s="59"/>
      <c r="L245" s="59"/>
      <c r="M245" s="118"/>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row>
    <row r="246" ht="14.25" customHeight="1">
      <c r="A246" s="59"/>
      <c r="B246" s="97"/>
      <c r="C246" s="97"/>
      <c r="D246" s="97"/>
      <c r="E246" s="97"/>
      <c r="F246" s="97"/>
      <c r="G246" s="97"/>
      <c r="H246" s="99"/>
      <c r="I246" s="59"/>
      <c r="J246" s="59"/>
      <c r="K246" s="59"/>
      <c r="L246" s="59"/>
      <c r="M246" s="118"/>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row>
    <row r="247" ht="14.25" customHeight="1">
      <c r="A247" s="59"/>
      <c r="B247" s="97"/>
      <c r="C247" s="97"/>
      <c r="D247" s="97"/>
      <c r="E247" s="97"/>
      <c r="F247" s="97"/>
      <c r="G247" s="97"/>
      <c r="H247" s="99"/>
      <c r="I247" s="59"/>
      <c r="J247" s="59"/>
      <c r="K247" s="59"/>
      <c r="L247" s="59"/>
      <c r="M247" s="118"/>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row>
    <row r="248" ht="14.25" customHeight="1">
      <c r="A248" s="59"/>
      <c r="B248" s="97"/>
      <c r="C248" s="97"/>
      <c r="D248" s="97"/>
      <c r="E248" s="97"/>
      <c r="F248" s="97"/>
      <c r="G248" s="97"/>
      <c r="H248" s="99"/>
      <c r="I248" s="59"/>
      <c r="J248" s="59"/>
      <c r="K248" s="59"/>
      <c r="L248" s="59"/>
      <c r="M248" s="118"/>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row>
    <row r="249" ht="14.25" customHeight="1">
      <c r="A249" s="59"/>
      <c r="B249" s="97"/>
      <c r="C249" s="97"/>
      <c r="D249" s="97"/>
      <c r="E249" s="97"/>
      <c r="F249" s="97"/>
      <c r="G249" s="97"/>
      <c r="H249" s="99"/>
      <c r="I249" s="59"/>
      <c r="J249" s="59"/>
      <c r="K249" s="59"/>
      <c r="L249" s="59"/>
      <c r="M249" s="118"/>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row>
    <row r="250" ht="14.25" customHeight="1">
      <c r="A250" s="59"/>
      <c r="B250" s="97"/>
      <c r="C250" s="97"/>
      <c r="D250" s="97"/>
      <c r="E250" s="97"/>
      <c r="F250" s="97"/>
      <c r="G250" s="97"/>
      <c r="H250" s="99"/>
      <c r="I250" s="59"/>
      <c r="J250" s="59"/>
      <c r="K250" s="59"/>
      <c r="L250" s="59"/>
      <c r="M250" s="118"/>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row>
    <row r="251" ht="14.25" customHeight="1">
      <c r="A251" s="59"/>
      <c r="B251" s="97"/>
      <c r="C251" s="97"/>
      <c r="D251" s="97"/>
      <c r="E251" s="97"/>
      <c r="F251" s="97"/>
      <c r="G251" s="97"/>
      <c r="H251" s="99"/>
      <c r="I251" s="59"/>
      <c r="J251" s="59"/>
      <c r="K251" s="59"/>
      <c r="L251" s="59"/>
      <c r="M251" s="118"/>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row>
    <row r="252" ht="14.25" customHeight="1">
      <c r="A252" s="59"/>
      <c r="B252" s="97"/>
      <c r="C252" s="97"/>
      <c r="D252" s="97"/>
      <c r="E252" s="97"/>
      <c r="F252" s="97"/>
      <c r="G252" s="97"/>
      <c r="H252" s="99"/>
      <c r="I252" s="59"/>
      <c r="J252" s="59"/>
      <c r="K252" s="59"/>
      <c r="L252" s="59"/>
      <c r="M252" s="118"/>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row>
    <row r="253" ht="14.25" customHeight="1">
      <c r="A253" s="59"/>
      <c r="B253" s="97"/>
      <c r="C253" s="97"/>
      <c r="D253" s="97"/>
      <c r="E253" s="97"/>
      <c r="F253" s="97"/>
      <c r="G253" s="97"/>
      <c r="H253" s="99"/>
      <c r="I253" s="59"/>
      <c r="J253" s="59"/>
      <c r="K253" s="59"/>
      <c r="L253" s="59"/>
      <c r="M253" s="118"/>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row>
    <row r="254" ht="14.25" customHeight="1">
      <c r="A254" s="59"/>
      <c r="B254" s="97"/>
      <c r="C254" s="97"/>
      <c r="D254" s="97"/>
      <c r="E254" s="97"/>
      <c r="F254" s="97"/>
      <c r="G254" s="97"/>
      <c r="H254" s="99"/>
      <c r="I254" s="59"/>
      <c r="J254" s="59"/>
      <c r="K254" s="59"/>
      <c r="L254" s="59"/>
      <c r="M254" s="118"/>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row>
    <row r="255" ht="14.25" customHeight="1">
      <c r="A255" s="59"/>
      <c r="B255" s="97"/>
      <c r="C255" s="97"/>
      <c r="D255" s="97"/>
      <c r="E255" s="97"/>
      <c r="F255" s="97"/>
      <c r="G255" s="97"/>
      <c r="H255" s="99"/>
      <c r="I255" s="59"/>
      <c r="J255" s="59"/>
      <c r="K255" s="59"/>
      <c r="L255" s="59"/>
      <c r="M255" s="118"/>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row>
    <row r="256" ht="14.25" customHeight="1">
      <c r="A256" s="59"/>
      <c r="B256" s="97"/>
      <c r="C256" s="97"/>
      <c r="D256" s="97"/>
      <c r="E256" s="97"/>
      <c r="F256" s="97"/>
      <c r="G256" s="97"/>
      <c r="H256" s="99"/>
      <c r="I256" s="59"/>
      <c r="J256" s="59"/>
      <c r="K256" s="59"/>
      <c r="L256" s="59"/>
      <c r="M256" s="118"/>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row>
    <row r="257" ht="14.25" customHeight="1">
      <c r="A257" s="59"/>
      <c r="B257" s="97"/>
      <c r="C257" s="97"/>
      <c r="D257" s="97"/>
      <c r="E257" s="97"/>
      <c r="F257" s="97"/>
      <c r="G257" s="97"/>
      <c r="H257" s="99"/>
      <c r="I257" s="59"/>
      <c r="J257" s="59"/>
      <c r="K257" s="59"/>
      <c r="L257" s="59"/>
      <c r="M257" s="118"/>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row>
    <row r="258" ht="14.25" customHeight="1">
      <c r="A258" s="59"/>
      <c r="B258" s="97"/>
      <c r="C258" s="97"/>
      <c r="D258" s="97"/>
      <c r="E258" s="97"/>
      <c r="F258" s="97"/>
      <c r="G258" s="97"/>
      <c r="H258" s="99"/>
      <c r="I258" s="59"/>
      <c r="J258" s="59"/>
      <c r="K258" s="59"/>
      <c r="L258" s="59"/>
      <c r="M258" s="118"/>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row>
    <row r="259" ht="14.25" customHeight="1">
      <c r="A259" s="59"/>
      <c r="B259" s="97"/>
      <c r="C259" s="97"/>
      <c r="D259" s="97"/>
      <c r="E259" s="97"/>
      <c r="F259" s="97"/>
      <c r="G259" s="97"/>
      <c r="H259" s="99"/>
      <c r="I259" s="59"/>
      <c r="J259" s="59"/>
      <c r="K259" s="59"/>
      <c r="L259" s="59"/>
      <c r="M259" s="118"/>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row>
    <row r="260" ht="14.25" customHeight="1">
      <c r="A260" s="59"/>
      <c r="B260" s="97"/>
      <c r="C260" s="97"/>
      <c r="D260" s="97"/>
      <c r="E260" s="97"/>
      <c r="F260" s="97"/>
      <c r="G260" s="97"/>
      <c r="H260" s="99"/>
      <c r="I260" s="59"/>
      <c r="J260" s="59"/>
      <c r="K260" s="59"/>
      <c r="L260" s="59"/>
      <c r="M260" s="118"/>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row>
    <row r="261" ht="14.25" customHeight="1">
      <c r="A261" s="59"/>
      <c r="B261" s="97"/>
      <c r="C261" s="97"/>
      <c r="D261" s="97"/>
      <c r="E261" s="97"/>
      <c r="F261" s="97"/>
      <c r="G261" s="97"/>
      <c r="H261" s="99"/>
      <c r="I261" s="59"/>
      <c r="J261" s="59"/>
      <c r="K261" s="59"/>
      <c r="L261" s="59"/>
      <c r="M261" s="118"/>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row>
    <row r="262" ht="14.25" customHeight="1">
      <c r="A262" s="59"/>
      <c r="B262" s="97"/>
      <c r="C262" s="97"/>
      <c r="D262" s="97"/>
      <c r="E262" s="97"/>
      <c r="F262" s="97"/>
      <c r="G262" s="97"/>
      <c r="H262" s="99"/>
      <c r="I262" s="59"/>
      <c r="J262" s="59"/>
      <c r="K262" s="59"/>
      <c r="L262" s="59"/>
      <c r="M262" s="118"/>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row>
    <row r="263" ht="14.25" customHeight="1">
      <c r="A263" s="59"/>
      <c r="B263" s="97"/>
      <c r="C263" s="97"/>
      <c r="D263" s="97"/>
      <c r="E263" s="97"/>
      <c r="F263" s="97"/>
      <c r="G263" s="97"/>
      <c r="H263" s="99"/>
      <c r="I263" s="59"/>
      <c r="J263" s="59"/>
      <c r="K263" s="59"/>
      <c r="L263" s="59"/>
      <c r="M263" s="118"/>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row>
    <row r="264" ht="14.25" customHeight="1">
      <c r="A264" s="59"/>
      <c r="B264" s="97"/>
      <c r="C264" s="97"/>
      <c r="D264" s="97"/>
      <c r="E264" s="97"/>
      <c r="F264" s="97"/>
      <c r="G264" s="97"/>
      <c r="H264" s="99"/>
      <c r="I264" s="59"/>
      <c r="J264" s="59"/>
      <c r="K264" s="59"/>
      <c r="L264" s="59"/>
      <c r="M264" s="118"/>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row>
    <row r="265" ht="14.25" customHeight="1">
      <c r="A265" s="59"/>
      <c r="B265" s="97"/>
      <c r="C265" s="97"/>
      <c r="D265" s="97"/>
      <c r="E265" s="97"/>
      <c r="F265" s="97"/>
      <c r="G265" s="97"/>
      <c r="H265" s="99"/>
      <c r="I265" s="59"/>
      <c r="J265" s="59"/>
      <c r="K265" s="59"/>
      <c r="L265" s="59"/>
      <c r="M265" s="118"/>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row>
    <row r="266" ht="14.25" customHeight="1">
      <c r="A266" s="59"/>
      <c r="B266" s="97"/>
      <c r="C266" s="97"/>
      <c r="D266" s="97"/>
      <c r="E266" s="97"/>
      <c r="F266" s="97"/>
      <c r="G266" s="97"/>
      <c r="H266" s="99"/>
      <c r="I266" s="59"/>
      <c r="J266" s="59"/>
      <c r="K266" s="59"/>
      <c r="L266" s="59"/>
      <c r="M266" s="118"/>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row>
    <row r="267" ht="14.25" customHeight="1">
      <c r="A267" s="59"/>
      <c r="B267" s="97"/>
      <c r="C267" s="97"/>
      <c r="D267" s="97"/>
      <c r="E267" s="97"/>
      <c r="F267" s="97"/>
      <c r="G267" s="97"/>
      <c r="H267" s="99"/>
      <c r="I267" s="59"/>
      <c r="J267" s="59"/>
      <c r="K267" s="59"/>
      <c r="L267" s="59"/>
      <c r="M267" s="118"/>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row>
    <row r="268" ht="14.25" customHeight="1">
      <c r="A268" s="59"/>
      <c r="B268" s="97"/>
      <c r="C268" s="97"/>
      <c r="D268" s="97"/>
      <c r="E268" s="97"/>
      <c r="F268" s="97"/>
      <c r="G268" s="97"/>
      <c r="H268" s="99"/>
      <c r="I268" s="59"/>
      <c r="J268" s="59"/>
      <c r="K268" s="59"/>
      <c r="L268" s="59"/>
      <c r="M268" s="118"/>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row>
    <row r="269" ht="14.25" customHeight="1">
      <c r="A269" s="59"/>
      <c r="B269" s="97"/>
      <c r="C269" s="97"/>
      <c r="D269" s="97"/>
      <c r="E269" s="97"/>
      <c r="F269" s="97"/>
      <c r="G269" s="97"/>
      <c r="H269" s="99"/>
      <c r="I269" s="59"/>
      <c r="J269" s="59"/>
      <c r="K269" s="59"/>
      <c r="L269" s="59"/>
      <c r="M269" s="118"/>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row>
    <row r="270" ht="14.25" customHeight="1">
      <c r="A270" s="59"/>
      <c r="B270" s="97"/>
      <c r="C270" s="97"/>
      <c r="D270" s="97"/>
      <c r="E270" s="97"/>
      <c r="F270" s="97"/>
      <c r="G270" s="97"/>
      <c r="H270" s="99"/>
      <c r="I270" s="59"/>
      <c r="J270" s="59"/>
      <c r="K270" s="59"/>
      <c r="L270" s="59"/>
      <c r="M270" s="118"/>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row>
    <row r="271" ht="14.25" customHeight="1">
      <c r="A271" s="59"/>
      <c r="B271" s="97"/>
      <c r="C271" s="97"/>
      <c r="D271" s="97"/>
      <c r="E271" s="97"/>
      <c r="F271" s="97"/>
      <c r="G271" s="97"/>
      <c r="H271" s="99"/>
      <c r="I271" s="59"/>
      <c r="J271" s="59"/>
      <c r="K271" s="59"/>
      <c r="L271" s="59"/>
      <c r="M271" s="118"/>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row>
    <row r="272" ht="14.25" customHeight="1">
      <c r="A272" s="59"/>
      <c r="B272" s="97"/>
      <c r="C272" s="97"/>
      <c r="D272" s="97"/>
      <c r="E272" s="97"/>
      <c r="F272" s="97"/>
      <c r="G272" s="97"/>
      <c r="H272" s="99"/>
      <c r="I272" s="59"/>
      <c r="J272" s="59"/>
      <c r="K272" s="59"/>
      <c r="L272" s="59"/>
      <c r="M272" s="118"/>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row>
    <row r="273" ht="14.25" customHeight="1">
      <c r="A273" s="59"/>
      <c r="B273" s="97"/>
      <c r="C273" s="97"/>
      <c r="D273" s="97"/>
      <c r="E273" s="97"/>
      <c r="F273" s="97"/>
      <c r="G273" s="97"/>
      <c r="H273" s="99"/>
      <c r="I273" s="59"/>
      <c r="J273" s="59"/>
      <c r="K273" s="59"/>
      <c r="L273" s="59"/>
      <c r="M273" s="118"/>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row>
    <row r="274" ht="14.25" customHeight="1">
      <c r="A274" s="59"/>
      <c r="B274" s="97"/>
      <c r="C274" s="97"/>
      <c r="D274" s="97"/>
      <c r="E274" s="97"/>
      <c r="F274" s="97"/>
      <c r="G274" s="97"/>
      <c r="H274" s="99"/>
      <c r="I274" s="59"/>
      <c r="J274" s="59"/>
      <c r="K274" s="59"/>
      <c r="L274" s="59"/>
      <c r="M274" s="118"/>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row>
    <row r="275" ht="14.25" customHeight="1">
      <c r="A275" s="59"/>
      <c r="B275" s="97"/>
      <c r="C275" s="97"/>
      <c r="D275" s="97"/>
      <c r="E275" s="97"/>
      <c r="F275" s="97"/>
      <c r="G275" s="97"/>
      <c r="H275" s="99"/>
      <c r="I275" s="59"/>
      <c r="J275" s="59"/>
      <c r="K275" s="59"/>
      <c r="L275" s="59"/>
      <c r="M275" s="118"/>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row>
    <row r="276" ht="14.25" customHeight="1">
      <c r="A276" s="59"/>
      <c r="B276" s="97"/>
      <c r="C276" s="97"/>
      <c r="D276" s="97"/>
      <c r="E276" s="97"/>
      <c r="F276" s="97"/>
      <c r="G276" s="97"/>
      <c r="H276" s="99"/>
      <c r="I276" s="59"/>
      <c r="J276" s="59"/>
      <c r="K276" s="59"/>
      <c r="L276" s="59"/>
      <c r="M276" s="118"/>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row>
    <row r="277" ht="14.25" customHeight="1">
      <c r="A277" s="59"/>
      <c r="B277" s="97"/>
      <c r="C277" s="97"/>
      <c r="D277" s="97"/>
      <c r="E277" s="97"/>
      <c r="F277" s="97"/>
      <c r="G277" s="97"/>
      <c r="H277" s="99"/>
      <c r="I277" s="59"/>
      <c r="J277" s="59"/>
      <c r="K277" s="59"/>
      <c r="L277" s="59"/>
      <c r="M277" s="118"/>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row>
    <row r="278" ht="14.25" customHeight="1">
      <c r="A278" s="59"/>
      <c r="B278" s="97"/>
      <c r="C278" s="97"/>
      <c r="D278" s="97"/>
      <c r="E278" s="97"/>
      <c r="F278" s="97"/>
      <c r="G278" s="97"/>
      <c r="H278" s="99"/>
      <c r="I278" s="59"/>
      <c r="J278" s="59"/>
      <c r="K278" s="59"/>
      <c r="L278" s="59"/>
      <c r="M278" s="118"/>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row>
    <row r="279" ht="14.25" customHeight="1">
      <c r="A279" s="59"/>
      <c r="B279" s="97"/>
      <c r="C279" s="97"/>
      <c r="D279" s="97"/>
      <c r="E279" s="97"/>
      <c r="F279" s="97"/>
      <c r="G279" s="97"/>
      <c r="H279" s="99"/>
      <c r="I279" s="59"/>
      <c r="J279" s="59"/>
      <c r="K279" s="59"/>
      <c r="L279" s="59"/>
      <c r="M279" s="118"/>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row>
    <row r="280" ht="14.25" customHeight="1">
      <c r="A280" s="59"/>
      <c r="B280" s="97"/>
      <c r="C280" s="97"/>
      <c r="D280" s="97"/>
      <c r="E280" s="97"/>
      <c r="F280" s="97"/>
      <c r="G280" s="97"/>
      <c r="H280" s="99"/>
      <c r="I280" s="59"/>
      <c r="J280" s="59"/>
      <c r="K280" s="59"/>
      <c r="L280" s="59"/>
      <c r="M280" s="118"/>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row>
    <row r="281" ht="14.25" customHeight="1">
      <c r="A281" s="59"/>
      <c r="B281" s="97"/>
      <c r="C281" s="97"/>
      <c r="D281" s="97"/>
      <c r="E281" s="97"/>
      <c r="F281" s="97"/>
      <c r="G281" s="97"/>
      <c r="H281" s="99"/>
      <c r="I281" s="59"/>
      <c r="J281" s="59"/>
      <c r="K281" s="59"/>
      <c r="L281" s="59"/>
      <c r="M281" s="118"/>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row>
    <row r="282" ht="14.25" customHeight="1">
      <c r="A282" s="59"/>
      <c r="B282" s="97"/>
      <c r="C282" s="97"/>
      <c r="D282" s="97"/>
      <c r="E282" s="97"/>
      <c r="F282" s="97"/>
      <c r="G282" s="97"/>
      <c r="H282" s="99"/>
      <c r="I282" s="59"/>
      <c r="J282" s="59"/>
      <c r="K282" s="59"/>
      <c r="L282" s="59"/>
      <c r="M282" s="118"/>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row>
    <row r="283" ht="14.25" customHeight="1">
      <c r="A283" s="59"/>
      <c r="B283" s="97"/>
      <c r="C283" s="97"/>
      <c r="D283" s="97"/>
      <c r="E283" s="97"/>
      <c r="F283" s="97"/>
      <c r="G283" s="97"/>
      <c r="H283" s="99"/>
      <c r="I283" s="59"/>
      <c r="J283" s="59"/>
      <c r="K283" s="59"/>
      <c r="L283" s="59"/>
      <c r="M283" s="118"/>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row>
    <row r="284" ht="14.25" customHeight="1">
      <c r="A284" s="59"/>
      <c r="B284" s="97"/>
      <c r="C284" s="97"/>
      <c r="D284" s="97"/>
      <c r="E284" s="97"/>
      <c r="F284" s="97"/>
      <c r="G284" s="97"/>
      <c r="H284" s="99"/>
      <c r="I284" s="59"/>
      <c r="J284" s="59"/>
      <c r="K284" s="59"/>
      <c r="L284" s="59"/>
      <c r="M284" s="118"/>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row>
    <row r="285" ht="14.25" customHeight="1">
      <c r="A285" s="59"/>
      <c r="B285" s="97"/>
      <c r="C285" s="97"/>
      <c r="D285" s="97"/>
      <c r="E285" s="97"/>
      <c r="F285" s="97"/>
      <c r="G285" s="97"/>
      <c r="H285" s="99"/>
      <c r="I285" s="59"/>
      <c r="J285" s="59"/>
      <c r="K285" s="59"/>
      <c r="L285" s="59"/>
      <c r="M285" s="118"/>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row>
    <row r="286" ht="14.25" customHeight="1">
      <c r="A286" s="59"/>
      <c r="B286" s="97"/>
      <c r="C286" s="97"/>
      <c r="D286" s="97"/>
      <c r="E286" s="97"/>
      <c r="F286" s="97"/>
      <c r="G286" s="97"/>
      <c r="H286" s="99"/>
      <c r="I286" s="59"/>
      <c r="J286" s="59"/>
      <c r="K286" s="59"/>
      <c r="L286" s="59"/>
      <c r="M286" s="118"/>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row>
    <row r="287" ht="14.25" customHeight="1">
      <c r="A287" s="59"/>
      <c r="B287" s="97"/>
      <c r="C287" s="97"/>
      <c r="D287" s="97"/>
      <c r="E287" s="97"/>
      <c r="F287" s="97"/>
      <c r="G287" s="97"/>
      <c r="H287" s="99"/>
      <c r="I287" s="59"/>
      <c r="J287" s="59"/>
      <c r="K287" s="59"/>
      <c r="L287" s="59"/>
      <c r="M287" s="118"/>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row>
    <row r="288" ht="14.25" customHeight="1">
      <c r="A288" s="59"/>
      <c r="B288" s="97"/>
      <c r="C288" s="97"/>
      <c r="D288" s="97"/>
      <c r="E288" s="97"/>
      <c r="F288" s="97"/>
      <c r="G288" s="97"/>
      <c r="H288" s="99"/>
      <c r="I288" s="59"/>
      <c r="J288" s="59"/>
      <c r="K288" s="59"/>
      <c r="L288" s="59"/>
      <c r="M288" s="118"/>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row>
    <row r="289" ht="14.25" customHeight="1">
      <c r="A289" s="59"/>
      <c r="B289" s="97"/>
      <c r="C289" s="97"/>
      <c r="D289" s="97"/>
      <c r="E289" s="97"/>
      <c r="F289" s="97"/>
      <c r="G289" s="97"/>
      <c r="H289" s="99"/>
      <c r="I289" s="59"/>
      <c r="J289" s="59"/>
      <c r="K289" s="59"/>
      <c r="L289" s="59"/>
      <c r="M289" s="118"/>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row>
    <row r="290" ht="14.25" customHeight="1">
      <c r="A290" s="59"/>
      <c r="B290" s="97"/>
      <c r="C290" s="97"/>
      <c r="D290" s="97"/>
      <c r="E290" s="97"/>
      <c r="F290" s="97"/>
      <c r="G290" s="97"/>
      <c r="H290" s="99"/>
      <c r="I290" s="59"/>
      <c r="J290" s="59"/>
      <c r="K290" s="59"/>
      <c r="L290" s="59"/>
      <c r="M290" s="118"/>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row>
    <row r="291" ht="14.25" customHeight="1">
      <c r="A291" s="59"/>
      <c r="B291" s="97"/>
      <c r="C291" s="97"/>
      <c r="D291" s="97"/>
      <c r="E291" s="97"/>
      <c r="F291" s="97"/>
      <c r="G291" s="97"/>
      <c r="H291" s="99"/>
      <c r="I291" s="59"/>
      <c r="J291" s="59"/>
      <c r="K291" s="59"/>
      <c r="L291" s="59"/>
      <c r="M291" s="118"/>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row>
    <row r="292" ht="14.25" customHeight="1">
      <c r="A292" s="59"/>
      <c r="B292" s="97"/>
      <c r="C292" s="97"/>
      <c r="D292" s="97"/>
      <c r="E292" s="97"/>
      <c r="F292" s="97"/>
      <c r="G292" s="97"/>
      <c r="H292" s="99"/>
      <c r="I292" s="59"/>
      <c r="J292" s="59"/>
      <c r="K292" s="59"/>
      <c r="L292" s="59"/>
      <c r="M292" s="118"/>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row>
    <row r="293" ht="14.25" customHeight="1">
      <c r="A293" s="59"/>
      <c r="B293" s="97"/>
      <c r="C293" s="97"/>
      <c r="D293" s="97"/>
      <c r="E293" s="97"/>
      <c r="F293" s="97"/>
      <c r="G293" s="97"/>
      <c r="H293" s="99"/>
      <c r="I293" s="59"/>
      <c r="J293" s="59"/>
      <c r="K293" s="59"/>
      <c r="L293" s="59"/>
      <c r="M293" s="118"/>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row>
    <row r="294" ht="14.25" customHeight="1">
      <c r="A294" s="59"/>
      <c r="B294" s="97"/>
      <c r="C294" s="97"/>
      <c r="D294" s="97"/>
      <c r="E294" s="97"/>
      <c r="F294" s="97"/>
      <c r="G294" s="97"/>
      <c r="H294" s="99"/>
      <c r="I294" s="59"/>
      <c r="J294" s="59"/>
      <c r="K294" s="59"/>
      <c r="L294" s="59"/>
      <c r="M294" s="118"/>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row>
    <row r="295" ht="14.25" customHeight="1">
      <c r="A295" s="59"/>
      <c r="B295" s="97"/>
      <c r="C295" s="97"/>
      <c r="D295" s="97"/>
      <c r="E295" s="97"/>
      <c r="F295" s="97"/>
      <c r="G295" s="97"/>
      <c r="H295" s="99"/>
      <c r="I295" s="59"/>
      <c r="J295" s="59"/>
      <c r="K295" s="59"/>
      <c r="L295" s="59"/>
      <c r="M295" s="118"/>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row>
    <row r="296" ht="14.25" customHeight="1">
      <c r="A296" s="59"/>
      <c r="B296" s="97"/>
      <c r="C296" s="97"/>
      <c r="D296" s="97"/>
      <c r="E296" s="97"/>
      <c r="F296" s="97"/>
      <c r="G296" s="97"/>
      <c r="H296" s="99"/>
      <c r="I296" s="59"/>
      <c r="J296" s="59"/>
      <c r="K296" s="59"/>
      <c r="L296" s="59"/>
      <c r="M296" s="118"/>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row>
    <row r="297" ht="14.25" customHeight="1">
      <c r="A297" s="59"/>
      <c r="B297" s="97"/>
      <c r="C297" s="97"/>
      <c r="D297" s="97"/>
      <c r="E297" s="97"/>
      <c r="F297" s="97"/>
      <c r="G297" s="97"/>
      <c r="H297" s="99"/>
      <c r="I297" s="59"/>
      <c r="J297" s="59"/>
      <c r="K297" s="59"/>
      <c r="L297" s="59"/>
      <c r="M297" s="118"/>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row>
    <row r="298" ht="14.25" customHeight="1">
      <c r="A298" s="59"/>
      <c r="B298" s="97"/>
      <c r="C298" s="97"/>
      <c r="D298" s="97"/>
      <c r="E298" s="97"/>
      <c r="F298" s="97"/>
      <c r="G298" s="97"/>
      <c r="H298" s="99"/>
      <c r="I298" s="59"/>
      <c r="J298" s="59"/>
      <c r="K298" s="59"/>
      <c r="L298" s="59"/>
      <c r="M298" s="118"/>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row>
    <row r="299" ht="14.25" customHeight="1">
      <c r="A299" s="59"/>
      <c r="B299" s="97"/>
      <c r="C299" s="97"/>
      <c r="D299" s="97"/>
      <c r="E299" s="97"/>
      <c r="F299" s="97"/>
      <c r="G299" s="97"/>
      <c r="H299" s="99"/>
      <c r="I299" s="59"/>
      <c r="J299" s="59"/>
      <c r="K299" s="59"/>
      <c r="L299" s="59"/>
      <c r="M299" s="118"/>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row>
    <row r="300" ht="14.25" customHeight="1">
      <c r="A300" s="59"/>
      <c r="B300" s="97"/>
      <c r="C300" s="97"/>
      <c r="D300" s="97"/>
      <c r="E300" s="97"/>
      <c r="F300" s="97"/>
      <c r="G300" s="97"/>
      <c r="H300" s="99"/>
      <c r="I300" s="59"/>
      <c r="J300" s="59"/>
      <c r="K300" s="59"/>
      <c r="L300" s="59"/>
      <c r="M300" s="118"/>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row>
    <row r="301" ht="14.25" customHeight="1">
      <c r="A301" s="59"/>
      <c r="B301" s="97"/>
      <c r="C301" s="97"/>
      <c r="D301" s="97"/>
      <c r="E301" s="97"/>
      <c r="F301" s="97"/>
      <c r="G301" s="97"/>
      <c r="H301" s="99"/>
      <c r="I301" s="59"/>
      <c r="J301" s="59"/>
      <c r="K301" s="59"/>
      <c r="L301" s="59"/>
      <c r="M301" s="118"/>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row>
    <row r="302" ht="14.25" customHeight="1">
      <c r="A302" s="59"/>
      <c r="B302" s="97"/>
      <c r="C302" s="97"/>
      <c r="D302" s="97"/>
      <c r="E302" s="97"/>
      <c r="F302" s="97"/>
      <c r="G302" s="97"/>
      <c r="H302" s="99"/>
      <c r="I302" s="59"/>
      <c r="J302" s="59"/>
      <c r="K302" s="59"/>
      <c r="L302" s="59"/>
      <c r="M302" s="118"/>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row>
    <row r="303" ht="14.25" customHeight="1">
      <c r="A303" s="59"/>
      <c r="B303" s="97"/>
      <c r="C303" s="97"/>
      <c r="D303" s="97"/>
      <c r="E303" s="97"/>
      <c r="F303" s="97"/>
      <c r="G303" s="97"/>
      <c r="H303" s="99"/>
      <c r="I303" s="59"/>
      <c r="J303" s="59"/>
      <c r="K303" s="59"/>
      <c r="L303" s="59"/>
      <c r="M303" s="118"/>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row>
    <row r="304" ht="14.25" customHeight="1">
      <c r="A304" s="59"/>
      <c r="B304" s="97"/>
      <c r="C304" s="97"/>
      <c r="D304" s="97"/>
      <c r="E304" s="97"/>
      <c r="F304" s="97"/>
      <c r="G304" s="97"/>
      <c r="H304" s="99"/>
      <c r="I304" s="59"/>
      <c r="J304" s="59"/>
      <c r="K304" s="59"/>
      <c r="L304" s="59"/>
      <c r="M304" s="118"/>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row>
    <row r="305" ht="14.25" customHeight="1">
      <c r="A305" s="59"/>
      <c r="B305" s="97"/>
      <c r="C305" s="97"/>
      <c r="D305" s="97"/>
      <c r="E305" s="97"/>
      <c r="F305" s="97"/>
      <c r="G305" s="97"/>
      <c r="H305" s="99"/>
      <c r="I305" s="59"/>
      <c r="J305" s="59"/>
      <c r="K305" s="59"/>
      <c r="L305" s="59"/>
      <c r="M305" s="118"/>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row>
    <row r="306" ht="14.25" customHeight="1">
      <c r="A306" s="59"/>
      <c r="B306" s="97"/>
      <c r="C306" s="97"/>
      <c r="D306" s="97"/>
      <c r="E306" s="97"/>
      <c r="F306" s="97"/>
      <c r="G306" s="97"/>
      <c r="H306" s="99"/>
      <c r="I306" s="59"/>
      <c r="J306" s="59"/>
      <c r="K306" s="59"/>
      <c r="L306" s="59"/>
      <c r="M306" s="118"/>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row>
    <row r="307" ht="14.25" customHeight="1">
      <c r="A307" s="59"/>
      <c r="B307" s="97"/>
      <c r="C307" s="97"/>
      <c r="D307" s="97"/>
      <c r="E307" s="97"/>
      <c r="F307" s="97"/>
      <c r="G307" s="97"/>
      <c r="H307" s="99"/>
      <c r="I307" s="59"/>
      <c r="J307" s="59"/>
      <c r="K307" s="59"/>
      <c r="L307" s="59"/>
      <c r="M307" s="118"/>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row>
    <row r="308" ht="14.25" customHeight="1">
      <c r="A308" s="59"/>
      <c r="B308" s="97"/>
      <c r="C308" s="97"/>
      <c r="D308" s="97"/>
      <c r="E308" s="97"/>
      <c r="F308" s="97"/>
      <c r="G308" s="97"/>
      <c r="H308" s="99"/>
      <c r="I308" s="59"/>
      <c r="J308" s="59"/>
      <c r="K308" s="59"/>
      <c r="L308" s="59"/>
      <c r="M308" s="118"/>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row>
    <row r="309" ht="14.25" customHeight="1">
      <c r="A309" s="59"/>
      <c r="B309" s="97"/>
      <c r="C309" s="97"/>
      <c r="D309" s="97"/>
      <c r="E309" s="97"/>
      <c r="F309" s="97"/>
      <c r="G309" s="97"/>
      <c r="H309" s="99"/>
      <c r="I309" s="59"/>
      <c r="J309" s="59"/>
      <c r="K309" s="59"/>
      <c r="L309" s="59"/>
      <c r="M309" s="118"/>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row>
    <row r="310" ht="14.25" customHeight="1">
      <c r="A310" s="59"/>
      <c r="B310" s="97"/>
      <c r="C310" s="97"/>
      <c r="D310" s="97"/>
      <c r="E310" s="97"/>
      <c r="F310" s="97"/>
      <c r="G310" s="97"/>
      <c r="H310" s="99"/>
      <c r="I310" s="59"/>
      <c r="J310" s="59"/>
      <c r="K310" s="59"/>
      <c r="L310" s="59"/>
      <c r="M310" s="118"/>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row>
    <row r="311" ht="14.25" customHeight="1">
      <c r="A311" s="59"/>
      <c r="B311" s="97"/>
      <c r="C311" s="97"/>
      <c r="D311" s="97"/>
      <c r="E311" s="97"/>
      <c r="F311" s="97"/>
      <c r="G311" s="97"/>
      <c r="H311" s="99"/>
      <c r="I311" s="59"/>
      <c r="J311" s="59"/>
      <c r="K311" s="59"/>
      <c r="L311" s="59"/>
      <c r="M311" s="118"/>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row>
    <row r="312" ht="14.25" customHeight="1">
      <c r="A312" s="59"/>
      <c r="B312" s="97"/>
      <c r="C312" s="97"/>
      <c r="D312" s="97"/>
      <c r="E312" s="97"/>
      <c r="F312" s="97"/>
      <c r="G312" s="97"/>
      <c r="H312" s="99"/>
      <c r="I312" s="59"/>
      <c r="J312" s="59"/>
      <c r="K312" s="59"/>
      <c r="L312" s="59"/>
      <c r="M312" s="118"/>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row>
    <row r="313" ht="14.25" customHeight="1">
      <c r="A313" s="59"/>
      <c r="B313" s="97"/>
      <c r="C313" s="97"/>
      <c r="D313" s="97"/>
      <c r="E313" s="97"/>
      <c r="F313" s="97"/>
      <c r="G313" s="97"/>
      <c r="H313" s="99"/>
      <c r="I313" s="59"/>
      <c r="J313" s="59"/>
      <c r="K313" s="59"/>
      <c r="L313" s="59"/>
      <c r="M313" s="118"/>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row>
    <row r="314" ht="14.25" customHeight="1">
      <c r="A314" s="59"/>
      <c r="B314" s="97"/>
      <c r="C314" s="97"/>
      <c r="D314" s="97"/>
      <c r="E314" s="97"/>
      <c r="F314" s="97"/>
      <c r="G314" s="97"/>
      <c r="H314" s="99"/>
      <c r="I314" s="59"/>
      <c r="J314" s="59"/>
      <c r="K314" s="59"/>
      <c r="L314" s="59"/>
      <c r="M314" s="118"/>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row>
    <row r="315" ht="14.25" customHeight="1">
      <c r="A315" s="59"/>
      <c r="B315" s="97"/>
      <c r="C315" s="97"/>
      <c r="D315" s="97"/>
      <c r="E315" s="97"/>
      <c r="F315" s="97"/>
      <c r="G315" s="97"/>
      <c r="H315" s="99"/>
      <c r="I315" s="59"/>
      <c r="J315" s="59"/>
      <c r="K315" s="59"/>
      <c r="L315" s="59"/>
      <c r="M315" s="118"/>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row>
    <row r="316" ht="14.25" customHeight="1">
      <c r="A316" s="59"/>
      <c r="B316" s="97"/>
      <c r="C316" s="97"/>
      <c r="D316" s="97"/>
      <c r="E316" s="97"/>
      <c r="F316" s="97"/>
      <c r="G316" s="97"/>
      <c r="H316" s="99"/>
      <c r="I316" s="59"/>
      <c r="J316" s="59"/>
      <c r="K316" s="59"/>
      <c r="L316" s="59"/>
      <c r="M316" s="118"/>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row>
    <row r="317" ht="14.25" customHeight="1">
      <c r="A317" s="59"/>
      <c r="B317" s="97"/>
      <c r="C317" s="97"/>
      <c r="D317" s="97"/>
      <c r="E317" s="97"/>
      <c r="F317" s="97"/>
      <c r="G317" s="97"/>
      <c r="H317" s="99"/>
      <c r="I317" s="59"/>
      <c r="J317" s="59"/>
      <c r="K317" s="59"/>
      <c r="L317" s="59"/>
      <c r="M317" s="118"/>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row>
    <row r="318" ht="14.25" customHeight="1">
      <c r="A318" s="59"/>
      <c r="B318" s="97"/>
      <c r="C318" s="97"/>
      <c r="D318" s="97"/>
      <c r="E318" s="97"/>
      <c r="F318" s="97"/>
      <c r="G318" s="97"/>
      <c r="H318" s="99"/>
      <c r="I318" s="59"/>
      <c r="J318" s="59"/>
      <c r="K318" s="59"/>
      <c r="L318" s="59"/>
      <c r="M318" s="118"/>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row>
    <row r="319" ht="14.25" customHeight="1">
      <c r="A319" s="59"/>
      <c r="B319" s="97"/>
      <c r="C319" s="97"/>
      <c r="D319" s="97"/>
      <c r="E319" s="97"/>
      <c r="F319" s="97"/>
      <c r="G319" s="97"/>
      <c r="H319" s="99"/>
      <c r="I319" s="59"/>
      <c r="J319" s="59"/>
      <c r="K319" s="59"/>
      <c r="L319" s="59"/>
      <c r="M319" s="118"/>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row>
    <row r="320" ht="14.25" customHeight="1">
      <c r="A320" s="59"/>
      <c r="B320" s="97"/>
      <c r="C320" s="97"/>
      <c r="D320" s="97"/>
      <c r="E320" s="97"/>
      <c r="F320" s="97"/>
      <c r="G320" s="97"/>
      <c r="H320" s="99"/>
      <c r="I320" s="59"/>
      <c r="J320" s="59"/>
      <c r="K320" s="59"/>
      <c r="L320" s="59"/>
      <c r="M320" s="118"/>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row>
    <row r="321" ht="14.25" customHeight="1">
      <c r="A321" s="59"/>
      <c r="B321" s="97"/>
      <c r="C321" s="97"/>
      <c r="D321" s="97"/>
      <c r="E321" s="97"/>
      <c r="F321" s="97"/>
      <c r="G321" s="97"/>
      <c r="H321" s="99"/>
      <c r="I321" s="59"/>
      <c r="J321" s="59"/>
      <c r="K321" s="59"/>
      <c r="L321" s="59"/>
      <c r="M321" s="118"/>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row>
    <row r="322" ht="14.25" customHeight="1">
      <c r="A322" s="59"/>
      <c r="B322" s="97"/>
      <c r="C322" s="97"/>
      <c r="D322" s="97"/>
      <c r="E322" s="97"/>
      <c r="F322" s="97"/>
      <c r="G322" s="97"/>
      <c r="H322" s="99"/>
      <c r="I322" s="59"/>
      <c r="J322" s="59"/>
      <c r="K322" s="59"/>
      <c r="L322" s="59"/>
      <c r="M322" s="118"/>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row>
    <row r="323" ht="14.25" customHeight="1">
      <c r="A323" s="59"/>
      <c r="B323" s="97"/>
      <c r="C323" s="97"/>
      <c r="D323" s="97"/>
      <c r="E323" s="97"/>
      <c r="F323" s="97"/>
      <c r="G323" s="97"/>
      <c r="H323" s="99"/>
      <c r="I323" s="59"/>
      <c r="J323" s="59"/>
      <c r="K323" s="59"/>
      <c r="L323" s="59"/>
      <c r="M323" s="118"/>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row>
    <row r="324" ht="14.25" customHeight="1">
      <c r="A324" s="59"/>
      <c r="B324" s="97"/>
      <c r="C324" s="97"/>
      <c r="D324" s="97"/>
      <c r="E324" s="97"/>
      <c r="F324" s="97"/>
      <c r="G324" s="97"/>
      <c r="H324" s="99"/>
      <c r="I324" s="59"/>
      <c r="J324" s="59"/>
      <c r="K324" s="59"/>
      <c r="L324" s="59"/>
      <c r="M324" s="118"/>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row>
    <row r="325" ht="14.25" customHeight="1">
      <c r="A325" s="59"/>
      <c r="B325" s="97"/>
      <c r="C325" s="97"/>
      <c r="D325" s="97"/>
      <c r="E325" s="97"/>
      <c r="F325" s="97"/>
      <c r="G325" s="97"/>
      <c r="H325" s="99"/>
      <c r="I325" s="59"/>
      <c r="J325" s="59"/>
      <c r="K325" s="59"/>
      <c r="L325" s="59"/>
      <c r="M325" s="118"/>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row>
    <row r="326" ht="14.25" customHeight="1">
      <c r="A326" s="59"/>
      <c r="B326" s="97"/>
      <c r="C326" s="97"/>
      <c r="D326" s="97"/>
      <c r="E326" s="97"/>
      <c r="F326" s="97"/>
      <c r="G326" s="97"/>
      <c r="H326" s="99"/>
      <c r="I326" s="59"/>
      <c r="J326" s="59"/>
      <c r="K326" s="59"/>
      <c r="L326" s="59"/>
      <c r="M326" s="118"/>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row>
    <row r="327" ht="14.25" customHeight="1">
      <c r="A327" s="59"/>
      <c r="B327" s="97"/>
      <c r="C327" s="97"/>
      <c r="D327" s="97"/>
      <c r="E327" s="97"/>
      <c r="F327" s="97"/>
      <c r="G327" s="97"/>
      <c r="H327" s="99"/>
      <c r="I327" s="59"/>
      <c r="J327" s="59"/>
      <c r="K327" s="59"/>
      <c r="L327" s="59"/>
      <c r="M327" s="118"/>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row>
    <row r="328" ht="14.25" customHeight="1">
      <c r="A328" s="59"/>
      <c r="B328" s="97"/>
      <c r="C328" s="97"/>
      <c r="D328" s="97"/>
      <c r="E328" s="97"/>
      <c r="F328" s="97"/>
      <c r="G328" s="97"/>
      <c r="H328" s="99"/>
      <c r="I328" s="59"/>
      <c r="J328" s="59"/>
      <c r="K328" s="59"/>
      <c r="L328" s="59"/>
      <c r="M328" s="118"/>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row>
    <row r="329" ht="14.25" customHeight="1">
      <c r="A329" s="59"/>
      <c r="B329" s="97"/>
      <c r="C329" s="97"/>
      <c r="D329" s="97"/>
      <c r="E329" s="97"/>
      <c r="F329" s="97"/>
      <c r="G329" s="97"/>
      <c r="H329" s="99"/>
      <c r="I329" s="59"/>
      <c r="J329" s="59"/>
      <c r="K329" s="59"/>
      <c r="L329" s="59"/>
      <c r="M329" s="118"/>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row>
    <row r="330" ht="14.25" customHeight="1">
      <c r="A330" s="59"/>
      <c r="B330" s="97"/>
      <c r="C330" s="97"/>
      <c r="D330" s="97"/>
      <c r="E330" s="97"/>
      <c r="F330" s="97"/>
      <c r="G330" s="97"/>
      <c r="H330" s="99"/>
      <c r="I330" s="59"/>
      <c r="J330" s="59"/>
      <c r="K330" s="59"/>
      <c r="L330" s="59"/>
      <c r="M330" s="118"/>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row>
    <row r="331" ht="14.25" customHeight="1">
      <c r="A331" s="59"/>
      <c r="B331" s="97"/>
      <c r="C331" s="97"/>
      <c r="D331" s="97"/>
      <c r="E331" s="97"/>
      <c r="F331" s="97"/>
      <c r="G331" s="97"/>
      <c r="H331" s="99"/>
      <c r="I331" s="59"/>
      <c r="J331" s="59"/>
      <c r="K331" s="59"/>
      <c r="L331" s="59"/>
      <c r="M331" s="118"/>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row>
    <row r="332" ht="14.25" customHeight="1">
      <c r="A332" s="59"/>
      <c r="B332" s="97"/>
      <c r="C332" s="97"/>
      <c r="D332" s="97"/>
      <c r="E332" s="97"/>
      <c r="F332" s="97"/>
      <c r="G332" s="97"/>
      <c r="H332" s="99"/>
      <c r="I332" s="59"/>
      <c r="J332" s="59"/>
      <c r="K332" s="59"/>
      <c r="L332" s="59"/>
      <c r="M332" s="118"/>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row>
    <row r="333" ht="14.25" customHeight="1">
      <c r="A333" s="59"/>
      <c r="B333" s="97"/>
      <c r="C333" s="97"/>
      <c r="D333" s="97"/>
      <c r="E333" s="97"/>
      <c r="F333" s="97"/>
      <c r="G333" s="97"/>
      <c r="H333" s="99"/>
      <c r="I333" s="59"/>
      <c r="J333" s="59"/>
      <c r="K333" s="59"/>
      <c r="L333" s="59"/>
      <c r="M333" s="118"/>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row>
    <row r="334" ht="14.25" customHeight="1">
      <c r="A334" s="59"/>
      <c r="B334" s="97"/>
      <c r="C334" s="97"/>
      <c r="D334" s="97"/>
      <c r="E334" s="97"/>
      <c r="F334" s="97"/>
      <c r="G334" s="97"/>
      <c r="H334" s="99"/>
      <c r="I334" s="59"/>
      <c r="J334" s="59"/>
      <c r="K334" s="59"/>
      <c r="L334" s="59"/>
      <c r="M334" s="118"/>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row>
    <row r="335" ht="14.25" customHeight="1">
      <c r="A335" s="59"/>
      <c r="B335" s="97"/>
      <c r="C335" s="97"/>
      <c r="D335" s="97"/>
      <c r="E335" s="97"/>
      <c r="F335" s="97"/>
      <c r="G335" s="97"/>
      <c r="H335" s="99"/>
      <c r="I335" s="59"/>
      <c r="J335" s="59"/>
      <c r="K335" s="59"/>
      <c r="L335" s="59"/>
      <c r="M335" s="118"/>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row>
    <row r="336" ht="14.25" customHeight="1">
      <c r="A336" s="59"/>
      <c r="B336" s="97"/>
      <c r="C336" s="97"/>
      <c r="D336" s="97"/>
      <c r="E336" s="97"/>
      <c r="F336" s="97"/>
      <c r="G336" s="97"/>
      <c r="H336" s="99"/>
      <c r="I336" s="59"/>
      <c r="J336" s="59"/>
      <c r="K336" s="59"/>
      <c r="L336" s="59"/>
      <c r="M336" s="118"/>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row>
    <row r="337" ht="14.25" customHeight="1">
      <c r="A337" s="59"/>
      <c r="B337" s="97"/>
      <c r="C337" s="97"/>
      <c r="D337" s="97"/>
      <c r="E337" s="97"/>
      <c r="F337" s="97"/>
      <c r="G337" s="97"/>
      <c r="H337" s="99"/>
      <c r="I337" s="59"/>
      <c r="J337" s="59"/>
      <c r="K337" s="59"/>
      <c r="L337" s="59"/>
      <c r="M337" s="118"/>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row>
    <row r="338" ht="14.25" customHeight="1">
      <c r="A338" s="59"/>
      <c r="B338" s="97"/>
      <c r="C338" s="97"/>
      <c r="D338" s="97"/>
      <c r="E338" s="97"/>
      <c r="F338" s="97"/>
      <c r="G338" s="97"/>
      <c r="H338" s="99"/>
      <c r="I338" s="59"/>
      <c r="J338" s="59"/>
      <c r="K338" s="59"/>
      <c r="L338" s="59"/>
      <c r="M338" s="118"/>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row>
    <row r="339" ht="14.25" customHeight="1">
      <c r="A339" s="59"/>
      <c r="B339" s="97"/>
      <c r="C339" s="97"/>
      <c r="D339" s="97"/>
      <c r="E339" s="97"/>
      <c r="F339" s="97"/>
      <c r="G339" s="97"/>
      <c r="H339" s="99"/>
      <c r="I339" s="59"/>
      <c r="J339" s="59"/>
      <c r="K339" s="59"/>
      <c r="L339" s="59"/>
      <c r="M339" s="118"/>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row>
    <row r="340" ht="14.25" customHeight="1">
      <c r="A340" s="59"/>
      <c r="B340" s="97"/>
      <c r="C340" s="97"/>
      <c r="D340" s="97"/>
      <c r="E340" s="97"/>
      <c r="F340" s="97"/>
      <c r="G340" s="97"/>
      <c r="H340" s="99"/>
      <c r="I340" s="59"/>
      <c r="J340" s="59"/>
      <c r="K340" s="59"/>
      <c r="L340" s="59"/>
      <c r="M340" s="118"/>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row>
    <row r="341" ht="14.25" customHeight="1">
      <c r="A341" s="59"/>
      <c r="B341" s="97"/>
      <c r="C341" s="97"/>
      <c r="D341" s="97"/>
      <c r="E341" s="97"/>
      <c r="F341" s="97"/>
      <c r="G341" s="97"/>
      <c r="H341" s="99"/>
      <c r="I341" s="59"/>
      <c r="J341" s="59"/>
      <c r="K341" s="59"/>
      <c r="L341" s="59"/>
      <c r="M341" s="118"/>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row>
    <row r="342" ht="14.25" customHeight="1">
      <c r="A342" s="59"/>
      <c r="B342" s="97"/>
      <c r="C342" s="97"/>
      <c r="D342" s="97"/>
      <c r="E342" s="97"/>
      <c r="F342" s="97"/>
      <c r="G342" s="97"/>
      <c r="H342" s="99"/>
      <c r="I342" s="59"/>
      <c r="J342" s="59"/>
      <c r="K342" s="59"/>
      <c r="L342" s="59"/>
      <c r="M342" s="118"/>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row>
    <row r="343" ht="14.25" customHeight="1">
      <c r="A343" s="59"/>
      <c r="B343" s="97"/>
      <c r="C343" s="97"/>
      <c r="D343" s="97"/>
      <c r="E343" s="97"/>
      <c r="F343" s="97"/>
      <c r="G343" s="97"/>
      <c r="H343" s="99"/>
      <c r="I343" s="59"/>
      <c r="J343" s="59"/>
      <c r="K343" s="59"/>
      <c r="L343" s="59"/>
      <c r="M343" s="118"/>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row>
    <row r="344" ht="14.25" customHeight="1">
      <c r="A344" s="59"/>
      <c r="B344" s="97"/>
      <c r="C344" s="97"/>
      <c r="D344" s="97"/>
      <c r="E344" s="97"/>
      <c r="F344" s="97"/>
      <c r="G344" s="97"/>
      <c r="H344" s="99"/>
      <c r="I344" s="59"/>
      <c r="J344" s="59"/>
      <c r="K344" s="59"/>
      <c r="L344" s="59"/>
      <c r="M344" s="118"/>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row>
    <row r="345" ht="14.25" customHeight="1">
      <c r="A345" s="59"/>
      <c r="B345" s="97"/>
      <c r="C345" s="97"/>
      <c r="D345" s="97"/>
      <c r="E345" s="97"/>
      <c r="F345" s="97"/>
      <c r="G345" s="97"/>
      <c r="H345" s="99"/>
      <c r="I345" s="59"/>
      <c r="J345" s="59"/>
      <c r="K345" s="59"/>
      <c r="L345" s="59"/>
      <c r="M345" s="118"/>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row>
    <row r="346" ht="14.25" customHeight="1">
      <c r="A346" s="59"/>
      <c r="B346" s="97"/>
      <c r="C346" s="97"/>
      <c r="D346" s="97"/>
      <c r="E346" s="97"/>
      <c r="F346" s="97"/>
      <c r="G346" s="97"/>
      <c r="H346" s="99"/>
      <c r="I346" s="59"/>
      <c r="J346" s="59"/>
      <c r="K346" s="59"/>
      <c r="L346" s="59"/>
      <c r="M346" s="118"/>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row>
    <row r="347" ht="14.25" customHeight="1">
      <c r="A347" s="59"/>
      <c r="B347" s="97"/>
      <c r="C347" s="97"/>
      <c r="D347" s="97"/>
      <c r="E347" s="97"/>
      <c r="F347" s="97"/>
      <c r="G347" s="97"/>
      <c r="H347" s="99"/>
      <c r="I347" s="59"/>
      <c r="J347" s="59"/>
      <c r="K347" s="59"/>
      <c r="L347" s="59"/>
      <c r="M347" s="118"/>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row>
    <row r="348" ht="14.25" customHeight="1">
      <c r="A348" s="59"/>
      <c r="B348" s="97"/>
      <c r="C348" s="97"/>
      <c r="D348" s="97"/>
      <c r="E348" s="97"/>
      <c r="F348" s="97"/>
      <c r="G348" s="97"/>
      <c r="H348" s="99"/>
      <c r="I348" s="59"/>
      <c r="J348" s="59"/>
      <c r="K348" s="59"/>
      <c r="L348" s="59"/>
      <c r="M348" s="118"/>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row>
    <row r="349" ht="14.25" customHeight="1">
      <c r="A349" s="59"/>
      <c r="B349" s="97"/>
      <c r="C349" s="97"/>
      <c r="D349" s="97"/>
      <c r="E349" s="97"/>
      <c r="F349" s="97"/>
      <c r="G349" s="97"/>
      <c r="H349" s="99"/>
      <c r="I349" s="59"/>
      <c r="J349" s="59"/>
      <c r="K349" s="59"/>
      <c r="L349" s="59"/>
      <c r="M349" s="118"/>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row>
    <row r="350" ht="14.25" customHeight="1">
      <c r="A350" s="59"/>
      <c r="B350" s="97"/>
      <c r="C350" s="97"/>
      <c r="D350" s="97"/>
      <c r="E350" s="97"/>
      <c r="F350" s="97"/>
      <c r="G350" s="97"/>
      <c r="H350" s="99"/>
      <c r="I350" s="59"/>
      <c r="J350" s="59"/>
      <c r="K350" s="59"/>
      <c r="L350" s="59"/>
      <c r="M350" s="118"/>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row>
    <row r="351" ht="14.25" customHeight="1">
      <c r="A351" s="59"/>
      <c r="B351" s="97"/>
      <c r="C351" s="97"/>
      <c r="D351" s="97"/>
      <c r="E351" s="97"/>
      <c r="F351" s="97"/>
      <c r="G351" s="97"/>
      <c r="H351" s="99"/>
      <c r="I351" s="59"/>
      <c r="J351" s="59"/>
      <c r="K351" s="59"/>
      <c r="L351" s="59"/>
      <c r="M351" s="118"/>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row>
    <row r="352" ht="14.25" customHeight="1">
      <c r="A352" s="59"/>
      <c r="B352" s="97"/>
      <c r="C352" s="97"/>
      <c r="D352" s="97"/>
      <c r="E352" s="97"/>
      <c r="F352" s="97"/>
      <c r="G352" s="97"/>
      <c r="H352" s="99"/>
      <c r="I352" s="59"/>
      <c r="J352" s="59"/>
      <c r="K352" s="59"/>
      <c r="L352" s="59"/>
      <c r="M352" s="118"/>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row>
    <row r="353" ht="14.25" customHeight="1">
      <c r="A353" s="59"/>
      <c r="B353" s="97"/>
      <c r="C353" s="97"/>
      <c r="D353" s="97"/>
      <c r="E353" s="97"/>
      <c r="F353" s="97"/>
      <c r="G353" s="97"/>
      <c r="H353" s="99"/>
      <c r="I353" s="59"/>
      <c r="J353" s="59"/>
      <c r="K353" s="59"/>
      <c r="L353" s="59"/>
      <c r="M353" s="118"/>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row>
    <row r="354" ht="14.25" customHeight="1">
      <c r="A354" s="59"/>
      <c r="B354" s="97"/>
      <c r="C354" s="97"/>
      <c r="D354" s="97"/>
      <c r="E354" s="97"/>
      <c r="F354" s="97"/>
      <c r="G354" s="97"/>
      <c r="H354" s="99"/>
      <c r="I354" s="59"/>
      <c r="J354" s="59"/>
      <c r="K354" s="59"/>
      <c r="L354" s="59"/>
      <c r="M354" s="118"/>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row>
    <row r="355" ht="14.25" customHeight="1">
      <c r="A355" s="59"/>
      <c r="B355" s="97"/>
      <c r="C355" s="97"/>
      <c r="D355" s="97"/>
      <c r="E355" s="97"/>
      <c r="F355" s="97"/>
      <c r="G355" s="97"/>
      <c r="H355" s="99"/>
      <c r="I355" s="59"/>
      <c r="J355" s="59"/>
      <c r="K355" s="59"/>
      <c r="L355" s="59"/>
      <c r="M355" s="118"/>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row>
    <row r="356" ht="14.25" customHeight="1">
      <c r="A356" s="59"/>
      <c r="B356" s="97"/>
      <c r="C356" s="97"/>
      <c r="D356" s="97"/>
      <c r="E356" s="97"/>
      <c r="F356" s="97"/>
      <c r="G356" s="97"/>
      <c r="H356" s="99"/>
      <c r="I356" s="59"/>
      <c r="J356" s="59"/>
      <c r="K356" s="59"/>
      <c r="L356" s="59"/>
      <c r="M356" s="118"/>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row>
    <row r="357" ht="14.25" customHeight="1">
      <c r="A357" s="59"/>
      <c r="B357" s="97"/>
      <c r="C357" s="97"/>
      <c r="D357" s="97"/>
      <c r="E357" s="97"/>
      <c r="F357" s="97"/>
      <c r="G357" s="97"/>
      <c r="H357" s="99"/>
      <c r="I357" s="59"/>
      <c r="J357" s="59"/>
      <c r="K357" s="59"/>
      <c r="L357" s="59"/>
      <c r="M357" s="118"/>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row>
    <row r="358" ht="14.25" customHeight="1">
      <c r="A358" s="59"/>
      <c r="B358" s="97"/>
      <c r="C358" s="97"/>
      <c r="D358" s="97"/>
      <c r="E358" s="97"/>
      <c r="F358" s="97"/>
      <c r="G358" s="97"/>
      <c r="H358" s="99"/>
      <c r="I358" s="59"/>
      <c r="J358" s="59"/>
      <c r="K358" s="59"/>
      <c r="L358" s="59"/>
      <c r="M358" s="118"/>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row>
    <row r="359" ht="14.25" customHeight="1">
      <c r="A359" s="59"/>
      <c r="B359" s="97"/>
      <c r="C359" s="97"/>
      <c r="D359" s="97"/>
      <c r="E359" s="97"/>
      <c r="F359" s="97"/>
      <c r="G359" s="97"/>
      <c r="H359" s="99"/>
      <c r="I359" s="59"/>
      <c r="J359" s="59"/>
      <c r="K359" s="59"/>
      <c r="L359" s="59"/>
      <c r="M359" s="118"/>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row>
    <row r="360" ht="14.25" customHeight="1">
      <c r="A360" s="59"/>
      <c r="B360" s="97"/>
      <c r="C360" s="97"/>
      <c r="D360" s="97"/>
      <c r="E360" s="97"/>
      <c r="F360" s="97"/>
      <c r="G360" s="97"/>
      <c r="H360" s="99"/>
      <c r="I360" s="59"/>
      <c r="J360" s="59"/>
      <c r="K360" s="59"/>
      <c r="L360" s="59"/>
      <c r="M360" s="118"/>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row>
    <row r="361" ht="14.25" customHeight="1">
      <c r="A361" s="59"/>
      <c r="B361" s="97"/>
      <c r="C361" s="97"/>
      <c r="D361" s="97"/>
      <c r="E361" s="97"/>
      <c r="F361" s="97"/>
      <c r="G361" s="97"/>
      <c r="H361" s="99"/>
      <c r="I361" s="59"/>
      <c r="J361" s="59"/>
      <c r="K361" s="59"/>
      <c r="L361" s="59"/>
      <c r="M361" s="118"/>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row>
    <row r="362" ht="14.25" customHeight="1">
      <c r="A362" s="59"/>
      <c r="B362" s="97"/>
      <c r="C362" s="97"/>
      <c r="D362" s="97"/>
      <c r="E362" s="97"/>
      <c r="F362" s="97"/>
      <c r="G362" s="97"/>
      <c r="H362" s="99"/>
      <c r="I362" s="59"/>
      <c r="J362" s="59"/>
      <c r="K362" s="59"/>
      <c r="L362" s="59"/>
      <c r="M362" s="118"/>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row>
    <row r="363" ht="14.25" customHeight="1">
      <c r="A363" s="59"/>
      <c r="B363" s="97"/>
      <c r="C363" s="97"/>
      <c r="D363" s="97"/>
      <c r="E363" s="97"/>
      <c r="F363" s="97"/>
      <c r="G363" s="97"/>
      <c r="H363" s="99"/>
      <c r="I363" s="59"/>
      <c r="J363" s="59"/>
      <c r="K363" s="59"/>
      <c r="L363" s="59"/>
      <c r="M363" s="118"/>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row>
    <row r="364" ht="14.25" customHeight="1">
      <c r="A364" s="59"/>
      <c r="B364" s="97"/>
      <c r="C364" s="97"/>
      <c r="D364" s="97"/>
      <c r="E364" s="97"/>
      <c r="F364" s="97"/>
      <c r="G364" s="97"/>
      <c r="H364" s="99"/>
      <c r="I364" s="59"/>
      <c r="J364" s="59"/>
      <c r="K364" s="59"/>
      <c r="L364" s="59"/>
      <c r="M364" s="118"/>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row>
    <row r="365" ht="14.25" customHeight="1">
      <c r="A365" s="59"/>
      <c r="B365" s="97"/>
      <c r="C365" s="97"/>
      <c r="D365" s="97"/>
      <c r="E365" s="97"/>
      <c r="F365" s="97"/>
      <c r="G365" s="97"/>
      <c r="H365" s="99"/>
      <c r="I365" s="59"/>
      <c r="J365" s="59"/>
      <c r="K365" s="59"/>
      <c r="L365" s="59"/>
      <c r="M365" s="118"/>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row>
    <row r="366" ht="14.25" customHeight="1">
      <c r="A366" s="59"/>
      <c r="B366" s="97"/>
      <c r="C366" s="97"/>
      <c r="D366" s="97"/>
      <c r="E366" s="97"/>
      <c r="F366" s="97"/>
      <c r="G366" s="97"/>
      <c r="H366" s="99"/>
      <c r="I366" s="59"/>
      <c r="J366" s="59"/>
      <c r="K366" s="59"/>
      <c r="L366" s="59"/>
      <c r="M366" s="118"/>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row>
    <row r="367" ht="14.25" customHeight="1">
      <c r="A367" s="59"/>
      <c r="B367" s="97"/>
      <c r="C367" s="97"/>
      <c r="D367" s="97"/>
      <c r="E367" s="97"/>
      <c r="F367" s="97"/>
      <c r="G367" s="97"/>
      <c r="H367" s="99"/>
      <c r="I367" s="59"/>
      <c r="J367" s="59"/>
      <c r="K367" s="59"/>
      <c r="L367" s="59"/>
      <c r="M367" s="118"/>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row>
    <row r="368" ht="14.25" customHeight="1">
      <c r="A368" s="59"/>
      <c r="B368" s="97"/>
      <c r="C368" s="97"/>
      <c r="D368" s="97"/>
      <c r="E368" s="97"/>
      <c r="F368" s="97"/>
      <c r="G368" s="97"/>
      <c r="H368" s="99"/>
      <c r="I368" s="59"/>
      <c r="J368" s="59"/>
      <c r="K368" s="59"/>
      <c r="L368" s="59"/>
      <c r="M368" s="118"/>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row>
    <row r="369" ht="14.25" customHeight="1">
      <c r="A369" s="59"/>
      <c r="B369" s="97"/>
      <c r="C369" s="97"/>
      <c r="D369" s="97"/>
      <c r="E369" s="97"/>
      <c r="F369" s="97"/>
      <c r="G369" s="97"/>
      <c r="H369" s="99"/>
      <c r="I369" s="59"/>
      <c r="J369" s="59"/>
      <c r="K369" s="59"/>
      <c r="L369" s="59"/>
      <c r="M369" s="118"/>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row>
    <row r="370" ht="14.25" customHeight="1">
      <c r="A370" s="59"/>
      <c r="B370" s="97"/>
      <c r="C370" s="97"/>
      <c r="D370" s="97"/>
      <c r="E370" s="97"/>
      <c r="F370" s="97"/>
      <c r="G370" s="97"/>
      <c r="H370" s="99"/>
      <c r="I370" s="59"/>
      <c r="J370" s="59"/>
      <c r="K370" s="59"/>
      <c r="L370" s="59"/>
      <c r="M370" s="118"/>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row>
    <row r="371" ht="14.25" customHeight="1">
      <c r="A371" s="59"/>
      <c r="B371" s="97"/>
      <c r="C371" s="97"/>
      <c r="D371" s="97"/>
      <c r="E371" s="97"/>
      <c r="F371" s="97"/>
      <c r="G371" s="97"/>
      <c r="H371" s="99"/>
      <c r="I371" s="59"/>
      <c r="J371" s="59"/>
      <c r="K371" s="59"/>
      <c r="L371" s="59"/>
      <c r="M371" s="118"/>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row>
    <row r="372" ht="14.25" customHeight="1">
      <c r="A372" s="59"/>
      <c r="B372" s="97"/>
      <c r="C372" s="97"/>
      <c r="D372" s="97"/>
      <c r="E372" s="97"/>
      <c r="F372" s="97"/>
      <c r="G372" s="97"/>
      <c r="H372" s="99"/>
      <c r="I372" s="59"/>
      <c r="J372" s="59"/>
      <c r="K372" s="59"/>
      <c r="L372" s="59"/>
      <c r="M372" s="118"/>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row>
    <row r="373" ht="14.25" customHeight="1">
      <c r="A373" s="59"/>
      <c r="B373" s="97"/>
      <c r="C373" s="97"/>
      <c r="D373" s="97"/>
      <c r="E373" s="97"/>
      <c r="F373" s="97"/>
      <c r="G373" s="97"/>
      <c r="H373" s="99"/>
      <c r="I373" s="59"/>
      <c r="J373" s="59"/>
      <c r="K373" s="59"/>
      <c r="L373" s="59"/>
      <c r="M373" s="118"/>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row>
    <row r="374" ht="14.25" customHeight="1">
      <c r="A374" s="59"/>
      <c r="B374" s="97"/>
      <c r="C374" s="97"/>
      <c r="D374" s="97"/>
      <c r="E374" s="97"/>
      <c r="F374" s="97"/>
      <c r="G374" s="97"/>
      <c r="H374" s="99"/>
      <c r="I374" s="59"/>
      <c r="J374" s="59"/>
      <c r="K374" s="59"/>
      <c r="L374" s="59"/>
      <c r="M374" s="118"/>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row>
    <row r="375" ht="14.25" customHeight="1">
      <c r="A375" s="59"/>
      <c r="B375" s="97"/>
      <c r="C375" s="97"/>
      <c r="D375" s="97"/>
      <c r="E375" s="97"/>
      <c r="F375" s="97"/>
      <c r="G375" s="97"/>
      <c r="H375" s="99"/>
      <c r="I375" s="59"/>
      <c r="J375" s="59"/>
      <c r="K375" s="59"/>
      <c r="L375" s="59"/>
      <c r="M375" s="118"/>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row>
    <row r="376" ht="14.25" customHeight="1">
      <c r="A376" s="59"/>
      <c r="B376" s="97"/>
      <c r="C376" s="97"/>
      <c r="D376" s="97"/>
      <c r="E376" s="97"/>
      <c r="F376" s="97"/>
      <c r="G376" s="97"/>
      <c r="H376" s="99"/>
      <c r="I376" s="59"/>
      <c r="J376" s="59"/>
      <c r="K376" s="59"/>
      <c r="L376" s="59"/>
      <c r="M376" s="118"/>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row>
    <row r="377" ht="14.25" customHeight="1">
      <c r="A377" s="59"/>
      <c r="B377" s="97"/>
      <c r="C377" s="97"/>
      <c r="D377" s="97"/>
      <c r="E377" s="97"/>
      <c r="F377" s="97"/>
      <c r="G377" s="97"/>
      <c r="H377" s="99"/>
      <c r="I377" s="59"/>
      <c r="J377" s="59"/>
      <c r="K377" s="59"/>
      <c r="L377" s="59"/>
      <c r="M377" s="118"/>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row>
    <row r="378" ht="14.25" customHeight="1">
      <c r="A378" s="59"/>
      <c r="B378" s="97"/>
      <c r="C378" s="97"/>
      <c r="D378" s="97"/>
      <c r="E378" s="97"/>
      <c r="F378" s="97"/>
      <c r="G378" s="97"/>
      <c r="H378" s="99"/>
      <c r="I378" s="59"/>
      <c r="J378" s="59"/>
      <c r="K378" s="59"/>
      <c r="L378" s="59"/>
      <c r="M378" s="118"/>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row>
    <row r="379" ht="14.25" customHeight="1">
      <c r="A379" s="59"/>
      <c r="B379" s="97"/>
      <c r="C379" s="97"/>
      <c r="D379" s="97"/>
      <c r="E379" s="97"/>
      <c r="F379" s="97"/>
      <c r="G379" s="97"/>
      <c r="H379" s="99"/>
      <c r="I379" s="59"/>
      <c r="J379" s="59"/>
      <c r="K379" s="59"/>
      <c r="L379" s="59"/>
      <c r="M379" s="118"/>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row>
    <row r="380" ht="14.25" customHeight="1">
      <c r="A380" s="59"/>
      <c r="B380" s="97"/>
      <c r="C380" s="97"/>
      <c r="D380" s="97"/>
      <c r="E380" s="97"/>
      <c r="F380" s="97"/>
      <c r="G380" s="97"/>
      <c r="H380" s="99"/>
      <c r="I380" s="59"/>
      <c r="J380" s="59"/>
      <c r="K380" s="59"/>
      <c r="L380" s="59"/>
      <c r="M380" s="118"/>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row>
    <row r="381" ht="14.25" customHeight="1">
      <c r="A381" s="59"/>
      <c r="B381" s="97"/>
      <c r="C381" s="97"/>
      <c r="D381" s="97"/>
      <c r="E381" s="97"/>
      <c r="F381" s="97"/>
      <c r="G381" s="97"/>
      <c r="H381" s="99"/>
      <c r="I381" s="59"/>
      <c r="J381" s="59"/>
      <c r="K381" s="59"/>
      <c r="L381" s="59"/>
      <c r="M381" s="118"/>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row>
    <row r="382" ht="14.25" customHeight="1">
      <c r="A382" s="59"/>
      <c r="B382" s="97"/>
      <c r="C382" s="97"/>
      <c r="D382" s="97"/>
      <c r="E382" s="97"/>
      <c r="F382" s="97"/>
      <c r="G382" s="97"/>
      <c r="H382" s="99"/>
      <c r="I382" s="59"/>
      <c r="J382" s="59"/>
      <c r="K382" s="59"/>
      <c r="L382" s="59"/>
      <c r="M382" s="118"/>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row>
    <row r="383" ht="14.25" customHeight="1">
      <c r="A383" s="59"/>
      <c r="B383" s="97"/>
      <c r="C383" s="97"/>
      <c r="D383" s="97"/>
      <c r="E383" s="97"/>
      <c r="F383" s="97"/>
      <c r="G383" s="97"/>
      <c r="H383" s="99"/>
      <c r="I383" s="59"/>
      <c r="J383" s="59"/>
      <c r="K383" s="59"/>
      <c r="L383" s="59"/>
      <c r="M383" s="118"/>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row>
    <row r="384" ht="14.25" customHeight="1">
      <c r="A384" s="59"/>
      <c r="B384" s="97"/>
      <c r="C384" s="97"/>
      <c r="D384" s="97"/>
      <c r="E384" s="97"/>
      <c r="F384" s="97"/>
      <c r="G384" s="97"/>
      <c r="H384" s="99"/>
      <c r="I384" s="59"/>
      <c r="J384" s="59"/>
      <c r="K384" s="59"/>
      <c r="L384" s="59"/>
      <c r="M384" s="118"/>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row>
    <row r="385" ht="14.25" customHeight="1">
      <c r="A385" s="59"/>
      <c r="B385" s="97"/>
      <c r="C385" s="97"/>
      <c r="D385" s="97"/>
      <c r="E385" s="97"/>
      <c r="F385" s="97"/>
      <c r="G385" s="97"/>
      <c r="H385" s="99"/>
      <c r="I385" s="59"/>
      <c r="J385" s="59"/>
      <c r="K385" s="59"/>
      <c r="L385" s="59"/>
      <c r="M385" s="118"/>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row>
    <row r="386" ht="14.25" customHeight="1">
      <c r="A386" s="59"/>
      <c r="B386" s="97"/>
      <c r="C386" s="97"/>
      <c r="D386" s="97"/>
      <c r="E386" s="97"/>
      <c r="F386" s="97"/>
      <c r="G386" s="97"/>
      <c r="H386" s="99"/>
      <c r="I386" s="59"/>
      <c r="J386" s="59"/>
      <c r="K386" s="59"/>
      <c r="L386" s="59"/>
      <c r="M386" s="118"/>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row>
    <row r="387" ht="14.25" customHeight="1">
      <c r="A387" s="59"/>
      <c r="B387" s="97"/>
      <c r="C387" s="97"/>
      <c r="D387" s="97"/>
      <c r="E387" s="97"/>
      <c r="F387" s="97"/>
      <c r="G387" s="97"/>
      <c r="H387" s="99"/>
      <c r="I387" s="59"/>
      <c r="J387" s="59"/>
      <c r="K387" s="59"/>
      <c r="L387" s="59"/>
      <c r="M387" s="118"/>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row>
    <row r="388" ht="14.25" customHeight="1">
      <c r="A388" s="59"/>
      <c r="B388" s="97"/>
      <c r="C388" s="97"/>
      <c r="D388" s="97"/>
      <c r="E388" s="97"/>
      <c r="F388" s="97"/>
      <c r="G388" s="97"/>
      <c r="H388" s="99"/>
      <c r="I388" s="59"/>
      <c r="J388" s="59"/>
      <c r="K388" s="59"/>
      <c r="L388" s="59"/>
      <c r="M388" s="118"/>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row>
    <row r="389" ht="14.25" customHeight="1">
      <c r="A389" s="59"/>
      <c r="B389" s="97"/>
      <c r="C389" s="97"/>
      <c r="D389" s="97"/>
      <c r="E389" s="97"/>
      <c r="F389" s="97"/>
      <c r="G389" s="97"/>
      <c r="H389" s="99"/>
      <c r="I389" s="59"/>
      <c r="J389" s="59"/>
      <c r="K389" s="59"/>
      <c r="L389" s="59"/>
      <c r="M389" s="118"/>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row>
    <row r="390" ht="14.25" customHeight="1">
      <c r="A390" s="59"/>
      <c r="B390" s="97"/>
      <c r="C390" s="97"/>
      <c r="D390" s="97"/>
      <c r="E390" s="97"/>
      <c r="F390" s="97"/>
      <c r="G390" s="97"/>
      <c r="H390" s="99"/>
      <c r="I390" s="59"/>
      <c r="J390" s="59"/>
      <c r="K390" s="59"/>
      <c r="L390" s="59"/>
      <c r="M390" s="118"/>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row>
    <row r="391" ht="14.25" customHeight="1">
      <c r="A391" s="59"/>
      <c r="B391" s="97"/>
      <c r="C391" s="97"/>
      <c r="D391" s="97"/>
      <c r="E391" s="97"/>
      <c r="F391" s="97"/>
      <c r="G391" s="97"/>
      <c r="H391" s="99"/>
      <c r="I391" s="59"/>
      <c r="J391" s="59"/>
      <c r="K391" s="59"/>
      <c r="L391" s="59"/>
      <c r="M391" s="118"/>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row>
    <row r="392" ht="14.25" customHeight="1">
      <c r="A392" s="59"/>
      <c r="B392" s="97"/>
      <c r="C392" s="97"/>
      <c r="D392" s="97"/>
      <c r="E392" s="97"/>
      <c r="F392" s="97"/>
      <c r="G392" s="97"/>
      <c r="H392" s="99"/>
      <c r="I392" s="59"/>
      <c r="J392" s="59"/>
      <c r="K392" s="59"/>
      <c r="L392" s="59"/>
      <c r="M392" s="118"/>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row>
    <row r="393" ht="14.25" customHeight="1">
      <c r="A393" s="59"/>
      <c r="B393" s="97"/>
      <c r="C393" s="97"/>
      <c r="D393" s="97"/>
      <c r="E393" s="97"/>
      <c r="F393" s="97"/>
      <c r="G393" s="97"/>
      <c r="H393" s="99"/>
      <c r="I393" s="59"/>
      <c r="J393" s="59"/>
      <c r="K393" s="59"/>
      <c r="L393" s="59"/>
      <c r="M393" s="118"/>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row>
    <row r="394" ht="14.25" customHeight="1">
      <c r="A394" s="59"/>
      <c r="B394" s="97"/>
      <c r="C394" s="97"/>
      <c r="D394" s="97"/>
      <c r="E394" s="97"/>
      <c r="F394" s="97"/>
      <c r="G394" s="97"/>
      <c r="H394" s="99"/>
      <c r="I394" s="59"/>
      <c r="J394" s="59"/>
      <c r="K394" s="59"/>
      <c r="L394" s="59"/>
      <c r="M394" s="118"/>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row>
    <row r="395" ht="14.25" customHeight="1">
      <c r="A395" s="59"/>
      <c r="B395" s="97"/>
      <c r="C395" s="97"/>
      <c r="D395" s="97"/>
      <c r="E395" s="97"/>
      <c r="F395" s="97"/>
      <c r="G395" s="97"/>
      <c r="H395" s="99"/>
      <c r="I395" s="59"/>
      <c r="J395" s="59"/>
      <c r="K395" s="59"/>
      <c r="L395" s="59"/>
      <c r="M395" s="118"/>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row>
    <row r="396" ht="14.25" customHeight="1">
      <c r="A396" s="59"/>
      <c r="B396" s="97"/>
      <c r="C396" s="97"/>
      <c r="D396" s="97"/>
      <c r="E396" s="97"/>
      <c r="F396" s="97"/>
      <c r="G396" s="97"/>
      <c r="H396" s="99"/>
      <c r="I396" s="59"/>
      <c r="J396" s="59"/>
      <c r="K396" s="59"/>
      <c r="L396" s="59"/>
      <c r="M396" s="118"/>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row>
    <row r="397" ht="14.25" customHeight="1">
      <c r="A397" s="59"/>
      <c r="B397" s="97"/>
      <c r="C397" s="97"/>
      <c r="D397" s="97"/>
      <c r="E397" s="97"/>
      <c r="F397" s="97"/>
      <c r="G397" s="97"/>
      <c r="H397" s="99"/>
      <c r="I397" s="59"/>
      <c r="J397" s="59"/>
      <c r="K397" s="59"/>
      <c r="L397" s="59"/>
      <c r="M397" s="118"/>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row>
    <row r="398" ht="14.25" customHeight="1">
      <c r="A398" s="59"/>
      <c r="B398" s="97"/>
      <c r="C398" s="97"/>
      <c r="D398" s="97"/>
      <c r="E398" s="97"/>
      <c r="F398" s="97"/>
      <c r="G398" s="97"/>
      <c r="H398" s="99"/>
      <c r="I398" s="59"/>
      <c r="J398" s="59"/>
      <c r="K398" s="59"/>
      <c r="L398" s="59"/>
      <c r="M398" s="118"/>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row>
    <row r="399" ht="14.25" customHeight="1">
      <c r="A399" s="59"/>
      <c r="B399" s="97"/>
      <c r="C399" s="97"/>
      <c r="D399" s="97"/>
      <c r="E399" s="97"/>
      <c r="F399" s="97"/>
      <c r="G399" s="97"/>
      <c r="H399" s="99"/>
      <c r="I399" s="59"/>
      <c r="J399" s="59"/>
      <c r="K399" s="59"/>
      <c r="L399" s="59"/>
      <c r="M399" s="118"/>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row>
    <row r="400" ht="14.25" customHeight="1">
      <c r="A400" s="59"/>
      <c r="B400" s="97"/>
      <c r="C400" s="97"/>
      <c r="D400" s="97"/>
      <c r="E400" s="97"/>
      <c r="F400" s="97"/>
      <c r="G400" s="97"/>
      <c r="H400" s="99"/>
      <c r="I400" s="59"/>
      <c r="J400" s="59"/>
      <c r="K400" s="59"/>
      <c r="L400" s="59"/>
      <c r="M400" s="118"/>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row>
    <row r="401" ht="14.25" customHeight="1">
      <c r="A401" s="59"/>
      <c r="B401" s="97"/>
      <c r="C401" s="97"/>
      <c r="D401" s="97"/>
      <c r="E401" s="97"/>
      <c r="F401" s="97"/>
      <c r="G401" s="97"/>
      <c r="H401" s="99"/>
      <c r="I401" s="59"/>
      <c r="J401" s="59"/>
      <c r="K401" s="59"/>
      <c r="L401" s="59"/>
      <c r="M401" s="118"/>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row>
    <row r="402" ht="14.25" customHeight="1">
      <c r="A402" s="59"/>
      <c r="B402" s="97"/>
      <c r="C402" s="97"/>
      <c r="D402" s="97"/>
      <c r="E402" s="97"/>
      <c r="F402" s="97"/>
      <c r="G402" s="97"/>
      <c r="H402" s="99"/>
      <c r="I402" s="59"/>
      <c r="J402" s="59"/>
      <c r="K402" s="59"/>
      <c r="L402" s="59"/>
      <c r="M402" s="118"/>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row>
    <row r="403" ht="14.25" customHeight="1">
      <c r="A403" s="59"/>
      <c r="B403" s="97"/>
      <c r="C403" s="97"/>
      <c r="D403" s="97"/>
      <c r="E403" s="97"/>
      <c r="F403" s="97"/>
      <c r="G403" s="97"/>
      <c r="H403" s="99"/>
      <c r="I403" s="59"/>
      <c r="J403" s="59"/>
      <c r="K403" s="59"/>
      <c r="L403" s="59"/>
      <c r="M403" s="118"/>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row>
    <row r="404" ht="14.25" customHeight="1">
      <c r="A404" s="59"/>
      <c r="B404" s="97"/>
      <c r="C404" s="97"/>
      <c r="D404" s="97"/>
      <c r="E404" s="97"/>
      <c r="F404" s="97"/>
      <c r="G404" s="97"/>
      <c r="H404" s="99"/>
      <c r="I404" s="59"/>
      <c r="J404" s="59"/>
      <c r="K404" s="59"/>
      <c r="L404" s="59"/>
      <c r="M404" s="118"/>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row>
    <row r="405" ht="14.25" customHeight="1">
      <c r="A405" s="59"/>
      <c r="B405" s="97"/>
      <c r="C405" s="97"/>
      <c r="D405" s="97"/>
      <c r="E405" s="97"/>
      <c r="F405" s="97"/>
      <c r="G405" s="97"/>
      <c r="H405" s="99"/>
      <c r="I405" s="59"/>
      <c r="J405" s="59"/>
      <c r="K405" s="59"/>
      <c r="L405" s="59"/>
      <c r="M405" s="118"/>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row>
    <row r="406" ht="14.25" customHeight="1">
      <c r="A406" s="59"/>
      <c r="B406" s="97"/>
      <c r="C406" s="97"/>
      <c r="D406" s="97"/>
      <c r="E406" s="97"/>
      <c r="F406" s="97"/>
      <c r="G406" s="97"/>
      <c r="H406" s="99"/>
      <c r="I406" s="59"/>
      <c r="J406" s="59"/>
      <c r="K406" s="59"/>
      <c r="L406" s="59"/>
      <c r="M406" s="118"/>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row>
    <row r="407" ht="14.25" customHeight="1">
      <c r="A407" s="59"/>
      <c r="B407" s="97"/>
      <c r="C407" s="97"/>
      <c r="D407" s="97"/>
      <c r="E407" s="97"/>
      <c r="F407" s="97"/>
      <c r="G407" s="97"/>
      <c r="H407" s="99"/>
      <c r="I407" s="59"/>
      <c r="J407" s="59"/>
      <c r="K407" s="59"/>
      <c r="L407" s="59"/>
      <c r="M407" s="118"/>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row>
    <row r="408" ht="14.25" customHeight="1">
      <c r="A408" s="59"/>
      <c r="B408" s="97"/>
      <c r="C408" s="97"/>
      <c r="D408" s="97"/>
      <c r="E408" s="97"/>
      <c r="F408" s="97"/>
      <c r="G408" s="97"/>
      <c r="H408" s="99"/>
      <c r="I408" s="59"/>
      <c r="J408" s="59"/>
      <c r="K408" s="59"/>
      <c r="L408" s="59"/>
      <c r="M408" s="118"/>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row>
    <row r="409" ht="14.25" customHeight="1">
      <c r="A409" s="59"/>
      <c r="B409" s="97"/>
      <c r="C409" s="97"/>
      <c r="D409" s="97"/>
      <c r="E409" s="97"/>
      <c r="F409" s="97"/>
      <c r="G409" s="97"/>
      <c r="H409" s="99"/>
      <c r="I409" s="59"/>
      <c r="J409" s="59"/>
      <c r="K409" s="59"/>
      <c r="L409" s="59"/>
      <c r="M409" s="118"/>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row>
    <row r="410" ht="14.25" customHeight="1">
      <c r="A410" s="59"/>
      <c r="B410" s="97"/>
      <c r="C410" s="97"/>
      <c r="D410" s="97"/>
      <c r="E410" s="97"/>
      <c r="F410" s="97"/>
      <c r="G410" s="97"/>
      <c r="H410" s="99"/>
      <c r="I410" s="59"/>
      <c r="J410" s="59"/>
      <c r="K410" s="59"/>
      <c r="L410" s="59"/>
      <c r="M410" s="118"/>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row>
    <row r="411" ht="14.25" customHeight="1">
      <c r="A411" s="59"/>
      <c r="B411" s="97"/>
      <c r="C411" s="97"/>
      <c r="D411" s="97"/>
      <c r="E411" s="97"/>
      <c r="F411" s="97"/>
      <c r="G411" s="97"/>
      <c r="H411" s="99"/>
      <c r="I411" s="59"/>
      <c r="J411" s="59"/>
      <c r="K411" s="59"/>
      <c r="L411" s="59"/>
      <c r="M411" s="118"/>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row>
    <row r="412" ht="14.25" customHeight="1">
      <c r="A412" s="59"/>
      <c r="B412" s="97"/>
      <c r="C412" s="97"/>
      <c r="D412" s="97"/>
      <c r="E412" s="97"/>
      <c r="F412" s="97"/>
      <c r="G412" s="97"/>
      <c r="H412" s="99"/>
      <c r="I412" s="59"/>
      <c r="J412" s="59"/>
      <c r="K412" s="59"/>
      <c r="L412" s="59"/>
      <c r="M412" s="118"/>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row>
    <row r="413" ht="14.25" customHeight="1">
      <c r="A413" s="59"/>
      <c r="B413" s="97"/>
      <c r="C413" s="97"/>
      <c r="D413" s="97"/>
      <c r="E413" s="97"/>
      <c r="F413" s="97"/>
      <c r="G413" s="97"/>
      <c r="H413" s="99"/>
      <c r="I413" s="59"/>
      <c r="J413" s="59"/>
      <c r="K413" s="59"/>
      <c r="L413" s="59"/>
      <c r="M413" s="118"/>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row>
    <row r="414" ht="14.25" customHeight="1">
      <c r="A414" s="59"/>
      <c r="B414" s="97"/>
      <c r="C414" s="97"/>
      <c r="D414" s="97"/>
      <c r="E414" s="97"/>
      <c r="F414" s="97"/>
      <c r="G414" s="97"/>
      <c r="H414" s="99"/>
      <c r="I414" s="59"/>
      <c r="J414" s="59"/>
      <c r="K414" s="59"/>
      <c r="L414" s="59"/>
      <c r="M414" s="118"/>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row>
    <row r="415" ht="14.25" customHeight="1">
      <c r="A415" s="59"/>
      <c r="B415" s="97"/>
      <c r="C415" s="97"/>
      <c r="D415" s="97"/>
      <c r="E415" s="97"/>
      <c r="F415" s="97"/>
      <c r="G415" s="97"/>
      <c r="H415" s="99"/>
      <c r="I415" s="59"/>
      <c r="J415" s="59"/>
      <c r="K415" s="59"/>
      <c r="L415" s="59"/>
      <c r="M415" s="118"/>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row>
    <row r="416" ht="14.25" customHeight="1">
      <c r="A416" s="59"/>
      <c r="B416" s="97"/>
      <c r="C416" s="97"/>
      <c r="D416" s="97"/>
      <c r="E416" s="97"/>
      <c r="F416" s="97"/>
      <c r="G416" s="97"/>
      <c r="H416" s="99"/>
      <c r="I416" s="59"/>
      <c r="J416" s="59"/>
      <c r="K416" s="59"/>
      <c r="L416" s="59"/>
      <c r="M416" s="118"/>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row>
    <row r="417" ht="14.25" customHeight="1">
      <c r="A417" s="59"/>
      <c r="B417" s="97"/>
      <c r="C417" s="97"/>
      <c r="D417" s="97"/>
      <c r="E417" s="97"/>
      <c r="F417" s="97"/>
      <c r="G417" s="97"/>
      <c r="H417" s="99"/>
      <c r="I417" s="59"/>
      <c r="J417" s="59"/>
      <c r="K417" s="59"/>
      <c r="L417" s="59"/>
      <c r="M417" s="118"/>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row>
    <row r="418" ht="14.25" customHeight="1">
      <c r="A418" s="59"/>
      <c r="B418" s="97"/>
      <c r="C418" s="97"/>
      <c r="D418" s="97"/>
      <c r="E418" s="97"/>
      <c r="F418" s="97"/>
      <c r="G418" s="97"/>
      <c r="H418" s="99"/>
      <c r="I418" s="59"/>
      <c r="J418" s="59"/>
      <c r="K418" s="59"/>
      <c r="L418" s="59"/>
      <c r="M418" s="118"/>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row>
    <row r="419" ht="14.25" customHeight="1">
      <c r="A419" s="59"/>
      <c r="B419" s="97"/>
      <c r="C419" s="97"/>
      <c r="D419" s="97"/>
      <c r="E419" s="97"/>
      <c r="F419" s="97"/>
      <c r="G419" s="97"/>
      <c r="H419" s="99"/>
      <c r="I419" s="59"/>
      <c r="J419" s="59"/>
      <c r="K419" s="59"/>
      <c r="L419" s="59"/>
      <c r="M419" s="118"/>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row>
    <row r="420" ht="14.25" customHeight="1">
      <c r="A420" s="59"/>
      <c r="B420" s="97"/>
      <c r="C420" s="97"/>
      <c r="D420" s="97"/>
      <c r="E420" s="97"/>
      <c r="F420" s="97"/>
      <c r="G420" s="97"/>
      <c r="H420" s="99"/>
      <c r="I420" s="59"/>
      <c r="J420" s="59"/>
      <c r="K420" s="59"/>
      <c r="L420" s="59"/>
      <c r="M420" s="118"/>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row>
    <row r="421" ht="14.25" customHeight="1">
      <c r="A421" s="59"/>
      <c r="B421" s="97"/>
      <c r="C421" s="97"/>
      <c r="D421" s="97"/>
      <c r="E421" s="97"/>
      <c r="F421" s="97"/>
      <c r="G421" s="97"/>
      <c r="H421" s="99"/>
      <c r="I421" s="59"/>
      <c r="J421" s="59"/>
      <c r="K421" s="59"/>
      <c r="L421" s="59"/>
      <c r="M421" s="118"/>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row>
    <row r="422" ht="14.25" customHeight="1">
      <c r="A422" s="59"/>
      <c r="B422" s="97"/>
      <c r="C422" s="97"/>
      <c r="D422" s="97"/>
      <c r="E422" s="97"/>
      <c r="F422" s="97"/>
      <c r="G422" s="97"/>
      <c r="H422" s="99"/>
      <c r="I422" s="59"/>
      <c r="J422" s="59"/>
      <c r="K422" s="59"/>
      <c r="L422" s="59"/>
      <c r="M422" s="118"/>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row>
    <row r="423" ht="14.25" customHeight="1">
      <c r="A423" s="59"/>
      <c r="B423" s="97"/>
      <c r="C423" s="97"/>
      <c r="D423" s="97"/>
      <c r="E423" s="97"/>
      <c r="F423" s="97"/>
      <c r="G423" s="97"/>
      <c r="H423" s="99"/>
      <c r="I423" s="59"/>
      <c r="J423" s="59"/>
      <c r="K423" s="59"/>
      <c r="L423" s="59"/>
      <c r="M423" s="118"/>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row>
    <row r="424" ht="14.25" customHeight="1">
      <c r="A424" s="59"/>
      <c r="B424" s="97"/>
      <c r="C424" s="97"/>
      <c r="D424" s="97"/>
      <c r="E424" s="97"/>
      <c r="F424" s="97"/>
      <c r="G424" s="97"/>
      <c r="H424" s="99"/>
      <c r="I424" s="59"/>
      <c r="J424" s="59"/>
      <c r="K424" s="59"/>
      <c r="L424" s="59"/>
      <c r="M424" s="118"/>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row>
    <row r="425" ht="14.25" customHeight="1">
      <c r="A425" s="59"/>
      <c r="B425" s="97"/>
      <c r="C425" s="97"/>
      <c r="D425" s="97"/>
      <c r="E425" s="97"/>
      <c r="F425" s="97"/>
      <c r="G425" s="97"/>
      <c r="H425" s="99"/>
      <c r="I425" s="59"/>
      <c r="J425" s="59"/>
      <c r="K425" s="59"/>
      <c r="L425" s="59"/>
      <c r="M425" s="118"/>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row>
    <row r="426" ht="14.25" customHeight="1">
      <c r="A426" s="59"/>
      <c r="B426" s="97"/>
      <c r="C426" s="97"/>
      <c r="D426" s="97"/>
      <c r="E426" s="97"/>
      <c r="F426" s="97"/>
      <c r="G426" s="97"/>
      <c r="H426" s="99"/>
      <c r="I426" s="59"/>
      <c r="J426" s="59"/>
      <c r="K426" s="59"/>
      <c r="L426" s="59"/>
      <c r="M426" s="118"/>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row>
    <row r="427" ht="14.25" customHeight="1">
      <c r="A427" s="59"/>
      <c r="B427" s="97"/>
      <c r="C427" s="97"/>
      <c r="D427" s="97"/>
      <c r="E427" s="97"/>
      <c r="F427" s="97"/>
      <c r="G427" s="97"/>
      <c r="H427" s="99"/>
      <c r="I427" s="59"/>
      <c r="J427" s="59"/>
      <c r="K427" s="59"/>
      <c r="L427" s="59"/>
      <c r="M427" s="118"/>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row>
    <row r="428" ht="14.25" customHeight="1">
      <c r="A428" s="59"/>
      <c r="B428" s="97"/>
      <c r="C428" s="97"/>
      <c r="D428" s="97"/>
      <c r="E428" s="97"/>
      <c r="F428" s="97"/>
      <c r="G428" s="97"/>
      <c r="H428" s="99"/>
      <c r="I428" s="59"/>
      <c r="J428" s="59"/>
      <c r="K428" s="59"/>
      <c r="L428" s="59"/>
      <c r="M428" s="118"/>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row>
    <row r="429" ht="14.25" customHeight="1">
      <c r="A429" s="59"/>
      <c r="B429" s="97"/>
      <c r="C429" s="97"/>
      <c r="D429" s="97"/>
      <c r="E429" s="97"/>
      <c r="F429" s="97"/>
      <c r="G429" s="97"/>
      <c r="H429" s="99"/>
      <c r="I429" s="59"/>
      <c r="J429" s="59"/>
      <c r="K429" s="59"/>
      <c r="L429" s="59"/>
      <c r="M429" s="118"/>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row>
    <row r="430" ht="14.25" customHeight="1">
      <c r="A430" s="59"/>
      <c r="B430" s="97"/>
      <c r="C430" s="97"/>
      <c r="D430" s="97"/>
      <c r="E430" s="97"/>
      <c r="F430" s="97"/>
      <c r="G430" s="97"/>
      <c r="H430" s="99"/>
      <c r="I430" s="59"/>
      <c r="J430" s="59"/>
      <c r="K430" s="59"/>
      <c r="L430" s="59"/>
      <c r="M430" s="118"/>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row>
    <row r="431" ht="14.25" customHeight="1">
      <c r="A431" s="59"/>
      <c r="B431" s="97"/>
      <c r="C431" s="97"/>
      <c r="D431" s="97"/>
      <c r="E431" s="97"/>
      <c r="F431" s="97"/>
      <c r="G431" s="97"/>
      <c r="H431" s="99"/>
      <c r="I431" s="59"/>
      <c r="J431" s="59"/>
      <c r="K431" s="59"/>
      <c r="L431" s="59"/>
      <c r="M431" s="118"/>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row>
    <row r="432" ht="14.25" customHeight="1">
      <c r="A432" s="59"/>
      <c r="B432" s="97"/>
      <c r="C432" s="97"/>
      <c r="D432" s="97"/>
      <c r="E432" s="97"/>
      <c r="F432" s="97"/>
      <c r="G432" s="97"/>
      <c r="H432" s="99"/>
      <c r="I432" s="59"/>
      <c r="J432" s="59"/>
      <c r="K432" s="59"/>
      <c r="L432" s="59"/>
      <c r="M432" s="118"/>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row>
    <row r="433" ht="14.25" customHeight="1">
      <c r="A433" s="59"/>
      <c r="B433" s="97"/>
      <c r="C433" s="97"/>
      <c r="D433" s="97"/>
      <c r="E433" s="97"/>
      <c r="F433" s="97"/>
      <c r="G433" s="97"/>
      <c r="H433" s="99"/>
      <c r="I433" s="59"/>
      <c r="J433" s="59"/>
      <c r="K433" s="59"/>
      <c r="L433" s="59"/>
      <c r="M433" s="118"/>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row>
    <row r="434" ht="14.25" customHeight="1">
      <c r="A434" s="59"/>
      <c r="B434" s="97"/>
      <c r="C434" s="97"/>
      <c r="D434" s="97"/>
      <c r="E434" s="97"/>
      <c r="F434" s="97"/>
      <c r="G434" s="97"/>
      <c r="H434" s="99"/>
      <c r="I434" s="59"/>
      <c r="J434" s="59"/>
      <c r="K434" s="59"/>
      <c r="L434" s="59"/>
      <c r="M434" s="118"/>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row>
    <row r="435" ht="14.25" customHeight="1">
      <c r="A435" s="59"/>
      <c r="B435" s="97"/>
      <c r="C435" s="97"/>
      <c r="D435" s="97"/>
      <c r="E435" s="97"/>
      <c r="F435" s="97"/>
      <c r="G435" s="97"/>
      <c r="H435" s="99"/>
      <c r="I435" s="59"/>
      <c r="J435" s="59"/>
      <c r="K435" s="59"/>
      <c r="L435" s="59"/>
      <c r="M435" s="118"/>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row>
    <row r="436" ht="14.25" customHeight="1">
      <c r="A436" s="59"/>
      <c r="B436" s="97"/>
      <c r="C436" s="97"/>
      <c r="D436" s="97"/>
      <c r="E436" s="97"/>
      <c r="F436" s="97"/>
      <c r="G436" s="97"/>
      <c r="H436" s="99"/>
      <c r="I436" s="59"/>
      <c r="J436" s="59"/>
      <c r="K436" s="59"/>
      <c r="L436" s="59"/>
      <c r="M436" s="118"/>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row>
    <row r="437" ht="14.25" customHeight="1">
      <c r="A437" s="59"/>
      <c r="B437" s="97"/>
      <c r="C437" s="97"/>
      <c r="D437" s="97"/>
      <c r="E437" s="97"/>
      <c r="F437" s="97"/>
      <c r="G437" s="97"/>
      <c r="H437" s="99"/>
      <c r="I437" s="59"/>
      <c r="J437" s="59"/>
      <c r="K437" s="59"/>
      <c r="L437" s="59"/>
      <c r="M437" s="118"/>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row>
    <row r="438" ht="14.25" customHeight="1">
      <c r="A438" s="59"/>
      <c r="B438" s="97"/>
      <c r="C438" s="97"/>
      <c r="D438" s="97"/>
      <c r="E438" s="97"/>
      <c r="F438" s="97"/>
      <c r="G438" s="97"/>
      <c r="H438" s="99"/>
      <c r="I438" s="59"/>
      <c r="J438" s="59"/>
      <c r="K438" s="59"/>
      <c r="L438" s="59"/>
      <c r="M438" s="118"/>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row>
    <row r="439" ht="14.25" customHeight="1">
      <c r="A439" s="59"/>
      <c r="B439" s="97"/>
      <c r="C439" s="97"/>
      <c r="D439" s="97"/>
      <c r="E439" s="97"/>
      <c r="F439" s="97"/>
      <c r="G439" s="97"/>
      <c r="H439" s="99"/>
      <c r="I439" s="59"/>
      <c r="J439" s="59"/>
      <c r="K439" s="59"/>
      <c r="L439" s="59"/>
      <c r="M439" s="118"/>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row>
    <row r="440" ht="14.25" customHeight="1">
      <c r="A440" s="59"/>
      <c r="B440" s="97"/>
      <c r="C440" s="97"/>
      <c r="D440" s="97"/>
      <c r="E440" s="97"/>
      <c r="F440" s="97"/>
      <c r="G440" s="97"/>
      <c r="H440" s="99"/>
      <c r="I440" s="59"/>
      <c r="J440" s="59"/>
      <c r="K440" s="59"/>
      <c r="L440" s="59"/>
      <c r="M440" s="118"/>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row>
    <row r="441" ht="14.25" customHeight="1">
      <c r="A441" s="59"/>
      <c r="B441" s="97"/>
      <c r="C441" s="97"/>
      <c r="D441" s="97"/>
      <c r="E441" s="97"/>
      <c r="F441" s="97"/>
      <c r="G441" s="97"/>
      <c r="H441" s="99"/>
      <c r="I441" s="59"/>
      <c r="J441" s="59"/>
      <c r="K441" s="59"/>
      <c r="L441" s="59"/>
      <c r="M441" s="118"/>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row>
    <row r="442" ht="14.25" customHeight="1">
      <c r="A442" s="59"/>
      <c r="B442" s="97"/>
      <c r="C442" s="97"/>
      <c r="D442" s="97"/>
      <c r="E442" s="97"/>
      <c r="F442" s="97"/>
      <c r="G442" s="97"/>
      <c r="H442" s="99"/>
      <c r="I442" s="59"/>
      <c r="J442" s="59"/>
      <c r="K442" s="59"/>
      <c r="L442" s="59"/>
      <c r="M442" s="118"/>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row>
    <row r="443" ht="14.25" customHeight="1">
      <c r="A443" s="59"/>
      <c r="B443" s="97"/>
      <c r="C443" s="97"/>
      <c r="D443" s="97"/>
      <c r="E443" s="97"/>
      <c r="F443" s="97"/>
      <c r="G443" s="97"/>
      <c r="H443" s="99"/>
      <c r="I443" s="59"/>
      <c r="J443" s="59"/>
      <c r="K443" s="59"/>
      <c r="L443" s="59"/>
      <c r="M443" s="118"/>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row>
    <row r="444" ht="14.25" customHeight="1">
      <c r="A444" s="59"/>
      <c r="B444" s="97"/>
      <c r="C444" s="97"/>
      <c r="D444" s="97"/>
      <c r="E444" s="97"/>
      <c r="F444" s="97"/>
      <c r="G444" s="97"/>
      <c r="H444" s="99"/>
      <c r="I444" s="59"/>
      <c r="J444" s="59"/>
      <c r="K444" s="59"/>
      <c r="L444" s="59"/>
      <c r="M444" s="118"/>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row>
    <row r="445" ht="14.25" customHeight="1">
      <c r="A445" s="59"/>
      <c r="B445" s="97"/>
      <c r="C445" s="97"/>
      <c r="D445" s="97"/>
      <c r="E445" s="97"/>
      <c r="F445" s="97"/>
      <c r="G445" s="97"/>
      <c r="H445" s="99"/>
      <c r="I445" s="59"/>
      <c r="J445" s="59"/>
      <c r="K445" s="59"/>
      <c r="L445" s="59"/>
      <c r="M445" s="118"/>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row>
    <row r="446" ht="14.25" customHeight="1">
      <c r="A446" s="59"/>
      <c r="B446" s="97"/>
      <c r="C446" s="97"/>
      <c r="D446" s="97"/>
      <c r="E446" s="97"/>
      <c r="F446" s="97"/>
      <c r="G446" s="97"/>
      <c r="H446" s="99"/>
      <c r="I446" s="59"/>
      <c r="J446" s="59"/>
      <c r="K446" s="59"/>
      <c r="L446" s="59"/>
      <c r="M446" s="118"/>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row>
    <row r="447" ht="14.25" customHeight="1">
      <c r="A447" s="59"/>
      <c r="B447" s="97"/>
      <c r="C447" s="97"/>
      <c r="D447" s="97"/>
      <c r="E447" s="97"/>
      <c r="F447" s="97"/>
      <c r="G447" s="97"/>
      <c r="H447" s="99"/>
      <c r="I447" s="59"/>
      <c r="J447" s="59"/>
      <c r="K447" s="59"/>
      <c r="L447" s="59"/>
      <c r="M447" s="118"/>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row>
    <row r="448" ht="14.25" customHeight="1">
      <c r="A448" s="59"/>
      <c r="B448" s="97"/>
      <c r="C448" s="97"/>
      <c r="D448" s="97"/>
      <c r="E448" s="97"/>
      <c r="F448" s="97"/>
      <c r="G448" s="97"/>
      <c r="H448" s="99"/>
      <c r="I448" s="59"/>
      <c r="J448" s="59"/>
      <c r="K448" s="59"/>
      <c r="L448" s="59"/>
      <c r="M448" s="118"/>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row>
    <row r="449" ht="14.25" customHeight="1">
      <c r="A449" s="59"/>
      <c r="B449" s="97"/>
      <c r="C449" s="97"/>
      <c r="D449" s="97"/>
      <c r="E449" s="97"/>
      <c r="F449" s="97"/>
      <c r="G449" s="97"/>
      <c r="H449" s="99"/>
      <c r="I449" s="59"/>
      <c r="J449" s="59"/>
      <c r="K449" s="59"/>
      <c r="L449" s="59"/>
      <c r="M449" s="118"/>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row>
    <row r="450" ht="14.25" customHeight="1">
      <c r="A450" s="59"/>
      <c r="B450" s="97"/>
      <c r="C450" s="97"/>
      <c r="D450" s="97"/>
      <c r="E450" s="97"/>
      <c r="F450" s="97"/>
      <c r="G450" s="97"/>
      <c r="H450" s="99"/>
      <c r="I450" s="59"/>
      <c r="J450" s="59"/>
      <c r="K450" s="59"/>
      <c r="L450" s="59"/>
      <c r="M450" s="118"/>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row>
    <row r="451" ht="14.25" customHeight="1">
      <c r="A451" s="59"/>
      <c r="B451" s="97"/>
      <c r="C451" s="97"/>
      <c r="D451" s="97"/>
      <c r="E451" s="97"/>
      <c r="F451" s="97"/>
      <c r="G451" s="97"/>
      <c r="H451" s="99"/>
      <c r="I451" s="59"/>
      <c r="J451" s="59"/>
      <c r="K451" s="59"/>
      <c r="L451" s="59"/>
      <c r="M451" s="118"/>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row>
    <row r="452" ht="14.25" customHeight="1">
      <c r="A452" s="59"/>
      <c r="B452" s="97"/>
      <c r="C452" s="97"/>
      <c r="D452" s="97"/>
      <c r="E452" s="97"/>
      <c r="F452" s="97"/>
      <c r="G452" s="97"/>
      <c r="H452" s="99"/>
      <c r="I452" s="59"/>
      <c r="J452" s="59"/>
      <c r="K452" s="59"/>
      <c r="L452" s="59"/>
      <c r="M452" s="118"/>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row>
    <row r="453" ht="14.25" customHeight="1">
      <c r="A453" s="59"/>
      <c r="B453" s="97"/>
      <c r="C453" s="97"/>
      <c r="D453" s="97"/>
      <c r="E453" s="97"/>
      <c r="F453" s="97"/>
      <c r="G453" s="97"/>
      <c r="H453" s="99"/>
      <c r="I453" s="59"/>
      <c r="J453" s="59"/>
      <c r="K453" s="59"/>
      <c r="L453" s="59"/>
      <c r="M453" s="118"/>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row>
    <row r="454" ht="14.25" customHeight="1">
      <c r="A454" s="59"/>
      <c r="B454" s="97"/>
      <c r="C454" s="97"/>
      <c r="D454" s="97"/>
      <c r="E454" s="97"/>
      <c r="F454" s="97"/>
      <c r="G454" s="97"/>
      <c r="H454" s="99"/>
      <c r="I454" s="59"/>
      <c r="J454" s="59"/>
      <c r="K454" s="59"/>
      <c r="L454" s="59"/>
      <c r="M454" s="118"/>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row>
    <row r="455" ht="14.25" customHeight="1">
      <c r="A455" s="59"/>
      <c r="B455" s="97"/>
      <c r="C455" s="97"/>
      <c r="D455" s="97"/>
      <c r="E455" s="97"/>
      <c r="F455" s="97"/>
      <c r="G455" s="97"/>
      <c r="H455" s="99"/>
      <c r="I455" s="59"/>
      <c r="J455" s="59"/>
      <c r="K455" s="59"/>
      <c r="L455" s="59"/>
      <c r="M455" s="118"/>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row>
    <row r="456" ht="14.25" customHeight="1">
      <c r="A456" s="59"/>
      <c r="B456" s="97"/>
      <c r="C456" s="97"/>
      <c r="D456" s="97"/>
      <c r="E456" s="97"/>
      <c r="F456" s="97"/>
      <c r="G456" s="97"/>
      <c r="H456" s="99"/>
      <c r="I456" s="59"/>
      <c r="J456" s="59"/>
      <c r="K456" s="59"/>
      <c r="L456" s="59"/>
      <c r="M456" s="118"/>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row>
    <row r="457" ht="14.25" customHeight="1">
      <c r="A457" s="59"/>
      <c r="B457" s="97"/>
      <c r="C457" s="97"/>
      <c r="D457" s="97"/>
      <c r="E457" s="97"/>
      <c r="F457" s="97"/>
      <c r="G457" s="97"/>
      <c r="H457" s="99"/>
      <c r="I457" s="59"/>
      <c r="J457" s="59"/>
      <c r="K457" s="59"/>
      <c r="L457" s="59"/>
      <c r="M457" s="118"/>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row>
    <row r="458" ht="14.25" customHeight="1">
      <c r="A458" s="59"/>
      <c r="B458" s="97"/>
      <c r="C458" s="97"/>
      <c r="D458" s="97"/>
      <c r="E458" s="97"/>
      <c r="F458" s="97"/>
      <c r="G458" s="97"/>
      <c r="H458" s="99"/>
      <c r="I458" s="59"/>
      <c r="J458" s="59"/>
      <c r="K458" s="59"/>
      <c r="L458" s="59"/>
      <c r="M458" s="118"/>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row>
    <row r="459" ht="14.25" customHeight="1">
      <c r="A459" s="59"/>
      <c r="B459" s="97"/>
      <c r="C459" s="97"/>
      <c r="D459" s="97"/>
      <c r="E459" s="97"/>
      <c r="F459" s="97"/>
      <c r="G459" s="97"/>
      <c r="H459" s="99"/>
      <c r="I459" s="59"/>
      <c r="J459" s="59"/>
      <c r="K459" s="59"/>
      <c r="L459" s="59"/>
      <c r="M459" s="118"/>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row>
    <row r="460" ht="14.25" customHeight="1">
      <c r="A460" s="59"/>
      <c r="B460" s="97"/>
      <c r="C460" s="97"/>
      <c r="D460" s="97"/>
      <c r="E460" s="97"/>
      <c r="F460" s="97"/>
      <c r="G460" s="97"/>
      <c r="H460" s="99"/>
      <c r="I460" s="59"/>
      <c r="J460" s="59"/>
      <c r="K460" s="59"/>
      <c r="L460" s="59"/>
      <c r="M460" s="118"/>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row>
    <row r="461" ht="14.25" customHeight="1">
      <c r="A461" s="59"/>
      <c r="B461" s="97"/>
      <c r="C461" s="97"/>
      <c r="D461" s="97"/>
      <c r="E461" s="97"/>
      <c r="F461" s="97"/>
      <c r="G461" s="97"/>
      <c r="H461" s="99"/>
      <c r="I461" s="59"/>
      <c r="J461" s="59"/>
      <c r="K461" s="59"/>
      <c r="L461" s="59"/>
      <c r="M461" s="118"/>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row>
    <row r="462" ht="14.25" customHeight="1">
      <c r="A462" s="59"/>
      <c r="B462" s="97"/>
      <c r="C462" s="97"/>
      <c r="D462" s="97"/>
      <c r="E462" s="97"/>
      <c r="F462" s="97"/>
      <c r="G462" s="97"/>
      <c r="H462" s="99"/>
      <c r="I462" s="59"/>
      <c r="J462" s="59"/>
      <c r="K462" s="59"/>
      <c r="L462" s="59"/>
      <c r="M462" s="118"/>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row>
    <row r="463" ht="14.25" customHeight="1">
      <c r="A463" s="59"/>
      <c r="B463" s="97"/>
      <c r="C463" s="97"/>
      <c r="D463" s="97"/>
      <c r="E463" s="97"/>
      <c r="F463" s="97"/>
      <c r="G463" s="97"/>
      <c r="H463" s="99"/>
      <c r="I463" s="59"/>
      <c r="J463" s="59"/>
      <c r="K463" s="59"/>
      <c r="L463" s="59"/>
      <c r="M463" s="118"/>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row>
    <row r="464" ht="14.25" customHeight="1">
      <c r="A464" s="59"/>
      <c r="B464" s="97"/>
      <c r="C464" s="97"/>
      <c r="D464" s="97"/>
      <c r="E464" s="97"/>
      <c r="F464" s="97"/>
      <c r="G464" s="97"/>
      <c r="H464" s="99"/>
      <c r="I464" s="59"/>
      <c r="J464" s="59"/>
      <c r="K464" s="59"/>
      <c r="L464" s="59"/>
      <c r="M464" s="118"/>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row>
    <row r="465" ht="14.25" customHeight="1">
      <c r="A465" s="59"/>
      <c r="B465" s="97"/>
      <c r="C465" s="97"/>
      <c r="D465" s="97"/>
      <c r="E465" s="97"/>
      <c r="F465" s="97"/>
      <c r="G465" s="97"/>
      <c r="H465" s="99"/>
      <c r="I465" s="59"/>
      <c r="J465" s="59"/>
      <c r="K465" s="59"/>
      <c r="L465" s="59"/>
      <c r="M465" s="118"/>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row>
    <row r="466" ht="14.25" customHeight="1">
      <c r="A466" s="59"/>
      <c r="B466" s="97"/>
      <c r="C466" s="97"/>
      <c r="D466" s="97"/>
      <c r="E466" s="97"/>
      <c r="F466" s="97"/>
      <c r="G466" s="97"/>
      <c r="H466" s="99"/>
      <c r="I466" s="59"/>
      <c r="J466" s="59"/>
      <c r="K466" s="59"/>
      <c r="L466" s="59"/>
      <c r="M466" s="118"/>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row>
    <row r="467" ht="14.25" customHeight="1">
      <c r="A467" s="59"/>
      <c r="B467" s="97"/>
      <c r="C467" s="97"/>
      <c r="D467" s="97"/>
      <c r="E467" s="97"/>
      <c r="F467" s="97"/>
      <c r="G467" s="97"/>
      <c r="H467" s="99"/>
      <c r="I467" s="59"/>
      <c r="J467" s="59"/>
      <c r="K467" s="59"/>
      <c r="L467" s="59"/>
      <c r="M467" s="118"/>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row>
    <row r="468" ht="14.25" customHeight="1">
      <c r="A468" s="59"/>
      <c r="B468" s="97"/>
      <c r="C468" s="97"/>
      <c r="D468" s="97"/>
      <c r="E468" s="97"/>
      <c r="F468" s="97"/>
      <c r="G468" s="97"/>
      <c r="H468" s="99"/>
      <c r="I468" s="59"/>
      <c r="J468" s="59"/>
      <c r="K468" s="59"/>
      <c r="L468" s="59"/>
      <c r="M468" s="118"/>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row>
    <row r="469" ht="14.25" customHeight="1">
      <c r="A469" s="59"/>
      <c r="B469" s="97"/>
      <c r="C469" s="97"/>
      <c r="D469" s="97"/>
      <c r="E469" s="97"/>
      <c r="F469" s="97"/>
      <c r="G469" s="97"/>
      <c r="H469" s="99"/>
      <c r="I469" s="59"/>
      <c r="J469" s="59"/>
      <c r="K469" s="59"/>
      <c r="L469" s="59"/>
      <c r="M469" s="118"/>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row>
    <row r="470" ht="14.25" customHeight="1">
      <c r="A470" s="59"/>
      <c r="B470" s="97"/>
      <c r="C470" s="97"/>
      <c r="D470" s="97"/>
      <c r="E470" s="97"/>
      <c r="F470" s="97"/>
      <c r="G470" s="97"/>
      <c r="H470" s="99"/>
      <c r="I470" s="59"/>
      <c r="J470" s="59"/>
      <c r="K470" s="59"/>
      <c r="L470" s="59"/>
      <c r="M470" s="118"/>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row>
    <row r="471" ht="14.25" customHeight="1">
      <c r="A471" s="59"/>
      <c r="B471" s="97"/>
      <c r="C471" s="97"/>
      <c r="D471" s="97"/>
      <c r="E471" s="97"/>
      <c r="F471" s="97"/>
      <c r="G471" s="97"/>
      <c r="H471" s="99"/>
      <c r="I471" s="59"/>
      <c r="J471" s="59"/>
      <c r="K471" s="59"/>
      <c r="L471" s="59"/>
      <c r="M471" s="118"/>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row>
    <row r="472" ht="14.25" customHeight="1">
      <c r="A472" s="59"/>
      <c r="B472" s="97"/>
      <c r="C472" s="97"/>
      <c r="D472" s="97"/>
      <c r="E472" s="97"/>
      <c r="F472" s="97"/>
      <c r="G472" s="97"/>
      <c r="H472" s="99"/>
      <c r="I472" s="59"/>
      <c r="J472" s="59"/>
      <c r="K472" s="59"/>
      <c r="L472" s="59"/>
      <c r="M472" s="118"/>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row>
    <row r="473" ht="14.25" customHeight="1">
      <c r="A473" s="59"/>
      <c r="B473" s="97"/>
      <c r="C473" s="97"/>
      <c r="D473" s="97"/>
      <c r="E473" s="97"/>
      <c r="F473" s="97"/>
      <c r="G473" s="97"/>
      <c r="H473" s="99"/>
      <c r="I473" s="59"/>
      <c r="J473" s="59"/>
      <c r="K473" s="59"/>
      <c r="L473" s="59"/>
      <c r="M473" s="118"/>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row>
    <row r="474" ht="14.25" customHeight="1">
      <c r="A474" s="59"/>
      <c r="B474" s="97"/>
      <c r="C474" s="97"/>
      <c r="D474" s="97"/>
      <c r="E474" s="97"/>
      <c r="F474" s="97"/>
      <c r="G474" s="97"/>
      <c r="H474" s="99"/>
      <c r="I474" s="59"/>
      <c r="J474" s="59"/>
      <c r="K474" s="59"/>
      <c r="L474" s="59"/>
      <c r="M474" s="118"/>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row>
    <row r="475" ht="14.25" customHeight="1">
      <c r="A475" s="59"/>
      <c r="B475" s="97"/>
      <c r="C475" s="97"/>
      <c r="D475" s="97"/>
      <c r="E475" s="97"/>
      <c r="F475" s="97"/>
      <c r="G475" s="97"/>
      <c r="H475" s="99"/>
      <c r="I475" s="59"/>
      <c r="J475" s="59"/>
      <c r="K475" s="59"/>
      <c r="L475" s="59"/>
      <c r="M475" s="118"/>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row>
    <row r="476" ht="14.25" customHeight="1">
      <c r="A476" s="59"/>
      <c r="B476" s="97"/>
      <c r="C476" s="97"/>
      <c r="D476" s="97"/>
      <c r="E476" s="97"/>
      <c r="F476" s="97"/>
      <c r="G476" s="97"/>
      <c r="H476" s="99"/>
      <c r="I476" s="59"/>
      <c r="J476" s="59"/>
      <c r="K476" s="59"/>
      <c r="L476" s="59"/>
      <c r="M476" s="118"/>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row>
    <row r="477" ht="14.25" customHeight="1">
      <c r="A477" s="59"/>
      <c r="B477" s="97"/>
      <c r="C477" s="97"/>
      <c r="D477" s="97"/>
      <c r="E477" s="97"/>
      <c r="F477" s="97"/>
      <c r="G477" s="97"/>
      <c r="H477" s="99"/>
      <c r="I477" s="59"/>
      <c r="J477" s="59"/>
      <c r="K477" s="59"/>
      <c r="L477" s="59"/>
      <c r="M477" s="118"/>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row>
    <row r="478" ht="14.25" customHeight="1">
      <c r="A478" s="59"/>
      <c r="B478" s="97"/>
      <c r="C478" s="97"/>
      <c r="D478" s="97"/>
      <c r="E478" s="97"/>
      <c r="F478" s="97"/>
      <c r="G478" s="97"/>
      <c r="H478" s="99"/>
      <c r="I478" s="59"/>
      <c r="J478" s="59"/>
      <c r="K478" s="59"/>
      <c r="L478" s="59"/>
      <c r="M478" s="118"/>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row>
    <row r="479" ht="14.25" customHeight="1">
      <c r="A479" s="59"/>
      <c r="B479" s="97"/>
      <c r="C479" s="97"/>
      <c r="D479" s="97"/>
      <c r="E479" s="97"/>
      <c r="F479" s="97"/>
      <c r="G479" s="97"/>
      <c r="H479" s="99"/>
      <c r="I479" s="59"/>
      <c r="J479" s="59"/>
      <c r="K479" s="59"/>
      <c r="L479" s="59"/>
      <c r="M479" s="118"/>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row>
    <row r="480" ht="14.25" customHeight="1">
      <c r="A480" s="59"/>
      <c r="B480" s="97"/>
      <c r="C480" s="97"/>
      <c r="D480" s="97"/>
      <c r="E480" s="97"/>
      <c r="F480" s="97"/>
      <c r="G480" s="97"/>
      <c r="H480" s="99"/>
      <c r="I480" s="59"/>
      <c r="J480" s="59"/>
      <c r="K480" s="59"/>
      <c r="L480" s="59"/>
      <c r="M480" s="118"/>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row>
    <row r="481" ht="14.25" customHeight="1">
      <c r="A481" s="59"/>
      <c r="B481" s="97"/>
      <c r="C481" s="97"/>
      <c r="D481" s="97"/>
      <c r="E481" s="97"/>
      <c r="F481" s="97"/>
      <c r="G481" s="97"/>
      <c r="H481" s="99"/>
      <c r="I481" s="59"/>
      <c r="J481" s="59"/>
      <c r="K481" s="59"/>
      <c r="L481" s="59"/>
      <c r="M481" s="118"/>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row>
    <row r="482" ht="14.25" customHeight="1">
      <c r="A482" s="59"/>
      <c r="B482" s="97"/>
      <c r="C482" s="97"/>
      <c r="D482" s="97"/>
      <c r="E482" s="97"/>
      <c r="F482" s="97"/>
      <c r="G482" s="97"/>
      <c r="H482" s="99"/>
      <c r="I482" s="59"/>
      <c r="J482" s="59"/>
      <c r="K482" s="59"/>
      <c r="L482" s="59"/>
      <c r="M482" s="118"/>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row>
    <row r="483" ht="14.25" customHeight="1">
      <c r="A483" s="59"/>
      <c r="B483" s="97"/>
      <c r="C483" s="97"/>
      <c r="D483" s="97"/>
      <c r="E483" s="97"/>
      <c r="F483" s="97"/>
      <c r="G483" s="97"/>
      <c r="H483" s="99"/>
      <c r="I483" s="59"/>
      <c r="J483" s="59"/>
      <c r="K483" s="59"/>
      <c r="L483" s="59"/>
      <c r="M483" s="118"/>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row>
    <row r="484" ht="14.25" customHeight="1">
      <c r="A484" s="59"/>
      <c r="B484" s="97"/>
      <c r="C484" s="97"/>
      <c r="D484" s="97"/>
      <c r="E484" s="97"/>
      <c r="F484" s="97"/>
      <c r="G484" s="97"/>
      <c r="H484" s="99"/>
      <c r="I484" s="59"/>
      <c r="J484" s="59"/>
      <c r="K484" s="59"/>
      <c r="L484" s="59"/>
      <c r="M484" s="118"/>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row>
    <row r="485" ht="14.25" customHeight="1">
      <c r="A485" s="59"/>
      <c r="B485" s="97"/>
      <c r="C485" s="97"/>
      <c r="D485" s="97"/>
      <c r="E485" s="97"/>
      <c r="F485" s="97"/>
      <c r="G485" s="97"/>
      <c r="H485" s="99"/>
      <c r="I485" s="59"/>
      <c r="J485" s="59"/>
      <c r="K485" s="59"/>
      <c r="L485" s="59"/>
      <c r="M485" s="118"/>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row>
    <row r="486" ht="14.25" customHeight="1">
      <c r="A486" s="59"/>
      <c r="B486" s="97"/>
      <c r="C486" s="97"/>
      <c r="D486" s="97"/>
      <c r="E486" s="97"/>
      <c r="F486" s="97"/>
      <c r="G486" s="97"/>
      <c r="H486" s="99"/>
      <c r="I486" s="59"/>
      <c r="J486" s="59"/>
      <c r="K486" s="59"/>
      <c r="L486" s="59"/>
      <c r="M486" s="118"/>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row>
    <row r="487" ht="14.25" customHeight="1">
      <c r="A487" s="59"/>
      <c r="B487" s="97"/>
      <c r="C487" s="97"/>
      <c r="D487" s="97"/>
      <c r="E487" s="97"/>
      <c r="F487" s="97"/>
      <c r="G487" s="97"/>
      <c r="H487" s="99"/>
      <c r="I487" s="59"/>
      <c r="J487" s="59"/>
      <c r="K487" s="59"/>
      <c r="L487" s="59"/>
      <c r="M487" s="118"/>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row>
    <row r="488" ht="14.25" customHeight="1">
      <c r="A488" s="59"/>
      <c r="B488" s="97"/>
      <c r="C488" s="97"/>
      <c r="D488" s="97"/>
      <c r="E488" s="97"/>
      <c r="F488" s="97"/>
      <c r="G488" s="97"/>
      <c r="H488" s="99"/>
      <c r="I488" s="59"/>
      <c r="J488" s="59"/>
      <c r="K488" s="59"/>
      <c r="L488" s="59"/>
      <c r="M488" s="118"/>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row>
    <row r="489" ht="14.25" customHeight="1">
      <c r="A489" s="59"/>
      <c r="B489" s="97"/>
      <c r="C489" s="97"/>
      <c r="D489" s="97"/>
      <c r="E489" s="97"/>
      <c r="F489" s="97"/>
      <c r="G489" s="97"/>
      <c r="H489" s="99"/>
      <c r="I489" s="59"/>
      <c r="J489" s="59"/>
      <c r="K489" s="59"/>
      <c r="L489" s="59"/>
      <c r="M489" s="118"/>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row>
    <row r="490" ht="14.25" customHeight="1">
      <c r="A490" s="59"/>
      <c r="B490" s="97"/>
      <c r="C490" s="97"/>
      <c r="D490" s="97"/>
      <c r="E490" s="97"/>
      <c r="F490" s="97"/>
      <c r="G490" s="97"/>
      <c r="H490" s="99"/>
      <c r="I490" s="59"/>
      <c r="J490" s="59"/>
      <c r="K490" s="59"/>
      <c r="L490" s="59"/>
      <c r="M490" s="118"/>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row>
    <row r="491" ht="14.25" customHeight="1">
      <c r="A491" s="59"/>
      <c r="B491" s="97"/>
      <c r="C491" s="97"/>
      <c r="D491" s="97"/>
      <c r="E491" s="97"/>
      <c r="F491" s="97"/>
      <c r="G491" s="97"/>
      <c r="H491" s="99"/>
      <c r="I491" s="59"/>
      <c r="J491" s="59"/>
      <c r="K491" s="59"/>
      <c r="L491" s="59"/>
      <c r="M491" s="118"/>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row>
    <row r="492" ht="14.25" customHeight="1">
      <c r="A492" s="59"/>
      <c r="B492" s="97"/>
      <c r="C492" s="97"/>
      <c r="D492" s="97"/>
      <c r="E492" s="97"/>
      <c r="F492" s="97"/>
      <c r="G492" s="97"/>
      <c r="H492" s="99"/>
      <c r="I492" s="59"/>
      <c r="J492" s="59"/>
      <c r="K492" s="59"/>
      <c r="L492" s="59"/>
      <c r="M492" s="118"/>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row>
    <row r="493" ht="14.25" customHeight="1">
      <c r="A493" s="59"/>
      <c r="B493" s="97"/>
      <c r="C493" s="97"/>
      <c r="D493" s="97"/>
      <c r="E493" s="97"/>
      <c r="F493" s="97"/>
      <c r="G493" s="97"/>
      <c r="H493" s="99"/>
      <c r="I493" s="59"/>
      <c r="J493" s="59"/>
      <c r="K493" s="59"/>
      <c r="L493" s="59"/>
      <c r="M493" s="118"/>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row>
    <row r="494" ht="14.25" customHeight="1">
      <c r="A494" s="59"/>
      <c r="B494" s="97"/>
      <c r="C494" s="97"/>
      <c r="D494" s="97"/>
      <c r="E494" s="97"/>
      <c r="F494" s="97"/>
      <c r="G494" s="97"/>
      <c r="H494" s="99"/>
      <c r="I494" s="59"/>
      <c r="J494" s="59"/>
      <c r="K494" s="59"/>
      <c r="L494" s="59"/>
      <c r="M494" s="118"/>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row>
    <row r="495" ht="14.25" customHeight="1">
      <c r="A495" s="59"/>
      <c r="B495" s="97"/>
      <c r="C495" s="97"/>
      <c r="D495" s="97"/>
      <c r="E495" s="97"/>
      <c r="F495" s="97"/>
      <c r="G495" s="97"/>
      <c r="H495" s="99"/>
      <c r="I495" s="59"/>
      <c r="J495" s="59"/>
      <c r="K495" s="59"/>
      <c r="L495" s="59"/>
      <c r="M495" s="118"/>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row>
    <row r="496" ht="14.25" customHeight="1">
      <c r="A496" s="59"/>
      <c r="B496" s="97"/>
      <c r="C496" s="97"/>
      <c r="D496" s="97"/>
      <c r="E496" s="97"/>
      <c r="F496" s="97"/>
      <c r="G496" s="97"/>
      <c r="H496" s="99"/>
      <c r="I496" s="59"/>
      <c r="J496" s="59"/>
      <c r="K496" s="59"/>
      <c r="L496" s="59"/>
      <c r="M496" s="118"/>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row>
    <row r="497" ht="14.25" customHeight="1">
      <c r="A497" s="59"/>
      <c r="B497" s="97"/>
      <c r="C497" s="97"/>
      <c r="D497" s="97"/>
      <c r="E497" s="97"/>
      <c r="F497" s="97"/>
      <c r="G497" s="97"/>
      <c r="H497" s="99"/>
      <c r="I497" s="59"/>
      <c r="J497" s="59"/>
      <c r="K497" s="59"/>
      <c r="L497" s="59"/>
      <c r="M497" s="118"/>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row>
    <row r="498" ht="14.25" customHeight="1">
      <c r="A498" s="59"/>
      <c r="B498" s="97"/>
      <c r="C498" s="97"/>
      <c r="D498" s="97"/>
      <c r="E498" s="97"/>
      <c r="F498" s="97"/>
      <c r="G498" s="97"/>
      <c r="H498" s="99"/>
      <c r="I498" s="59"/>
      <c r="J498" s="59"/>
      <c r="K498" s="59"/>
      <c r="L498" s="59"/>
      <c r="M498" s="118"/>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row>
    <row r="499" ht="14.25" customHeight="1">
      <c r="A499" s="59"/>
      <c r="B499" s="97"/>
      <c r="C499" s="97"/>
      <c r="D499" s="97"/>
      <c r="E499" s="97"/>
      <c r="F499" s="97"/>
      <c r="G499" s="97"/>
      <c r="H499" s="99"/>
      <c r="I499" s="59"/>
      <c r="J499" s="59"/>
      <c r="K499" s="59"/>
      <c r="L499" s="59"/>
      <c r="M499" s="118"/>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row>
    <row r="500" ht="14.25" customHeight="1">
      <c r="A500" s="59"/>
      <c r="B500" s="97"/>
      <c r="C500" s="97"/>
      <c r="D500" s="97"/>
      <c r="E500" s="97"/>
      <c r="F500" s="97"/>
      <c r="G500" s="97"/>
      <c r="H500" s="99"/>
      <c r="I500" s="59"/>
      <c r="J500" s="59"/>
      <c r="K500" s="59"/>
      <c r="L500" s="59"/>
      <c r="M500" s="118"/>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row>
    <row r="501" ht="14.25" customHeight="1">
      <c r="A501" s="59"/>
      <c r="B501" s="97"/>
      <c r="C501" s="97"/>
      <c r="D501" s="97"/>
      <c r="E501" s="97"/>
      <c r="F501" s="97"/>
      <c r="G501" s="97"/>
      <c r="H501" s="99"/>
      <c r="I501" s="59"/>
      <c r="J501" s="59"/>
      <c r="K501" s="59"/>
      <c r="L501" s="59"/>
      <c r="M501" s="118"/>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row>
    <row r="502" ht="14.25" customHeight="1">
      <c r="A502" s="59"/>
      <c r="B502" s="97"/>
      <c r="C502" s="97"/>
      <c r="D502" s="97"/>
      <c r="E502" s="97"/>
      <c r="F502" s="97"/>
      <c r="G502" s="97"/>
      <c r="H502" s="99"/>
      <c r="I502" s="59"/>
      <c r="J502" s="59"/>
      <c r="K502" s="59"/>
      <c r="L502" s="59"/>
      <c r="M502" s="118"/>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row>
    <row r="503" ht="14.25" customHeight="1">
      <c r="A503" s="59"/>
      <c r="B503" s="97"/>
      <c r="C503" s="97"/>
      <c r="D503" s="97"/>
      <c r="E503" s="97"/>
      <c r="F503" s="97"/>
      <c r="G503" s="97"/>
      <c r="H503" s="99"/>
      <c r="I503" s="59"/>
      <c r="J503" s="59"/>
      <c r="K503" s="59"/>
      <c r="L503" s="59"/>
      <c r="M503" s="118"/>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row>
    <row r="504" ht="14.25" customHeight="1">
      <c r="A504" s="59"/>
      <c r="B504" s="97"/>
      <c r="C504" s="97"/>
      <c r="D504" s="97"/>
      <c r="E504" s="97"/>
      <c r="F504" s="97"/>
      <c r="G504" s="97"/>
      <c r="H504" s="99"/>
      <c r="I504" s="59"/>
      <c r="J504" s="59"/>
      <c r="K504" s="59"/>
      <c r="L504" s="59"/>
      <c r="M504" s="118"/>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row>
    <row r="505" ht="14.25" customHeight="1">
      <c r="A505" s="59"/>
      <c r="B505" s="97"/>
      <c r="C505" s="97"/>
      <c r="D505" s="97"/>
      <c r="E505" s="97"/>
      <c r="F505" s="97"/>
      <c r="G505" s="97"/>
      <c r="H505" s="99"/>
      <c r="I505" s="59"/>
      <c r="J505" s="59"/>
      <c r="K505" s="59"/>
      <c r="L505" s="59"/>
      <c r="M505" s="118"/>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row>
    <row r="506" ht="14.25" customHeight="1">
      <c r="A506" s="59"/>
      <c r="B506" s="97"/>
      <c r="C506" s="97"/>
      <c r="D506" s="97"/>
      <c r="E506" s="97"/>
      <c r="F506" s="97"/>
      <c r="G506" s="97"/>
      <c r="H506" s="99"/>
      <c r="I506" s="59"/>
      <c r="J506" s="59"/>
      <c r="K506" s="59"/>
      <c r="L506" s="59"/>
      <c r="M506" s="118"/>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row>
    <row r="507" ht="14.25" customHeight="1">
      <c r="A507" s="59"/>
      <c r="B507" s="97"/>
      <c r="C507" s="97"/>
      <c r="D507" s="97"/>
      <c r="E507" s="97"/>
      <c r="F507" s="97"/>
      <c r="G507" s="97"/>
      <c r="H507" s="99"/>
      <c r="I507" s="59"/>
      <c r="J507" s="59"/>
      <c r="K507" s="59"/>
      <c r="L507" s="59"/>
      <c r="M507" s="118"/>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row>
    <row r="508" ht="14.25" customHeight="1">
      <c r="A508" s="59"/>
      <c r="B508" s="97"/>
      <c r="C508" s="97"/>
      <c r="D508" s="97"/>
      <c r="E508" s="97"/>
      <c r="F508" s="97"/>
      <c r="G508" s="97"/>
      <c r="H508" s="99"/>
      <c r="I508" s="59"/>
      <c r="J508" s="59"/>
      <c r="K508" s="59"/>
      <c r="L508" s="59"/>
      <c r="M508" s="118"/>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row>
    <row r="509" ht="14.25" customHeight="1">
      <c r="A509" s="59"/>
      <c r="B509" s="97"/>
      <c r="C509" s="97"/>
      <c r="D509" s="97"/>
      <c r="E509" s="97"/>
      <c r="F509" s="97"/>
      <c r="G509" s="97"/>
      <c r="H509" s="99"/>
      <c r="I509" s="59"/>
      <c r="J509" s="59"/>
      <c r="K509" s="59"/>
      <c r="L509" s="59"/>
      <c r="M509" s="118"/>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row>
    <row r="510" ht="14.25" customHeight="1">
      <c r="A510" s="59"/>
      <c r="B510" s="97"/>
      <c r="C510" s="97"/>
      <c r="D510" s="97"/>
      <c r="E510" s="97"/>
      <c r="F510" s="97"/>
      <c r="G510" s="97"/>
      <c r="H510" s="99"/>
      <c r="I510" s="59"/>
      <c r="J510" s="59"/>
      <c r="K510" s="59"/>
      <c r="L510" s="59"/>
      <c r="M510" s="118"/>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row>
    <row r="511" ht="14.25" customHeight="1">
      <c r="A511" s="59"/>
      <c r="B511" s="97"/>
      <c r="C511" s="97"/>
      <c r="D511" s="97"/>
      <c r="E511" s="97"/>
      <c r="F511" s="97"/>
      <c r="G511" s="97"/>
      <c r="H511" s="99"/>
      <c r="I511" s="59"/>
      <c r="J511" s="59"/>
      <c r="K511" s="59"/>
      <c r="L511" s="59"/>
      <c r="M511" s="118"/>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row>
    <row r="512" ht="14.25" customHeight="1">
      <c r="A512" s="59"/>
      <c r="B512" s="97"/>
      <c r="C512" s="97"/>
      <c r="D512" s="97"/>
      <c r="E512" s="97"/>
      <c r="F512" s="97"/>
      <c r="G512" s="97"/>
      <c r="H512" s="99"/>
      <c r="I512" s="59"/>
      <c r="J512" s="59"/>
      <c r="K512" s="59"/>
      <c r="L512" s="59"/>
      <c r="M512" s="118"/>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row>
    <row r="513" ht="14.25" customHeight="1">
      <c r="A513" s="59"/>
      <c r="B513" s="97"/>
      <c r="C513" s="97"/>
      <c r="D513" s="97"/>
      <c r="E513" s="97"/>
      <c r="F513" s="97"/>
      <c r="G513" s="97"/>
      <c r="H513" s="99"/>
      <c r="I513" s="59"/>
      <c r="J513" s="59"/>
      <c r="K513" s="59"/>
      <c r="L513" s="59"/>
      <c r="M513" s="118"/>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row>
    <row r="514" ht="14.25" customHeight="1">
      <c r="A514" s="59"/>
      <c r="B514" s="97"/>
      <c r="C514" s="97"/>
      <c r="D514" s="97"/>
      <c r="E514" s="97"/>
      <c r="F514" s="97"/>
      <c r="G514" s="97"/>
      <c r="H514" s="99"/>
      <c r="I514" s="59"/>
      <c r="J514" s="59"/>
      <c r="K514" s="59"/>
      <c r="L514" s="59"/>
      <c r="M514" s="118"/>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row>
    <row r="515" ht="14.25" customHeight="1">
      <c r="A515" s="59"/>
      <c r="B515" s="97"/>
      <c r="C515" s="97"/>
      <c r="D515" s="97"/>
      <c r="E515" s="97"/>
      <c r="F515" s="97"/>
      <c r="G515" s="97"/>
      <c r="H515" s="99"/>
      <c r="I515" s="59"/>
      <c r="J515" s="59"/>
      <c r="K515" s="59"/>
      <c r="L515" s="59"/>
      <c r="M515" s="118"/>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row>
    <row r="516" ht="14.25" customHeight="1">
      <c r="A516" s="59"/>
      <c r="B516" s="97"/>
      <c r="C516" s="97"/>
      <c r="D516" s="97"/>
      <c r="E516" s="97"/>
      <c r="F516" s="97"/>
      <c r="G516" s="97"/>
      <c r="H516" s="99"/>
      <c r="I516" s="59"/>
      <c r="J516" s="59"/>
      <c r="K516" s="59"/>
      <c r="L516" s="59"/>
      <c r="M516" s="118"/>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row>
    <row r="517" ht="14.25" customHeight="1">
      <c r="A517" s="59"/>
      <c r="B517" s="97"/>
      <c r="C517" s="97"/>
      <c r="D517" s="97"/>
      <c r="E517" s="97"/>
      <c r="F517" s="97"/>
      <c r="G517" s="97"/>
      <c r="H517" s="99"/>
      <c r="I517" s="59"/>
      <c r="J517" s="59"/>
      <c r="K517" s="59"/>
      <c r="L517" s="59"/>
      <c r="M517" s="118"/>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row>
    <row r="518" ht="14.25" customHeight="1">
      <c r="A518" s="59"/>
      <c r="B518" s="97"/>
      <c r="C518" s="97"/>
      <c r="D518" s="97"/>
      <c r="E518" s="97"/>
      <c r="F518" s="97"/>
      <c r="G518" s="97"/>
      <c r="H518" s="99"/>
      <c r="I518" s="59"/>
      <c r="J518" s="59"/>
      <c r="K518" s="59"/>
      <c r="L518" s="59"/>
      <c r="M518" s="118"/>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row>
    <row r="519" ht="14.25" customHeight="1">
      <c r="A519" s="59"/>
      <c r="B519" s="97"/>
      <c r="C519" s="97"/>
      <c r="D519" s="97"/>
      <c r="E519" s="97"/>
      <c r="F519" s="97"/>
      <c r="G519" s="97"/>
      <c r="H519" s="99"/>
      <c r="I519" s="59"/>
      <c r="J519" s="59"/>
      <c r="K519" s="59"/>
      <c r="L519" s="59"/>
      <c r="M519" s="118"/>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row>
    <row r="520" ht="14.25" customHeight="1">
      <c r="A520" s="59"/>
      <c r="B520" s="97"/>
      <c r="C520" s="97"/>
      <c r="D520" s="97"/>
      <c r="E520" s="97"/>
      <c r="F520" s="97"/>
      <c r="G520" s="97"/>
      <c r="H520" s="99"/>
      <c r="I520" s="59"/>
      <c r="J520" s="59"/>
      <c r="K520" s="59"/>
      <c r="L520" s="59"/>
      <c r="M520" s="118"/>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row>
    <row r="521" ht="14.25" customHeight="1">
      <c r="A521" s="59"/>
      <c r="B521" s="97"/>
      <c r="C521" s="97"/>
      <c r="D521" s="97"/>
      <c r="E521" s="97"/>
      <c r="F521" s="97"/>
      <c r="G521" s="97"/>
      <c r="H521" s="99"/>
      <c r="I521" s="59"/>
      <c r="J521" s="59"/>
      <c r="K521" s="59"/>
      <c r="L521" s="59"/>
      <c r="M521" s="118"/>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row>
    <row r="522" ht="14.25" customHeight="1">
      <c r="A522" s="59"/>
      <c r="B522" s="97"/>
      <c r="C522" s="97"/>
      <c r="D522" s="97"/>
      <c r="E522" s="97"/>
      <c r="F522" s="97"/>
      <c r="G522" s="97"/>
      <c r="H522" s="99"/>
      <c r="I522" s="59"/>
      <c r="J522" s="59"/>
      <c r="K522" s="59"/>
      <c r="L522" s="59"/>
      <c r="M522" s="118"/>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row>
    <row r="523" ht="14.25" customHeight="1">
      <c r="A523" s="59"/>
      <c r="B523" s="97"/>
      <c r="C523" s="97"/>
      <c r="D523" s="97"/>
      <c r="E523" s="97"/>
      <c r="F523" s="97"/>
      <c r="G523" s="97"/>
      <c r="H523" s="99"/>
      <c r="I523" s="59"/>
      <c r="J523" s="59"/>
      <c r="K523" s="59"/>
      <c r="L523" s="59"/>
      <c r="M523" s="118"/>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row>
    <row r="524" ht="14.25" customHeight="1">
      <c r="A524" s="59"/>
      <c r="B524" s="97"/>
      <c r="C524" s="97"/>
      <c r="D524" s="97"/>
      <c r="E524" s="97"/>
      <c r="F524" s="97"/>
      <c r="G524" s="97"/>
      <c r="H524" s="99"/>
      <c r="I524" s="59"/>
      <c r="J524" s="59"/>
      <c r="K524" s="59"/>
      <c r="L524" s="59"/>
      <c r="M524" s="118"/>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row>
    <row r="525" ht="14.25" customHeight="1">
      <c r="A525" s="59"/>
      <c r="B525" s="97"/>
      <c r="C525" s="97"/>
      <c r="D525" s="97"/>
      <c r="E525" s="97"/>
      <c r="F525" s="97"/>
      <c r="G525" s="97"/>
      <c r="H525" s="99"/>
      <c r="I525" s="59"/>
      <c r="J525" s="59"/>
      <c r="K525" s="59"/>
      <c r="L525" s="59"/>
      <c r="M525" s="118"/>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row>
    <row r="526" ht="14.25" customHeight="1">
      <c r="A526" s="59"/>
      <c r="B526" s="97"/>
      <c r="C526" s="97"/>
      <c r="D526" s="97"/>
      <c r="E526" s="97"/>
      <c r="F526" s="97"/>
      <c r="G526" s="97"/>
      <c r="H526" s="99"/>
      <c r="I526" s="59"/>
      <c r="J526" s="59"/>
      <c r="K526" s="59"/>
      <c r="L526" s="59"/>
      <c r="M526" s="118"/>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row>
    <row r="527" ht="14.25" customHeight="1">
      <c r="A527" s="59"/>
      <c r="B527" s="97"/>
      <c r="C527" s="97"/>
      <c r="D527" s="97"/>
      <c r="E527" s="97"/>
      <c r="F527" s="97"/>
      <c r="G527" s="97"/>
      <c r="H527" s="99"/>
      <c r="I527" s="59"/>
      <c r="J527" s="59"/>
      <c r="K527" s="59"/>
      <c r="L527" s="59"/>
      <c r="M527" s="118"/>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row>
    <row r="528" ht="14.25" customHeight="1">
      <c r="A528" s="59"/>
      <c r="B528" s="97"/>
      <c r="C528" s="97"/>
      <c r="D528" s="97"/>
      <c r="E528" s="97"/>
      <c r="F528" s="97"/>
      <c r="G528" s="97"/>
      <c r="H528" s="99"/>
      <c r="I528" s="59"/>
      <c r="J528" s="59"/>
      <c r="K528" s="59"/>
      <c r="L528" s="59"/>
      <c r="M528" s="118"/>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row>
    <row r="529" ht="14.25" customHeight="1">
      <c r="A529" s="59"/>
      <c r="B529" s="97"/>
      <c r="C529" s="97"/>
      <c r="D529" s="97"/>
      <c r="E529" s="97"/>
      <c r="F529" s="97"/>
      <c r="G529" s="97"/>
      <c r="H529" s="99"/>
      <c r="I529" s="59"/>
      <c r="J529" s="59"/>
      <c r="K529" s="59"/>
      <c r="L529" s="59"/>
      <c r="M529" s="118"/>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row>
    <row r="530" ht="14.25" customHeight="1">
      <c r="A530" s="59"/>
      <c r="B530" s="97"/>
      <c r="C530" s="97"/>
      <c r="D530" s="97"/>
      <c r="E530" s="97"/>
      <c r="F530" s="97"/>
      <c r="G530" s="97"/>
      <c r="H530" s="99"/>
      <c r="I530" s="59"/>
      <c r="J530" s="59"/>
      <c r="K530" s="59"/>
      <c r="L530" s="59"/>
      <c r="M530" s="118"/>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row>
    <row r="531" ht="14.25" customHeight="1">
      <c r="A531" s="59"/>
      <c r="B531" s="97"/>
      <c r="C531" s="97"/>
      <c r="D531" s="97"/>
      <c r="E531" s="97"/>
      <c r="F531" s="97"/>
      <c r="G531" s="97"/>
      <c r="H531" s="99"/>
      <c r="I531" s="59"/>
      <c r="J531" s="59"/>
      <c r="K531" s="59"/>
      <c r="L531" s="59"/>
      <c r="M531" s="118"/>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row>
    <row r="532" ht="14.25" customHeight="1">
      <c r="A532" s="59"/>
      <c r="B532" s="97"/>
      <c r="C532" s="97"/>
      <c r="D532" s="97"/>
      <c r="E532" s="97"/>
      <c r="F532" s="97"/>
      <c r="G532" s="97"/>
      <c r="H532" s="99"/>
      <c r="I532" s="59"/>
      <c r="J532" s="59"/>
      <c r="K532" s="59"/>
      <c r="L532" s="59"/>
      <c r="M532" s="118"/>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row>
    <row r="533" ht="14.25" customHeight="1">
      <c r="A533" s="59"/>
      <c r="B533" s="97"/>
      <c r="C533" s="97"/>
      <c r="D533" s="97"/>
      <c r="E533" s="97"/>
      <c r="F533" s="97"/>
      <c r="G533" s="97"/>
      <c r="H533" s="99"/>
      <c r="I533" s="59"/>
      <c r="J533" s="59"/>
      <c r="K533" s="59"/>
      <c r="L533" s="59"/>
      <c r="M533" s="118"/>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row>
    <row r="534" ht="14.25" customHeight="1">
      <c r="A534" s="59"/>
      <c r="B534" s="97"/>
      <c r="C534" s="97"/>
      <c r="D534" s="97"/>
      <c r="E534" s="97"/>
      <c r="F534" s="97"/>
      <c r="G534" s="97"/>
      <c r="H534" s="99"/>
      <c r="I534" s="59"/>
      <c r="J534" s="59"/>
      <c r="K534" s="59"/>
      <c r="L534" s="59"/>
      <c r="M534" s="118"/>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row>
    <row r="535" ht="14.25" customHeight="1">
      <c r="A535" s="59"/>
      <c r="B535" s="97"/>
      <c r="C535" s="97"/>
      <c r="D535" s="97"/>
      <c r="E535" s="97"/>
      <c r="F535" s="97"/>
      <c r="G535" s="97"/>
      <c r="H535" s="99"/>
      <c r="I535" s="59"/>
      <c r="J535" s="59"/>
      <c r="K535" s="59"/>
      <c r="L535" s="59"/>
      <c r="M535" s="118"/>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row>
    <row r="536" ht="14.25" customHeight="1">
      <c r="A536" s="59"/>
      <c r="B536" s="97"/>
      <c r="C536" s="97"/>
      <c r="D536" s="97"/>
      <c r="E536" s="97"/>
      <c r="F536" s="97"/>
      <c r="G536" s="97"/>
      <c r="H536" s="99"/>
      <c r="I536" s="59"/>
      <c r="J536" s="59"/>
      <c r="K536" s="59"/>
      <c r="L536" s="59"/>
      <c r="M536" s="118"/>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row>
    <row r="537" ht="14.25" customHeight="1">
      <c r="A537" s="59"/>
      <c r="B537" s="97"/>
      <c r="C537" s="97"/>
      <c r="D537" s="97"/>
      <c r="E537" s="97"/>
      <c r="F537" s="97"/>
      <c r="G537" s="97"/>
      <c r="H537" s="99"/>
      <c r="I537" s="59"/>
      <c r="J537" s="59"/>
      <c r="K537" s="59"/>
      <c r="L537" s="59"/>
      <c r="M537" s="118"/>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row>
    <row r="538" ht="14.25" customHeight="1">
      <c r="A538" s="59"/>
      <c r="B538" s="97"/>
      <c r="C538" s="97"/>
      <c r="D538" s="97"/>
      <c r="E538" s="97"/>
      <c r="F538" s="97"/>
      <c r="G538" s="97"/>
      <c r="H538" s="99"/>
      <c r="I538" s="59"/>
      <c r="J538" s="59"/>
      <c r="K538" s="59"/>
      <c r="L538" s="59"/>
      <c r="M538" s="118"/>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row>
    <row r="539" ht="14.25" customHeight="1">
      <c r="A539" s="59"/>
      <c r="B539" s="97"/>
      <c r="C539" s="97"/>
      <c r="D539" s="97"/>
      <c r="E539" s="97"/>
      <c r="F539" s="97"/>
      <c r="G539" s="97"/>
      <c r="H539" s="99"/>
      <c r="I539" s="59"/>
      <c r="J539" s="59"/>
      <c r="K539" s="59"/>
      <c r="L539" s="59"/>
      <c r="M539" s="118"/>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row>
    <row r="540" ht="14.25" customHeight="1">
      <c r="A540" s="59"/>
      <c r="B540" s="97"/>
      <c r="C540" s="97"/>
      <c r="D540" s="97"/>
      <c r="E540" s="97"/>
      <c r="F540" s="97"/>
      <c r="G540" s="97"/>
      <c r="H540" s="99"/>
      <c r="I540" s="59"/>
      <c r="J540" s="59"/>
      <c r="K540" s="59"/>
      <c r="L540" s="59"/>
      <c r="M540" s="118"/>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row>
    <row r="541" ht="14.25" customHeight="1">
      <c r="A541" s="59"/>
      <c r="B541" s="97"/>
      <c r="C541" s="97"/>
      <c r="D541" s="97"/>
      <c r="E541" s="97"/>
      <c r="F541" s="97"/>
      <c r="G541" s="97"/>
      <c r="H541" s="99"/>
      <c r="I541" s="59"/>
      <c r="J541" s="59"/>
      <c r="K541" s="59"/>
      <c r="L541" s="59"/>
      <c r="M541" s="118"/>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row>
    <row r="542" ht="14.25" customHeight="1">
      <c r="A542" s="59"/>
      <c r="B542" s="97"/>
      <c r="C542" s="97"/>
      <c r="D542" s="97"/>
      <c r="E542" s="97"/>
      <c r="F542" s="97"/>
      <c r="G542" s="97"/>
      <c r="H542" s="99"/>
      <c r="I542" s="59"/>
      <c r="J542" s="59"/>
      <c r="K542" s="59"/>
      <c r="L542" s="59"/>
      <c r="M542" s="118"/>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row>
    <row r="543" ht="14.25" customHeight="1">
      <c r="A543" s="59"/>
      <c r="B543" s="97"/>
      <c r="C543" s="97"/>
      <c r="D543" s="97"/>
      <c r="E543" s="97"/>
      <c r="F543" s="97"/>
      <c r="G543" s="97"/>
      <c r="H543" s="99"/>
      <c r="I543" s="59"/>
      <c r="J543" s="59"/>
      <c r="K543" s="59"/>
      <c r="L543" s="59"/>
      <c r="M543" s="118"/>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row>
    <row r="544" ht="14.25" customHeight="1">
      <c r="A544" s="59"/>
      <c r="B544" s="97"/>
      <c r="C544" s="97"/>
      <c r="D544" s="97"/>
      <c r="E544" s="97"/>
      <c r="F544" s="97"/>
      <c r="G544" s="97"/>
      <c r="H544" s="99"/>
      <c r="I544" s="59"/>
      <c r="J544" s="59"/>
      <c r="K544" s="59"/>
      <c r="L544" s="59"/>
      <c r="M544" s="118"/>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row>
    <row r="545" ht="14.25" customHeight="1">
      <c r="A545" s="59"/>
      <c r="B545" s="97"/>
      <c r="C545" s="97"/>
      <c r="D545" s="97"/>
      <c r="E545" s="97"/>
      <c r="F545" s="97"/>
      <c r="G545" s="97"/>
      <c r="H545" s="99"/>
      <c r="I545" s="59"/>
      <c r="J545" s="59"/>
      <c r="K545" s="59"/>
      <c r="L545" s="59"/>
      <c r="M545" s="118"/>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row>
    <row r="546" ht="14.25" customHeight="1">
      <c r="A546" s="59"/>
      <c r="B546" s="97"/>
      <c r="C546" s="97"/>
      <c r="D546" s="97"/>
      <c r="E546" s="97"/>
      <c r="F546" s="97"/>
      <c r="G546" s="97"/>
      <c r="H546" s="99"/>
      <c r="I546" s="59"/>
      <c r="J546" s="59"/>
      <c r="K546" s="59"/>
      <c r="L546" s="59"/>
      <c r="M546" s="118"/>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row>
    <row r="547" ht="14.25" customHeight="1">
      <c r="A547" s="59"/>
      <c r="B547" s="97"/>
      <c r="C547" s="97"/>
      <c r="D547" s="97"/>
      <c r="E547" s="97"/>
      <c r="F547" s="97"/>
      <c r="G547" s="97"/>
      <c r="H547" s="99"/>
      <c r="I547" s="59"/>
      <c r="J547" s="59"/>
      <c r="K547" s="59"/>
      <c r="L547" s="59"/>
      <c r="M547" s="118"/>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row>
    <row r="548" ht="14.25" customHeight="1">
      <c r="A548" s="59"/>
      <c r="B548" s="97"/>
      <c r="C548" s="97"/>
      <c r="D548" s="97"/>
      <c r="E548" s="97"/>
      <c r="F548" s="97"/>
      <c r="G548" s="97"/>
      <c r="H548" s="99"/>
      <c r="I548" s="59"/>
      <c r="J548" s="59"/>
      <c r="K548" s="59"/>
      <c r="L548" s="59"/>
      <c r="M548" s="118"/>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row>
    <row r="549" ht="14.25" customHeight="1">
      <c r="A549" s="59"/>
      <c r="B549" s="97"/>
      <c r="C549" s="97"/>
      <c r="D549" s="97"/>
      <c r="E549" s="97"/>
      <c r="F549" s="97"/>
      <c r="G549" s="97"/>
      <c r="H549" s="99"/>
      <c r="I549" s="59"/>
      <c r="J549" s="59"/>
      <c r="K549" s="59"/>
      <c r="L549" s="59"/>
      <c r="M549" s="118"/>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row>
    <row r="550" ht="14.25" customHeight="1">
      <c r="A550" s="59"/>
      <c r="B550" s="97"/>
      <c r="C550" s="97"/>
      <c r="D550" s="97"/>
      <c r="E550" s="97"/>
      <c r="F550" s="97"/>
      <c r="G550" s="97"/>
      <c r="H550" s="99"/>
      <c r="I550" s="59"/>
      <c r="J550" s="59"/>
      <c r="K550" s="59"/>
      <c r="L550" s="59"/>
      <c r="M550" s="118"/>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row>
    <row r="551" ht="14.25" customHeight="1">
      <c r="A551" s="59"/>
      <c r="B551" s="97"/>
      <c r="C551" s="97"/>
      <c r="D551" s="97"/>
      <c r="E551" s="97"/>
      <c r="F551" s="97"/>
      <c r="G551" s="97"/>
      <c r="H551" s="99"/>
      <c r="I551" s="59"/>
      <c r="J551" s="59"/>
      <c r="K551" s="59"/>
      <c r="L551" s="59"/>
      <c r="M551" s="118"/>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row>
    <row r="552" ht="14.25" customHeight="1">
      <c r="A552" s="59"/>
      <c r="B552" s="97"/>
      <c r="C552" s="97"/>
      <c r="D552" s="97"/>
      <c r="E552" s="97"/>
      <c r="F552" s="97"/>
      <c r="G552" s="97"/>
      <c r="H552" s="99"/>
      <c r="I552" s="59"/>
      <c r="J552" s="59"/>
      <c r="K552" s="59"/>
      <c r="L552" s="59"/>
      <c r="M552" s="118"/>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row>
    <row r="553" ht="14.25" customHeight="1">
      <c r="A553" s="59"/>
      <c r="B553" s="97"/>
      <c r="C553" s="97"/>
      <c r="D553" s="97"/>
      <c r="E553" s="97"/>
      <c r="F553" s="97"/>
      <c r="G553" s="97"/>
      <c r="H553" s="99"/>
      <c r="I553" s="59"/>
      <c r="J553" s="59"/>
      <c r="K553" s="59"/>
      <c r="L553" s="59"/>
      <c r="M553" s="118"/>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row>
    <row r="554" ht="14.25" customHeight="1">
      <c r="A554" s="59"/>
      <c r="B554" s="97"/>
      <c r="C554" s="97"/>
      <c r="D554" s="97"/>
      <c r="E554" s="97"/>
      <c r="F554" s="97"/>
      <c r="G554" s="97"/>
      <c r="H554" s="99"/>
      <c r="I554" s="59"/>
      <c r="J554" s="59"/>
      <c r="K554" s="59"/>
      <c r="L554" s="59"/>
      <c r="M554" s="118"/>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row>
    <row r="555" ht="14.25" customHeight="1">
      <c r="A555" s="59"/>
      <c r="B555" s="97"/>
      <c r="C555" s="97"/>
      <c r="D555" s="97"/>
      <c r="E555" s="97"/>
      <c r="F555" s="97"/>
      <c r="G555" s="97"/>
      <c r="H555" s="99"/>
      <c r="I555" s="59"/>
      <c r="J555" s="59"/>
      <c r="K555" s="59"/>
      <c r="L555" s="59"/>
      <c r="M555" s="118"/>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row>
    <row r="556" ht="14.25" customHeight="1">
      <c r="A556" s="59"/>
      <c r="B556" s="97"/>
      <c r="C556" s="97"/>
      <c r="D556" s="97"/>
      <c r="E556" s="97"/>
      <c r="F556" s="97"/>
      <c r="G556" s="97"/>
      <c r="H556" s="99"/>
      <c r="I556" s="59"/>
      <c r="J556" s="59"/>
      <c r="K556" s="59"/>
      <c r="L556" s="59"/>
      <c r="M556" s="118"/>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row>
    <row r="557" ht="14.25" customHeight="1">
      <c r="A557" s="59"/>
      <c r="B557" s="97"/>
      <c r="C557" s="97"/>
      <c r="D557" s="97"/>
      <c r="E557" s="97"/>
      <c r="F557" s="97"/>
      <c r="G557" s="97"/>
      <c r="H557" s="99"/>
      <c r="I557" s="59"/>
      <c r="J557" s="59"/>
      <c r="K557" s="59"/>
      <c r="L557" s="59"/>
      <c r="M557" s="118"/>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row>
    <row r="558" ht="14.25" customHeight="1">
      <c r="A558" s="59"/>
      <c r="B558" s="97"/>
      <c r="C558" s="97"/>
      <c r="D558" s="97"/>
      <c r="E558" s="97"/>
      <c r="F558" s="97"/>
      <c r="G558" s="97"/>
      <c r="H558" s="99"/>
      <c r="I558" s="59"/>
      <c r="J558" s="59"/>
      <c r="K558" s="59"/>
      <c r="L558" s="59"/>
      <c r="M558" s="118"/>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row>
    <row r="559" ht="14.25" customHeight="1">
      <c r="A559" s="59"/>
      <c r="B559" s="97"/>
      <c r="C559" s="97"/>
      <c r="D559" s="97"/>
      <c r="E559" s="97"/>
      <c r="F559" s="97"/>
      <c r="G559" s="97"/>
      <c r="H559" s="99"/>
      <c r="I559" s="59"/>
      <c r="J559" s="59"/>
      <c r="K559" s="59"/>
      <c r="L559" s="59"/>
      <c r="M559" s="118"/>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row>
    <row r="560" ht="14.25" customHeight="1">
      <c r="A560" s="59"/>
      <c r="B560" s="97"/>
      <c r="C560" s="97"/>
      <c r="D560" s="97"/>
      <c r="E560" s="97"/>
      <c r="F560" s="97"/>
      <c r="G560" s="97"/>
      <c r="H560" s="99"/>
      <c r="I560" s="59"/>
      <c r="J560" s="59"/>
      <c r="K560" s="59"/>
      <c r="L560" s="59"/>
      <c r="M560" s="118"/>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row>
    <row r="561" ht="14.25" customHeight="1">
      <c r="A561" s="59"/>
      <c r="B561" s="97"/>
      <c r="C561" s="97"/>
      <c r="D561" s="97"/>
      <c r="E561" s="97"/>
      <c r="F561" s="97"/>
      <c r="G561" s="97"/>
      <c r="H561" s="99"/>
      <c r="I561" s="59"/>
      <c r="J561" s="59"/>
      <c r="K561" s="59"/>
      <c r="L561" s="59"/>
      <c r="M561" s="118"/>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row>
    <row r="562" ht="14.25" customHeight="1">
      <c r="A562" s="59"/>
      <c r="B562" s="97"/>
      <c r="C562" s="97"/>
      <c r="D562" s="97"/>
      <c r="E562" s="97"/>
      <c r="F562" s="97"/>
      <c r="G562" s="97"/>
      <c r="H562" s="99"/>
      <c r="I562" s="59"/>
      <c r="J562" s="59"/>
      <c r="K562" s="59"/>
      <c r="L562" s="59"/>
      <c r="M562" s="118"/>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row>
    <row r="563" ht="14.25" customHeight="1">
      <c r="A563" s="59"/>
      <c r="B563" s="97"/>
      <c r="C563" s="97"/>
      <c r="D563" s="97"/>
      <c r="E563" s="97"/>
      <c r="F563" s="97"/>
      <c r="G563" s="97"/>
      <c r="H563" s="99"/>
      <c r="I563" s="59"/>
      <c r="J563" s="59"/>
      <c r="K563" s="59"/>
      <c r="L563" s="59"/>
      <c r="M563" s="118"/>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row>
    <row r="564" ht="14.25" customHeight="1">
      <c r="A564" s="59"/>
      <c r="B564" s="97"/>
      <c r="C564" s="97"/>
      <c r="D564" s="97"/>
      <c r="E564" s="97"/>
      <c r="F564" s="97"/>
      <c r="G564" s="97"/>
      <c r="H564" s="99"/>
      <c r="I564" s="59"/>
      <c r="J564" s="59"/>
      <c r="K564" s="59"/>
      <c r="L564" s="59"/>
      <c r="M564" s="118"/>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row>
    <row r="565" ht="14.25" customHeight="1">
      <c r="A565" s="59"/>
      <c r="B565" s="97"/>
      <c r="C565" s="97"/>
      <c r="D565" s="97"/>
      <c r="E565" s="97"/>
      <c r="F565" s="97"/>
      <c r="G565" s="97"/>
      <c r="H565" s="99"/>
      <c r="I565" s="59"/>
      <c r="J565" s="59"/>
      <c r="K565" s="59"/>
      <c r="L565" s="59"/>
      <c r="M565" s="118"/>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row>
    <row r="566" ht="14.25" customHeight="1">
      <c r="A566" s="59"/>
      <c r="B566" s="97"/>
      <c r="C566" s="97"/>
      <c r="D566" s="97"/>
      <c r="E566" s="97"/>
      <c r="F566" s="97"/>
      <c r="G566" s="97"/>
      <c r="H566" s="99"/>
      <c r="I566" s="59"/>
      <c r="J566" s="59"/>
      <c r="K566" s="59"/>
      <c r="L566" s="59"/>
      <c r="M566" s="118"/>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row>
    <row r="567" ht="14.25" customHeight="1">
      <c r="A567" s="59"/>
      <c r="B567" s="97"/>
      <c r="C567" s="97"/>
      <c r="D567" s="97"/>
      <c r="E567" s="97"/>
      <c r="F567" s="97"/>
      <c r="G567" s="97"/>
      <c r="H567" s="99"/>
      <c r="I567" s="59"/>
      <c r="J567" s="59"/>
      <c r="K567" s="59"/>
      <c r="L567" s="59"/>
      <c r="M567" s="118"/>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row>
    <row r="568" ht="14.25" customHeight="1">
      <c r="A568" s="59"/>
      <c r="B568" s="97"/>
      <c r="C568" s="97"/>
      <c r="D568" s="97"/>
      <c r="E568" s="97"/>
      <c r="F568" s="97"/>
      <c r="G568" s="97"/>
      <c r="H568" s="99"/>
      <c r="I568" s="59"/>
      <c r="J568" s="59"/>
      <c r="K568" s="59"/>
      <c r="L568" s="59"/>
      <c r="M568" s="118"/>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row>
    <row r="569" ht="14.25" customHeight="1">
      <c r="A569" s="59"/>
      <c r="B569" s="97"/>
      <c r="C569" s="97"/>
      <c r="D569" s="97"/>
      <c r="E569" s="97"/>
      <c r="F569" s="97"/>
      <c r="G569" s="97"/>
      <c r="H569" s="99"/>
      <c r="I569" s="59"/>
      <c r="J569" s="59"/>
      <c r="K569" s="59"/>
      <c r="L569" s="59"/>
      <c r="M569" s="118"/>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row>
    <row r="570" ht="14.25" customHeight="1">
      <c r="A570" s="59"/>
      <c r="B570" s="97"/>
      <c r="C570" s="97"/>
      <c r="D570" s="97"/>
      <c r="E570" s="97"/>
      <c r="F570" s="97"/>
      <c r="G570" s="97"/>
      <c r="H570" s="99"/>
      <c r="I570" s="59"/>
      <c r="J570" s="59"/>
      <c r="K570" s="59"/>
      <c r="L570" s="59"/>
      <c r="M570" s="118"/>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row>
    <row r="571" ht="14.25" customHeight="1">
      <c r="A571" s="59"/>
      <c r="B571" s="97"/>
      <c r="C571" s="97"/>
      <c r="D571" s="97"/>
      <c r="E571" s="97"/>
      <c r="F571" s="97"/>
      <c r="G571" s="97"/>
      <c r="H571" s="99"/>
      <c r="I571" s="59"/>
      <c r="J571" s="59"/>
      <c r="K571" s="59"/>
      <c r="L571" s="59"/>
      <c r="M571" s="118"/>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row>
    <row r="572" ht="14.25" customHeight="1">
      <c r="A572" s="59"/>
      <c r="B572" s="97"/>
      <c r="C572" s="97"/>
      <c r="D572" s="97"/>
      <c r="E572" s="97"/>
      <c r="F572" s="97"/>
      <c r="G572" s="97"/>
      <c r="H572" s="99"/>
      <c r="I572" s="59"/>
      <c r="J572" s="59"/>
      <c r="K572" s="59"/>
      <c r="L572" s="59"/>
      <c r="M572" s="118"/>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row>
    <row r="573" ht="14.25" customHeight="1">
      <c r="A573" s="59"/>
      <c r="B573" s="97"/>
      <c r="C573" s="97"/>
      <c r="D573" s="97"/>
      <c r="E573" s="97"/>
      <c r="F573" s="97"/>
      <c r="G573" s="97"/>
      <c r="H573" s="99"/>
      <c r="I573" s="59"/>
      <c r="J573" s="59"/>
      <c r="K573" s="59"/>
      <c r="L573" s="59"/>
      <c r="M573" s="118"/>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row>
    <row r="574" ht="14.25" customHeight="1">
      <c r="A574" s="59"/>
      <c r="B574" s="97"/>
      <c r="C574" s="97"/>
      <c r="D574" s="97"/>
      <c r="E574" s="97"/>
      <c r="F574" s="97"/>
      <c r="G574" s="97"/>
      <c r="H574" s="99"/>
      <c r="I574" s="59"/>
      <c r="J574" s="59"/>
      <c r="K574" s="59"/>
      <c r="L574" s="59"/>
      <c r="M574" s="118"/>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row>
    <row r="575" ht="14.25" customHeight="1">
      <c r="A575" s="59"/>
      <c r="B575" s="97"/>
      <c r="C575" s="97"/>
      <c r="D575" s="97"/>
      <c r="E575" s="97"/>
      <c r="F575" s="97"/>
      <c r="G575" s="97"/>
      <c r="H575" s="99"/>
      <c r="I575" s="59"/>
      <c r="J575" s="59"/>
      <c r="K575" s="59"/>
      <c r="L575" s="59"/>
      <c r="M575" s="118"/>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row>
    <row r="576" ht="14.25" customHeight="1">
      <c r="A576" s="59"/>
      <c r="B576" s="97"/>
      <c r="C576" s="97"/>
      <c r="D576" s="97"/>
      <c r="E576" s="97"/>
      <c r="F576" s="97"/>
      <c r="G576" s="97"/>
      <c r="H576" s="99"/>
      <c r="I576" s="59"/>
      <c r="J576" s="59"/>
      <c r="K576" s="59"/>
      <c r="L576" s="59"/>
      <c r="M576" s="118"/>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row>
    <row r="577" ht="14.25" customHeight="1">
      <c r="A577" s="59"/>
      <c r="B577" s="97"/>
      <c r="C577" s="97"/>
      <c r="D577" s="97"/>
      <c r="E577" s="97"/>
      <c r="F577" s="97"/>
      <c r="G577" s="97"/>
      <c r="H577" s="99"/>
      <c r="I577" s="59"/>
      <c r="J577" s="59"/>
      <c r="K577" s="59"/>
      <c r="L577" s="59"/>
      <c r="M577" s="118"/>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row>
    <row r="578" ht="14.25" customHeight="1">
      <c r="A578" s="59"/>
      <c r="B578" s="97"/>
      <c r="C578" s="97"/>
      <c r="D578" s="97"/>
      <c r="E578" s="97"/>
      <c r="F578" s="97"/>
      <c r="G578" s="97"/>
      <c r="H578" s="99"/>
      <c r="I578" s="59"/>
      <c r="J578" s="59"/>
      <c r="K578" s="59"/>
      <c r="L578" s="59"/>
      <c r="M578" s="118"/>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row>
    <row r="579" ht="14.25" customHeight="1">
      <c r="A579" s="59"/>
      <c r="B579" s="97"/>
      <c r="C579" s="97"/>
      <c r="D579" s="97"/>
      <c r="E579" s="97"/>
      <c r="F579" s="97"/>
      <c r="G579" s="97"/>
      <c r="H579" s="99"/>
      <c r="I579" s="59"/>
      <c r="J579" s="59"/>
      <c r="K579" s="59"/>
      <c r="L579" s="59"/>
      <c r="M579" s="118"/>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row>
    <row r="580" ht="14.25" customHeight="1">
      <c r="A580" s="59"/>
      <c r="B580" s="97"/>
      <c r="C580" s="97"/>
      <c r="D580" s="97"/>
      <c r="E580" s="97"/>
      <c r="F580" s="97"/>
      <c r="G580" s="97"/>
      <c r="H580" s="99"/>
      <c r="I580" s="59"/>
      <c r="J580" s="59"/>
      <c r="K580" s="59"/>
      <c r="L580" s="59"/>
      <c r="M580" s="118"/>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row>
    <row r="581" ht="14.25" customHeight="1">
      <c r="A581" s="59"/>
      <c r="B581" s="97"/>
      <c r="C581" s="97"/>
      <c r="D581" s="97"/>
      <c r="E581" s="97"/>
      <c r="F581" s="97"/>
      <c r="G581" s="97"/>
      <c r="H581" s="99"/>
      <c r="I581" s="59"/>
      <c r="J581" s="59"/>
      <c r="K581" s="59"/>
      <c r="L581" s="59"/>
      <c r="M581" s="118"/>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row>
    <row r="582" ht="14.25" customHeight="1">
      <c r="A582" s="59"/>
      <c r="B582" s="97"/>
      <c r="C582" s="97"/>
      <c r="D582" s="97"/>
      <c r="E582" s="97"/>
      <c r="F582" s="97"/>
      <c r="G582" s="97"/>
      <c r="H582" s="99"/>
      <c r="I582" s="59"/>
      <c r="J582" s="59"/>
      <c r="K582" s="59"/>
      <c r="L582" s="59"/>
      <c r="M582" s="118"/>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row>
    <row r="583" ht="14.25" customHeight="1">
      <c r="A583" s="59"/>
      <c r="B583" s="97"/>
      <c r="C583" s="97"/>
      <c r="D583" s="97"/>
      <c r="E583" s="97"/>
      <c r="F583" s="97"/>
      <c r="G583" s="97"/>
      <c r="H583" s="99"/>
      <c r="I583" s="59"/>
      <c r="J583" s="59"/>
      <c r="K583" s="59"/>
      <c r="L583" s="59"/>
      <c r="M583" s="118"/>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row>
    <row r="584" ht="14.25" customHeight="1">
      <c r="A584" s="59"/>
      <c r="B584" s="97"/>
      <c r="C584" s="97"/>
      <c r="D584" s="97"/>
      <c r="E584" s="97"/>
      <c r="F584" s="97"/>
      <c r="G584" s="97"/>
      <c r="H584" s="99"/>
      <c r="I584" s="59"/>
      <c r="J584" s="59"/>
      <c r="K584" s="59"/>
      <c r="L584" s="59"/>
      <c r="M584" s="118"/>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row>
    <row r="585" ht="14.25" customHeight="1">
      <c r="A585" s="59"/>
      <c r="B585" s="97"/>
      <c r="C585" s="97"/>
      <c r="D585" s="97"/>
      <c r="E585" s="97"/>
      <c r="F585" s="97"/>
      <c r="G585" s="97"/>
      <c r="H585" s="99"/>
      <c r="I585" s="59"/>
      <c r="J585" s="59"/>
      <c r="K585" s="59"/>
      <c r="L585" s="59"/>
      <c r="M585" s="118"/>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row>
    <row r="586" ht="14.25" customHeight="1">
      <c r="A586" s="59"/>
      <c r="B586" s="97"/>
      <c r="C586" s="97"/>
      <c r="D586" s="97"/>
      <c r="E586" s="97"/>
      <c r="F586" s="97"/>
      <c r="G586" s="97"/>
      <c r="H586" s="99"/>
      <c r="I586" s="59"/>
      <c r="J586" s="59"/>
      <c r="K586" s="59"/>
      <c r="L586" s="59"/>
      <c r="M586" s="118"/>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row>
    <row r="587" ht="14.25" customHeight="1">
      <c r="A587" s="59"/>
      <c r="B587" s="97"/>
      <c r="C587" s="97"/>
      <c r="D587" s="97"/>
      <c r="E587" s="97"/>
      <c r="F587" s="97"/>
      <c r="G587" s="97"/>
      <c r="H587" s="99"/>
      <c r="I587" s="59"/>
      <c r="J587" s="59"/>
      <c r="K587" s="59"/>
      <c r="L587" s="59"/>
      <c r="M587" s="118"/>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row>
    <row r="588" ht="14.25" customHeight="1">
      <c r="A588" s="59"/>
      <c r="B588" s="97"/>
      <c r="C588" s="97"/>
      <c r="D588" s="97"/>
      <c r="E588" s="97"/>
      <c r="F588" s="97"/>
      <c r="G588" s="97"/>
      <c r="H588" s="99"/>
      <c r="I588" s="59"/>
      <c r="J588" s="59"/>
      <c r="K588" s="59"/>
      <c r="L588" s="59"/>
      <c r="M588" s="118"/>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row>
    <row r="589" ht="14.25" customHeight="1">
      <c r="A589" s="59"/>
      <c r="B589" s="97"/>
      <c r="C589" s="97"/>
      <c r="D589" s="97"/>
      <c r="E589" s="97"/>
      <c r="F589" s="97"/>
      <c r="G589" s="97"/>
      <c r="H589" s="99"/>
      <c r="I589" s="59"/>
      <c r="J589" s="59"/>
      <c r="K589" s="59"/>
      <c r="L589" s="59"/>
      <c r="M589" s="118"/>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row>
    <row r="590" ht="14.25" customHeight="1">
      <c r="A590" s="59"/>
      <c r="B590" s="97"/>
      <c r="C590" s="97"/>
      <c r="D590" s="97"/>
      <c r="E590" s="97"/>
      <c r="F590" s="97"/>
      <c r="G590" s="97"/>
      <c r="H590" s="99"/>
      <c r="I590" s="59"/>
      <c r="J590" s="59"/>
      <c r="K590" s="59"/>
      <c r="L590" s="59"/>
      <c r="M590" s="118"/>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row>
    <row r="591" ht="14.25" customHeight="1">
      <c r="A591" s="59"/>
      <c r="B591" s="97"/>
      <c r="C591" s="97"/>
      <c r="D591" s="97"/>
      <c r="E591" s="97"/>
      <c r="F591" s="97"/>
      <c r="G591" s="97"/>
      <c r="H591" s="99"/>
      <c r="I591" s="59"/>
      <c r="J591" s="59"/>
      <c r="K591" s="59"/>
      <c r="L591" s="59"/>
      <c r="M591" s="118"/>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row>
    <row r="592" ht="14.25" customHeight="1">
      <c r="A592" s="59"/>
      <c r="B592" s="97"/>
      <c r="C592" s="97"/>
      <c r="D592" s="97"/>
      <c r="E592" s="97"/>
      <c r="F592" s="97"/>
      <c r="G592" s="97"/>
      <c r="H592" s="99"/>
      <c r="I592" s="59"/>
      <c r="J592" s="59"/>
      <c r="K592" s="59"/>
      <c r="L592" s="59"/>
      <c r="M592" s="118"/>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row>
    <row r="593" ht="14.25" customHeight="1">
      <c r="A593" s="59"/>
      <c r="B593" s="97"/>
      <c r="C593" s="97"/>
      <c r="D593" s="97"/>
      <c r="E593" s="97"/>
      <c r="F593" s="97"/>
      <c r="G593" s="97"/>
      <c r="H593" s="99"/>
      <c r="I593" s="59"/>
      <c r="J593" s="59"/>
      <c r="K593" s="59"/>
      <c r="L593" s="59"/>
      <c r="M593" s="118"/>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row>
    <row r="594" ht="14.25" customHeight="1">
      <c r="A594" s="59"/>
      <c r="B594" s="97"/>
      <c r="C594" s="97"/>
      <c r="D594" s="97"/>
      <c r="E594" s="97"/>
      <c r="F594" s="97"/>
      <c r="G594" s="97"/>
      <c r="H594" s="99"/>
      <c r="I594" s="59"/>
      <c r="J594" s="59"/>
      <c r="K594" s="59"/>
      <c r="L594" s="59"/>
      <c r="M594" s="118"/>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row>
    <row r="595" ht="14.25" customHeight="1">
      <c r="A595" s="59"/>
      <c r="B595" s="97"/>
      <c r="C595" s="97"/>
      <c r="D595" s="97"/>
      <c r="E595" s="97"/>
      <c r="F595" s="97"/>
      <c r="G595" s="97"/>
      <c r="H595" s="99"/>
      <c r="I595" s="59"/>
      <c r="J595" s="59"/>
      <c r="K595" s="59"/>
      <c r="L595" s="59"/>
      <c r="M595" s="118"/>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row>
    <row r="596" ht="14.25" customHeight="1">
      <c r="A596" s="59"/>
      <c r="B596" s="97"/>
      <c r="C596" s="97"/>
      <c r="D596" s="97"/>
      <c r="E596" s="97"/>
      <c r="F596" s="97"/>
      <c r="G596" s="97"/>
      <c r="H596" s="99"/>
      <c r="I596" s="59"/>
      <c r="J596" s="59"/>
      <c r="K596" s="59"/>
      <c r="L596" s="59"/>
      <c r="M596" s="118"/>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row>
    <row r="597" ht="14.25" customHeight="1">
      <c r="A597" s="59"/>
      <c r="B597" s="97"/>
      <c r="C597" s="97"/>
      <c r="D597" s="97"/>
      <c r="E597" s="97"/>
      <c r="F597" s="97"/>
      <c r="G597" s="97"/>
      <c r="H597" s="99"/>
      <c r="I597" s="59"/>
      <c r="J597" s="59"/>
      <c r="K597" s="59"/>
      <c r="L597" s="59"/>
      <c r="M597" s="118"/>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row>
    <row r="598" ht="14.25" customHeight="1">
      <c r="A598" s="59"/>
      <c r="B598" s="97"/>
      <c r="C598" s="97"/>
      <c r="D598" s="97"/>
      <c r="E598" s="97"/>
      <c r="F598" s="97"/>
      <c r="G598" s="97"/>
      <c r="H598" s="99"/>
      <c r="I598" s="59"/>
      <c r="J598" s="59"/>
      <c r="K598" s="59"/>
      <c r="L598" s="59"/>
      <c r="M598" s="118"/>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row>
    <row r="599" ht="14.25" customHeight="1">
      <c r="A599" s="59"/>
      <c r="B599" s="97"/>
      <c r="C599" s="97"/>
      <c r="D599" s="97"/>
      <c r="E599" s="97"/>
      <c r="F599" s="97"/>
      <c r="G599" s="97"/>
      <c r="H599" s="99"/>
      <c r="I599" s="59"/>
      <c r="J599" s="59"/>
      <c r="K599" s="59"/>
      <c r="L599" s="59"/>
      <c r="M599" s="118"/>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row>
    <row r="600" ht="14.25" customHeight="1">
      <c r="A600" s="59"/>
      <c r="B600" s="97"/>
      <c r="C600" s="97"/>
      <c r="D600" s="97"/>
      <c r="E600" s="97"/>
      <c r="F600" s="97"/>
      <c r="G600" s="97"/>
      <c r="H600" s="99"/>
      <c r="I600" s="59"/>
      <c r="J600" s="59"/>
      <c r="K600" s="59"/>
      <c r="L600" s="59"/>
      <c r="M600" s="118"/>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row>
    <row r="601" ht="14.25" customHeight="1">
      <c r="A601" s="59"/>
      <c r="B601" s="97"/>
      <c r="C601" s="97"/>
      <c r="D601" s="97"/>
      <c r="E601" s="97"/>
      <c r="F601" s="97"/>
      <c r="G601" s="97"/>
      <c r="H601" s="99"/>
      <c r="I601" s="59"/>
      <c r="J601" s="59"/>
      <c r="K601" s="59"/>
      <c r="L601" s="59"/>
      <c r="M601" s="118"/>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row>
    <row r="602" ht="14.25" customHeight="1">
      <c r="A602" s="59"/>
      <c r="B602" s="97"/>
      <c r="C602" s="97"/>
      <c r="D602" s="97"/>
      <c r="E602" s="97"/>
      <c r="F602" s="97"/>
      <c r="G602" s="97"/>
      <c r="H602" s="99"/>
      <c r="I602" s="59"/>
      <c r="J602" s="59"/>
      <c r="K602" s="59"/>
      <c r="L602" s="59"/>
      <c r="M602" s="118"/>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row>
    <row r="603" ht="14.25" customHeight="1">
      <c r="A603" s="59"/>
      <c r="B603" s="97"/>
      <c r="C603" s="97"/>
      <c r="D603" s="97"/>
      <c r="E603" s="97"/>
      <c r="F603" s="97"/>
      <c r="G603" s="97"/>
      <c r="H603" s="99"/>
      <c r="I603" s="59"/>
      <c r="J603" s="59"/>
      <c r="K603" s="59"/>
      <c r="L603" s="59"/>
      <c r="M603" s="118"/>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row>
    <row r="604" ht="14.25" customHeight="1">
      <c r="A604" s="59"/>
      <c r="B604" s="97"/>
      <c r="C604" s="97"/>
      <c r="D604" s="97"/>
      <c r="E604" s="97"/>
      <c r="F604" s="97"/>
      <c r="G604" s="97"/>
      <c r="H604" s="99"/>
      <c r="I604" s="59"/>
      <c r="J604" s="59"/>
      <c r="K604" s="59"/>
      <c r="L604" s="59"/>
      <c r="M604" s="118"/>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row>
    <row r="605" ht="14.25" customHeight="1">
      <c r="A605" s="59"/>
      <c r="B605" s="97"/>
      <c r="C605" s="97"/>
      <c r="D605" s="97"/>
      <c r="E605" s="97"/>
      <c r="F605" s="97"/>
      <c r="G605" s="97"/>
      <c r="H605" s="99"/>
      <c r="I605" s="59"/>
      <c r="J605" s="59"/>
      <c r="K605" s="59"/>
      <c r="L605" s="59"/>
      <c r="M605" s="118"/>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row>
    <row r="606" ht="14.25" customHeight="1">
      <c r="A606" s="59"/>
      <c r="B606" s="97"/>
      <c r="C606" s="97"/>
      <c r="D606" s="97"/>
      <c r="E606" s="97"/>
      <c r="F606" s="97"/>
      <c r="G606" s="97"/>
      <c r="H606" s="99"/>
      <c r="I606" s="59"/>
      <c r="J606" s="59"/>
      <c r="K606" s="59"/>
      <c r="L606" s="59"/>
      <c r="M606" s="118"/>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row>
    <row r="607" ht="14.25" customHeight="1">
      <c r="A607" s="59"/>
      <c r="B607" s="97"/>
      <c r="C607" s="97"/>
      <c r="D607" s="97"/>
      <c r="E607" s="97"/>
      <c r="F607" s="97"/>
      <c r="G607" s="97"/>
      <c r="H607" s="99"/>
      <c r="I607" s="59"/>
      <c r="J607" s="59"/>
      <c r="K607" s="59"/>
      <c r="L607" s="59"/>
      <c r="M607" s="118"/>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row>
    <row r="608" ht="14.25" customHeight="1">
      <c r="A608" s="59"/>
      <c r="B608" s="97"/>
      <c r="C608" s="97"/>
      <c r="D608" s="97"/>
      <c r="E608" s="97"/>
      <c r="F608" s="97"/>
      <c r="G608" s="97"/>
      <c r="H608" s="99"/>
      <c r="I608" s="59"/>
      <c r="J608" s="59"/>
      <c r="K608" s="59"/>
      <c r="L608" s="59"/>
      <c r="M608" s="118"/>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row>
    <row r="609" ht="14.25" customHeight="1">
      <c r="A609" s="59"/>
      <c r="B609" s="97"/>
      <c r="C609" s="97"/>
      <c r="D609" s="97"/>
      <c r="E609" s="97"/>
      <c r="F609" s="97"/>
      <c r="G609" s="97"/>
      <c r="H609" s="99"/>
      <c r="I609" s="59"/>
      <c r="J609" s="59"/>
      <c r="K609" s="59"/>
      <c r="L609" s="59"/>
      <c r="M609" s="118"/>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row>
    <row r="610" ht="14.25" customHeight="1">
      <c r="A610" s="59"/>
      <c r="B610" s="97"/>
      <c r="C610" s="97"/>
      <c r="D610" s="97"/>
      <c r="E610" s="97"/>
      <c r="F610" s="97"/>
      <c r="G610" s="97"/>
      <c r="H610" s="99"/>
      <c r="I610" s="59"/>
      <c r="J610" s="59"/>
      <c r="K610" s="59"/>
      <c r="L610" s="59"/>
      <c r="M610" s="118"/>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row>
    <row r="611" ht="14.25" customHeight="1">
      <c r="A611" s="59"/>
      <c r="B611" s="97"/>
      <c r="C611" s="97"/>
      <c r="D611" s="97"/>
      <c r="E611" s="97"/>
      <c r="F611" s="97"/>
      <c r="G611" s="97"/>
      <c r="H611" s="99"/>
      <c r="I611" s="59"/>
      <c r="J611" s="59"/>
      <c r="K611" s="59"/>
      <c r="L611" s="59"/>
      <c r="M611" s="118"/>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row>
    <row r="612" ht="14.25" customHeight="1">
      <c r="A612" s="59"/>
      <c r="B612" s="97"/>
      <c r="C612" s="97"/>
      <c r="D612" s="97"/>
      <c r="E612" s="97"/>
      <c r="F612" s="97"/>
      <c r="G612" s="97"/>
      <c r="H612" s="99"/>
      <c r="I612" s="59"/>
      <c r="J612" s="59"/>
      <c r="K612" s="59"/>
      <c r="L612" s="59"/>
      <c r="M612" s="118"/>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row>
    <row r="613" ht="14.25" customHeight="1">
      <c r="A613" s="59"/>
      <c r="B613" s="97"/>
      <c r="C613" s="97"/>
      <c r="D613" s="97"/>
      <c r="E613" s="97"/>
      <c r="F613" s="97"/>
      <c r="G613" s="97"/>
      <c r="H613" s="99"/>
      <c r="I613" s="59"/>
      <c r="J613" s="59"/>
      <c r="K613" s="59"/>
      <c r="L613" s="59"/>
      <c r="M613" s="118"/>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row>
    <row r="614" ht="14.25" customHeight="1">
      <c r="A614" s="59"/>
      <c r="B614" s="97"/>
      <c r="C614" s="97"/>
      <c r="D614" s="97"/>
      <c r="E614" s="97"/>
      <c r="F614" s="97"/>
      <c r="G614" s="97"/>
      <c r="H614" s="99"/>
      <c r="I614" s="59"/>
      <c r="J614" s="59"/>
      <c r="K614" s="59"/>
      <c r="L614" s="59"/>
      <c r="M614" s="118"/>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row>
    <row r="615" ht="14.25" customHeight="1">
      <c r="A615" s="59"/>
      <c r="B615" s="97"/>
      <c r="C615" s="97"/>
      <c r="D615" s="97"/>
      <c r="E615" s="97"/>
      <c r="F615" s="97"/>
      <c r="G615" s="97"/>
      <c r="H615" s="99"/>
      <c r="I615" s="59"/>
      <c r="J615" s="59"/>
      <c r="K615" s="59"/>
      <c r="L615" s="59"/>
      <c r="M615" s="118"/>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row>
    <row r="616" ht="14.25" customHeight="1">
      <c r="A616" s="59"/>
      <c r="B616" s="97"/>
      <c r="C616" s="97"/>
      <c r="D616" s="97"/>
      <c r="E616" s="97"/>
      <c r="F616" s="97"/>
      <c r="G616" s="97"/>
      <c r="H616" s="99"/>
      <c r="I616" s="59"/>
      <c r="J616" s="59"/>
      <c r="K616" s="59"/>
      <c r="L616" s="59"/>
      <c r="M616" s="118"/>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row>
    <row r="617" ht="14.25" customHeight="1">
      <c r="A617" s="59"/>
      <c r="B617" s="97"/>
      <c r="C617" s="97"/>
      <c r="D617" s="97"/>
      <c r="E617" s="97"/>
      <c r="F617" s="97"/>
      <c r="G617" s="97"/>
      <c r="H617" s="99"/>
      <c r="I617" s="59"/>
      <c r="J617" s="59"/>
      <c r="K617" s="59"/>
      <c r="L617" s="59"/>
      <c r="M617" s="118"/>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row>
    <row r="618" ht="14.25" customHeight="1">
      <c r="A618" s="59"/>
      <c r="B618" s="97"/>
      <c r="C618" s="97"/>
      <c r="D618" s="97"/>
      <c r="E618" s="97"/>
      <c r="F618" s="97"/>
      <c r="G618" s="97"/>
      <c r="H618" s="99"/>
      <c r="I618" s="59"/>
      <c r="J618" s="59"/>
      <c r="K618" s="59"/>
      <c r="L618" s="59"/>
      <c r="M618" s="118"/>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row>
    <row r="619" ht="14.25" customHeight="1">
      <c r="A619" s="59"/>
      <c r="B619" s="97"/>
      <c r="C619" s="97"/>
      <c r="D619" s="97"/>
      <c r="E619" s="97"/>
      <c r="F619" s="97"/>
      <c r="G619" s="97"/>
      <c r="H619" s="99"/>
      <c r="I619" s="59"/>
      <c r="J619" s="59"/>
      <c r="K619" s="59"/>
      <c r="L619" s="59"/>
      <c r="M619" s="118"/>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row>
    <row r="620" ht="14.25" customHeight="1">
      <c r="A620" s="59"/>
      <c r="B620" s="97"/>
      <c r="C620" s="97"/>
      <c r="D620" s="97"/>
      <c r="E620" s="97"/>
      <c r="F620" s="97"/>
      <c r="G620" s="97"/>
      <c r="H620" s="99"/>
      <c r="I620" s="59"/>
      <c r="J620" s="59"/>
      <c r="K620" s="59"/>
      <c r="L620" s="59"/>
      <c r="M620" s="118"/>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row>
    <row r="621" ht="14.25" customHeight="1">
      <c r="A621" s="59"/>
      <c r="B621" s="97"/>
      <c r="C621" s="97"/>
      <c r="D621" s="97"/>
      <c r="E621" s="97"/>
      <c r="F621" s="97"/>
      <c r="G621" s="97"/>
      <c r="H621" s="99"/>
      <c r="I621" s="59"/>
      <c r="J621" s="59"/>
      <c r="K621" s="59"/>
      <c r="L621" s="59"/>
      <c r="M621" s="118"/>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row>
    <row r="622" ht="14.25" customHeight="1">
      <c r="A622" s="59"/>
      <c r="B622" s="97"/>
      <c r="C622" s="97"/>
      <c r="D622" s="97"/>
      <c r="E622" s="97"/>
      <c r="F622" s="97"/>
      <c r="G622" s="97"/>
      <c r="H622" s="99"/>
      <c r="I622" s="59"/>
      <c r="J622" s="59"/>
      <c r="K622" s="59"/>
      <c r="L622" s="59"/>
      <c r="M622" s="118"/>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row>
    <row r="623" ht="14.25" customHeight="1">
      <c r="A623" s="59"/>
      <c r="B623" s="97"/>
      <c r="C623" s="97"/>
      <c r="D623" s="97"/>
      <c r="E623" s="97"/>
      <c r="F623" s="97"/>
      <c r="G623" s="97"/>
      <c r="H623" s="99"/>
      <c r="I623" s="59"/>
      <c r="J623" s="59"/>
      <c r="K623" s="59"/>
      <c r="L623" s="59"/>
      <c r="M623" s="118"/>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row>
    <row r="624" ht="14.25" customHeight="1">
      <c r="A624" s="59"/>
      <c r="B624" s="97"/>
      <c r="C624" s="97"/>
      <c r="D624" s="97"/>
      <c r="E624" s="97"/>
      <c r="F624" s="97"/>
      <c r="G624" s="97"/>
      <c r="H624" s="99"/>
      <c r="I624" s="59"/>
      <c r="J624" s="59"/>
      <c r="K624" s="59"/>
      <c r="L624" s="59"/>
      <c r="M624" s="118"/>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row>
    <row r="625" ht="14.25" customHeight="1">
      <c r="A625" s="59"/>
      <c r="B625" s="97"/>
      <c r="C625" s="97"/>
      <c r="D625" s="97"/>
      <c r="E625" s="97"/>
      <c r="F625" s="97"/>
      <c r="G625" s="97"/>
      <c r="H625" s="99"/>
      <c r="I625" s="59"/>
      <c r="J625" s="59"/>
      <c r="K625" s="59"/>
      <c r="L625" s="59"/>
      <c r="M625" s="118"/>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row>
    <row r="626" ht="14.25" customHeight="1">
      <c r="A626" s="59"/>
      <c r="B626" s="97"/>
      <c r="C626" s="97"/>
      <c r="D626" s="97"/>
      <c r="E626" s="97"/>
      <c r="F626" s="97"/>
      <c r="G626" s="97"/>
      <c r="H626" s="99"/>
      <c r="I626" s="59"/>
      <c r="J626" s="59"/>
      <c r="K626" s="59"/>
      <c r="L626" s="59"/>
      <c r="M626" s="118"/>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row>
    <row r="627" ht="14.25" customHeight="1">
      <c r="A627" s="59"/>
      <c r="B627" s="97"/>
      <c r="C627" s="97"/>
      <c r="D627" s="97"/>
      <c r="E627" s="97"/>
      <c r="F627" s="97"/>
      <c r="G627" s="97"/>
      <c r="H627" s="99"/>
      <c r="I627" s="59"/>
      <c r="J627" s="59"/>
      <c r="K627" s="59"/>
      <c r="L627" s="59"/>
      <c r="M627" s="118"/>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row>
    <row r="628" ht="14.25" customHeight="1">
      <c r="A628" s="59"/>
      <c r="B628" s="97"/>
      <c r="C628" s="97"/>
      <c r="D628" s="97"/>
      <c r="E628" s="97"/>
      <c r="F628" s="97"/>
      <c r="G628" s="97"/>
      <c r="H628" s="99"/>
      <c r="I628" s="59"/>
      <c r="J628" s="59"/>
      <c r="K628" s="59"/>
      <c r="L628" s="59"/>
      <c r="M628" s="118"/>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row>
    <row r="629" ht="14.25" customHeight="1">
      <c r="A629" s="59"/>
      <c r="B629" s="97"/>
      <c r="C629" s="97"/>
      <c r="D629" s="97"/>
      <c r="E629" s="97"/>
      <c r="F629" s="97"/>
      <c r="G629" s="97"/>
      <c r="H629" s="99"/>
      <c r="I629" s="59"/>
      <c r="J629" s="59"/>
      <c r="K629" s="59"/>
      <c r="L629" s="59"/>
      <c r="M629" s="118"/>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row>
    <row r="630" ht="14.25" customHeight="1">
      <c r="A630" s="59"/>
      <c r="B630" s="97"/>
      <c r="C630" s="97"/>
      <c r="D630" s="97"/>
      <c r="E630" s="97"/>
      <c r="F630" s="97"/>
      <c r="G630" s="97"/>
      <c r="H630" s="99"/>
      <c r="I630" s="59"/>
      <c r="J630" s="59"/>
      <c r="K630" s="59"/>
      <c r="L630" s="59"/>
      <c r="M630" s="118"/>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row>
    <row r="631" ht="14.25" customHeight="1">
      <c r="A631" s="59"/>
      <c r="B631" s="97"/>
      <c r="C631" s="97"/>
      <c r="D631" s="97"/>
      <c r="E631" s="97"/>
      <c r="F631" s="97"/>
      <c r="G631" s="97"/>
      <c r="H631" s="99"/>
      <c r="I631" s="59"/>
      <c r="J631" s="59"/>
      <c r="K631" s="59"/>
      <c r="L631" s="59"/>
      <c r="M631" s="118"/>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row>
    <row r="632" ht="14.25" customHeight="1">
      <c r="A632" s="59"/>
      <c r="B632" s="97"/>
      <c r="C632" s="97"/>
      <c r="D632" s="97"/>
      <c r="E632" s="97"/>
      <c r="F632" s="97"/>
      <c r="G632" s="97"/>
      <c r="H632" s="99"/>
      <c r="I632" s="59"/>
      <c r="J632" s="59"/>
      <c r="K632" s="59"/>
      <c r="L632" s="59"/>
      <c r="M632" s="118"/>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row>
    <row r="633" ht="14.25" customHeight="1">
      <c r="A633" s="59"/>
      <c r="B633" s="97"/>
      <c r="C633" s="97"/>
      <c r="D633" s="97"/>
      <c r="E633" s="97"/>
      <c r="F633" s="97"/>
      <c r="G633" s="97"/>
      <c r="H633" s="99"/>
      <c r="I633" s="59"/>
      <c r="J633" s="59"/>
      <c r="K633" s="59"/>
      <c r="L633" s="59"/>
      <c r="M633" s="118"/>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row>
    <row r="634" ht="14.25" customHeight="1">
      <c r="A634" s="59"/>
      <c r="B634" s="97"/>
      <c r="C634" s="97"/>
      <c r="D634" s="97"/>
      <c r="E634" s="97"/>
      <c r="F634" s="97"/>
      <c r="G634" s="97"/>
      <c r="H634" s="99"/>
      <c r="I634" s="59"/>
      <c r="J634" s="59"/>
      <c r="K634" s="59"/>
      <c r="L634" s="59"/>
      <c r="M634" s="118"/>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row>
    <row r="635" ht="14.25" customHeight="1">
      <c r="A635" s="59"/>
      <c r="B635" s="97"/>
      <c r="C635" s="97"/>
      <c r="D635" s="97"/>
      <c r="E635" s="97"/>
      <c r="F635" s="97"/>
      <c r="G635" s="97"/>
      <c r="H635" s="99"/>
      <c r="I635" s="59"/>
      <c r="J635" s="59"/>
      <c r="K635" s="59"/>
      <c r="L635" s="59"/>
      <c r="M635" s="118"/>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row>
    <row r="636" ht="14.25" customHeight="1">
      <c r="A636" s="59"/>
      <c r="B636" s="97"/>
      <c r="C636" s="97"/>
      <c r="D636" s="97"/>
      <c r="E636" s="97"/>
      <c r="F636" s="97"/>
      <c r="G636" s="97"/>
      <c r="H636" s="99"/>
      <c r="I636" s="59"/>
      <c r="J636" s="59"/>
      <c r="K636" s="59"/>
      <c r="L636" s="59"/>
      <c r="M636" s="118"/>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row>
    <row r="637" ht="14.25" customHeight="1">
      <c r="A637" s="59"/>
      <c r="B637" s="97"/>
      <c r="C637" s="97"/>
      <c r="D637" s="97"/>
      <c r="E637" s="97"/>
      <c r="F637" s="97"/>
      <c r="G637" s="97"/>
      <c r="H637" s="99"/>
      <c r="I637" s="59"/>
      <c r="J637" s="59"/>
      <c r="K637" s="59"/>
      <c r="L637" s="59"/>
      <c r="M637" s="118"/>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row>
    <row r="638" ht="14.25" customHeight="1">
      <c r="A638" s="59"/>
      <c r="B638" s="97"/>
      <c r="C638" s="97"/>
      <c r="D638" s="97"/>
      <c r="E638" s="97"/>
      <c r="F638" s="97"/>
      <c r="G638" s="97"/>
      <c r="H638" s="99"/>
      <c r="I638" s="59"/>
      <c r="J638" s="59"/>
      <c r="K638" s="59"/>
      <c r="L638" s="59"/>
      <c r="M638" s="118"/>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row>
    <row r="639" ht="14.25" customHeight="1">
      <c r="A639" s="59"/>
      <c r="B639" s="97"/>
      <c r="C639" s="97"/>
      <c r="D639" s="97"/>
      <c r="E639" s="97"/>
      <c r="F639" s="97"/>
      <c r="G639" s="97"/>
      <c r="H639" s="99"/>
      <c r="I639" s="59"/>
      <c r="J639" s="59"/>
      <c r="K639" s="59"/>
      <c r="L639" s="59"/>
      <c r="M639" s="118"/>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row>
    <row r="640" ht="14.25" customHeight="1">
      <c r="A640" s="59"/>
      <c r="B640" s="97"/>
      <c r="C640" s="97"/>
      <c r="D640" s="97"/>
      <c r="E640" s="97"/>
      <c r="F640" s="97"/>
      <c r="G640" s="97"/>
      <c r="H640" s="99"/>
      <c r="I640" s="59"/>
      <c r="J640" s="59"/>
      <c r="K640" s="59"/>
      <c r="L640" s="59"/>
      <c r="M640" s="118"/>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row>
    <row r="641" ht="14.25" customHeight="1">
      <c r="A641" s="59"/>
      <c r="B641" s="97"/>
      <c r="C641" s="97"/>
      <c r="D641" s="97"/>
      <c r="E641" s="97"/>
      <c r="F641" s="97"/>
      <c r="G641" s="97"/>
      <c r="H641" s="99"/>
      <c r="I641" s="59"/>
      <c r="J641" s="59"/>
      <c r="K641" s="59"/>
      <c r="L641" s="59"/>
      <c r="M641" s="118"/>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row>
    <row r="642" ht="14.25" customHeight="1">
      <c r="A642" s="59"/>
      <c r="B642" s="97"/>
      <c r="C642" s="97"/>
      <c r="D642" s="97"/>
      <c r="E642" s="97"/>
      <c r="F642" s="97"/>
      <c r="G642" s="97"/>
      <c r="H642" s="99"/>
      <c r="I642" s="59"/>
      <c r="J642" s="59"/>
      <c r="K642" s="59"/>
      <c r="L642" s="59"/>
      <c r="M642" s="118"/>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row>
    <row r="643" ht="14.25" customHeight="1">
      <c r="A643" s="59"/>
      <c r="B643" s="97"/>
      <c r="C643" s="97"/>
      <c r="D643" s="97"/>
      <c r="E643" s="97"/>
      <c r="F643" s="97"/>
      <c r="G643" s="97"/>
      <c r="H643" s="99"/>
      <c r="I643" s="59"/>
      <c r="J643" s="59"/>
      <c r="K643" s="59"/>
      <c r="L643" s="59"/>
      <c r="M643" s="118"/>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row>
    <row r="644" ht="14.25" customHeight="1">
      <c r="A644" s="59"/>
      <c r="B644" s="97"/>
      <c r="C644" s="97"/>
      <c r="D644" s="97"/>
      <c r="E644" s="97"/>
      <c r="F644" s="97"/>
      <c r="G644" s="97"/>
      <c r="H644" s="99"/>
      <c r="I644" s="59"/>
      <c r="J644" s="59"/>
      <c r="K644" s="59"/>
      <c r="L644" s="59"/>
      <c r="M644" s="118"/>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row>
    <row r="645" ht="14.25" customHeight="1">
      <c r="A645" s="59"/>
      <c r="B645" s="97"/>
      <c r="C645" s="97"/>
      <c r="D645" s="97"/>
      <c r="E645" s="97"/>
      <c r="F645" s="97"/>
      <c r="G645" s="97"/>
      <c r="H645" s="99"/>
      <c r="I645" s="59"/>
      <c r="J645" s="59"/>
      <c r="K645" s="59"/>
      <c r="L645" s="59"/>
      <c r="M645" s="118"/>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row>
    <row r="646" ht="14.25" customHeight="1">
      <c r="A646" s="59"/>
      <c r="B646" s="97"/>
      <c r="C646" s="97"/>
      <c r="D646" s="97"/>
      <c r="E646" s="97"/>
      <c r="F646" s="97"/>
      <c r="G646" s="97"/>
      <c r="H646" s="99"/>
      <c r="I646" s="59"/>
      <c r="J646" s="59"/>
      <c r="K646" s="59"/>
      <c r="L646" s="59"/>
      <c r="M646" s="118"/>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row>
    <row r="647" ht="14.25" customHeight="1">
      <c r="A647" s="59"/>
      <c r="B647" s="97"/>
      <c r="C647" s="97"/>
      <c r="D647" s="97"/>
      <c r="E647" s="97"/>
      <c r="F647" s="97"/>
      <c r="G647" s="97"/>
      <c r="H647" s="99"/>
      <c r="I647" s="59"/>
      <c r="J647" s="59"/>
      <c r="K647" s="59"/>
      <c r="L647" s="59"/>
      <c r="M647" s="118"/>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row>
    <row r="648" ht="14.25" customHeight="1">
      <c r="A648" s="59"/>
      <c r="B648" s="97"/>
      <c r="C648" s="97"/>
      <c r="D648" s="97"/>
      <c r="E648" s="97"/>
      <c r="F648" s="97"/>
      <c r="G648" s="97"/>
      <c r="H648" s="99"/>
      <c r="I648" s="59"/>
      <c r="J648" s="59"/>
      <c r="K648" s="59"/>
      <c r="L648" s="59"/>
      <c r="M648" s="118"/>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row>
    <row r="649" ht="14.25" customHeight="1">
      <c r="A649" s="59"/>
      <c r="B649" s="97"/>
      <c r="C649" s="97"/>
      <c r="D649" s="97"/>
      <c r="E649" s="97"/>
      <c r="F649" s="97"/>
      <c r="G649" s="97"/>
      <c r="H649" s="99"/>
      <c r="I649" s="59"/>
      <c r="J649" s="59"/>
      <c r="K649" s="59"/>
      <c r="L649" s="59"/>
      <c r="M649" s="118"/>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row>
    <row r="650" ht="14.25" customHeight="1">
      <c r="A650" s="59"/>
      <c r="B650" s="97"/>
      <c r="C650" s="97"/>
      <c r="D650" s="97"/>
      <c r="E650" s="97"/>
      <c r="F650" s="97"/>
      <c r="G650" s="97"/>
      <c r="H650" s="99"/>
      <c r="I650" s="59"/>
      <c r="J650" s="59"/>
      <c r="K650" s="59"/>
      <c r="L650" s="59"/>
      <c r="M650" s="118"/>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row>
    <row r="651" ht="14.25" customHeight="1">
      <c r="A651" s="59"/>
      <c r="B651" s="97"/>
      <c r="C651" s="97"/>
      <c r="D651" s="97"/>
      <c r="E651" s="97"/>
      <c r="F651" s="97"/>
      <c r="G651" s="97"/>
      <c r="H651" s="99"/>
      <c r="I651" s="59"/>
      <c r="J651" s="59"/>
      <c r="K651" s="59"/>
      <c r="L651" s="59"/>
      <c r="M651" s="118"/>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row>
    <row r="652" ht="14.25" customHeight="1">
      <c r="A652" s="59"/>
      <c r="B652" s="97"/>
      <c r="C652" s="97"/>
      <c r="D652" s="97"/>
      <c r="E652" s="97"/>
      <c r="F652" s="97"/>
      <c r="G652" s="97"/>
      <c r="H652" s="99"/>
      <c r="I652" s="59"/>
      <c r="J652" s="59"/>
      <c r="K652" s="59"/>
      <c r="L652" s="59"/>
      <c r="M652" s="118"/>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row>
    <row r="653" ht="14.25" customHeight="1">
      <c r="A653" s="59"/>
      <c r="B653" s="97"/>
      <c r="C653" s="97"/>
      <c r="D653" s="97"/>
      <c r="E653" s="97"/>
      <c r="F653" s="97"/>
      <c r="G653" s="97"/>
      <c r="H653" s="99"/>
      <c r="I653" s="59"/>
      <c r="J653" s="59"/>
      <c r="K653" s="59"/>
      <c r="L653" s="59"/>
      <c r="M653" s="118"/>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row>
    <row r="654" ht="14.25" customHeight="1">
      <c r="A654" s="59"/>
      <c r="B654" s="97"/>
      <c r="C654" s="97"/>
      <c r="D654" s="97"/>
      <c r="E654" s="97"/>
      <c r="F654" s="97"/>
      <c r="G654" s="97"/>
      <c r="H654" s="99"/>
      <c r="I654" s="59"/>
      <c r="J654" s="59"/>
      <c r="K654" s="59"/>
      <c r="L654" s="59"/>
      <c r="M654" s="118"/>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row>
    <row r="655" ht="14.25" customHeight="1">
      <c r="A655" s="59"/>
      <c r="B655" s="97"/>
      <c r="C655" s="97"/>
      <c r="D655" s="97"/>
      <c r="E655" s="97"/>
      <c r="F655" s="97"/>
      <c r="G655" s="97"/>
      <c r="H655" s="99"/>
      <c r="I655" s="59"/>
      <c r="J655" s="59"/>
      <c r="K655" s="59"/>
      <c r="L655" s="59"/>
      <c r="M655" s="118"/>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row>
    <row r="656" ht="14.25" customHeight="1">
      <c r="A656" s="59"/>
      <c r="B656" s="97"/>
      <c r="C656" s="97"/>
      <c r="D656" s="97"/>
      <c r="E656" s="97"/>
      <c r="F656" s="97"/>
      <c r="G656" s="97"/>
      <c r="H656" s="99"/>
      <c r="I656" s="59"/>
      <c r="J656" s="59"/>
      <c r="K656" s="59"/>
      <c r="L656" s="59"/>
      <c r="M656" s="118"/>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row>
    <row r="657" ht="14.25" customHeight="1">
      <c r="A657" s="59"/>
      <c r="B657" s="97"/>
      <c r="C657" s="97"/>
      <c r="D657" s="97"/>
      <c r="E657" s="97"/>
      <c r="F657" s="97"/>
      <c r="G657" s="97"/>
      <c r="H657" s="99"/>
      <c r="I657" s="59"/>
      <c r="J657" s="59"/>
      <c r="K657" s="59"/>
      <c r="L657" s="59"/>
      <c r="M657" s="118"/>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row>
    <row r="658" ht="14.25" customHeight="1">
      <c r="A658" s="59"/>
      <c r="B658" s="97"/>
      <c r="C658" s="97"/>
      <c r="D658" s="97"/>
      <c r="E658" s="97"/>
      <c r="F658" s="97"/>
      <c r="G658" s="97"/>
      <c r="H658" s="99"/>
      <c r="I658" s="59"/>
      <c r="J658" s="59"/>
      <c r="K658" s="59"/>
      <c r="L658" s="59"/>
      <c r="M658" s="118"/>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row>
    <row r="659" ht="14.25" customHeight="1">
      <c r="A659" s="59"/>
      <c r="B659" s="97"/>
      <c r="C659" s="97"/>
      <c r="D659" s="97"/>
      <c r="E659" s="97"/>
      <c r="F659" s="97"/>
      <c r="G659" s="97"/>
      <c r="H659" s="99"/>
      <c r="I659" s="59"/>
      <c r="J659" s="59"/>
      <c r="K659" s="59"/>
      <c r="L659" s="59"/>
      <c r="M659" s="118"/>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row>
    <row r="660" ht="14.25" customHeight="1">
      <c r="A660" s="59"/>
      <c r="B660" s="97"/>
      <c r="C660" s="97"/>
      <c r="D660" s="97"/>
      <c r="E660" s="97"/>
      <c r="F660" s="97"/>
      <c r="G660" s="97"/>
      <c r="H660" s="99"/>
      <c r="I660" s="59"/>
      <c r="J660" s="59"/>
      <c r="K660" s="59"/>
      <c r="L660" s="59"/>
      <c r="M660" s="118"/>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row>
    <row r="661" ht="14.25" customHeight="1">
      <c r="A661" s="59"/>
      <c r="B661" s="97"/>
      <c r="C661" s="97"/>
      <c r="D661" s="97"/>
      <c r="E661" s="97"/>
      <c r="F661" s="97"/>
      <c r="G661" s="97"/>
      <c r="H661" s="99"/>
      <c r="I661" s="59"/>
      <c r="J661" s="59"/>
      <c r="K661" s="59"/>
      <c r="L661" s="59"/>
      <c r="M661" s="118"/>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row>
    <row r="662" ht="14.25" customHeight="1">
      <c r="A662" s="59"/>
      <c r="B662" s="97"/>
      <c r="C662" s="97"/>
      <c r="D662" s="97"/>
      <c r="E662" s="97"/>
      <c r="F662" s="97"/>
      <c r="G662" s="97"/>
      <c r="H662" s="99"/>
      <c r="I662" s="59"/>
      <c r="J662" s="59"/>
      <c r="K662" s="59"/>
      <c r="L662" s="59"/>
      <c r="M662" s="118"/>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row>
    <row r="663" ht="14.25" customHeight="1">
      <c r="A663" s="59"/>
      <c r="B663" s="97"/>
      <c r="C663" s="97"/>
      <c r="D663" s="97"/>
      <c r="E663" s="97"/>
      <c r="F663" s="97"/>
      <c r="G663" s="97"/>
      <c r="H663" s="99"/>
      <c r="I663" s="59"/>
      <c r="J663" s="59"/>
      <c r="K663" s="59"/>
      <c r="L663" s="59"/>
      <c r="M663" s="118"/>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row>
    <row r="664" ht="14.25" customHeight="1">
      <c r="A664" s="59"/>
      <c r="B664" s="97"/>
      <c r="C664" s="97"/>
      <c r="D664" s="97"/>
      <c r="E664" s="97"/>
      <c r="F664" s="97"/>
      <c r="G664" s="97"/>
      <c r="H664" s="99"/>
      <c r="I664" s="59"/>
      <c r="J664" s="59"/>
      <c r="K664" s="59"/>
      <c r="L664" s="59"/>
      <c r="M664" s="118"/>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row>
    <row r="665" ht="14.25" customHeight="1">
      <c r="A665" s="59"/>
      <c r="B665" s="97"/>
      <c r="C665" s="97"/>
      <c r="D665" s="97"/>
      <c r="E665" s="97"/>
      <c r="F665" s="97"/>
      <c r="G665" s="97"/>
      <c r="H665" s="99"/>
      <c r="I665" s="59"/>
      <c r="J665" s="59"/>
      <c r="K665" s="59"/>
      <c r="L665" s="59"/>
      <c r="M665" s="118"/>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row>
    <row r="666" ht="14.25" customHeight="1">
      <c r="A666" s="59"/>
      <c r="B666" s="97"/>
      <c r="C666" s="97"/>
      <c r="D666" s="97"/>
      <c r="E666" s="97"/>
      <c r="F666" s="97"/>
      <c r="G666" s="97"/>
      <c r="H666" s="99"/>
      <c r="I666" s="59"/>
      <c r="J666" s="59"/>
      <c r="K666" s="59"/>
      <c r="L666" s="59"/>
      <c r="M666" s="118"/>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row>
    <row r="667" ht="14.25" customHeight="1">
      <c r="A667" s="59"/>
      <c r="B667" s="97"/>
      <c r="C667" s="97"/>
      <c r="D667" s="97"/>
      <c r="E667" s="97"/>
      <c r="F667" s="97"/>
      <c r="G667" s="97"/>
      <c r="H667" s="99"/>
      <c r="I667" s="59"/>
      <c r="J667" s="59"/>
      <c r="K667" s="59"/>
      <c r="L667" s="59"/>
      <c r="M667" s="118"/>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row>
    <row r="668" ht="14.25" customHeight="1">
      <c r="A668" s="59"/>
      <c r="B668" s="97"/>
      <c r="C668" s="97"/>
      <c r="D668" s="97"/>
      <c r="E668" s="97"/>
      <c r="F668" s="97"/>
      <c r="G668" s="97"/>
      <c r="H668" s="99"/>
      <c r="I668" s="59"/>
      <c r="J668" s="59"/>
      <c r="K668" s="59"/>
      <c r="L668" s="59"/>
      <c r="M668" s="118"/>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row>
    <row r="669" ht="14.25" customHeight="1">
      <c r="A669" s="59"/>
      <c r="B669" s="97"/>
      <c r="C669" s="97"/>
      <c r="D669" s="97"/>
      <c r="E669" s="97"/>
      <c r="F669" s="97"/>
      <c r="G669" s="97"/>
      <c r="H669" s="99"/>
      <c r="I669" s="59"/>
      <c r="J669" s="59"/>
      <c r="K669" s="59"/>
      <c r="L669" s="59"/>
      <c r="M669" s="118"/>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row>
    <row r="670" ht="14.25" customHeight="1">
      <c r="A670" s="59"/>
      <c r="B670" s="97"/>
      <c r="C670" s="97"/>
      <c r="D670" s="97"/>
      <c r="E670" s="97"/>
      <c r="F670" s="97"/>
      <c r="G670" s="97"/>
      <c r="H670" s="99"/>
      <c r="I670" s="59"/>
      <c r="J670" s="59"/>
      <c r="K670" s="59"/>
      <c r="L670" s="59"/>
      <c r="M670" s="118"/>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row>
    <row r="671" ht="14.25" customHeight="1">
      <c r="A671" s="59"/>
      <c r="B671" s="97"/>
      <c r="C671" s="97"/>
      <c r="D671" s="97"/>
      <c r="E671" s="97"/>
      <c r="F671" s="97"/>
      <c r="G671" s="97"/>
      <c r="H671" s="99"/>
      <c r="I671" s="59"/>
      <c r="J671" s="59"/>
      <c r="K671" s="59"/>
      <c r="L671" s="59"/>
      <c r="M671" s="118"/>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row>
    <row r="672" ht="14.25" customHeight="1">
      <c r="A672" s="59"/>
      <c r="B672" s="97"/>
      <c r="C672" s="97"/>
      <c r="D672" s="97"/>
      <c r="E672" s="97"/>
      <c r="F672" s="97"/>
      <c r="G672" s="97"/>
      <c r="H672" s="99"/>
      <c r="I672" s="59"/>
      <c r="J672" s="59"/>
      <c r="K672" s="59"/>
      <c r="L672" s="59"/>
      <c r="M672" s="118"/>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row>
    <row r="673" ht="14.25" customHeight="1">
      <c r="A673" s="59"/>
      <c r="B673" s="97"/>
      <c r="C673" s="97"/>
      <c r="D673" s="97"/>
      <c r="E673" s="97"/>
      <c r="F673" s="97"/>
      <c r="G673" s="97"/>
      <c r="H673" s="99"/>
      <c r="I673" s="59"/>
      <c r="J673" s="59"/>
      <c r="K673" s="59"/>
      <c r="L673" s="59"/>
      <c r="M673" s="118"/>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row>
    <row r="674" ht="14.25" customHeight="1">
      <c r="A674" s="59"/>
      <c r="B674" s="97"/>
      <c r="C674" s="97"/>
      <c r="D674" s="97"/>
      <c r="E674" s="97"/>
      <c r="F674" s="97"/>
      <c r="G674" s="97"/>
      <c r="H674" s="99"/>
      <c r="I674" s="59"/>
      <c r="J674" s="59"/>
      <c r="K674" s="59"/>
      <c r="L674" s="59"/>
      <c r="M674" s="118"/>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row>
    <row r="675" ht="14.25" customHeight="1">
      <c r="A675" s="59"/>
      <c r="B675" s="97"/>
      <c r="C675" s="97"/>
      <c r="D675" s="97"/>
      <c r="E675" s="97"/>
      <c r="F675" s="97"/>
      <c r="G675" s="97"/>
      <c r="H675" s="99"/>
      <c r="I675" s="59"/>
      <c r="J675" s="59"/>
      <c r="K675" s="59"/>
      <c r="L675" s="59"/>
      <c r="M675" s="118"/>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row>
    <row r="676" ht="14.25" customHeight="1">
      <c r="A676" s="59"/>
      <c r="B676" s="97"/>
      <c r="C676" s="97"/>
      <c r="D676" s="97"/>
      <c r="E676" s="97"/>
      <c r="F676" s="97"/>
      <c r="G676" s="97"/>
      <c r="H676" s="99"/>
      <c r="I676" s="59"/>
      <c r="J676" s="59"/>
      <c r="K676" s="59"/>
      <c r="L676" s="59"/>
      <c r="M676" s="118"/>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row>
    <row r="677" ht="14.25" customHeight="1">
      <c r="A677" s="59"/>
      <c r="B677" s="97"/>
      <c r="C677" s="97"/>
      <c r="D677" s="97"/>
      <c r="E677" s="97"/>
      <c r="F677" s="97"/>
      <c r="G677" s="97"/>
      <c r="H677" s="99"/>
      <c r="I677" s="59"/>
      <c r="J677" s="59"/>
      <c r="K677" s="59"/>
      <c r="L677" s="59"/>
      <c r="M677" s="118"/>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row>
    <row r="678" ht="14.25" customHeight="1">
      <c r="A678" s="59"/>
      <c r="B678" s="97"/>
      <c r="C678" s="97"/>
      <c r="D678" s="97"/>
      <c r="E678" s="97"/>
      <c r="F678" s="97"/>
      <c r="G678" s="97"/>
      <c r="H678" s="99"/>
      <c r="I678" s="59"/>
      <c r="J678" s="59"/>
      <c r="K678" s="59"/>
      <c r="L678" s="59"/>
      <c r="M678" s="118"/>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row>
    <row r="679" ht="14.25" customHeight="1">
      <c r="A679" s="59"/>
      <c r="B679" s="97"/>
      <c r="C679" s="97"/>
      <c r="D679" s="97"/>
      <c r="E679" s="97"/>
      <c r="F679" s="97"/>
      <c r="G679" s="97"/>
      <c r="H679" s="99"/>
      <c r="I679" s="59"/>
      <c r="J679" s="59"/>
      <c r="K679" s="59"/>
      <c r="L679" s="59"/>
      <c r="M679" s="118"/>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row>
    <row r="680" ht="14.25" customHeight="1">
      <c r="A680" s="59"/>
      <c r="B680" s="97"/>
      <c r="C680" s="97"/>
      <c r="D680" s="97"/>
      <c r="E680" s="97"/>
      <c r="F680" s="97"/>
      <c r="G680" s="97"/>
      <c r="H680" s="99"/>
      <c r="I680" s="59"/>
      <c r="J680" s="59"/>
      <c r="K680" s="59"/>
      <c r="L680" s="59"/>
      <c r="M680" s="118"/>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row>
    <row r="681" ht="14.25" customHeight="1">
      <c r="A681" s="59"/>
      <c r="B681" s="97"/>
      <c r="C681" s="97"/>
      <c r="D681" s="97"/>
      <c r="E681" s="97"/>
      <c r="F681" s="97"/>
      <c r="G681" s="97"/>
      <c r="H681" s="99"/>
      <c r="I681" s="59"/>
      <c r="J681" s="59"/>
      <c r="K681" s="59"/>
      <c r="L681" s="59"/>
      <c r="M681" s="118"/>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row>
    <row r="682" ht="14.25" customHeight="1">
      <c r="A682" s="59"/>
      <c r="B682" s="97"/>
      <c r="C682" s="97"/>
      <c r="D682" s="97"/>
      <c r="E682" s="97"/>
      <c r="F682" s="97"/>
      <c r="G682" s="97"/>
      <c r="H682" s="99"/>
      <c r="I682" s="59"/>
      <c r="J682" s="59"/>
      <c r="K682" s="59"/>
      <c r="L682" s="59"/>
      <c r="M682" s="118"/>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row>
    <row r="683" ht="14.25" customHeight="1">
      <c r="A683" s="59"/>
      <c r="B683" s="97"/>
      <c r="C683" s="97"/>
      <c r="D683" s="97"/>
      <c r="E683" s="97"/>
      <c r="F683" s="97"/>
      <c r="G683" s="97"/>
      <c r="H683" s="99"/>
      <c r="I683" s="59"/>
      <c r="J683" s="59"/>
      <c r="K683" s="59"/>
      <c r="L683" s="59"/>
      <c r="M683" s="118"/>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row>
    <row r="684" ht="14.25" customHeight="1">
      <c r="A684" s="59"/>
      <c r="B684" s="97"/>
      <c r="C684" s="97"/>
      <c r="D684" s="97"/>
      <c r="E684" s="97"/>
      <c r="F684" s="97"/>
      <c r="G684" s="97"/>
      <c r="H684" s="99"/>
      <c r="I684" s="59"/>
      <c r="J684" s="59"/>
      <c r="K684" s="59"/>
      <c r="L684" s="59"/>
      <c r="M684" s="118"/>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row>
    <row r="685" ht="14.25" customHeight="1">
      <c r="A685" s="59"/>
      <c r="B685" s="97"/>
      <c r="C685" s="97"/>
      <c r="D685" s="97"/>
      <c r="E685" s="97"/>
      <c r="F685" s="97"/>
      <c r="G685" s="97"/>
      <c r="H685" s="99"/>
      <c r="I685" s="59"/>
      <c r="J685" s="59"/>
      <c r="K685" s="59"/>
      <c r="L685" s="59"/>
      <c r="M685" s="118"/>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row>
    <row r="686" ht="14.25" customHeight="1">
      <c r="A686" s="59"/>
      <c r="B686" s="97"/>
      <c r="C686" s="97"/>
      <c r="D686" s="97"/>
      <c r="E686" s="97"/>
      <c r="F686" s="97"/>
      <c r="G686" s="97"/>
      <c r="H686" s="99"/>
      <c r="I686" s="59"/>
      <c r="J686" s="59"/>
      <c r="K686" s="59"/>
      <c r="L686" s="59"/>
      <c r="M686" s="118"/>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row>
    <row r="687" ht="14.25" customHeight="1">
      <c r="A687" s="59"/>
      <c r="B687" s="97"/>
      <c r="C687" s="97"/>
      <c r="D687" s="97"/>
      <c r="E687" s="97"/>
      <c r="F687" s="97"/>
      <c r="G687" s="97"/>
      <c r="H687" s="99"/>
      <c r="I687" s="59"/>
      <c r="J687" s="59"/>
      <c r="K687" s="59"/>
      <c r="L687" s="59"/>
      <c r="M687" s="118"/>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row>
    <row r="688" ht="14.25" customHeight="1">
      <c r="A688" s="59"/>
      <c r="B688" s="97"/>
      <c r="C688" s="97"/>
      <c r="D688" s="97"/>
      <c r="E688" s="97"/>
      <c r="F688" s="97"/>
      <c r="G688" s="97"/>
      <c r="H688" s="99"/>
      <c r="I688" s="59"/>
      <c r="J688" s="59"/>
      <c r="K688" s="59"/>
      <c r="L688" s="59"/>
      <c r="M688" s="118"/>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row>
    <row r="689" ht="14.25" customHeight="1">
      <c r="A689" s="59"/>
      <c r="B689" s="97"/>
      <c r="C689" s="97"/>
      <c r="D689" s="97"/>
      <c r="E689" s="97"/>
      <c r="F689" s="97"/>
      <c r="G689" s="97"/>
      <c r="H689" s="99"/>
      <c r="I689" s="59"/>
      <c r="J689" s="59"/>
      <c r="K689" s="59"/>
      <c r="L689" s="59"/>
      <c r="M689" s="118"/>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row>
    <row r="690" ht="14.25" customHeight="1">
      <c r="A690" s="59"/>
      <c r="B690" s="97"/>
      <c r="C690" s="97"/>
      <c r="D690" s="97"/>
      <c r="E690" s="97"/>
      <c r="F690" s="97"/>
      <c r="G690" s="97"/>
      <c r="H690" s="99"/>
      <c r="I690" s="59"/>
      <c r="J690" s="59"/>
      <c r="K690" s="59"/>
      <c r="L690" s="59"/>
      <c r="M690" s="118"/>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row>
    <row r="691" ht="14.25" customHeight="1">
      <c r="A691" s="59"/>
      <c r="B691" s="97"/>
      <c r="C691" s="97"/>
      <c r="D691" s="97"/>
      <c r="E691" s="97"/>
      <c r="F691" s="97"/>
      <c r="G691" s="97"/>
      <c r="H691" s="99"/>
      <c r="I691" s="59"/>
      <c r="J691" s="59"/>
      <c r="K691" s="59"/>
      <c r="L691" s="59"/>
      <c r="M691" s="118"/>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row>
    <row r="692" ht="14.25" customHeight="1">
      <c r="A692" s="59"/>
      <c r="B692" s="97"/>
      <c r="C692" s="97"/>
      <c r="D692" s="97"/>
      <c r="E692" s="97"/>
      <c r="F692" s="97"/>
      <c r="G692" s="97"/>
      <c r="H692" s="99"/>
      <c r="I692" s="59"/>
      <c r="J692" s="59"/>
      <c r="K692" s="59"/>
      <c r="L692" s="59"/>
      <c r="M692" s="118"/>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row>
    <row r="693" ht="14.25" customHeight="1">
      <c r="A693" s="59"/>
      <c r="B693" s="97"/>
      <c r="C693" s="97"/>
      <c r="D693" s="97"/>
      <c r="E693" s="97"/>
      <c r="F693" s="97"/>
      <c r="G693" s="97"/>
      <c r="H693" s="99"/>
      <c r="I693" s="59"/>
      <c r="J693" s="59"/>
      <c r="K693" s="59"/>
      <c r="L693" s="59"/>
      <c r="M693" s="118"/>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row>
    <row r="694" ht="14.25" customHeight="1">
      <c r="A694" s="59"/>
      <c r="B694" s="97"/>
      <c r="C694" s="97"/>
      <c r="D694" s="97"/>
      <c r="E694" s="97"/>
      <c r="F694" s="97"/>
      <c r="G694" s="97"/>
      <c r="H694" s="99"/>
      <c r="I694" s="59"/>
      <c r="J694" s="59"/>
      <c r="K694" s="59"/>
      <c r="L694" s="59"/>
      <c r="M694" s="118"/>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row>
    <row r="695" ht="14.25" customHeight="1">
      <c r="A695" s="59"/>
      <c r="B695" s="97"/>
      <c r="C695" s="97"/>
      <c r="D695" s="97"/>
      <c r="E695" s="97"/>
      <c r="F695" s="97"/>
      <c r="G695" s="97"/>
      <c r="H695" s="99"/>
      <c r="I695" s="59"/>
      <c r="J695" s="59"/>
      <c r="K695" s="59"/>
      <c r="L695" s="59"/>
      <c r="M695" s="118"/>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row>
    <row r="696" ht="14.25" customHeight="1">
      <c r="A696" s="59"/>
      <c r="B696" s="97"/>
      <c r="C696" s="97"/>
      <c r="D696" s="97"/>
      <c r="E696" s="97"/>
      <c r="F696" s="97"/>
      <c r="G696" s="97"/>
      <c r="H696" s="99"/>
      <c r="I696" s="59"/>
      <c r="J696" s="59"/>
      <c r="K696" s="59"/>
      <c r="L696" s="59"/>
      <c r="M696" s="118"/>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row>
    <row r="697" ht="14.25" customHeight="1">
      <c r="A697" s="59"/>
      <c r="B697" s="97"/>
      <c r="C697" s="97"/>
      <c r="D697" s="97"/>
      <c r="E697" s="97"/>
      <c r="F697" s="97"/>
      <c r="G697" s="97"/>
      <c r="H697" s="99"/>
      <c r="I697" s="59"/>
      <c r="J697" s="59"/>
      <c r="K697" s="59"/>
      <c r="L697" s="59"/>
      <c r="M697" s="118"/>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row>
    <row r="698" ht="14.25" customHeight="1">
      <c r="A698" s="59"/>
      <c r="B698" s="97"/>
      <c r="C698" s="97"/>
      <c r="D698" s="97"/>
      <c r="E698" s="97"/>
      <c r="F698" s="97"/>
      <c r="G698" s="97"/>
      <c r="H698" s="99"/>
      <c r="I698" s="59"/>
      <c r="J698" s="59"/>
      <c r="K698" s="59"/>
      <c r="L698" s="59"/>
      <c r="M698" s="118"/>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row>
    <row r="699" ht="14.25" customHeight="1">
      <c r="A699" s="59"/>
      <c r="B699" s="97"/>
      <c r="C699" s="97"/>
      <c r="D699" s="97"/>
      <c r="E699" s="97"/>
      <c r="F699" s="97"/>
      <c r="G699" s="97"/>
      <c r="H699" s="99"/>
      <c r="I699" s="59"/>
      <c r="J699" s="59"/>
      <c r="K699" s="59"/>
      <c r="L699" s="59"/>
      <c r="M699" s="118"/>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row>
    <row r="700" ht="14.25" customHeight="1">
      <c r="A700" s="59"/>
      <c r="B700" s="97"/>
      <c r="C700" s="97"/>
      <c r="D700" s="97"/>
      <c r="E700" s="97"/>
      <c r="F700" s="97"/>
      <c r="G700" s="97"/>
      <c r="H700" s="99"/>
      <c r="I700" s="59"/>
      <c r="J700" s="59"/>
      <c r="K700" s="59"/>
      <c r="L700" s="59"/>
      <c r="M700" s="118"/>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row>
    <row r="701" ht="14.25" customHeight="1">
      <c r="A701" s="59"/>
      <c r="B701" s="97"/>
      <c r="C701" s="97"/>
      <c r="D701" s="97"/>
      <c r="E701" s="97"/>
      <c r="F701" s="97"/>
      <c r="G701" s="97"/>
      <c r="H701" s="99"/>
      <c r="I701" s="59"/>
      <c r="J701" s="59"/>
      <c r="K701" s="59"/>
      <c r="L701" s="59"/>
      <c r="M701" s="118"/>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row>
    <row r="702" ht="14.25" customHeight="1">
      <c r="A702" s="59"/>
      <c r="B702" s="97"/>
      <c r="C702" s="97"/>
      <c r="D702" s="97"/>
      <c r="E702" s="97"/>
      <c r="F702" s="97"/>
      <c r="G702" s="97"/>
      <c r="H702" s="99"/>
      <c r="I702" s="59"/>
      <c r="J702" s="59"/>
      <c r="K702" s="59"/>
      <c r="L702" s="59"/>
      <c r="M702" s="118"/>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row>
    <row r="703" ht="14.25" customHeight="1">
      <c r="A703" s="59"/>
      <c r="B703" s="97"/>
      <c r="C703" s="97"/>
      <c r="D703" s="97"/>
      <c r="E703" s="97"/>
      <c r="F703" s="97"/>
      <c r="G703" s="97"/>
      <c r="H703" s="99"/>
      <c r="I703" s="59"/>
      <c r="J703" s="59"/>
      <c r="K703" s="59"/>
      <c r="L703" s="59"/>
      <c r="M703" s="118"/>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row>
    <row r="704" ht="14.25" customHeight="1">
      <c r="A704" s="59"/>
      <c r="B704" s="97"/>
      <c r="C704" s="97"/>
      <c r="D704" s="97"/>
      <c r="E704" s="97"/>
      <c r="F704" s="97"/>
      <c r="G704" s="97"/>
      <c r="H704" s="99"/>
      <c r="I704" s="59"/>
      <c r="J704" s="59"/>
      <c r="K704" s="59"/>
      <c r="L704" s="59"/>
      <c r="M704" s="118"/>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row>
    <row r="705" ht="14.25" customHeight="1">
      <c r="A705" s="59"/>
      <c r="B705" s="97"/>
      <c r="C705" s="97"/>
      <c r="D705" s="97"/>
      <c r="E705" s="97"/>
      <c r="F705" s="97"/>
      <c r="G705" s="97"/>
      <c r="H705" s="99"/>
      <c r="I705" s="59"/>
      <c r="J705" s="59"/>
      <c r="K705" s="59"/>
      <c r="L705" s="59"/>
      <c r="M705" s="118"/>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row>
    <row r="706" ht="14.25" customHeight="1">
      <c r="A706" s="59"/>
      <c r="B706" s="97"/>
      <c r="C706" s="97"/>
      <c r="D706" s="97"/>
      <c r="E706" s="97"/>
      <c r="F706" s="97"/>
      <c r="G706" s="97"/>
      <c r="H706" s="99"/>
      <c r="I706" s="59"/>
      <c r="J706" s="59"/>
      <c r="K706" s="59"/>
      <c r="L706" s="59"/>
      <c r="M706" s="118"/>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row>
    <row r="707" ht="14.25" customHeight="1">
      <c r="A707" s="59"/>
      <c r="B707" s="97"/>
      <c r="C707" s="97"/>
      <c r="D707" s="97"/>
      <c r="E707" s="97"/>
      <c r="F707" s="97"/>
      <c r="G707" s="97"/>
      <c r="H707" s="99"/>
      <c r="I707" s="59"/>
      <c r="J707" s="59"/>
      <c r="K707" s="59"/>
      <c r="L707" s="59"/>
      <c r="M707" s="118"/>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row>
    <row r="708" ht="14.25" customHeight="1">
      <c r="A708" s="59"/>
      <c r="B708" s="97"/>
      <c r="C708" s="97"/>
      <c r="D708" s="97"/>
      <c r="E708" s="97"/>
      <c r="F708" s="97"/>
      <c r="G708" s="97"/>
      <c r="H708" s="99"/>
      <c r="I708" s="59"/>
      <c r="J708" s="59"/>
      <c r="K708" s="59"/>
      <c r="L708" s="59"/>
      <c r="M708" s="118"/>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row>
    <row r="709" ht="14.25" customHeight="1">
      <c r="A709" s="59"/>
      <c r="B709" s="97"/>
      <c r="C709" s="97"/>
      <c r="D709" s="97"/>
      <c r="E709" s="97"/>
      <c r="F709" s="97"/>
      <c r="G709" s="97"/>
      <c r="H709" s="99"/>
      <c r="I709" s="59"/>
      <c r="J709" s="59"/>
      <c r="K709" s="59"/>
      <c r="L709" s="59"/>
      <c r="M709" s="118"/>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row>
    <row r="710" ht="14.25" customHeight="1">
      <c r="A710" s="59"/>
      <c r="B710" s="97"/>
      <c r="C710" s="97"/>
      <c r="D710" s="97"/>
      <c r="E710" s="97"/>
      <c r="F710" s="97"/>
      <c r="G710" s="97"/>
      <c r="H710" s="99"/>
      <c r="I710" s="59"/>
      <c r="J710" s="59"/>
      <c r="K710" s="59"/>
      <c r="L710" s="59"/>
      <c r="M710" s="118"/>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row>
    <row r="711" ht="14.25" customHeight="1">
      <c r="A711" s="59"/>
      <c r="B711" s="97"/>
      <c r="C711" s="97"/>
      <c r="D711" s="97"/>
      <c r="E711" s="97"/>
      <c r="F711" s="97"/>
      <c r="G711" s="97"/>
      <c r="H711" s="99"/>
      <c r="I711" s="59"/>
      <c r="J711" s="59"/>
      <c r="K711" s="59"/>
      <c r="L711" s="59"/>
      <c r="M711" s="118"/>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row>
    <row r="712" ht="14.25" customHeight="1">
      <c r="A712" s="59"/>
      <c r="B712" s="97"/>
      <c r="C712" s="97"/>
      <c r="D712" s="97"/>
      <c r="E712" s="97"/>
      <c r="F712" s="97"/>
      <c r="G712" s="97"/>
      <c r="H712" s="99"/>
      <c r="I712" s="59"/>
      <c r="J712" s="59"/>
      <c r="K712" s="59"/>
      <c r="L712" s="59"/>
      <c r="M712" s="118"/>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row>
    <row r="713" ht="14.25" customHeight="1">
      <c r="A713" s="59"/>
      <c r="B713" s="97"/>
      <c r="C713" s="97"/>
      <c r="D713" s="97"/>
      <c r="E713" s="97"/>
      <c r="F713" s="97"/>
      <c r="G713" s="97"/>
      <c r="H713" s="99"/>
      <c r="I713" s="59"/>
      <c r="J713" s="59"/>
      <c r="K713" s="59"/>
      <c r="L713" s="59"/>
      <c r="M713" s="118"/>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row>
    <row r="714" ht="14.25" customHeight="1">
      <c r="A714" s="59"/>
      <c r="B714" s="97"/>
      <c r="C714" s="97"/>
      <c r="D714" s="97"/>
      <c r="E714" s="97"/>
      <c r="F714" s="97"/>
      <c r="G714" s="97"/>
      <c r="H714" s="99"/>
      <c r="I714" s="59"/>
      <c r="J714" s="59"/>
      <c r="K714" s="59"/>
      <c r="L714" s="59"/>
      <c r="M714" s="118"/>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row>
    <row r="715" ht="14.25" customHeight="1">
      <c r="A715" s="59"/>
      <c r="B715" s="97"/>
      <c r="C715" s="97"/>
      <c r="D715" s="97"/>
      <c r="E715" s="97"/>
      <c r="F715" s="97"/>
      <c r="G715" s="97"/>
      <c r="H715" s="99"/>
      <c r="I715" s="59"/>
      <c r="J715" s="59"/>
      <c r="K715" s="59"/>
      <c r="L715" s="59"/>
      <c r="M715" s="118"/>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row>
    <row r="716" ht="14.25" customHeight="1">
      <c r="A716" s="59"/>
      <c r="B716" s="97"/>
      <c r="C716" s="97"/>
      <c r="D716" s="97"/>
      <c r="E716" s="97"/>
      <c r="F716" s="97"/>
      <c r="G716" s="97"/>
      <c r="H716" s="99"/>
      <c r="I716" s="59"/>
      <c r="J716" s="59"/>
      <c r="K716" s="59"/>
      <c r="L716" s="59"/>
      <c r="M716" s="118"/>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row>
    <row r="717" ht="14.25" customHeight="1">
      <c r="A717" s="59"/>
      <c r="B717" s="97"/>
      <c r="C717" s="97"/>
      <c r="D717" s="97"/>
      <c r="E717" s="97"/>
      <c r="F717" s="97"/>
      <c r="G717" s="97"/>
      <c r="H717" s="99"/>
      <c r="I717" s="59"/>
      <c r="J717" s="59"/>
      <c r="K717" s="59"/>
      <c r="L717" s="59"/>
      <c r="M717" s="118"/>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row>
    <row r="718" ht="14.25" customHeight="1">
      <c r="A718" s="59"/>
      <c r="B718" s="97"/>
      <c r="C718" s="97"/>
      <c r="D718" s="97"/>
      <c r="E718" s="97"/>
      <c r="F718" s="97"/>
      <c r="G718" s="97"/>
      <c r="H718" s="99"/>
      <c r="I718" s="59"/>
      <c r="J718" s="59"/>
      <c r="K718" s="59"/>
      <c r="L718" s="59"/>
      <c r="M718" s="118"/>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row>
    <row r="719" ht="14.25" customHeight="1">
      <c r="A719" s="59"/>
      <c r="B719" s="97"/>
      <c r="C719" s="97"/>
      <c r="D719" s="97"/>
      <c r="E719" s="97"/>
      <c r="F719" s="97"/>
      <c r="G719" s="97"/>
      <c r="H719" s="99"/>
      <c r="I719" s="59"/>
      <c r="J719" s="59"/>
      <c r="K719" s="59"/>
      <c r="L719" s="59"/>
      <c r="M719" s="118"/>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row>
    <row r="720" ht="14.25" customHeight="1">
      <c r="A720" s="59"/>
      <c r="B720" s="97"/>
      <c r="C720" s="97"/>
      <c r="D720" s="97"/>
      <c r="E720" s="97"/>
      <c r="F720" s="97"/>
      <c r="G720" s="97"/>
      <c r="H720" s="99"/>
      <c r="I720" s="59"/>
      <c r="J720" s="59"/>
      <c r="K720" s="59"/>
      <c r="L720" s="59"/>
      <c r="M720" s="118"/>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row>
    <row r="721" ht="14.25" customHeight="1">
      <c r="A721" s="59"/>
      <c r="B721" s="97"/>
      <c r="C721" s="97"/>
      <c r="D721" s="97"/>
      <c r="E721" s="97"/>
      <c r="F721" s="97"/>
      <c r="G721" s="97"/>
      <c r="H721" s="99"/>
      <c r="I721" s="59"/>
      <c r="J721" s="59"/>
      <c r="K721" s="59"/>
      <c r="L721" s="59"/>
      <c r="M721" s="118"/>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row>
    <row r="722" ht="14.25" customHeight="1">
      <c r="A722" s="59"/>
      <c r="B722" s="97"/>
      <c r="C722" s="97"/>
      <c r="D722" s="97"/>
      <c r="E722" s="97"/>
      <c r="F722" s="97"/>
      <c r="G722" s="97"/>
      <c r="H722" s="99"/>
      <c r="I722" s="59"/>
      <c r="J722" s="59"/>
      <c r="K722" s="59"/>
      <c r="L722" s="59"/>
      <c r="M722" s="118"/>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row>
    <row r="723" ht="14.25" customHeight="1">
      <c r="A723" s="59"/>
      <c r="B723" s="97"/>
      <c r="C723" s="97"/>
      <c r="D723" s="97"/>
      <c r="E723" s="97"/>
      <c r="F723" s="97"/>
      <c r="G723" s="97"/>
      <c r="H723" s="99"/>
      <c r="I723" s="59"/>
      <c r="J723" s="59"/>
      <c r="K723" s="59"/>
      <c r="L723" s="59"/>
      <c r="M723" s="118"/>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row>
    <row r="724" ht="14.25" customHeight="1">
      <c r="A724" s="59"/>
      <c r="B724" s="97"/>
      <c r="C724" s="97"/>
      <c r="D724" s="97"/>
      <c r="E724" s="97"/>
      <c r="F724" s="97"/>
      <c r="G724" s="97"/>
      <c r="H724" s="99"/>
      <c r="I724" s="59"/>
      <c r="J724" s="59"/>
      <c r="K724" s="59"/>
      <c r="L724" s="59"/>
      <c r="M724" s="118"/>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row>
    <row r="725" ht="14.25" customHeight="1">
      <c r="A725" s="59"/>
      <c r="B725" s="97"/>
      <c r="C725" s="97"/>
      <c r="D725" s="97"/>
      <c r="E725" s="97"/>
      <c r="F725" s="97"/>
      <c r="G725" s="97"/>
      <c r="H725" s="99"/>
      <c r="I725" s="59"/>
      <c r="J725" s="59"/>
      <c r="K725" s="59"/>
      <c r="L725" s="59"/>
      <c r="M725" s="118"/>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row>
    <row r="726" ht="14.25" customHeight="1">
      <c r="A726" s="59"/>
      <c r="B726" s="97"/>
      <c r="C726" s="97"/>
      <c r="D726" s="97"/>
      <c r="E726" s="97"/>
      <c r="F726" s="97"/>
      <c r="G726" s="97"/>
      <c r="H726" s="99"/>
      <c r="I726" s="59"/>
      <c r="J726" s="59"/>
      <c r="K726" s="59"/>
      <c r="L726" s="59"/>
      <c r="M726" s="118"/>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row>
    <row r="727" ht="14.25" customHeight="1">
      <c r="A727" s="59"/>
      <c r="B727" s="97"/>
      <c r="C727" s="97"/>
      <c r="D727" s="97"/>
      <c r="E727" s="97"/>
      <c r="F727" s="97"/>
      <c r="G727" s="97"/>
      <c r="H727" s="99"/>
      <c r="I727" s="59"/>
      <c r="J727" s="59"/>
      <c r="K727" s="59"/>
      <c r="L727" s="59"/>
      <c r="M727" s="118"/>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row>
    <row r="728" ht="14.25" customHeight="1">
      <c r="A728" s="59"/>
      <c r="B728" s="97"/>
      <c r="C728" s="97"/>
      <c r="D728" s="97"/>
      <c r="E728" s="97"/>
      <c r="F728" s="97"/>
      <c r="G728" s="97"/>
      <c r="H728" s="99"/>
      <c r="I728" s="59"/>
      <c r="J728" s="59"/>
      <c r="K728" s="59"/>
      <c r="L728" s="59"/>
      <c r="M728" s="118"/>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row>
    <row r="729" ht="14.25" customHeight="1">
      <c r="A729" s="59"/>
      <c r="B729" s="97"/>
      <c r="C729" s="97"/>
      <c r="D729" s="97"/>
      <c r="E729" s="97"/>
      <c r="F729" s="97"/>
      <c r="G729" s="97"/>
      <c r="H729" s="99"/>
      <c r="I729" s="59"/>
      <c r="J729" s="59"/>
      <c r="K729" s="59"/>
      <c r="L729" s="59"/>
      <c r="M729" s="118"/>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row>
    <row r="730" ht="14.25" customHeight="1">
      <c r="A730" s="59"/>
      <c r="B730" s="97"/>
      <c r="C730" s="97"/>
      <c r="D730" s="97"/>
      <c r="E730" s="97"/>
      <c r="F730" s="97"/>
      <c r="G730" s="97"/>
      <c r="H730" s="99"/>
      <c r="I730" s="59"/>
      <c r="J730" s="59"/>
      <c r="K730" s="59"/>
      <c r="L730" s="59"/>
      <c r="M730" s="118"/>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row>
    <row r="731" ht="14.25" customHeight="1">
      <c r="A731" s="59"/>
      <c r="B731" s="97"/>
      <c r="C731" s="97"/>
      <c r="D731" s="97"/>
      <c r="E731" s="97"/>
      <c r="F731" s="97"/>
      <c r="G731" s="97"/>
      <c r="H731" s="99"/>
      <c r="I731" s="59"/>
      <c r="J731" s="59"/>
      <c r="K731" s="59"/>
      <c r="L731" s="59"/>
      <c r="M731" s="118"/>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row>
    <row r="732" ht="14.25" customHeight="1">
      <c r="A732" s="59"/>
      <c r="B732" s="97"/>
      <c r="C732" s="97"/>
      <c r="D732" s="97"/>
      <c r="E732" s="97"/>
      <c r="F732" s="97"/>
      <c r="G732" s="97"/>
      <c r="H732" s="99"/>
      <c r="I732" s="59"/>
      <c r="J732" s="59"/>
      <c r="K732" s="59"/>
      <c r="L732" s="59"/>
      <c r="M732" s="118"/>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row>
    <row r="733" ht="14.25" customHeight="1">
      <c r="A733" s="59"/>
      <c r="B733" s="97"/>
      <c r="C733" s="97"/>
      <c r="D733" s="97"/>
      <c r="E733" s="97"/>
      <c r="F733" s="97"/>
      <c r="G733" s="97"/>
      <c r="H733" s="99"/>
      <c r="I733" s="59"/>
      <c r="J733" s="59"/>
      <c r="K733" s="59"/>
      <c r="L733" s="59"/>
      <c r="M733" s="118"/>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row>
    <row r="734" ht="14.25" customHeight="1">
      <c r="A734" s="59"/>
      <c r="B734" s="97"/>
      <c r="C734" s="97"/>
      <c r="D734" s="97"/>
      <c r="E734" s="97"/>
      <c r="F734" s="97"/>
      <c r="G734" s="97"/>
      <c r="H734" s="99"/>
      <c r="I734" s="59"/>
      <c r="J734" s="59"/>
      <c r="K734" s="59"/>
      <c r="L734" s="59"/>
      <c r="M734" s="118"/>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row>
    <row r="735" ht="14.25" customHeight="1">
      <c r="A735" s="59"/>
      <c r="B735" s="97"/>
      <c r="C735" s="97"/>
      <c r="D735" s="97"/>
      <c r="E735" s="97"/>
      <c r="F735" s="97"/>
      <c r="G735" s="97"/>
      <c r="H735" s="99"/>
      <c r="I735" s="59"/>
      <c r="J735" s="59"/>
      <c r="K735" s="59"/>
      <c r="L735" s="59"/>
      <c r="M735" s="118"/>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row>
    <row r="736" ht="14.25" customHeight="1">
      <c r="A736" s="59"/>
      <c r="B736" s="97"/>
      <c r="C736" s="97"/>
      <c r="D736" s="97"/>
      <c r="E736" s="97"/>
      <c r="F736" s="97"/>
      <c r="G736" s="97"/>
      <c r="H736" s="99"/>
      <c r="I736" s="59"/>
      <c r="J736" s="59"/>
      <c r="K736" s="59"/>
      <c r="L736" s="59"/>
      <c r="M736" s="118"/>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row>
    <row r="737" ht="14.25" customHeight="1">
      <c r="A737" s="59"/>
      <c r="B737" s="97"/>
      <c r="C737" s="97"/>
      <c r="D737" s="97"/>
      <c r="E737" s="97"/>
      <c r="F737" s="97"/>
      <c r="G737" s="97"/>
      <c r="H737" s="99"/>
      <c r="I737" s="59"/>
      <c r="J737" s="59"/>
      <c r="K737" s="59"/>
      <c r="L737" s="59"/>
      <c r="M737" s="118"/>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row>
    <row r="738" ht="14.25" customHeight="1">
      <c r="A738" s="59"/>
      <c r="B738" s="97"/>
      <c r="C738" s="97"/>
      <c r="D738" s="97"/>
      <c r="E738" s="97"/>
      <c r="F738" s="97"/>
      <c r="G738" s="97"/>
      <c r="H738" s="99"/>
      <c r="I738" s="59"/>
      <c r="J738" s="59"/>
      <c r="K738" s="59"/>
      <c r="L738" s="59"/>
      <c r="M738" s="118"/>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row>
    <row r="739" ht="14.25" customHeight="1">
      <c r="A739" s="59"/>
      <c r="B739" s="97"/>
      <c r="C739" s="97"/>
      <c r="D739" s="97"/>
      <c r="E739" s="97"/>
      <c r="F739" s="97"/>
      <c r="G739" s="97"/>
      <c r="H739" s="99"/>
      <c r="I739" s="59"/>
      <c r="J739" s="59"/>
      <c r="K739" s="59"/>
      <c r="L739" s="59"/>
      <c r="M739" s="118"/>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row>
    <row r="740" ht="14.25" customHeight="1">
      <c r="A740" s="59"/>
      <c r="B740" s="97"/>
      <c r="C740" s="97"/>
      <c r="D740" s="97"/>
      <c r="E740" s="97"/>
      <c r="F740" s="97"/>
      <c r="G740" s="97"/>
      <c r="H740" s="99"/>
      <c r="I740" s="59"/>
      <c r="J740" s="59"/>
      <c r="K740" s="59"/>
      <c r="L740" s="59"/>
      <c r="M740" s="118"/>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row>
    <row r="741" ht="14.25" customHeight="1">
      <c r="A741" s="59"/>
      <c r="B741" s="97"/>
      <c r="C741" s="97"/>
      <c r="D741" s="97"/>
      <c r="E741" s="97"/>
      <c r="F741" s="97"/>
      <c r="G741" s="97"/>
      <c r="H741" s="99"/>
      <c r="I741" s="59"/>
      <c r="J741" s="59"/>
      <c r="K741" s="59"/>
      <c r="L741" s="59"/>
      <c r="M741" s="118"/>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row>
    <row r="742" ht="14.25" customHeight="1">
      <c r="A742" s="59"/>
      <c r="B742" s="97"/>
      <c r="C742" s="97"/>
      <c r="D742" s="97"/>
      <c r="E742" s="97"/>
      <c r="F742" s="97"/>
      <c r="G742" s="97"/>
      <c r="H742" s="99"/>
      <c r="I742" s="59"/>
      <c r="J742" s="59"/>
      <c r="K742" s="59"/>
      <c r="L742" s="59"/>
      <c r="M742" s="118"/>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row>
    <row r="743" ht="14.25" customHeight="1">
      <c r="A743" s="59"/>
      <c r="B743" s="97"/>
      <c r="C743" s="97"/>
      <c r="D743" s="97"/>
      <c r="E743" s="97"/>
      <c r="F743" s="97"/>
      <c r="G743" s="97"/>
      <c r="H743" s="99"/>
      <c r="I743" s="59"/>
      <c r="J743" s="59"/>
      <c r="K743" s="59"/>
      <c r="L743" s="59"/>
      <c r="M743" s="118"/>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row>
    <row r="744" ht="14.25" customHeight="1">
      <c r="A744" s="59"/>
      <c r="B744" s="97"/>
      <c r="C744" s="97"/>
      <c r="D744" s="97"/>
      <c r="E744" s="97"/>
      <c r="F744" s="97"/>
      <c r="G744" s="97"/>
      <c r="H744" s="99"/>
      <c r="I744" s="59"/>
      <c r="J744" s="59"/>
      <c r="K744" s="59"/>
      <c r="L744" s="59"/>
      <c r="M744" s="118"/>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row>
    <row r="745" ht="14.25" customHeight="1">
      <c r="A745" s="59"/>
      <c r="B745" s="97"/>
      <c r="C745" s="97"/>
      <c r="D745" s="97"/>
      <c r="E745" s="97"/>
      <c r="F745" s="97"/>
      <c r="G745" s="97"/>
      <c r="H745" s="99"/>
      <c r="I745" s="59"/>
      <c r="J745" s="59"/>
      <c r="K745" s="59"/>
      <c r="L745" s="59"/>
      <c r="M745" s="118"/>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row>
    <row r="746" ht="14.25" customHeight="1">
      <c r="A746" s="59"/>
      <c r="B746" s="97"/>
      <c r="C746" s="97"/>
      <c r="D746" s="97"/>
      <c r="E746" s="97"/>
      <c r="F746" s="97"/>
      <c r="G746" s="97"/>
      <c r="H746" s="99"/>
      <c r="I746" s="59"/>
      <c r="J746" s="59"/>
      <c r="K746" s="59"/>
      <c r="L746" s="59"/>
      <c r="M746" s="118"/>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row>
    <row r="747" ht="14.25" customHeight="1">
      <c r="A747" s="59"/>
      <c r="B747" s="97"/>
      <c r="C747" s="97"/>
      <c r="D747" s="97"/>
      <c r="E747" s="97"/>
      <c r="F747" s="97"/>
      <c r="G747" s="97"/>
      <c r="H747" s="99"/>
      <c r="I747" s="59"/>
      <c r="J747" s="59"/>
      <c r="K747" s="59"/>
      <c r="L747" s="59"/>
      <c r="M747" s="118"/>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row>
    <row r="748" ht="14.25" customHeight="1">
      <c r="A748" s="59"/>
      <c r="B748" s="97"/>
      <c r="C748" s="97"/>
      <c r="D748" s="97"/>
      <c r="E748" s="97"/>
      <c r="F748" s="97"/>
      <c r="G748" s="97"/>
      <c r="H748" s="99"/>
      <c r="I748" s="59"/>
      <c r="J748" s="59"/>
      <c r="K748" s="59"/>
      <c r="L748" s="59"/>
      <c r="M748" s="118"/>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row>
    <row r="749" ht="14.25" customHeight="1">
      <c r="A749" s="59"/>
      <c r="B749" s="97"/>
      <c r="C749" s="97"/>
      <c r="D749" s="97"/>
      <c r="E749" s="97"/>
      <c r="F749" s="97"/>
      <c r="G749" s="97"/>
      <c r="H749" s="99"/>
      <c r="I749" s="59"/>
      <c r="J749" s="59"/>
      <c r="K749" s="59"/>
      <c r="L749" s="59"/>
      <c r="M749" s="118"/>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row>
    <row r="750" ht="14.25" customHeight="1">
      <c r="A750" s="59"/>
      <c r="B750" s="97"/>
      <c r="C750" s="97"/>
      <c r="D750" s="97"/>
      <c r="E750" s="97"/>
      <c r="F750" s="97"/>
      <c r="G750" s="97"/>
      <c r="H750" s="99"/>
      <c r="I750" s="59"/>
      <c r="J750" s="59"/>
      <c r="K750" s="59"/>
      <c r="L750" s="59"/>
      <c r="M750" s="118"/>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row>
    <row r="751" ht="14.25" customHeight="1">
      <c r="A751" s="59"/>
      <c r="B751" s="97"/>
      <c r="C751" s="97"/>
      <c r="D751" s="97"/>
      <c r="E751" s="97"/>
      <c r="F751" s="97"/>
      <c r="G751" s="97"/>
      <c r="H751" s="99"/>
      <c r="I751" s="59"/>
      <c r="J751" s="59"/>
      <c r="K751" s="59"/>
      <c r="L751" s="59"/>
      <c r="M751" s="118"/>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row>
    <row r="752" ht="14.25" customHeight="1">
      <c r="A752" s="59"/>
      <c r="B752" s="97"/>
      <c r="C752" s="97"/>
      <c r="D752" s="97"/>
      <c r="E752" s="97"/>
      <c r="F752" s="97"/>
      <c r="G752" s="97"/>
      <c r="H752" s="99"/>
      <c r="I752" s="59"/>
      <c r="J752" s="59"/>
      <c r="K752" s="59"/>
      <c r="L752" s="59"/>
      <c r="M752" s="118"/>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row>
    <row r="753" ht="14.25" customHeight="1">
      <c r="A753" s="59"/>
      <c r="B753" s="97"/>
      <c r="C753" s="97"/>
      <c r="D753" s="97"/>
      <c r="E753" s="97"/>
      <c r="F753" s="97"/>
      <c r="G753" s="97"/>
      <c r="H753" s="99"/>
      <c r="I753" s="59"/>
      <c r="J753" s="59"/>
      <c r="K753" s="59"/>
      <c r="L753" s="59"/>
      <c r="M753" s="118"/>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row>
    <row r="754" ht="14.25" customHeight="1">
      <c r="A754" s="59"/>
      <c r="B754" s="97"/>
      <c r="C754" s="97"/>
      <c r="D754" s="97"/>
      <c r="E754" s="97"/>
      <c r="F754" s="97"/>
      <c r="G754" s="97"/>
      <c r="H754" s="99"/>
      <c r="I754" s="59"/>
      <c r="J754" s="59"/>
      <c r="K754" s="59"/>
      <c r="L754" s="59"/>
      <c r="M754" s="118"/>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row>
    <row r="755" ht="14.25" customHeight="1">
      <c r="A755" s="59"/>
      <c r="B755" s="97"/>
      <c r="C755" s="97"/>
      <c r="D755" s="97"/>
      <c r="E755" s="97"/>
      <c r="F755" s="97"/>
      <c r="G755" s="97"/>
      <c r="H755" s="99"/>
      <c r="I755" s="59"/>
      <c r="J755" s="59"/>
      <c r="K755" s="59"/>
      <c r="L755" s="59"/>
      <c r="M755" s="118"/>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row>
    <row r="756" ht="14.25" customHeight="1">
      <c r="A756" s="59"/>
      <c r="B756" s="97"/>
      <c r="C756" s="97"/>
      <c r="D756" s="97"/>
      <c r="E756" s="97"/>
      <c r="F756" s="97"/>
      <c r="G756" s="97"/>
      <c r="H756" s="99"/>
      <c r="I756" s="59"/>
      <c r="J756" s="59"/>
      <c r="K756" s="59"/>
      <c r="L756" s="59"/>
      <c r="M756" s="118"/>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row>
    <row r="757" ht="14.25" customHeight="1">
      <c r="A757" s="59"/>
      <c r="B757" s="97"/>
      <c r="C757" s="97"/>
      <c r="D757" s="97"/>
      <c r="E757" s="97"/>
      <c r="F757" s="97"/>
      <c r="G757" s="97"/>
      <c r="H757" s="99"/>
      <c r="I757" s="59"/>
      <c r="J757" s="59"/>
      <c r="K757" s="59"/>
      <c r="L757" s="59"/>
      <c r="M757" s="118"/>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row>
    <row r="758" ht="14.25" customHeight="1">
      <c r="A758" s="59"/>
      <c r="B758" s="97"/>
      <c r="C758" s="97"/>
      <c r="D758" s="97"/>
      <c r="E758" s="97"/>
      <c r="F758" s="97"/>
      <c r="G758" s="97"/>
      <c r="H758" s="99"/>
      <c r="I758" s="59"/>
      <c r="J758" s="59"/>
      <c r="K758" s="59"/>
      <c r="L758" s="59"/>
      <c r="M758" s="118"/>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row>
    <row r="759" ht="14.25" customHeight="1">
      <c r="A759" s="59"/>
      <c r="B759" s="97"/>
      <c r="C759" s="97"/>
      <c r="D759" s="97"/>
      <c r="E759" s="97"/>
      <c r="F759" s="97"/>
      <c r="G759" s="97"/>
      <c r="H759" s="99"/>
      <c r="I759" s="59"/>
      <c r="J759" s="59"/>
      <c r="K759" s="59"/>
      <c r="L759" s="59"/>
      <c r="M759" s="118"/>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row>
    <row r="760" ht="14.25" customHeight="1">
      <c r="A760" s="59"/>
      <c r="B760" s="97"/>
      <c r="C760" s="97"/>
      <c r="D760" s="97"/>
      <c r="E760" s="97"/>
      <c r="F760" s="97"/>
      <c r="G760" s="97"/>
      <c r="H760" s="99"/>
      <c r="I760" s="59"/>
      <c r="J760" s="59"/>
      <c r="K760" s="59"/>
      <c r="L760" s="59"/>
      <c r="M760" s="118"/>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row>
    <row r="761" ht="14.25" customHeight="1">
      <c r="A761" s="59"/>
      <c r="B761" s="97"/>
      <c r="C761" s="97"/>
      <c r="D761" s="97"/>
      <c r="E761" s="97"/>
      <c r="F761" s="97"/>
      <c r="G761" s="97"/>
      <c r="H761" s="99"/>
      <c r="I761" s="59"/>
      <c r="J761" s="59"/>
      <c r="K761" s="59"/>
      <c r="L761" s="59"/>
      <c r="M761" s="118"/>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row>
    <row r="762" ht="14.25" customHeight="1">
      <c r="A762" s="59"/>
      <c r="B762" s="97"/>
      <c r="C762" s="97"/>
      <c r="D762" s="97"/>
      <c r="E762" s="97"/>
      <c r="F762" s="97"/>
      <c r="G762" s="97"/>
      <c r="H762" s="99"/>
      <c r="I762" s="59"/>
      <c r="J762" s="59"/>
      <c r="K762" s="59"/>
      <c r="L762" s="59"/>
      <c r="M762" s="118"/>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row>
    <row r="763" ht="14.25" customHeight="1">
      <c r="A763" s="59"/>
      <c r="B763" s="97"/>
      <c r="C763" s="97"/>
      <c r="D763" s="97"/>
      <c r="E763" s="97"/>
      <c r="F763" s="97"/>
      <c r="G763" s="97"/>
      <c r="H763" s="99"/>
      <c r="I763" s="59"/>
      <c r="J763" s="59"/>
      <c r="K763" s="59"/>
      <c r="L763" s="59"/>
      <c r="M763" s="118"/>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row>
    <row r="764" ht="14.25" customHeight="1">
      <c r="A764" s="59"/>
      <c r="B764" s="97"/>
      <c r="C764" s="97"/>
      <c r="D764" s="97"/>
      <c r="E764" s="97"/>
      <c r="F764" s="97"/>
      <c r="G764" s="97"/>
      <c r="H764" s="99"/>
      <c r="I764" s="59"/>
      <c r="J764" s="59"/>
      <c r="K764" s="59"/>
      <c r="L764" s="59"/>
      <c r="M764" s="118"/>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row>
    <row r="765" ht="14.25" customHeight="1">
      <c r="A765" s="59"/>
      <c r="B765" s="97"/>
      <c r="C765" s="97"/>
      <c r="D765" s="97"/>
      <c r="E765" s="97"/>
      <c r="F765" s="97"/>
      <c r="G765" s="97"/>
      <c r="H765" s="99"/>
      <c r="I765" s="59"/>
      <c r="J765" s="59"/>
      <c r="K765" s="59"/>
      <c r="L765" s="59"/>
      <c r="M765" s="118"/>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row>
    <row r="766" ht="14.25" customHeight="1">
      <c r="A766" s="59"/>
      <c r="B766" s="97"/>
      <c r="C766" s="97"/>
      <c r="D766" s="97"/>
      <c r="E766" s="97"/>
      <c r="F766" s="97"/>
      <c r="G766" s="97"/>
      <c r="H766" s="99"/>
      <c r="I766" s="59"/>
      <c r="J766" s="59"/>
      <c r="K766" s="59"/>
      <c r="L766" s="59"/>
      <c r="M766" s="118"/>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row>
    <row r="767" ht="14.25" customHeight="1">
      <c r="A767" s="59"/>
      <c r="B767" s="97"/>
      <c r="C767" s="97"/>
      <c r="D767" s="97"/>
      <c r="E767" s="97"/>
      <c r="F767" s="97"/>
      <c r="G767" s="97"/>
      <c r="H767" s="99"/>
      <c r="I767" s="59"/>
      <c r="J767" s="59"/>
      <c r="K767" s="59"/>
      <c r="L767" s="59"/>
      <c r="M767" s="118"/>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row>
    <row r="768" ht="14.25" customHeight="1">
      <c r="A768" s="59"/>
      <c r="B768" s="97"/>
      <c r="C768" s="97"/>
      <c r="D768" s="97"/>
      <c r="E768" s="97"/>
      <c r="F768" s="97"/>
      <c r="G768" s="97"/>
      <c r="H768" s="99"/>
      <c r="I768" s="59"/>
      <c r="J768" s="59"/>
      <c r="K768" s="59"/>
      <c r="L768" s="59"/>
      <c r="M768" s="118"/>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row>
    <row r="769" ht="14.25" customHeight="1">
      <c r="A769" s="59"/>
      <c r="B769" s="97"/>
      <c r="C769" s="97"/>
      <c r="D769" s="97"/>
      <c r="E769" s="97"/>
      <c r="F769" s="97"/>
      <c r="G769" s="97"/>
      <c r="H769" s="99"/>
      <c r="I769" s="59"/>
      <c r="J769" s="59"/>
      <c r="K769" s="59"/>
      <c r="L769" s="59"/>
      <c r="M769" s="118"/>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row>
    <row r="770" ht="14.25" customHeight="1">
      <c r="A770" s="59"/>
      <c r="B770" s="97"/>
      <c r="C770" s="97"/>
      <c r="D770" s="97"/>
      <c r="E770" s="97"/>
      <c r="F770" s="97"/>
      <c r="G770" s="97"/>
      <c r="H770" s="99"/>
      <c r="I770" s="59"/>
      <c r="J770" s="59"/>
      <c r="K770" s="59"/>
      <c r="L770" s="59"/>
      <c r="M770" s="118"/>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row>
    <row r="771" ht="14.25" customHeight="1">
      <c r="A771" s="59"/>
      <c r="B771" s="97"/>
      <c r="C771" s="97"/>
      <c r="D771" s="97"/>
      <c r="E771" s="97"/>
      <c r="F771" s="97"/>
      <c r="G771" s="97"/>
      <c r="H771" s="99"/>
      <c r="I771" s="59"/>
      <c r="J771" s="59"/>
      <c r="K771" s="59"/>
      <c r="L771" s="59"/>
      <c r="M771" s="118"/>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row>
    <row r="772" ht="14.25" customHeight="1">
      <c r="A772" s="59"/>
      <c r="B772" s="97"/>
      <c r="C772" s="97"/>
      <c r="D772" s="97"/>
      <c r="E772" s="97"/>
      <c r="F772" s="97"/>
      <c r="G772" s="97"/>
      <c r="H772" s="99"/>
      <c r="I772" s="59"/>
      <c r="J772" s="59"/>
      <c r="K772" s="59"/>
      <c r="L772" s="59"/>
      <c r="M772" s="118"/>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row>
    <row r="773" ht="14.25" customHeight="1">
      <c r="A773" s="59"/>
      <c r="B773" s="97"/>
      <c r="C773" s="97"/>
      <c r="D773" s="97"/>
      <c r="E773" s="97"/>
      <c r="F773" s="97"/>
      <c r="G773" s="97"/>
      <c r="H773" s="99"/>
      <c r="I773" s="59"/>
      <c r="J773" s="59"/>
      <c r="K773" s="59"/>
      <c r="L773" s="59"/>
      <c r="M773" s="118"/>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row>
    <row r="774" ht="14.25" customHeight="1">
      <c r="A774" s="59"/>
      <c r="B774" s="97"/>
      <c r="C774" s="97"/>
      <c r="D774" s="97"/>
      <c r="E774" s="97"/>
      <c r="F774" s="97"/>
      <c r="G774" s="97"/>
      <c r="H774" s="99"/>
      <c r="I774" s="59"/>
      <c r="J774" s="59"/>
      <c r="K774" s="59"/>
      <c r="L774" s="59"/>
      <c r="M774" s="118"/>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row>
    <row r="775" ht="14.25" customHeight="1">
      <c r="A775" s="59"/>
      <c r="B775" s="97"/>
      <c r="C775" s="97"/>
      <c r="D775" s="97"/>
      <c r="E775" s="97"/>
      <c r="F775" s="97"/>
      <c r="G775" s="97"/>
      <c r="H775" s="99"/>
      <c r="I775" s="59"/>
      <c r="J775" s="59"/>
      <c r="K775" s="59"/>
      <c r="L775" s="59"/>
      <c r="M775" s="118"/>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row>
    <row r="776" ht="14.25" customHeight="1">
      <c r="A776" s="59"/>
      <c r="B776" s="97"/>
      <c r="C776" s="97"/>
      <c r="D776" s="97"/>
      <c r="E776" s="97"/>
      <c r="F776" s="97"/>
      <c r="G776" s="97"/>
      <c r="H776" s="99"/>
      <c r="I776" s="59"/>
      <c r="J776" s="59"/>
      <c r="K776" s="59"/>
      <c r="L776" s="59"/>
      <c r="M776" s="118"/>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row>
    <row r="777" ht="14.25" customHeight="1">
      <c r="A777" s="59"/>
      <c r="B777" s="97"/>
      <c r="C777" s="97"/>
      <c r="D777" s="97"/>
      <c r="E777" s="97"/>
      <c r="F777" s="97"/>
      <c r="G777" s="97"/>
      <c r="H777" s="99"/>
      <c r="I777" s="59"/>
      <c r="J777" s="59"/>
      <c r="K777" s="59"/>
      <c r="L777" s="59"/>
      <c r="M777" s="118"/>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row>
    <row r="778" ht="14.25" customHeight="1">
      <c r="A778" s="59"/>
      <c r="B778" s="97"/>
      <c r="C778" s="97"/>
      <c r="D778" s="97"/>
      <c r="E778" s="97"/>
      <c r="F778" s="97"/>
      <c r="G778" s="97"/>
      <c r="H778" s="99"/>
      <c r="I778" s="59"/>
      <c r="J778" s="59"/>
      <c r="K778" s="59"/>
      <c r="L778" s="59"/>
      <c r="M778" s="118"/>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row>
    <row r="779" ht="14.25" customHeight="1">
      <c r="A779" s="59"/>
      <c r="B779" s="97"/>
      <c r="C779" s="97"/>
      <c r="D779" s="97"/>
      <c r="E779" s="97"/>
      <c r="F779" s="97"/>
      <c r="G779" s="97"/>
      <c r="H779" s="99"/>
      <c r="I779" s="59"/>
      <c r="J779" s="59"/>
      <c r="K779" s="59"/>
      <c r="L779" s="59"/>
      <c r="M779" s="118"/>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row>
    <row r="780" ht="14.25" customHeight="1">
      <c r="A780" s="59"/>
      <c r="B780" s="97"/>
      <c r="C780" s="97"/>
      <c r="D780" s="97"/>
      <c r="E780" s="97"/>
      <c r="F780" s="97"/>
      <c r="G780" s="97"/>
      <c r="H780" s="99"/>
      <c r="I780" s="59"/>
      <c r="J780" s="59"/>
      <c r="K780" s="59"/>
      <c r="L780" s="59"/>
      <c r="M780" s="118"/>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row>
    <row r="781" ht="14.25" customHeight="1">
      <c r="A781" s="59"/>
      <c r="B781" s="97"/>
      <c r="C781" s="97"/>
      <c r="D781" s="97"/>
      <c r="E781" s="97"/>
      <c r="F781" s="97"/>
      <c r="G781" s="97"/>
      <c r="H781" s="99"/>
      <c r="I781" s="59"/>
      <c r="J781" s="59"/>
      <c r="K781" s="59"/>
      <c r="L781" s="59"/>
      <c r="M781" s="118"/>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row>
    <row r="782" ht="14.25" customHeight="1">
      <c r="A782" s="59"/>
      <c r="B782" s="97"/>
      <c r="C782" s="97"/>
      <c r="D782" s="97"/>
      <c r="E782" s="97"/>
      <c r="F782" s="97"/>
      <c r="G782" s="97"/>
      <c r="H782" s="99"/>
      <c r="I782" s="59"/>
      <c r="J782" s="59"/>
      <c r="K782" s="59"/>
      <c r="L782" s="59"/>
      <c r="M782" s="118"/>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row>
    <row r="783" ht="14.25" customHeight="1">
      <c r="A783" s="59"/>
      <c r="B783" s="97"/>
      <c r="C783" s="97"/>
      <c r="D783" s="97"/>
      <c r="E783" s="97"/>
      <c r="F783" s="97"/>
      <c r="G783" s="97"/>
      <c r="H783" s="99"/>
      <c r="I783" s="59"/>
      <c r="J783" s="59"/>
      <c r="K783" s="59"/>
      <c r="L783" s="59"/>
      <c r="M783" s="118"/>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row>
    <row r="784" ht="14.25" customHeight="1">
      <c r="A784" s="59"/>
      <c r="B784" s="97"/>
      <c r="C784" s="97"/>
      <c r="D784" s="97"/>
      <c r="E784" s="97"/>
      <c r="F784" s="97"/>
      <c r="G784" s="97"/>
      <c r="H784" s="99"/>
      <c r="I784" s="59"/>
      <c r="J784" s="59"/>
      <c r="K784" s="59"/>
      <c r="L784" s="59"/>
      <c r="M784" s="118"/>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row>
    <row r="785" ht="14.25" customHeight="1">
      <c r="A785" s="59"/>
      <c r="B785" s="97"/>
      <c r="C785" s="97"/>
      <c r="D785" s="97"/>
      <c r="E785" s="97"/>
      <c r="F785" s="97"/>
      <c r="G785" s="97"/>
      <c r="H785" s="99"/>
      <c r="I785" s="59"/>
      <c r="J785" s="59"/>
      <c r="K785" s="59"/>
      <c r="L785" s="59"/>
      <c r="M785" s="118"/>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row>
    <row r="786" ht="14.25" customHeight="1">
      <c r="A786" s="59"/>
      <c r="B786" s="97"/>
      <c r="C786" s="97"/>
      <c r="D786" s="97"/>
      <c r="E786" s="97"/>
      <c r="F786" s="97"/>
      <c r="G786" s="97"/>
      <c r="H786" s="99"/>
      <c r="I786" s="59"/>
      <c r="J786" s="59"/>
      <c r="K786" s="59"/>
      <c r="L786" s="59"/>
      <c r="M786" s="118"/>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row>
    <row r="787" ht="14.25" customHeight="1">
      <c r="A787" s="59"/>
      <c r="B787" s="97"/>
      <c r="C787" s="97"/>
      <c r="D787" s="97"/>
      <c r="E787" s="97"/>
      <c r="F787" s="97"/>
      <c r="G787" s="97"/>
      <c r="H787" s="99"/>
      <c r="I787" s="59"/>
      <c r="J787" s="59"/>
      <c r="K787" s="59"/>
      <c r="L787" s="59"/>
      <c r="M787" s="118"/>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row>
    <row r="788" ht="14.25" customHeight="1">
      <c r="A788" s="59"/>
      <c r="B788" s="97"/>
      <c r="C788" s="97"/>
      <c r="D788" s="97"/>
      <c r="E788" s="97"/>
      <c r="F788" s="97"/>
      <c r="G788" s="97"/>
      <c r="H788" s="99"/>
      <c r="I788" s="59"/>
      <c r="J788" s="59"/>
      <c r="K788" s="59"/>
      <c r="L788" s="59"/>
      <c r="M788" s="118"/>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row>
    <row r="789" ht="14.25" customHeight="1">
      <c r="A789" s="59"/>
      <c r="B789" s="97"/>
      <c r="C789" s="97"/>
      <c r="D789" s="97"/>
      <c r="E789" s="97"/>
      <c r="F789" s="97"/>
      <c r="G789" s="97"/>
      <c r="H789" s="99"/>
      <c r="I789" s="59"/>
      <c r="J789" s="59"/>
      <c r="K789" s="59"/>
      <c r="L789" s="59"/>
      <c r="M789" s="118"/>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row>
    <row r="790" ht="14.25" customHeight="1">
      <c r="A790" s="59"/>
      <c r="B790" s="97"/>
      <c r="C790" s="97"/>
      <c r="D790" s="97"/>
      <c r="E790" s="97"/>
      <c r="F790" s="97"/>
      <c r="G790" s="97"/>
      <c r="H790" s="99"/>
      <c r="I790" s="59"/>
      <c r="J790" s="59"/>
      <c r="K790" s="59"/>
      <c r="L790" s="59"/>
      <c r="M790" s="118"/>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row>
    <row r="791" ht="14.25" customHeight="1">
      <c r="A791" s="59"/>
      <c r="B791" s="97"/>
      <c r="C791" s="97"/>
      <c r="D791" s="97"/>
      <c r="E791" s="97"/>
      <c r="F791" s="97"/>
      <c r="G791" s="97"/>
      <c r="H791" s="99"/>
      <c r="I791" s="59"/>
      <c r="J791" s="59"/>
      <c r="K791" s="59"/>
      <c r="L791" s="59"/>
      <c r="M791" s="118"/>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row>
    <row r="792" ht="14.25" customHeight="1">
      <c r="A792" s="59"/>
      <c r="B792" s="97"/>
      <c r="C792" s="97"/>
      <c r="D792" s="97"/>
      <c r="E792" s="97"/>
      <c r="F792" s="97"/>
      <c r="G792" s="97"/>
      <c r="H792" s="99"/>
      <c r="I792" s="59"/>
      <c r="J792" s="59"/>
      <c r="K792" s="59"/>
      <c r="L792" s="59"/>
      <c r="M792" s="118"/>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row>
    <row r="793" ht="14.25" customHeight="1">
      <c r="A793" s="59"/>
      <c r="B793" s="97"/>
      <c r="C793" s="97"/>
      <c r="D793" s="97"/>
      <c r="E793" s="97"/>
      <c r="F793" s="97"/>
      <c r="G793" s="97"/>
      <c r="H793" s="99"/>
      <c r="I793" s="59"/>
      <c r="J793" s="59"/>
      <c r="K793" s="59"/>
      <c r="L793" s="59"/>
      <c r="M793" s="118"/>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row>
    <row r="794" ht="14.25" customHeight="1">
      <c r="A794" s="59"/>
      <c r="B794" s="97"/>
      <c r="C794" s="97"/>
      <c r="D794" s="97"/>
      <c r="E794" s="97"/>
      <c r="F794" s="97"/>
      <c r="G794" s="97"/>
      <c r="H794" s="99"/>
      <c r="I794" s="59"/>
      <c r="J794" s="59"/>
      <c r="K794" s="59"/>
      <c r="L794" s="59"/>
      <c r="M794" s="118"/>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row>
    <row r="795" ht="14.25" customHeight="1">
      <c r="A795" s="59"/>
      <c r="B795" s="97"/>
      <c r="C795" s="97"/>
      <c r="D795" s="97"/>
      <c r="E795" s="97"/>
      <c r="F795" s="97"/>
      <c r="G795" s="97"/>
      <c r="H795" s="99"/>
      <c r="I795" s="59"/>
      <c r="J795" s="59"/>
      <c r="K795" s="59"/>
      <c r="L795" s="59"/>
      <c r="M795" s="118"/>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row>
    <row r="796" ht="14.25" customHeight="1">
      <c r="A796" s="59"/>
      <c r="B796" s="97"/>
      <c r="C796" s="97"/>
      <c r="D796" s="97"/>
      <c r="E796" s="97"/>
      <c r="F796" s="97"/>
      <c r="G796" s="97"/>
      <c r="H796" s="99"/>
      <c r="I796" s="59"/>
      <c r="J796" s="59"/>
      <c r="K796" s="59"/>
      <c r="L796" s="59"/>
      <c r="M796" s="118"/>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row>
    <row r="797" ht="14.25" customHeight="1">
      <c r="A797" s="59"/>
      <c r="B797" s="97"/>
      <c r="C797" s="97"/>
      <c r="D797" s="97"/>
      <c r="E797" s="97"/>
      <c r="F797" s="97"/>
      <c r="G797" s="97"/>
      <c r="H797" s="99"/>
      <c r="I797" s="59"/>
      <c r="J797" s="59"/>
      <c r="K797" s="59"/>
      <c r="L797" s="59"/>
      <c r="M797" s="118"/>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row>
    <row r="798" ht="14.25" customHeight="1">
      <c r="A798" s="59"/>
      <c r="B798" s="97"/>
      <c r="C798" s="97"/>
      <c r="D798" s="97"/>
      <c r="E798" s="97"/>
      <c r="F798" s="97"/>
      <c r="G798" s="97"/>
      <c r="H798" s="99"/>
      <c r="I798" s="59"/>
      <c r="J798" s="59"/>
      <c r="K798" s="59"/>
      <c r="L798" s="59"/>
      <c r="M798" s="118"/>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row>
    <row r="799" ht="14.25" customHeight="1">
      <c r="A799" s="59"/>
      <c r="B799" s="97"/>
      <c r="C799" s="97"/>
      <c r="D799" s="97"/>
      <c r="E799" s="97"/>
      <c r="F799" s="97"/>
      <c r="G799" s="97"/>
      <c r="H799" s="99"/>
      <c r="I799" s="59"/>
      <c r="J799" s="59"/>
      <c r="K799" s="59"/>
      <c r="L799" s="59"/>
      <c r="M799" s="118"/>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row>
    <row r="800" ht="14.25" customHeight="1">
      <c r="A800" s="59"/>
      <c r="B800" s="97"/>
      <c r="C800" s="97"/>
      <c r="D800" s="97"/>
      <c r="E800" s="97"/>
      <c r="F800" s="97"/>
      <c r="G800" s="97"/>
      <c r="H800" s="99"/>
      <c r="I800" s="59"/>
      <c r="J800" s="59"/>
      <c r="K800" s="59"/>
      <c r="L800" s="59"/>
      <c r="M800" s="118"/>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row>
    <row r="801" ht="14.25" customHeight="1">
      <c r="A801" s="59"/>
      <c r="B801" s="97"/>
      <c r="C801" s="97"/>
      <c r="D801" s="97"/>
      <c r="E801" s="97"/>
      <c r="F801" s="97"/>
      <c r="G801" s="97"/>
      <c r="H801" s="99"/>
      <c r="I801" s="59"/>
      <c r="J801" s="59"/>
      <c r="K801" s="59"/>
      <c r="L801" s="59"/>
      <c r="M801" s="118"/>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row>
    <row r="802" ht="14.25" customHeight="1">
      <c r="A802" s="59"/>
      <c r="B802" s="97"/>
      <c r="C802" s="97"/>
      <c r="D802" s="97"/>
      <c r="E802" s="97"/>
      <c r="F802" s="97"/>
      <c r="G802" s="97"/>
      <c r="H802" s="99"/>
      <c r="I802" s="59"/>
      <c r="J802" s="59"/>
      <c r="K802" s="59"/>
      <c r="L802" s="59"/>
      <c r="M802" s="118"/>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row>
    <row r="803" ht="14.25" customHeight="1">
      <c r="A803" s="59"/>
      <c r="B803" s="97"/>
      <c r="C803" s="97"/>
      <c r="D803" s="97"/>
      <c r="E803" s="97"/>
      <c r="F803" s="97"/>
      <c r="G803" s="97"/>
      <c r="H803" s="99"/>
      <c r="I803" s="59"/>
      <c r="J803" s="59"/>
      <c r="K803" s="59"/>
      <c r="L803" s="59"/>
      <c r="M803" s="118"/>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row>
    <row r="804" ht="14.25" customHeight="1">
      <c r="A804" s="59"/>
      <c r="B804" s="97"/>
      <c r="C804" s="97"/>
      <c r="D804" s="97"/>
      <c r="E804" s="97"/>
      <c r="F804" s="97"/>
      <c r="G804" s="97"/>
      <c r="H804" s="99"/>
      <c r="I804" s="59"/>
      <c r="J804" s="59"/>
      <c r="K804" s="59"/>
      <c r="L804" s="59"/>
      <c r="M804" s="118"/>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row>
    <row r="805" ht="14.25" customHeight="1">
      <c r="A805" s="59"/>
      <c r="B805" s="97"/>
      <c r="C805" s="97"/>
      <c r="D805" s="97"/>
      <c r="E805" s="97"/>
      <c r="F805" s="97"/>
      <c r="G805" s="97"/>
      <c r="H805" s="99"/>
      <c r="I805" s="59"/>
      <c r="J805" s="59"/>
      <c r="K805" s="59"/>
      <c r="L805" s="59"/>
      <c r="M805" s="118"/>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row>
    <row r="806" ht="14.25" customHeight="1">
      <c r="A806" s="59"/>
      <c r="B806" s="97"/>
      <c r="C806" s="97"/>
      <c r="D806" s="97"/>
      <c r="E806" s="97"/>
      <c r="F806" s="97"/>
      <c r="G806" s="97"/>
      <c r="H806" s="99"/>
      <c r="I806" s="59"/>
      <c r="J806" s="59"/>
      <c r="K806" s="59"/>
      <c r="L806" s="59"/>
      <c r="M806" s="118"/>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row>
    <row r="807" ht="14.25" customHeight="1">
      <c r="A807" s="59"/>
      <c r="B807" s="97"/>
      <c r="C807" s="97"/>
      <c r="D807" s="97"/>
      <c r="E807" s="97"/>
      <c r="F807" s="97"/>
      <c r="G807" s="97"/>
      <c r="H807" s="99"/>
      <c r="I807" s="59"/>
      <c r="J807" s="59"/>
      <c r="K807" s="59"/>
      <c r="L807" s="59"/>
      <c r="M807" s="118"/>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row>
    <row r="808" ht="14.25" customHeight="1">
      <c r="A808" s="59"/>
      <c r="B808" s="97"/>
      <c r="C808" s="97"/>
      <c r="D808" s="97"/>
      <c r="E808" s="97"/>
      <c r="F808" s="97"/>
      <c r="G808" s="97"/>
      <c r="H808" s="99"/>
      <c r="I808" s="59"/>
      <c r="J808" s="59"/>
      <c r="K808" s="59"/>
      <c r="L808" s="59"/>
      <c r="M808" s="118"/>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row>
    <row r="809" ht="14.25" customHeight="1">
      <c r="A809" s="59"/>
      <c r="B809" s="97"/>
      <c r="C809" s="97"/>
      <c r="D809" s="97"/>
      <c r="E809" s="97"/>
      <c r="F809" s="97"/>
      <c r="G809" s="97"/>
      <c r="H809" s="99"/>
      <c r="I809" s="59"/>
      <c r="J809" s="59"/>
      <c r="K809" s="59"/>
      <c r="L809" s="59"/>
      <c r="M809" s="118"/>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row>
    <row r="810" ht="14.25" customHeight="1">
      <c r="A810" s="59"/>
      <c r="B810" s="97"/>
      <c r="C810" s="97"/>
      <c r="D810" s="97"/>
      <c r="E810" s="97"/>
      <c r="F810" s="97"/>
      <c r="G810" s="97"/>
      <c r="H810" s="99"/>
      <c r="I810" s="59"/>
      <c r="J810" s="59"/>
      <c r="K810" s="59"/>
      <c r="L810" s="59"/>
      <c r="M810" s="118"/>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row>
    <row r="811" ht="14.25" customHeight="1">
      <c r="A811" s="59"/>
      <c r="B811" s="97"/>
      <c r="C811" s="97"/>
      <c r="D811" s="97"/>
      <c r="E811" s="97"/>
      <c r="F811" s="97"/>
      <c r="G811" s="97"/>
      <c r="H811" s="99"/>
      <c r="I811" s="59"/>
      <c r="J811" s="59"/>
      <c r="K811" s="59"/>
      <c r="L811" s="59"/>
      <c r="M811" s="118"/>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row>
    <row r="812" ht="14.25" customHeight="1">
      <c r="A812" s="59"/>
      <c r="B812" s="97"/>
      <c r="C812" s="97"/>
      <c r="D812" s="97"/>
      <c r="E812" s="97"/>
      <c r="F812" s="97"/>
      <c r="G812" s="97"/>
      <c r="H812" s="99"/>
      <c r="I812" s="59"/>
      <c r="J812" s="59"/>
      <c r="K812" s="59"/>
      <c r="L812" s="59"/>
      <c r="M812" s="118"/>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row>
    <row r="813" ht="14.25" customHeight="1">
      <c r="A813" s="59"/>
      <c r="B813" s="97"/>
      <c r="C813" s="97"/>
      <c r="D813" s="97"/>
      <c r="E813" s="97"/>
      <c r="F813" s="97"/>
      <c r="G813" s="97"/>
      <c r="H813" s="99"/>
      <c r="I813" s="59"/>
      <c r="J813" s="59"/>
      <c r="K813" s="59"/>
      <c r="L813" s="59"/>
      <c r="M813" s="118"/>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row>
    <row r="814" ht="14.25" customHeight="1">
      <c r="A814" s="59"/>
      <c r="B814" s="97"/>
      <c r="C814" s="97"/>
      <c r="D814" s="97"/>
      <c r="E814" s="97"/>
      <c r="F814" s="97"/>
      <c r="G814" s="97"/>
      <c r="H814" s="99"/>
      <c r="I814" s="59"/>
      <c r="J814" s="59"/>
      <c r="K814" s="59"/>
      <c r="L814" s="59"/>
      <c r="M814" s="118"/>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row>
    <row r="815" ht="14.25" customHeight="1">
      <c r="A815" s="59"/>
      <c r="B815" s="97"/>
      <c r="C815" s="97"/>
      <c r="D815" s="97"/>
      <c r="E815" s="97"/>
      <c r="F815" s="97"/>
      <c r="G815" s="97"/>
      <c r="H815" s="99"/>
      <c r="I815" s="59"/>
      <c r="J815" s="59"/>
      <c r="K815" s="59"/>
      <c r="L815" s="59"/>
      <c r="M815" s="118"/>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row>
    <row r="816" ht="14.25" customHeight="1">
      <c r="A816" s="59"/>
      <c r="B816" s="97"/>
      <c r="C816" s="97"/>
      <c r="D816" s="97"/>
      <c r="E816" s="97"/>
      <c r="F816" s="97"/>
      <c r="G816" s="97"/>
      <c r="H816" s="99"/>
      <c r="I816" s="59"/>
      <c r="J816" s="59"/>
      <c r="K816" s="59"/>
      <c r="L816" s="59"/>
      <c r="M816" s="118"/>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row>
    <row r="817" ht="14.25" customHeight="1">
      <c r="A817" s="59"/>
      <c r="B817" s="97"/>
      <c r="C817" s="97"/>
      <c r="D817" s="97"/>
      <c r="E817" s="97"/>
      <c r="F817" s="97"/>
      <c r="G817" s="97"/>
      <c r="H817" s="99"/>
      <c r="I817" s="59"/>
      <c r="J817" s="59"/>
      <c r="K817" s="59"/>
      <c r="L817" s="59"/>
      <c r="M817" s="118"/>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row>
    <row r="818" ht="14.25" customHeight="1">
      <c r="A818" s="59"/>
      <c r="B818" s="97"/>
      <c r="C818" s="97"/>
      <c r="D818" s="97"/>
      <c r="E818" s="97"/>
      <c r="F818" s="97"/>
      <c r="G818" s="97"/>
      <c r="H818" s="99"/>
      <c r="I818" s="59"/>
      <c r="J818" s="59"/>
      <c r="K818" s="59"/>
      <c r="L818" s="59"/>
      <c r="M818" s="118"/>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row>
    <row r="819" ht="14.25" customHeight="1">
      <c r="A819" s="59"/>
      <c r="B819" s="97"/>
      <c r="C819" s="97"/>
      <c r="D819" s="97"/>
      <c r="E819" s="97"/>
      <c r="F819" s="97"/>
      <c r="G819" s="97"/>
      <c r="H819" s="99"/>
      <c r="I819" s="59"/>
      <c r="J819" s="59"/>
      <c r="K819" s="59"/>
      <c r="L819" s="59"/>
      <c r="M819" s="118"/>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row>
    <row r="820" ht="14.25" customHeight="1">
      <c r="A820" s="59"/>
      <c r="B820" s="97"/>
      <c r="C820" s="97"/>
      <c r="D820" s="97"/>
      <c r="E820" s="97"/>
      <c r="F820" s="97"/>
      <c r="G820" s="97"/>
      <c r="H820" s="99"/>
      <c r="I820" s="59"/>
      <c r="J820" s="59"/>
      <c r="K820" s="59"/>
      <c r="L820" s="59"/>
      <c r="M820" s="118"/>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row>
    <row r="821" ht="14.25" customHeight="1">
      <c r="A821" s="59"/>
      <c r="B821" s="97"/>
      <c r="C821" s="97"/>
      <c r="D821" s="97"/>
      <c r="E821" s="97"/>
      <c r="F821" s="97"/>
      <c r="G821" s="97"/>
      <c r="H821" s="99"/>
      <c r="I821" s="59"/>
      <c r="J821" s="59"/>
      <c r="K821" s="59"/>
      <c r="L821" s="59"/>
      <c r="M821" s="118"/>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row>
    <row r="822" ht="14.25" customHeight="1">
      <c r="A822" s="59"/>
      <c r="B822" s="97"/>
      <c r="C822" s="97"/>
      <c r="D822" s="97"/>
      <c r="E822" s="97"/>
      <c r="F822" s="97"/>
      <c r="G822" s="97"/>
      <c r="H822" s="99"/>
      <c r="I822" s="59"/>
      <c r="J822" s="59"/>
      <c r="K822" s="59"/>
      <c r="L822" s="59"/>
      <c r="M822" s="118"/>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row>
    <row r="823" ht="14.25" customHeight="1">
      <c r="A823" s="59"/>
      <c r="B823" s="97"/>
      <c r="C823" s="97"/>
      <c r="D823" s="97"/>
      <c r="E823" s="97"/>
      <c r="F823" s="97"/>
      <c r="G823" s="97"/>
      <c r="H823" s="99"/>
      <c r="I823" s="59"/>
      <c r="J823" s="59"/>
      <c r="K823" s="59"/>
      <c r="L823" s="59"/>
      <c r="M823" s="118"/>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row>
    <row r="824" ht="14.25" customHeight="1">
      <c r="A824" s="59"/>
      <c r="B824" s="97"/>
      <c r="C824" s="97"/>
      <c r="D824" s="97"/>
      <c r="E824" s="97"/>
      <c r="F824" s="97"/>
      <c r="G824" s="97"/>
      <c r="H824" s="99"/>
      <c r="I824" s="59"/>
      <c r="J824" s="59"/>
      <c r="K824" s="59"/>
      <c r="L824" s="59"/>
      <c r="M824" s="118"/>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row>
    <row r="825" ht="14.25" customHeight="1">
      <c r="A825" s="59"/>
      <c r="B825" s="97"/>
      <c r="C825" s="97"/>
      <c r="D825" s="97"/>
      <c r="E825" s="97"/>
      <c r="F825" s="97"/>
      <c r="G825" s="97"/>
      <c r="H825" s="99"/>
      <c r="I825" s="59"/>
      <c r="J825" s="59"/>
      <c r="K825" s="59"/>
      <c r="L825" s="59"/>
      <c r="M825" s="118"/>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row>
    <row r="826" ht="14.25" customHeight="1">
      <c r="A826" s="59"/>
      <c r="B826" s="97"/>
      <c r="C826" s="97"/>
      <c r="D826" s="97"/>
      <c r="E826" s="97"/>
      <c r="F826" s="97"/>
      <c r="G826" s="97"/>
      <c r="H826" s="99"/>
      <c r="I826" s="59"/>
      <c r="J826" s="59"/>
      <c r="K826" s="59"/>
      <c r="L826" s="59"/>
      <c r="M826" s="118"/>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row>
    <row r="827" ht="14.25" customHeight="1">
      <c r="A827" s="59"/>
      <c r="B827" s="97"/>
      <c r="C827" s="97"/>
      <c r="D827" s="97"/>
      <c r="E827" s="97"/>
      <c r="F827" s="97"/>
      <c r="G827" s="97"/>
      <c r="H827" s="99"/>
      <c r="I827" s="59"/>
      <c r="J827" s="59"/>
      <c r="K827" s="59"/>
      <c r="L827" s="59"/>
      <c r="M827" s="118"/>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row>
    <row r="828" ht="14.25" customHeight="1">
      <c r="A828" s="59"/>
      <c r="B828" s="97"/>
      <c r="C828" s="97"/>
      <c r="D828" s="97"/>
      <c r="E828" s="97"/>
      <c r="F828" s="97"/>
      <c r="G828" s="97"/>
      <c r="H828" s="99"/>
      <c r="I828" s="59"/>
      <c r="J828" s="59"/>
      <c r="K828" s="59"/>
      <c r="L828" s="59"/>
      <c r="M828" s="118"/>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row>
    <row r="829" ht="14.25" customHeight="1">
      <c r="A829" s="59"/>
      <c r="B829" s="97"/>
      <c r="C829" s="97"/>
      <c r="D829" s="97"/>
      <c r="E829" s="97"/>
      <c r="F829" s="97"/>
      <c r="G829" s="97"/>
      <c r="H829" s="99"/>
      <c r="I829" s="59"/>
      <c r="J829" s="59"/>
      <c r="K829" s="59"/>
      <c r="L829" s="59"/>
      <c r="M829" s="118"/>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row>
    <row r="830" ht="14.25" customHeight="1">
      <c r="A830" s="59"/>
      <c r="B830" s="97"/>
      <c r="C830" s="97"/>
      <c r="D830" s="97"/>
      <c r="E830" s="97"/>
      <c r="F830" s="97"/>
      <c r="G830" s="97"/>
      <c r="H830" s="99"/>
      <c r="I830" s="59"/>
      <c r="J830" s="59"/>
      <c r="K830" s="59"/>
      <c r="L830" s="59"/>
      <c r="M830" s="118"/>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row>
    <row r="831" ht="14.25" customHeight="1">
      <c r="A831" s="59"/>
      <c r="B831" s="97"/>
      <c r="C831" s="97"/>
      <c r="D831" s="97"/>
      <c r="E831" s="97"/>
      <c r="F831" s="97"/>
      <c r="G831" s="97"/>
      <c r="H831" s="99"/>
      <c r="I831" s="59"/>
      <c r="J831" s="59"/>
      <c r="K831" s="59"/>
      <c r="L831" s="59"/>
      <c r="M831" s="118"/>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row>
    <row r="832" ht="14.25" customHeight="1">
      <c r="A832" s="59"/>
      <c r="B832" s="97"/>
      <c r="C832" s="97"/>
      <c r="D832" s="97"/>
      <c r="E832" s="97"/>
      <c r="F832" s="97"/>
      <c r="G832" s="97"/>
      <c r="H832" s="99"/>
      <c r="I832" s="59"/>
      <c r="J832" s="59"/>
      <c r="K832" s="59"/>
      <c r="L832" s="59"/>
      <c r="M832" s="118"/>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row>
    <row r="833" ht="14.25" customHeight="1">
      <c r="A833" s="59"/>
      <c r="B833" s="97"/>
      <c r="C833" s="97"/>
      <c r="D833" s="97"/>
      <c r="E833" s="97"/>
      <c r="F833" s="97"/>
      <c r="G833" s="97"/>
      <c r="H833" s="99"/>
      <c r="I833" s="59"/>
      <c r="J833" s="59"/>
      <c r="K833" s="59"/>
      <c r="L833" s="59"/>
      <c r="M833" s="118"/>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row>
    <row r="834" ht="14.25" customHeight="1">
      <c r="A834" s="59"/>
      <c r="B834" s="97"/>
      <c r="C834" s="97"/>
      <c r="D834" s="97"/>
      <c r="E834" s="97"/>
      <c r="F834" s="97"/>
      <c r="G834" s="97"/>
      <c r="H834" s="99"/>
      <c r="I834" s="59"/>
      <c r="J834" s="59"/>
      <c r="K834" s="59"/>
      <c r="L834" s="59"/>
      <c r="M834" s="118"/>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row>
    <row r="835" ht="14.25" customHeight="1">
      <c r="A835" s="59"/>
      <c r="B835" s="97"/>
      <c r="C835" s="97"/>
      <c r="D835" s="97"/>
      <c r="E835" s="97"/>
      <c r="F835" s="97"/>
      <c r="G835" s="97"/>
      <c r="H835" s="99"/>
      <c r="I835" s="59"/>
      <c r="J835" s="59"/>
      <c r="K835" s="59"/>
      <c r="L835" s="59"/>
      <c r="M835" s="118"/>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row>
    <row r="836" ht="14.25" customHeight="1">
      <c r="A836" s="59"/>
      <c r="B836" s="97"/>
      <c r="C836" s="97"/>
      <c r="D836" s="97"/>
      <c r="E836" s="97"/>
      <c r="F836" s="97"/>
      <c r="G836" s="97"/>
      <c r="H836" s="99"/>
      <c r="I836" s="59"/>
      <c r="J836" s="59"/>
      <c r="K836" s="59"/>
      <c r="L836" s="59"/>
      <c r="M836" s="118"/>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row>
    <row r="837" ht="14.25" customHeight="1">
      <c r="A837" s="59"/>
      <c r="B837" s="97"/>
      <c r="C837" s="97"/>
      <c r="D837" s="97"/>
      <c r="E837" s="97"/>
      <c r="F837" s="97"/>
      <c r="G837" s="97"/>
      <c r="H837" s="99"/>
      <c r="I837" s="59"/>
      <c r="J837" s="59"/>
      <c r="K837" s="59"/>
      <c r="L837" s="59"/>
      <c r="M837" s="118"/>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row>
    <row r="838" ht="14.25" customHeight="1">
      <c r="A838" s="59"/>
      <c r="B838" s="97"/>
      <c r="C838" s="97"/>
      <c r="D838" s="97"/>
      <c r="E838" s="97"/>
      <c r="F838" s="97"/>
      <c r="G838" s="97"/>
      <c r="H838" s="99"/>
      <c r="I838" s="59"/>
      <c r="J838" s="59"/>
      <c r="K838" s="59"/>
      <c r="L838" s="59"/>
      <c r="M838" s="118"/>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row>
    <row r="839" ht="14.25" customHeight="1">
      <c r="A839" s="59"/>
      <c r="B839" s="97"/>
      <c r="C839" s="97"/>
      <c r="D839" s="97"/>
      <c r="E839" s="97"/>
      <c r="F839" s="97"/>
      <c r="G839" s="97"/>
      <c r="H839" s="99"/>
      <c r="I839" s="59"/>
      <c r="J839" s="59"/>
      <c r="K839" s="59"/>
      <c r="L839" s="59"/>
      <c r="M839" s="118"/>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row>
    <row r="840" ht="14.25" customHeight="1">
      <c r="A840" s="59"/>
      <c r="B840" s="97"/>
      <c r="C840" s="97"/>
      <c r="D840" s="97"/>
      <c r="E840" s="97"/>
      <c r="F840" s="97"/>
      <c r="G840" s="97"/>
      <c r="H840" s="99"/>
      <c r="I840" s="59"/>
      <c r="J840" s="59"/>
      <c r="K840" s="59"/>
      <c r="L840" s="59"/>
      <c r="M840" s="118"/>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row>
    <row r="841" ht="14.25" customHeight="1">
      <c r="A841" s="59"/>
      <c r="B841" s="97"/>
      <c r="C841" s="97"/>
      <c r="D841" s="97"/>
      <c r="E841" s="97"/>
      <c r="F841" s="97"/>
      <c r="G841" s="97"/>
      <c r="H841" s="99"/>
      <c r="I841" s="59"/>
      <c r="J841" s="59"/>
      <c r="K841" s="59"/>
      <c r="L841" s="59"/>
      <c r="M841" s="118"/>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row>
    <row r="842" ht="14.25" customHeight="1">
      <c r="A842" s="59"/>
      <c r="B842" s="97"/>
      <c r="C842" s="97"/>
      <c r="D842" s="97"/>
      <c r="E842" s="97"/>
      <c r="F842" s="97"/>
      <c r="G842" s="97"/>
      <c r="H842" s="99"/>
      <c r="I842" s="59"/>
      <c r="J842" s="59"/>
      <c r="K842" s="59"/>
      <c r="L842" s="59"/>
      <c r="M842" s="118"/>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row>
    <row r="843" ht="14.25" customHeight="1">
      <c r="A843" s="59"/>
      <c r="B843" s="97"/>
      <c r="C843" s="97"/>
      <c r="D843" s="97"/>
      <c r="E843" s="97"/>
      <c r="F843" s="97"/>
      <c r="G843" s="97"/>
      <c r="H843" s="99"/>
      <c r="I843" s="59"/>
      <c r="J843" s="59"/>
      <c r="K843" s="59"/>
      <c r="L843" s="59"/>
      <c r="M843" s="118"/>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row>
    <row r="844" ht="14.25" customHeight="1">
      <c r="A844" s="59"/>
      <c r="B844" s="97"/>
      <c r="C844" s="97"/>
      <c r="D844" s="97"/>
      <c r="E844" s="97"/>
      <c r="F844" s="97"/>
      <c r="G844" s="97"/>
      <c r="H844" s="99"/>
      <c r="I844" s="59"/>
      <c r="J844" s="59"/>
      <c r="K844" s="59"/>
      <c r="L844" s="59"/>
      <c r="M844" s="118"/>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row>
    <row r="845" ht="14.25" customHeight="1">
      <c r="A845" s="59"/>
      <c r="B845" s="97"/>
      <c r="C845" s="97"/>
      <c r="D845" s="97"/>
      <c r="E845" s="97"/>
      <c r="F845" s="97"/>
      <c r="G845" s="97"/>
      <c r="H845" s="99"/>
      <c r="I845" s="59"/>
      <c r="J845" s="59"/>
      <c r="K845" s="59"/>
      <c r="L845" s="59"/>
      <c r="M845" s="118"/>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row>
    <row r="846" ht="14.25" customHeight="1">
      <c r="A846" s="59"/>
      <c r="B846" s="97"/>
      <c r="C846" s="97"/>
      <c r="D846" s="97"/>
      <c r="E846" s="97"/>
      <c r="F846" s="97"/>
      <c r="G846" s="97"/>
      <c r="H846" s="99"/>
      <c r="I846" s="59"/>
      <c r="J846" s="59"/>
      <c r="K846" s="59"/>
      <c r="L846" s="59"/>
      <c r="M846" s="118"/>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row>
    <row r="847" ht="14.25" customHeight="1">
      <c r="A847" s="59"/>
      <c r="B847" s="97"/>
      <c r="C847" s="97"/>
      <c r="D847" s="97"/>
      <c r="E847" s="97"/>
      <c r="F847" s="97"/>
      <c r="G847" s="97"/>
      <c r="H847" s="99"/>
      <c r="I847" s="59"/>
      <c r="J847" s="59"/>
      <c r="K847" s="59"/>
      <c r="L847" s="59"/>
      <c r="M847" s="118"/>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row>
    <row r="848" ht="14.25" customHeight="1">
      <c r="A848" s="59"/>
      <c r="B848" s="97"/>
      <c r="C848" s="97"/>
      <c r="D848" s="97"/>
      <c r="E848" s="97"/>
      <c r="F848" s="97"/>
      <c r="G848" s="97"/>
      <c r="H848" s="99"/>
      <c r="I848" s="59"/>
      <c r="J848" s="59"/>
      <c r="K848" s="59"/>
      <c r="L848" s="59"/>
      <c r="M848" s="118"/>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row>
    <row r="849" ht="14.25" customHeight="1">
      <c r="A849" s="59"/>
      <c r="B849" s="97"/>
      <c r="C849" s="97"/>
      <c r="D849" s="97"/>
      <c r="E849" s="97"/>
      <c r="F849" s="97"/>
      <c r="G849" s="97"/>
      <c r="H849" s="99"/>
      <c r="I849" s="59"/>
      <c r="J849" s="59"/>
      <c r="K849" s="59"/>
      <c r="L849" s="59"/>
      <c r="M849" s="118"/>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row>
    <row r="850" ht="14.25" customHeight="1">
      <c r="A850" s="59"/>
      <c r="B850" s="97"/>
      <c r="C850" s="97"/>
      <c r="D850" s="97"/>
      <c r="E850" s="97"/>
      <c r="F850" s="97"/>
      <c r="G850" s="97"/>
      <c r="H850" s="99"/>
      <c r="I850" s="59"/>
      <c r="J850" s="59"/>
      <c r="K850" s="59"/>
      <c r="L850" s="59"/>
      <c r="M850" s="118"/>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row>
    <row r="851" ht="14.25" customHeight="1">
      <c r="A851" s="59"/>
      <c r="B851" s="97"/>
      <c r="C851" s="97"/>
      <c r="D851" s="97"/>
      <c r="E851" s="97"/>
      <c r="F851" s="97"/>
      <c r="G851" s="97"/>
      <c r="H851" s="99"/>
      <c r="I851" s="59"/>
      <c r="J851" s="59"/>
      <c r="K851" s="59"/>
      <c r="L851" s="59"/>
      <c r="M851" s="118"/>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row>
    <row r="852" ht="14.25" customHeight="1">
      <c r="A852" s="59"/>
      <c r="B852" s="97"/>
      <c r="C852" s="97"/>
      <c r="D852" s="97"/>
      <c r="E852" s="97"/>
      <c r="F852" s="97"/>
      <c r="G852" s="97"/>
      <c r="H852" s="99"/>
      <c r="I852" s="59"/>
      <c r="J852" s="59"/>
      <c r="K852" s="59"/>
      <c r="L852" s="59"/>
      <c r="M852" s="118"/>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row>
    <row r="853" ht="14.25" customHeight="1">
      <c r="A853" s="59"/>
      <c r="B853" s="97"/>
      <c r="C853" s="97"/>
      <c r="D853" s="97"/>
      <c r="E853" s="97"/>
      <c r="F853" s="97"/>
      <c r="G853" s="97"/>
      <c r="H853" s="99"/>
      <c r="I853" s="59"/>
      <c r="J853" s="59"/>
      <c r="K853" s="59"/>
      <c r="L853" s="59"/>
      <c r="M853" s="118"/>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row>
    <row r="854" ht="14.25" customHeight="1">
      <c r="A854" s="59"/>
      <c r="B854" s="97"/>
      <c r="C854" s="97"/>
      <c r="D854" s="97"/>
      <c r="E854" s="97"/>
      <c r="F854" s="97"/>
      <c r="G854" s="97"/>
      <c r="H854" s="99"/>
      <c r="I854" s="59"/>
      <c r="J854" s="59"/>
      <c r="K854" s="59"/>
      <c r="L854" s="59"/>
      <c r="M854" s="118"/>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row>
    <row r="855" ht="14.25" customHeight="1">
      <c r="A855" s="59"/>
      <c r="B855" s="97"/>
      <c r="C855" s="97"/>
      <c r="D855" s="97"/>
      <c r="E855" s="97"/>
      <c r="F855" s="97"/>
      <c r="G855" s="97"/>
      <c r="H855" s="99"/>
      <c r="I855" s="59"/>
      <c r="J855" s="59"/>
      <c r="K855" s="59"/>
      <c r="L855" s="59"/>
      <c r="M855" s="118"/>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row>
    <row r="856" ht="14.25" customHeight="1">
      <c r="A856" s="59"/>
      <c r="B856" s="97"/>
      <c r="C856" s="97"/>
      <c r="D856" s="97"/>
      <c r="E856" s="97"/>
      <c r="F856" s="97"/>
      <c r="G856" s="97"/>
      <c r="H856" s="99"/>
      <c r="I856" s="59"/>
      <c r="J856" s="59"/>
      <c r="K856" s="59"/>
      <c r="L856" s="59"/>
      <c r="M856" s="118"/>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row>
    <row r="857" ht="14.25" customHeight="1">
      <c r="A857" s="59"/>
      <c r="B857" s="97"/>
      <c r="C857" s="97"/>
      <c r="D857" s="97"/>
      <c r="E857" s="97"/>
      <c r="F857" s="97"/>
      <c r="G857" s="97"/>
      <c r="H857" s="99"/>
      <c r="I857" s="59"/>
      <c r="J857" s="59"/>
      <c r="K857" s="59"/>
      <c r="L857" s="59"/>
      <c r="M857" s="118"/>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row>
    <row r="858" ht="14.25" customHeight="1">
      <c r="A858" s="59"/>
      <c r="B858" s="97"/>
      <c r="C858" s="97"/>
      <c r="D858" s="97"/>
      <c r="E858" s="97"/>
      <c r="F858" s="97"/>
      <c r="G858" s="97"/>
      <c r="H858" s="99"/>
      <c r="I858" s="59"/>
      <c r="J858" s="59"/>
      <c r="K858" s="59"/>
      <c r="L858" s="59"/>
      <c r="M858" s="118"/>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row>
    <row r="859" ht="14.25" customHeight="1">
      <c r="A859" s="59"/>
      <c r="B859" s="97"/>
      <c r="C859" s="97"/>
      <c r="D859" s="97"/>
      <c r="E859" s="97"/>
      <c r="F859" s="97"/>
      <c r="G859" s="97"/>
      <c r="H859" s="99"/>
      <c r="I859" s="59"/>
      <c r="J859" s="59"/>
      <c r="K859" s="59"/>
      <c r="L859" s="59"/>
      <c r="M859" s="118"/>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row>
    <row r="860" ht="14.25" customHeight="1">
      <c r="A860" s="59"/>
      <c r="B860" s="97"/>
      <c r="C860" s="97"/>
      <c r="D860" s="97"/>
      <c r="E860" s="97"/>
      <c r="F860" s="97"/>
      <c r="G860" s="97"/>
      <c r="H860" s="99"/>
      <c r="I860" s="59"/>
      <c r="J860" s="59"/>
      <c r="K860" s="59"/>
      <c r="L860" s="59"/>
      <c r="M860" s="118"/>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row>
    <row r="861" ht="14.25" customHeight="1">
      <c r="A861" s="59"/>
      <c r="B861" s="97"/>
      <c r="C861" s="97"/>
      <c r="D861" s="97"/>
      <c r="E861" s="97"/>
      <c r="F861" s="97"/>
      <c r="G861" s="97"/>
      <c r="H861" s="99"/>
      <c r="I861" s="59"/>
      <c r="J861" s="59"/>
      <c r="K861" s="59"/>
      <c r="L861" s="59"/>
      <c r="M861" s="118"/>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row>
    <row r="862" ht="14.25" customHeight="1">
      <c r="A862" s="59"/>
      <c r="B862" s="97"/>
      <c r="C862" s="97"/>
      <c r="D862" s="97"/>
      <c r="E862" s="97"/>
      <c r="F862" s="97"/>
      <c r="G862" s="97"/>
      <c r="H862" s="99"/>
      <c r="I862" s="59"/>
      <c r="J862" s="59"/>
      <c r="K862" s="59"/>
      <c r="L862" s="59"/>
      <c r="M862" s="118"/>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row>
    <row r="863" ht="14.25" customHeight="1">
      <c r="A863" s="59"/>
      <c r="B863" s="97"/>
      <c r="C863" s="97"/>
      <c r="D863" s="97"/>
      <c r="E863" s="97"/>
      <c r="F863" s="97"/>
      <c r="G863" s="97"/>
      <c r="H863" s="99"/>
      <c r="I863" s="59"/>
      <c r="J863" s="59"/>
      <c r="K863" s="59"/>
      <c r="L863" s="59"/>
      <c r="M863" s="118"/>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row>
    <row r="864" ht="14.25" customHeight="1">
      <c r="A864" s="59"/>
      <c r="B864" s="97"/>
      <c r="C864" s="97"/>
      <c r="D864" s="97"/>
      <c r="E864" s="97"/>
      <c r="F864" s="97"/>
      <c r="G864" s="97"/>
      <c r="H864" s="99"/>
      <c r="I864" s="59"/>
      <c r="J864" s="59"/>
      <c r="K864" s="59"/>
      <c r="L864" s="59"/>
      <c r="M864" s="118"/>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row>
    <row r="865" ht="14.25" customHeight="1">
      <c r="A865" s="59"/>
      <c r="B865" s="97"/>
      <c r="C865" s="97"/>
      <c r="D865" s="97"/>
      <c r="E865" s="97"/>
      <c r="F865" s="97"/>
      <c r="G865" s="97"/>
      <c r="H865" s="99"/>
      <c r="I865" s="59"/>
      <c r="J865" s="59"/>
      <c r="K865" s="59"/>
      <c r="L865" s="59"/>
      <c r="M865" s="118"/>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row>
    <row r="866" ht="14.25" customHeight="1">
      <c r="A866" s="59"/>
      <c r="B866" s="97"/>
      <c r="C866" s="97"/>
      <c r="D866" s="97"/>
      <c r="E866" s="97"/>
      <c r="F866" s="97"/>
      <c r="G866" s="97"/>
      <c r="H866" s="99"/>
      <c r="I866" s="59"/>
      <c r="J866" s="59"/>
      <c r="K866" s="59"/>
      <c r="L866" s="59"/>
      <c r="M866" s="118"/>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row>
    <row r="867" ht="14.25" customHeight="1">
      <c r="A867" s="59"/>
      <c r="B867" s="97"/>
      <c r="C867" s="97"/>
      <c r="D867" s="97"/>
      <c r="E867" s="97"/>
      <c r="F867" s="97"/>
      <c r="G867" s="97"/>
      <c r="H867" s="99"/>
      <c r="I867" s="59"/>
      <c r="J867" s="59"/>
      <c r="K867" s="59"/>
      <c r="L867" s="59"/>
      <c r="M867" s="118"/>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row>
    <row r="868" ht="14.25" customHeight="1">
      <c r="A868" s="59"/>
      <c r="B868" s="97"/>
      <c r="C868" s="97"/>
      <c r="D868" s="97"/>
      <c r="E868" s="97"/>
      <c r="F868" s="97"/>
      <c r="G868" s="97"/>
      <c r="H868" s="99"/>
      <c r="I868" s="59"/>
      <c r="J868" s="59"/>
      <c r="K868" s="59"/>
      <c r="L868" s="59"/>
      <c r="M868" s="118"/>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row>
    <row r="869" ht="14.25" customHeight="1">
      <c r="A869" s="59"/>
      <c r="B869" s="97"/>
      <c r="C869" s="97"/>
      <c r="D869" s="97"/>
      <c r="E869" s="97"/>
      <c r="F869" s="97"/>
      <c r="G869" s="97"/>
      <c r="H869" s="99"/>
      <c r="I869" s="59"/>
      <c r="J869" s="59"/>
      <c r="K869" s="59"/>
      <c r="L869" s="59"/>
      <c r="M869" s="118"/>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row>
    <row r="870" ht="14.25" customHeight="1">
      <c r="A870" s="59"/>
      <c r="B870" s="97"/>
      <c r="C870" s="97"/>
      <c r="D870" s="97"/>
      <c r="E870" s="97"/>
      <c r="F870" s="97"/>
      <c r="G870" s="97"/>
      <c r="H870" s="99"/>
      <c r="I870" s="59"/>
      <c r="J870" s="59"/>
      <c r="K870" s="59"/>
      <c r="L870" s="59"/>
      <c r="M870" s="118"/>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row>
    <row r="871" ht="14.25" customHeight="1">
      <c r="A871" s="59"/>
      <c r="B871" s="97"/>
      <c r="C871" s="97"/>
      <c r="D871" s="97"/>
      <c r="E871" s="97"/>
      <c r="F871" s="97"/>
      <c r="G871" s="97"/>
      <c r="H871" s="99"/>
      <c r="I871" s="59"/>
      <c r="J871" s="59"/>
      <c r="K871" s="59"/>
      <c r="L871" s="59"/>
      <c r="M871" s="118"/>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row>
    <row r="872" ht="14.25" customHeight="1">
      <c r="A872" s="59"/>
      <c r="B872" s="97"/>
      <c r="C872" s="97"/>
      <c r="D872" s="97"/>
      <c r="E872" s="97"/>
      <c r="F872" s="97"/>
      <c r="G872" s="97"/>
      <c r="H872" s="99"/>
      <c r="I872" s="59"/>
      <c r="J872" s="59"/>
      <c r="K872" s="59"/>
      <c r="L872" s="59"/>
      <c r="M872" s="118"/>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row>
    <row r="873" ht="14.25" customHeight="1">
      <c r="A873" s="59"/>
      <c r="B873" s="97"/>
      <c r="C873" s="97"/>
      <c r="D873" s="97"/>
      <c r="E873" s="97"/>
      <c r="F873" s="97"/>
      <c r="G873" s="97"/>
      <c r="H873" s="99"/>
      <c r="I873" s="59"/>
      <c r="J873" s="59"/>
      <c r="K873" s="59"/>
      <c r="L873" s="59"/>
      <c r="M873" s="118"/>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row>
    <row r="874" ht="14.25" customHeight="1">
      <c r="A874" s="59"/>
      <c r="B874" s="97"/>
      <c r="C874" s="97"/>
      <c r="D874" s="97"/>
      <c r="E874" s="97"/>
      <c r="F874" s="97"/>
      <c r="G874" s="97"/>
      <c r="H874" s="99"/>
      <c r="I874" s="59"/>
      <c r="J874" s="59"/>
      <c r="K874" s="59"/>
      <c r="L874" s="59"/>
      <c r="M874" s="118"/>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row>
    <row r="875" ht="14.25" customHeight="1">
      <c r="A875" s="59"/>
      <c r="B875" s="97"/>
      <c r="C875" s="97"/>
      <c r="D875" s="97"/>
      <c r="E875" s="97"/>
      <c r="F875" s="97"/>
      <c r="G875" s="97"/>
      <c r="H875" s="99"/>
      <c r="I875" s="59"/>
      <c r="J875" s="59"/>
      <c r="K875" s="59"/>
      <c r="L875" s="59"/>
      <c r="M875" s="118"/>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row>
    <row r="876" ht="14.25" customHeight="1">
      <c r="A876" s="59"/>
      <c r="B876" s="97"/>
      <c r="C876" s="97"/>
      <c r="D876" s="97"/>
      <c r="E876" s="97"/>
      <c r="F876" s="97"/>
      <c r="G876" s="97"/>
      <c r="H876" s="99"/>
      <c r="I876" s="59"/>
      <c r="J876" s="59"/>
      <c r="K876" s="59"/>
      <c r="L876" s="59"/>
      <c r="M876" s="118"/>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row>
    <row r="877" ht="14.25" customHeight="1">
      <c r="A877" s="59"/>
      <c r="B877" s="97"/>
      <c r="C877" s="97"/>
      <c r="D877" s="97"/>
      <c r="E877" s="97"/>
      <c r="F877" s="97"/>
      <c r="G877" s="97"/>
      <c r="H877" s="99"/>
      <c r="I877" s="59"/>
      <c r="J877" s="59"/>
      <c r="K877" s="59"/>
      <c r="L877" s="59"/>
      <c r="M877" s="118"/>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row>
    <row r="878" ht="14.25" customHeight="1">
      <c r="A878" s="59"/>
      <c r="B878" s="97"/>
      <c r="C878" s="97"/>
      <c r="D878" s="97"/>
      <c r="E878" s="97"/>
      <c r="F878" s="97"/>
      <c r="G878" s="97"/>
      <c r="H878" s="99"/>
      <c r="I878" s="59"/>
      <c r="J878" s="59"/>
      <c r="K878" s="59"/>
      <c r="L878" s="59"/>
      <c r="M878" s="118"/>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row>
    <row r="879" ht="14.25" customHeight="1">
      <c r="A879" s="59"/>
      <c r="B879" s="97"/>
      <c r="C879" s="97"/>
      <c r="D879" s="97"/>
      <c r="E879" s="97"/>
      <c r="F879" s="97"/>
      <c r="G879" s="97"/>
      <c r="H879" s="99"/>
      <c r="I879" s="59"/>
      <c r="J879" s="59"/>
      <c r="K879" s="59"/>
      <c r="L879" s="59"/>
      <c r="M879" s="118"/>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row>
    <row r="880" ht="14.25" customHeight="1">
      <c r="A880" s="59"/>
      <c r="B880" s="97"/>
      <c r="C880" s="97"/>
      <c r="D880" s="97"/>
      <c r="E880" s="97"/>
      <c r="F880" s="97"/>
      <c r="G880" s="97"/>
      <c r="H880" s="99"/>
      <c r="I880" s="59"/>
      <c r="J880" s="59"/>
      <c r="K880" s="59"/>
      <c r="L880" s="59"/>
      <c r="M880" s="118"/>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row>
    <row r="881" ht="14.25" customHeight="1">
      <c r="A881" s="59"/>
      <c r="B881" s="97"/>
      <c r="C881" s="97"/>
      <c r="D881" s="97"/>
      <c r="E881" s="97"/>
      <c r="F881" s="97"/>
      <c r="G881" s="97"/>
      <c r="H881" s="99"/>
      <c r="I881" s="59"/>
      <c r="J881" s="59"/>
      <c r="K881" s="59"/>
      <c r="L881" s="59"/>
      <c r="M881" s="118"/>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row>
    <row r="882" ht="14.25" customHeight="1">
      <c r="A882" s="59"/>
      <c r="B882" s="97"/>
      <c r="C882" s="97"/>
      <c r="D882" s="97"/>
      <c r="E882" s="97"/>
      <c r="F882" s="97"/>
      <c r="G882" s="97"/>
      <c r="H882" s="99"/>
      <c r="I882" s="59"/>
      <c r="J882" s="59"/>
      <c r="K882" s="59"/>
      <c r="L882" s="59"/>
      <c r="M882" s="118"/>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row>
    <row r="883" ht="14.25" customHeight="1">
      <c r="A883" s="59"/>
      <c r="B883" s="97"/>
      <c r="C883" s="97"/>
      <c r="D883" s="97"/>
      <c r="E883" s="97"/>
      <c r="F883" s="97"/>
      <c r="G883" s="97"/>
      <c r="H883" s="99"/>
      <c r="I883" s="59"/>
      <c r="J883" s="59"/>
      <c r="K883" s="59"/>
      <c r="L883" s="59"/>
      <c r="M883" s="118"/>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row>
    <row r="884" ht="14.25" customHeight="1">
      <c r="A884" s="59"/>
      <c r="B884" s="97"/>
      <c r="C884" s="97"/>
      <c r="D884" s="97"/>
      <c r="E884" s="97"/>
      <c r="F884" s="97"/>
      <c r="G884" s="97"/>
      <c r="H884" s="99"/>
      <c r="I884" s="59"/>
      <c r="J884" s="59"/>
      <c r="K884" s="59"/>
      <c r="L884" s="59"/>
      <c r="M884" s="118"/>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row>
    <row r="885" ht="14.25" customHeight="1">
      <c r="A885" s="59"/>
      <c r="B885" s="97"/>
      <c r="C885" s="97"/>
      <c r="D885" s="97"/>
      <c r="E885" s="97"/>
      <c r="F885" s="97"/>
      <c r="G885" s="97"/>
      <c r="H885" s="99"/>
      <c r="I885" s="59"/>
      <c r="J885" s="59"/>
      <c r="K885" s="59"/>
      <c r="L885" s="59"/>
      <c r="M885" s="118"/>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row>
    <row r="886" ht="14.25" customHeight="1">
      <c r="A886" s="59"/>
      <c r="B886" s="97"/>
      <c r="C886" s="97"/>
      <c r="D886" s="97"/>
      <c r="E886" s="97"/>
      <c r="F886" s="97"/>
      <c r="G886" s="97"/>
      <c r="H886" s="99"/>
      <c r="I886" s="59"/>
      <c r="J886" s="59"/>
      <c r="K886" s="59"/>
      <c r="L886" s="59"/>
      <c r="M886" s="118"/>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row>
    <row r="887" ht="14.25" customHeight="1">
      <c r="A887" s="59"/>
      <c r="B887" s="97"/>
      <c r="C887" s="97"/>
      <c r="D887" s="97"/>
      <c r="E887" s="97"/>
      <c r="F887" s="97"/>
      <c r="G887" s="97"/>
      <c r="H887" s="99"/>
      <c r="I887" s="59"/>
      <c r="J887" s="59"/>
      <c r="K887" s="59"/>
      <c r="L887" s="59"/>
      <c r="M887" s="118"/>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row>
    <row r="888" ht="14.25" customHeight="1">
      <c r="A888" s="59"/>
      <c r="B888" s="97"/>
      <c r="C888" s="97"/>
      <c r="D888" s="97"/>
      <c r="E888" s="97"/>
      <c r="F888" s="97"/>
      <c r="G888" s="97"/>
      <c r="H888" s="99"/>
      <c r="I888" s="59"/>
      <c r="J888" s="59"/>
      <c r="K888" s="59"/>
      <c r="L888" s="59"/>
      <c r="M888" s="118"/>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row>
    <row r="889" ht="14.25" customHeight="1">
      <c r="A889" s="59"/>
      <c r="B889" s="97"/>
      <c r="C889" s="97"/>
      <c r="D889" s="97"/>
      <c r="E889" s="97"/>
      <c r="F889" s="97"/>
      <c r="G889" s="97"/>
      <c r="H889" s="99"/>
      <c r="I889" s="59"/>
      <c r="J889" s="59"/>
      <c r="K889" s="59"/>
      <c r="L889" s="59"/>
      <c r="M889" s="118"/>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row>
    <row r="890" ht="14.25" customHeight="1">
      <c r="A890" s="59"/>
      <c r="B890" s="97"/>
      <c r="C890" s="97"/>
      <c r="D890" s="97"/>
      <c r="E890" s="97"/>
      <c r="F890" s="97"/>
      <c r="G890" s="97"/>
      <c r="H890" s="99"/>
      <c r="I890" s="59"/>
      <c r="J890" s="59"/>
      <c r="K890" s="59"/>
      <c r="L890" s="59"/>
      <c r="M890" s="118"/>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row>
    <row r="891" ht="14.25" customHeight="1">
      <c r="A891" s="59"/>
      <c r="B891" s="97"/>
      <c r="C891" s="97"/>
      <c r="D891" s="97"/>
      <c r="E891" s="97"/>
      <c r="F891" s="97"/>
      <c r="G891" s="97"/>
      <c r="H891" s="99"/>
      <c r="I891" s="59"/>
      <c r="J891" s="59"/>
      <c r="K891" s="59"/>
      <c r="L891" s="59"/>
      <c r="M891" s="118"/>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row>
    <row r="892" ht="14.25" customHeight="1">
      <c r="A892" s="59"/>
      <c r="B892" s="97"/>
      <c r="C892" s="97"/>
      <c r="D892" s="97"/>
      <c r="E892" s="97"/>
      <c r="F892" s="97"/>
      <c r="G892" s="97"/>
      <c r="H892" s="99"/>
      <c r="I892" s="59"/>
      <c r="J892" s="59"/>
      <c r="K892" s="59"/>
      <c r="L892" s="59"/>
      <c r="M892" s="118"/>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row>
    <row r="893" ht="14.25" customHeight="1">
      <c r="A893" s="59"/>
      <c r="B893" s="97"/>
      <c r="C893" s="97"/>
      <c r="D893" s="97"/>
      <c r="E893" s="97"/>
      <c r="F893" s="97"/>
      <c r="G893" s="97"/>
      <c r="H893" s="99"/>
      <c r="I893" s="59"/>
      <c r="J893" s="59"/>
      <c r="K893" s="59"/>
      <c r="L893" s="59"/>
      <c r="M893" s="118"/>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row>
    <row r="894" ht="14.25" customHeight="1">
      <c r="A894" s="59"/>
      <c r="B894" s="97"/>
      <c r="C894" s="97"/>
      <c r="D894" s="97"/>
      <c r="E894" s="97"/>
      <c r="F894" s="97"/>
      <c r="G894" s="97"/>
      <c r="H894" s="99"/>
      <c r="I894" s="59"/>
      <c r="J894" s="59"/>
      <c r="K894" s="59"/>
      <c r="L894" s="59"/>
      <c r="M894" s="118"/>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row>
    <row r="895" ht="14.25" customHeight="1">
      <c r="A895" s="59"/>
      <c r="B895" s="97"/>
      <c r="C895" s="97"/>
      <c r="D895" s="97"/>
      <c r="E895" s="97"/>
      <c r="F895" s="97"/>
      <c r="G895" s="97"/>
      <c r="H895" s="99"/>
      <c r="I895" s="59"/>
      <c r="J895" s="59"/>
      <c r="K895" s="59"/>
      <c r="L895" s="59"/>
      <c r="M895" s="118"/>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row>
    <row r="896" ht="14.25" customHeight="1">
      <c r="A896" s="59"/>
      <c r="B896" s="97"/>
      <c r="C896" s="97"/>
      <c r="D896" s="97"/>
      <c r="E896" s="97"/>
      <c r="F896" s="97"/>
      <c r="G896" s="97"/>
      <c r="H896" s="99"/>
      <c r="I896" s="59"/>
      <c r="J896" s="59"/>
      <c r="K896" s="59"/>
      <c r="L896" s="59"/>
      <c r="M896" s="118"/>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row>
    <row r="897" ht="14.25" customHeight="1">
      <c r="A897" s="59"/>
      <c r="B897" s="97"/>
      <c r="C897" s="97"/>
      <c r="D897" s="97"/>
      <c r="E897" s="97"/>
      <c r="F897" s="97"/>
      <c r="G897" s="97"/>
      <c r="H897" s="99"/>
      <c r="I897" s="59"/>
      <c r="J897" s="59"/>
      <c r="K897" s="59"/>
      <c r="L897" s="59"/>
      <c r="M897" s="118"/>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row>
    <row r="898" ht="14.25" customHeight="1">
      <c r="A898" s="59"/>
      <c r="B898" s="97"/>
      <c r="C898" s="97"/>
      <c r="D898" s="97"/>
      <c r="E898" s="97"/>
      <c r="F898" s="97"/>
      <c r="G898" s="97"/>
      <c r="H898" s="99"/>
      <c r="I898" s="59"/>
      <c r="J898" s="59"/>
      <c r="K898" s="59"/>
      <c r="L898" s="59"/>
      <c r="M898" s="118"/>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row>
    <row r="899" ht="14.25" customHeight="1">
      <c r="A899" s="59"/>
      <c r="B899" s="97"/>
      <c r="C899" s="97"/>
      <c r="D899" s="97"/>
      <c r="E899" s="97"/>
      <c r="F899" s="97"/>
      <c r="G899" s="97"/>
      <c r="H899" s="99"/>
      <c r="I899" s="59"/>
      <c r="J899" s="59"/>
      <c r="K899" s="59"/>
      <c r="L899" s="59"/>
      <c r="M899" s="118"/>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row>
    <row r="900" ht="14.25" customHeight="1">
      <c r="A900" s="59"/>
      <c r="B900" s="97"/>
      <c r="C900" s="97"/>
      <c r="D900" s="97"/>
      <c r="E900" s="97"/>
      <c r="F900" s="97"/>
      <c r="G900" s="97"/>
      <c r="H900" s="99"/>
      <c r="I900" s="59"/>
      <c r="J900" s="59"/>
      <c r="K900" s="59"/>
      <c r="L900" s="59"/>
      <c r="M900" s="118"/>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row>
    <row r="901" ht="14.25" customHeight="1">
      <c r="A901" s="59"/>
      <c r="B901" s="97"/>
      <c r="C901" s="97"/>
      <c r="D901" s="97"/>
      <c r="E901" s="97"/>
      <c r="F901" s="97"/>
      <c r="G901" s="97"/>
      <c r="H901" s="99"/>
      <c r="I901" s="59"/>
      <c r="J901" s="59"/>
      <c r="K901" s="59"/>
      <c r="L901" s="59"/>
      <c r="M901" s="118"/>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row>
    <row r="902" ht="14.25" customHeight="1">
      <c r="A902" s="59"/>
      <c r="B902" s="97"/>
      <c r="C902" s="97"/>
      <c r="D902" s="97"/>
      <c r="E902" s="97"/>
      <c r="F902" s="97"/>
      <c r="G902" s="97"/>
      <c r="H902" s="99"/>
      <c r="I902" s="59"/>
      <c r="J902" s="59"/>
      <c r="K902" s="59"/>
      <c r="L902" s="59"/>
      <c r="M902" s="118"/>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row>
    <row r="903" ht="14.25" customHeight="1">
      <c r="A903" s="59"/>
      <c r="B903" s="97"/>
      <c r="C903" s="97"/>
      <c r="D903" s="97"/>
      <c r="E903" s="97"/>
      <c r="F903" s="97"/>
      <c r="G903" s="97"/>
      <c r="H903" s="99"/>
      <c r="I903" s="59"/>
      <c r="J903" s="59"/>
      <c r="K903" s="59"/>
      <c r="L903" s="59"/>
      <c r="M903" s="118"/>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row>
    <row r="904" ht="14.25" customHeight="1">
      <c r="A904" s="59"/>
      <c r="B904" s="97"/>
      <c r="C904" s="97"/>
      <c r="D904" s="97"/>
      <c r="E904" s="97"/>
      <c r="F904" s="97"/>
      <c r="G904" s="97"/>
      <c r="H904" s="99"/>
      <c r="I904" s="59"/>
      <c r="J904" s="59"/>
      <c r="K904" s="59"/>
      <c r="L904" s="59"/>
      <c r="M904" s="118"/>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row>
    <row r="905" ht="14.25" customHeight="1">
      <c r="A905" s="59"/>
      <c r="B905" s="97"/>
      <c r="C905" s="97"/>
      <c r="D905" s="97"/>
      <c r="E905" s="97"/>
      <c r="F905" s="97"/>
      <c r="G905" s="97"/>
      <c r="H905" s="99"/>
      <c r="I905" s="59"/>
      <c r="J905" s="59"/>
      <c r="K905" s="59"/>
      <c r="L905" s="59"/>
      <c r="M905" s="118"/>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row>
    <row r="906" ht="14.25" customHeight="1">
      <c r="A906" s="59"/>
      <c r="B906" s="97"/>
      <c r="C906" s="97"/>
      <c r="D906" s="97"/>
      <c r="E906" s="97"/>
      <c r="F906" s="97"/>
      <c r="G906" s="97"/>
      <c r="H906" s="99"/>
      <c r="I906" s="59"/>
      <c r="J906" s="59"/>
      <c r="K906" s="59"/>
      <c r="L906" s="59"/>
      <c r="M906" s="118"/>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row>
    <row r="907" ht="14.25" customHeight="1">
      <c r="A907" s="59"/>
      <c r="B907" s="97"/>
      <c r="C907" s="97"/>
      <c r="D907" s="97"/>
      <c r="E907" s="97"/>
      <c r="F907" s="97"/>
      <c r="G907" s="97"/>
      <c r="H907" s="99"/>
      <c r="I907" s="59"/>
      <c r="J907" s="59"/>
      <c r="K907" s="59"/>
      <c r="L907" s="59"/>
      <c r="M907" s="118"/>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row>
    <row r="908" ht="14.25" customHeight="1">
      <c r="A908" s="59"/>
      <c r="B908" s="97"/>
      <c r="C908" s="97"/>
      <c r="D908" s="97"/>
      <c r="E908" s="97"/>
      <c r="F908" s="97"/>
      <c r="G908" s="97"/>
      <c r="H908" s="99"/>
      <c r="I908" s="59"/>
      <c r="J908" s="59"/>
      <c r="K908" s="59"/>
      <c r="L908" s="59"/>
      <c r="M908" s="118"/>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row>
    <row r="909" ht="14.25" customHeight="1">
      <c r="A909" s="59"/>
      <c r="B909" s="97"/>
      <c r="C909" s="97"/>
      <c r="D909" s="97"/>
      <c r="E909" s="97"/>
      <c r="F909" s="97"/>
      <c r="G909" s="97"/>
      <c r="H909" s="99"/>
      <c r="I909" s="59"/>
      <c r="J909" s="59"/>
      <c r="K909" s="59"/>
      <c r="L909" s="59"/>
      <c r="M909" s="118"/>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row>
    <row r="910" ht="14.25" customHeight="1">
      <c r="A910" s="59"/>
      <c r="B910" s="97"/>
      <c r="C910" s="97"/>
      <c r="D910" s="97"/>
      <c r="E910" s="97"/>
      <c r="F910" s="97"/>
      <c r="G910" s="97"/>
      <c r="H910" s="99"/>
      <c r="I910" s="59"/>
      <c r="J910" s="59"/>
      <c r="K910" s="59"/>
      <c r="L910" s="59"/>
      <c r="M910" s="118"/>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row>
    <row r="911" ht="14.25" customHeight="1">
      <c r="A911" s="59"/>
      <c r="B911" s="97"/>
      <c r="C911" s="97"/>
      <c r="D911" s="97"/>
      <c r="E911" s="97"/>
      <c r="F911" s="97"/>
      <c r="G911" s="97"/>
      <c r="H911" s="99"/>
      <c r="I911" s="59"/>
      <c r="J911" s="59"/>
      <c r="K911" s="59"/>
      <c r="L911" s="59"/>
      <c r="M911" s="118"/>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row>
    <row r="912" ht="14.25" customHeight="1">
      <c r="A912" s="59"/>
      <c r="B912" s="97"/>
      <c r="C912" s="97"/>
      <c r="D912" s="97"/>
      <c r="E912" s="97"/>
      <c r="F912" s="97"/>
      <c r="G912" s="97"/>
      <c r="H912" s="99"/>
      <c r="I912" s="59"/>
      <c r="J912" s="59"/>
      <c r="K912" s="59"/>
      <c r="L912" s="59"/>
      <c r="M912" s="118"/>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row>
    <row r="913" ht="14.25" customHeight="1">
      <c r="A913" s="59"/>
      <c r="B913" s="97"/>
      <c r="C913" s="97"/>
      <c r="D913" s="97"/>
      <c r="E913" s="97"/>
      <c r="F913" s="97"/>
      <c r="G913" s="97"/>
      <c r="H913" s="99"/>
      <c r="I913" s="59"/>
      <c r="J913" s="59"/>
      <c r="K913" s="59"/>
      <c r="L913" s="59"/>
      <c r="M913" s="118"/>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row>
    <row r="914" ht="14.25" customHeight="1">
      <c r="A914" s="59"/>
      <c r="B914" s="97"/>
      <c r="C914" s="97"/>
      <c r="D914" s="97"/>
      <c r="E914" s="97"/>
      <c r="F914" s="97"/>
      <c r="G914" s="97"/>
      <c r="H914" s="99"/>
      <c r="I914" s="59"/>
      <c r="J914" s="59"/>
      <c r="K914" s="59"/>
      <c r="L914" s="59"/>
      <c r="M914" s="118"/>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row>
    <row r="915" ht="14.25" customHeight="1">
      <c r="A915" s="59"/>
      <c r="B915" s="97"/>
      <c r="C915" s="97"/>
      <c r="D915" s="97"/>
      <c r="E915" s="97"/>
      <c r="F915" s="97"/>
      <c r="G915" s="97"/>
      <c r="H915" s="99"/>
      <c r="I915" s="59"/>
      <c r="J915" s="59"/>
      <c r="K915" s="59"/>
      <c r="L915" s="59"/>
      <c r="M915" s="118"/>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row>
    <row r="916" ht="14.25" customHeight="1">
      <c r="A916" s="59"/>
      <c r="B916" s="97"/>
      <c r="C916" s="97"/>
      <c r="D916" s="97"/>
      <c r="E916" s="97"/>
      <c r="F916" s="97"/>
      <c r="G916" s="97"/>
      <c r="H916" s="99"/>
      <c r="I916" s="59"/>
      <c r="J916" s="59"/>
      <c r="K916" s="59"/>
      <c r="L916" s="59"/>
      <c r="M916" s="118"/>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row>
    <row r="917" ht="14.25" customHeight="1">
      <c r="A917" s="59"/>
      <c r="B917" s="97"/>
      <c r="C917" s="97"/>
      <c r="D917" s="97"/>
      <c r="E917" s="97"/>
      <c r="F917" s="97"/>
      <c r="G917" s="97"/>
      <c r="H917" s="99"/>
      <c r="I917" s="59"/>
      <c r="J917" s="59"/>
      <c r="K917" s="59"/>
      <c r="L917" s="59"/>
      <c r="M917" s="118"/>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row>
    <row r="918" ht="14.25" customHeight="1">
      <c r="A918" s="59"/>
      <c r="B918" s="97"/>
      <c r="C918" s="97"/>
      <c r="D918" s="97"/>
      <c r="E918" s="97"/>
      <c r="F918" s="97"/>
      <c r="G918" s="97"/>
      <c r="H918" s="99"/>
      <c r="I918" s="59"/>
      <c r="J918" s="59"/>
      <c r="K918" s="59"/>
      <c r="L918" s="59"/>
      <c r="M918" s="118"/>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row>
    <row r="919" ht="14.25" customHeight="1">
      <c r="A919" s="59"/>
      <c r="B919" s="97"/>
      <c r="C919" s="97"/>
      <c r="D919" s="97"/>
      <c r="E919" s="97"/>
      <c r="F919" s="97"/>
      <c r="G919" s="97"/>
      <c r="H919" s="99"/>
      <c r="I919" s="59"/>
      <c r="J919" s="59"/>
      <c r="K919" s="59"/>
      <c r="L919" s="59"/>
      <c r="M919" s="118"/>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row>
    <row r="920" ht="14.25" customHeight="1">
      <c r="A920" s="59"/>
      <c r="B920" s="97"/>
      <c r="C920" s="97"/>
      <c r="D920" s="97"/>
      <c r="E920" s="97"/>
      <c r="F920" s="97"/>
      <c r="G920" s="97"/>
      <c r="H920" s="99"/>
      <c r="I920" s="59"/>
      <c r="J920" s="59"/>
      <c r="K920" s="59"/>
      <c r="L920" s="59"/>
      <c r="M920" s="118"/>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row>
    <row r="921" ht="14.25" customHeight="1">
      <c r="A921" s="59"/>
      <c r="B921" s="97"/>
      <c r="C921" s="97"/>
      <c r="D921" s="97"/>
      <c r="E921" s="97"/>
      <c r="F921" s="97"/>
      <c r="G921" s="97"/>
      <c r="H921" s="99"/>
      <c r="I921" s="59"/>
      <c r="J921" s="59"/>
      <c r="K921" s="59"/>
      <c r="L921" s="59"/>
      <c r="M921" s="118"/>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row>
    <row r="922" ht="14.25" customHeight="1">
      <c r="A922" s="59"/>
      <c r="B922" s="97"/>
      <c r="C922" s="97"/>
      <c r="D922" s="97"/>
      <c r="E922" s="97"/>
      <c r="F922" s="97"/>
      <c r="G922" s="97"/>
      <c r="H922" s="99"/>
      <c r="I922" s="59"/>
      <c r="J922" s="59"/>
      <c r="K922" s="59"/>
      <c r="L922" s="59"/>
      <c r="M922" s="118"/>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row>
    <row r="923" ht="14.25" customHeight="1">
      <c r="A923" s="59"/>
      <c r="B923" s="97"/>
      <c r="C923" s="97"/>
      <c r="D923" s="97"/>
      <c r="E923" s="97"/>
      <c r="F923" s="97"/>
      <c r="G923" s="97"/>
      <c r="H923" s="99"/>
      <c r="I923" s="59"/>
      <c r="J923" s="59"/>
      <c r="K923" s="59"/>
      <c r="L923" s="59"/>
      <c r="M923" s="118"/>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row>
    <row r="924" ht="14.25" customHeight="1">
      <c r="A924" s="59"/>
      <c r="B924" s="97"/>
      <c r="C924" s="97"/>
      <c r="D924" s="97"/>
      <c r="E924" s="97"/>
      <c r="F924" s="97"/>
      <c r="G924" s="97"/>
      <c r="H924" s="99"/>
      <c r="I924" s="59"/>
      <c r="J924" s="59"/>
      <c r="K924" s="59"/>
      <c r="L924" s="59"/>
      <c r="M924" s="118"/>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row>
    <row r="925" ht="14.25" customHeight="1">
      <c r="A925" s="59"/>
      <c r="B925" s="97"/>
      <c r="C925" s="97"/>
      <c r="D925" s="97"/>
      <c r="E925" s="97"/>
      <c r="F925" s="97"/>
      <c r="G925" s="97"/>
      <c r="H925" s="99"/>
      <c r="I925" s="59"/>
      <c r="J925" s="59"/>
      <c r="K925" s="59"/>
      <c r="L925" s="59"/>
      <c r="M925" s="118"/>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row>
    <row r="926" ht="14.25" customHeight="1">
      <c r="A926" s="59"/>
      <c r="B926" s="97"/>
      <c r="C926" s="97"/>
      <c r="D926" s="97"/>
      <c r="E926" s="97"/>
      <c r="F926" s="97"/>
      <c r="G926" s="97"/>
      <c r="H926" s="99"/>
      <c r="I926" s="59"/>
      <c r="J926" s="59"/>
      <c r="K926" s="59"/>
      <c r="L926" s="59"/>
      <c r="M926" s="118"/>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row>
    <row r="927" ht="14.25" customHeight="1">
      <c r="A927" s="59"/>
      <c r="B927" s="97"/>
      <c r="C927" s="97"/>
      <c r="D927" s="97"/>
      <c r="E927" s="97"/>
      <c r="F927" s="97"/>
      <c r="G927" s="97"/>
      <c r="H927" s="99"/>
      <c r="I927" s="59"/>
      <c r="J927" s="59"/>
      <c r="K927" s="59"/>
      <c r="L927" s="59"/>
      <c r="M927" s="118"/>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row>
    <row r="928" ht="14.25" customHeight="1">
      <c r="A928" s="59"/>
      <c r="B928" s="97"/>
      <c r="C928" s="97"/>
      <c r="D928" s="97"/>
      <c r="E928" s="97"/>
      <c r="F928" s="97"/>
      <c r="G928" s="97"/>
      <c r="H928" s="99"/>
      <c r="I928" s="59"/>
      <c r="J928" s="59"/>
      <c r="K928" s="59"/>
      <c r="L928" s="59"/>
      <c r="M928" s="118"/>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row>
    <row r="929" ht="14.25" customHeight="1">
      <c r="A929" s="59"/>
      <c r="B929" s="97"/>
      <c r="C929" s="97"/>
      <c r="D929" s="97"/>
      <c r="E929" s="97"/>
      <c r="F929" s="97"/>
      <c r="G929" s="97"/>
      <c r="H929" s="99"/>
      <c r="I929" s="59"/>
      <c r="J929" s="59"/>
      <c r="K929" s="59"/>
      <c r="L929" s="59"/>
      <c r="M929" s="118"/>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row>
    <row r="930" ht="14.25" customHeight="1">
      <c r="A930" s="59"/>
      <c r="B930" s="97"/>
      <c r="C930" s="97"/>
      <c r="D930" s="97"/>
      <c r="E930" s="97"/>
      <c r="F930" s="97"/>
      <c r="G930" s="97"/>
      <c r="H930" s="99"/>
      <c r="I930" s="59"/>
      <c r="J930" s="59"/>
      <c r="K930" s="59"/>
      <c r="L930" s="59"/>
      <c r="M930" s="118"/>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row>
    <row r="931" ht="14.25" customHeight="1">
      <c r="A931" s="59"/>
      <c r="B931" s="97"/>
      <c r="C931" s="97"/>
      <c r="D931" s="97"/>
      <c r="E931" s="97"/>
      <c r="F931" s="97"/>
      <c r="G931" s="97"/>
      <c r="H931" s="99"/>
      <c r="I931" s="59"/>
      <c r="J931" s="59"/>
      <c r="K931" s="59"/>
      <c r="L931" s="59"/>
      <c r="M931" s="118"/>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row>
    <row r="932" ht="14.25" customHeight="1">
      <c r="A932" s="59"/>
      <c r="B932" s="97"/>
      <c r="C932" s="97"/>
      <c r="D932" s="97"/>
      <c r="E932" s="97"/>
      <c r="F932" s="97"/>
      <c r="G932" s="97"/>
      <c r="H932" s="99"/>
      <c r="I932" s="59"/>
      <c r="J932" s="59"/>
      <c r="K932" s="59"/>
      <c r="L932" s="59"/>
      <c r="M932" s="118"/>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row>
    <row r="933" ht="14.25" customHeight="1">
      <c r="A933" s="59"/>
      <c r="B933" s="97"/>
      <c r="C933" s="97"/>
      <c r="D933" s="97"/>
      <c r="E933" s="97"/>
      <c r="F933" s="97"/>
      <c r="G933" s="97"/>
      <c r="H933" s="99"/>
      <c r="I933" s="59"/>
      <c r="J933" s="59"/>
      <c r="K933" s="59"/>
      <c r="L933" s="59"/>
      <c r="M933" s="118"/>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row>
    <row r="934" ht="14.25" customHeight="1">
      <c r="A934" s="59"/>
      <c r="B934" s="97"/>
      <c r="C934" s="97"/>
      <c r="D934" s="97"/>
      <c r="E934" s="97"/>
      <c r="F934" s="97"/>
      <c r="G934" s="97"/>
      <c r="H934" s="99"/>
      <c r="I934" s="59"/>
      <c r="J934" s="59"/>
      <c r="K934" s="59"/>
      <c r="L934" s="59"/>
      <c r="M934" s="118"/>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row>
    <row r="935" ht="14.25" customHeight="1">
      <c r="A935" s="59"/>
      <c r="B935" s="97"/>
      <c r="C935" s="97"/>
      <c r="D935" s="97"/>
      <c r="E935" s="97"/>
      <c r="F935" s="97"/>
      <c r="G935" s="97"/>
      <c r="H935" s="99"/>
      <c r="I935" s="59"/>
      <c r="J935" s="59"/>
      <c r="K935" s="59"/>
      <c r="L935" s="59"/>
      <c r="M935" s="118"/>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row>
    <row r="936" ht="14.25" customHeight="1">
      <c r="A936" s="59"/>
      <c r="B936" s="97"/>
      <c r="C936" s="97"/>
      <c r="D936" s="97"/>
      <c r="E936" s="97"/>
      <c r="F936" s="97"/>
      <c r="G936" s="97"/>
      <c r="H936" s="99"/>
      <c r="I936" s="59"/>
      <c r="J936" s="59"/>
      <c r="K936" s="59"/>
      <c r="L936" s="59"/>
      <c r="M936" s="118"/>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row>
    <row r="937" ht="14.25" customHeight="1">
      <c r="A937" s="59"/>
      <c r="B937" s="97"/>
      <c r="C937" s="97"/>
      <c r="D937" s="97"/>
      <c r="E937" s="97"/>
      <c r="F937" s="97"/>
      <c r="G937" s="97"/>
      <c r="H937" s="99"/>
      <c r="I937" s="59"/>
      <c r="J937" s="59"/>
      <c r="K937" s="59"/>
      <c r="L937" s="59"/>
      <c r="M937" s="118"/>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row>
    <row r="938" ht="14.25" customHeight="1">
      <c r="A938" s="59"/>
      <c r="B938" s="97"/>
      <c r="C938" s="97"/>
      <c r="D938" s="97"/>
      <c r="E938" s="97"/>
      <c r="F938" s="97"/>
      <c r="G938" s="97"/>
      <c r="H938" s="99"/>
      <c r="I938" s="59"/>
      <c r="J938" s="59"/>
      <c r="K938" s="59"/>
      <c r="L938" s="59"/>
      <c r="M938" s="118"/>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row>
    <row r="939" ht="14.25" customHeight="1">
      <c r="A939" s="59"/>
      <c r="B939" s="97"/>
      <c r="C939" s="97"/>
      <c r="D939" s="97"/>
      <c r="E939" s="97"/>
      <c r="F939" s="97"/>
      <c r="G939" s="97"/>
      <c r="H939" s="99"/>
      <c r="I939" s="59"/>
      <c r="J939" s="59"/>
      <c r="K939" s="59"/>
      <c r="L939" s="59"/>
      <c r="M939" s="118"/>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row>
    <row r="940" ht="14.25" customHeight="1">
      <c r="A940" s="59"/>
      <c r="B940" s="97"/>
      <c r="C940" s="97"/>
      <c r="D940" s="97"/>
      <c r="E940" s="97"/>
      <c r="F940" s="97"/>
      <c r="G940" s="97"/>
      <c r="H940" s="99"/>
      <c r="I940" s="59"/>
      <c r="J940" s="59"/>
      <c r="K940" s="59"/>
      <c r="L940" s="59"/>
      <c r="M940" s="118"/>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row>
    <row r="941" ht="14.25" customHeight="1">
      <c r="A941" s="59"/>
      <c r="B941" s="97"/>
      <c r="C941" s="97"/>
      <c r="D941" s="97"/>
      <c r="E941" s="97"/>
      <c r="F941" s="97"/>
      <c r="G941" s="97"/>
      <c r="H941" s="99"/>
      <c r="I941" s="59"/>
      <c r="J941" s="59"/>
      <c r="K941" s="59"/>
      <c r="L941" s="59"/>
      <c r="M941" s="118"/>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row>
    <row r="942" ht="14.25" customHeight="1">
      <c r="A942" s="59"/>
      <c r="B942" s="97"/>
      <c r="C942" s="97"/>
      <c r="D942" s="97"/>
      <c r="E942" s="97"/>
      <c r="F942" s="97"/>
      <c r="G942" s="97"/>
      <c r="H942" s="99"/>
      <c r="I942" s="59"/>
      <c r="J942" s="59"/>
      <c r="K942" s="59"/>
      <c r="L942" s="59"/>
      <c r="M942" s="118"/>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row>
    <row r="943" ht="14.25" customHeight="1">
      <c r="A943" s="59"/>
      <c r="B943" s="97"/>
      <c r="C943" s="97"/>
      <c r="D943" s="97"/>
      <c r="E943" s="97"/>
      <c r="F943" s="97"/>
      <c r="G943" s="97"/>
      <c r="H943" s="99"/>
      <c r="I943" s="59"/>
      <c r="J943" s="59"/>
      <c r="K943" s="59"/>
      <c r="L943" s="59"/>
      <c r="M943" s="118"/>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row>
    <row r="944" ht="14.25" customHeight="1">
      <c r="A944" s="59"/>
      <c r="B944" s="97"/>
      <c r="C944" s="97"/>
      <c r="D944" s="97"/>
      <c r="E944" s="97"/>
      <c r="F944" s="97"/>
      <c r="G944" s="97"/>
      <c r="H944" s="99"/>
      <c r="I944" s="59"/>
      <c r="J944" s="59"/>
      <c r="K944" s="59"/>
      <c r="L944" s="59"/>
      <c r="M944" s="118"/>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row>
    <row r="945" ht="14.25" customHeight="1">
      <c r="A945" s="59"/>
      <c r="B945" s="97"/>
      <c r="C945" s="97"/>
      <c r="D945" s="97"/>
      <c r="E945" s="97"/>
      <c r="F945" s="97"/>
      <c r="G945" s="97"/>
      <c r="H945" s="99"/>
      <c r="I945" s="59"/>
      <c r="J945" s="59"/>
      <c r="K945" s="59"/>
      <c r="L945" s="59"/>
      <c r="M945" s="118"/>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row>
    <row r="946" ht="14.25" customHeight="1">
      <c r="A946" s="59"/>
      <c r="B946" s="97"/>
      <c r="C946" s="97"/>
      <c r="D946" s="97"/>
      <c r="E946" s="97"/>
      <c r="F946" s="97"/>
      <c r="G946" s="97"/>
      <c r="H946" s="99"/>
      <c r="I946" s="59"/>
      <c r="J946" s="59"/>
      <c r="K946" s="59"/>
      <c r="L946" s="59"/>
      <c r="M946" s="118"/>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row>
    <row r="947" ht="14.25" customHeight="1">
      <c r="A947" s="59"/>
      <c r="B947" s="97"/>
      <c r="C947" s="97"/>
      <c r="D947" s="97"/>
      <c r="E947" s="97"/>
      <c r="F947" s="97"/>
      <c r="G947" s="97"/>
      <c r="H947" s="99"/>
      <c r="I947" s="59"/>
      <c r="J947" s="59"/>
      <c r="K947" s="59"/>
      <c r="L947" s="59"/>
      <c r="M947" s="118"/>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row>
    <row r="948" ht="14.25" customHeight="1">
      <c r="A948" s="59"/>
      <c r="B948" s="97"/>
      <c r="C948" s="97"/>
      <c r="D948" s="97"/>
      <c r="E948" s="97"/>
      <c r="F948" s="97"/>
      <c r="G948" s="97"/>
      <c r="H948" s="99"/>
      <c r="I948" s="59"/>
      <c r="J948" s="59"/>
      <c r="K948" s="59"/>
      <c r="L948" s="59"/>
      <c r="M948" s="118"/>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row>
    <row r="949" ht="14.25" customHeight="1">
      <c r="A949" s="59"/>
      <c r="B949" s="97"/>
      <c r="C949" s="97"/>
      <c r="D949" s="97"/>
      <c r="E949" s="97"/>
      <c r="F949" s="97"/>
      <c r="G949" s="97"/>
      <c r="H949" s="99"/>
      <c r="I949" s="59"/>
      <c r="J949" s="59"/>
      <c r="K949" s="59"/>
      <c r="L949" s="59"/>
      <c r="M949" s="118"/>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row>
    <row r="950" ht="14.25" customHeight="1">
      <c r="A950" s="59"/>
      <c r="B950" s="97"/>
      <c r="C950" s="97"/>
      <c r="D950" s="97"/>
      <c r="E950" s="97"/>
      <c r="F950" s="97"/>
      <c r="G950" s="97"/>
      <c r="H950" s="99"/>
      <c r="I950" s="59"/>
      <c r="J950" s="59"/>
      <c r="K950" s="59"/>
      <c r="L950" s="59"/>
      <c r="M950" s="118"/>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row>
    <row r="951" ht="14.25" customHeight="1">
      <c r="A951" s="59"/>
      <c r="B951" s="97"/>
      <c r="C951" s="97"/>
      <c r="D951" s="97"/>
      <c r="E951" s="97"/>
      <c r="F951" s="97"/>
      <c r="G951" s="97"/>
      <c r="H951" s="99"/>
      <c r="I951" s="59"/>
      <c r="J951" s="59"/>
      <c r="K951" s="59"/>
      <c r="L951" s="59"/>
      <c r="M951" s="118"/>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row>
    <row r="952" ht="14.25" customHeight="1">
      <c r="A952" s="59"/>
      <c r="B952" s="97"/>
      <c r="C952" s="97"/>
      <c r="D952" s="97"/>
      <c r="E952" s="97"/>
      <c r="F952" s="97"/>
      <c r="G952" s="97"/>
      <c r="H952" s="99"/>
      <c r="I952" s="59"/>
      <c r="J952" s="59"/>
      <c r="K952" s="59"/>
      <c r="L952" s="59"/>
      <c r="M952" s="118"/>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row>
    <row r="953" ht="14.25" customHeight="1">
      <c r="A953" s="59"/>
      <c r="B953" s="97"/>
      <c r="C953" s="97"/>
      <c r="D953" s="97"/>
      <c r="E953" s="97"/>
      <c r="F953" s="97"/>
      <c r="G953" s="97"/>
      <c r="H953" s="99"/>
      <c r="I953" s="59"/>
      <c r="J953" s="59"/>
      <c r="K953" s="59"/>
      <c r="L953" s="59"/>
      <c r="M953" s="118"/>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row>
    <row r="954" ht="14.25" customHeight="1">
      <c r="A954" s="59"/>
      <c r="B954" s="97"/>
      <c r="C954" s="97"/>
      <c r="D954" s="97"/>
      <c r="E954" s="97"/>
      <c r="F954" s="97"/>
      <c r="G954" s="97"/>
      <c r="H954" s="99"/>
      <c r="I954" s="59"/>
      <c r="J954" s="59"/>
      <c r="K954" s="59"/>
      <c r="L954" s="59"/>
      <c r="M954" s="118"/>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row>
    <row r="955" ht="14.25" customHeight="1">
      <c r="A955" s="59"/>
      <c r="B955" s="97"/>
      <c r="C955" s="97"/>
      <c r="D955" s="97"/>
      <c r="E955" s="97"/>
      <c r="F955" s="97"/>
      <c r="G955" s="97"/>
      <c r="H955" s="99"/>
      <c r="I955" s="59"/>
      <c r="J955" s="59"/>
      <c r="K955" s="59"/>
      <c r="L955" s="59"/>
      <c r="M955" s="118"/>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row>
    <row r="956" ht="14.25" customHeight="1">
      <c r="A956" s="59"/>
      <c r="B956" s="97"/>
      <c r="C956" s="97"/>
      <c r="D956" s="97"/>
      <c r="E956" s="97"/>
      <c r="F956" s="97"/>
      <c r="G956" s="97"/>
      <c r="H956" s="99"/>
      <c r="I956" s="59"/>
      <c r="J956" s="59"/>
      <c r="K956" s="59"/>
      <c r="L956" s="59"/>
      <c r="M956" s="118"/>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row>
    <row r="957" ht="14.25" customHeight="1">
      <c r="A957" s="59"/>
      <c r="B957" s="97"/>
      <c r="C957" s="97"/>
      <c r="D957" s="97"/>
      <c r="E957" s="97"/>
      <c r="F957" s="97"/>
      <c r="G957" s="97"/>
      <c r="H957" s="99"/>
      <c r="I957" s="59"/>
      <c r="J957" s="59"/>
      <c r="K957" s="59"/>
      <c r="L957" s="59"/>
      <c r="M957" s="118"/>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row>
    <row r="958" ht="14.25" customHeight="1">
      <c r="A958" s="59"/>
      <c r="B958" s="97"/>
      <c r="C958" s="97"/>
      <c r="D958" s="97"/>
      <c r="E958" s="97"/>
      <c r="F958" s="97"/>
      <c r="G958" s="97"/>
      <c r="H958" s="99"/>
      <c r="I958" s="59"/>
      <c r="J958" s="59"/>
      <c r="K958" s="59"/>
      <c r="L958" s="59"/>
      <c r="M958" s="118"/>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row>
    <row r="959" ht="14.25" customHeight="1">
      <c r="A959" s="59"/>
      <c r="B959" s="97"/>
      <c r="C959" s="97"/>
      <c r="D959" s="97"/>
      <c r="E959" s="97"/>
      <c r="F959" s="97"/>
      <c r="G959" s="97"/>
      <c r="H959" s="99"/>
      <c r="I959" s="59"/>
      <c r="J959" s="59"/>
      <c r="K959" s="59"/>
      <c r="L959" s="59"/>
      <c r="M959" s="118"/>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row>
    <row r="960" ht="14.25" customHeight="1">
      <c r="A960" s="59"/>
      <c r="B960" s="97"/>
      <c r="C960" s="97"/>
      <c r="D960" s="97"/>
      <c r="E960" s="97"/>
      <c r="F960" s="97"/>
      <c r="G960" s="97"/>
      <c r="H960" s="99"/>
      <c r="I960" s="59"/>
      <c r="J960" s="59"/>
      <c r="K960" s="59"/>
      <c r="L960" s="59"/>
      <c r="M960" s="118"/>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row>
    <row r="961" ht="14.25" customHeight="1">
      <c r="A961" s="59"/>
      <c r="B961" s="97"/>
      <c r="C961" s="97"/>
      <c r="D961" s="97"/>
      <c r="E961" s="97"/>
      <c r="F961" s="97"/>
      <c r="G961" s="97"/>
      <c r="H961" s="99"/>
      <c r="I961" s="59"/>
      <c r="J961" s="59"/>
      <c r="K961" s="59"/>
      <c r="L961" s="59"/>
      <c r="M961" s="118"/>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row>
    <row r="962" ht="14.25" customHeight="1">
      <c r="A962" s="59"/>
      <c r="B962" s="97"/>
      <c r="C962" s="97"/>
      <c r="D962" s="97"/>
      <c r="E962" s="97"/>
      <c r="F962" s="97"/>
      <c r="G962" s="97"/>
      <c r="H962" s="99"/>
      <c r="I962" s="59"/>
      <c r="J962" s="59"/>
      <c r="K962" s="59"/>
      <c r="L962" s="59"/>
      <c r="M962" s="118"/>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row>
    <row r="963" ht="14.25" customHeight="1">
      <c r="A963" s="59"/>
      <c r="B963" s="97"/>
      <c r="C963" s="97"/>
      <c r="D963" s="97"/>
      <c r="E963" s="97"/>
      <c r="F963" s="97"/>
      <c r="G963" s="97"/>
      <c r="H963" s="99"/>
      <c r="I963" s="59"/>
      <c r="J963" s="59"/>
      <c r="K963" s="59"/>
      <c r="L963" s="59"/>
      <c r="M963" s="118"/>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row>
    <row r="964" ht="14.25" customHeight="1">
      <c r="A964" s="59"/>
      <c r="B964" s="97"/>
      <c r="C964" s="97"/>
      <c r="D964" s="97"/>
      <c r="E964" s="97"/>
      <c r="F964" s="97"/>
      <c r="G964" s="97"/>
      <c r="H964" s="99"/>
      <c r="I964" s="59"/>
      <c r="J964" s="59"/>
      <c r="K964" s="59"/>
      <c r="L964" s="59"/>
      <c r="M964" s="118"/>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row>
    <row r="965" ht="14.25" customHeight="1">
      <c r="A965" s="59"/>
      <c r="B965" s="97"/>
      <c r="C965" s="97"/>
      <c r="D965" s="97"/>
      <c r="E965" s="97"/>
      <c r="F965" s="97"/>
      <c r="G965" s="97"/>
      <c r="H965" s="99"/>
      <c r="I965" s="59"/>
      <c r="J965" s="59"/>
      <c r="K965" s="59"/>
      <c r="L965" s="59"/>
      <c r="M965" s="118"/>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row>
    <row r="966" ht="14.25" customHeight="1">
      <c r="A966" s="59"/>
      <c r="B966" s="97"/>
      <c r="C966" s="97"/>
      <c r="D966" s="97"/>
      <c r="E966" s="97"/>
      <c r="F966" s="97"/>
      <c r="G966" s="97"/>
      <c r="H966" s="99"/>
      <c r="I966" s="59"/>
      <c r="J966" s="59"/>
      <c r="K966" s="59"/>
      <c r="L966" s="59"/>
      <c r="M966" s="118"/>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row>
    <row r="967" ht="14.25" customHeight="1">
      <c r="A967" s="59"/>
      <c r="B967" s="97"/>
      <c r="C967" s="97"/>
      <c r="D967" s="97"/>
      <c r="E967" s="97"/>
      <c r="F967" s="97"/>
      <c r="G967" s="97"/>
      <c r="H967" s="99"/>
      <c r="I967" s="59"/>
      <c r="J967" s="59"/>
      <c r="K967" s="59"/>
      <c r="L967" s="59"/>
      <c r="M967" s="118"/>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row>
    <row r="968" ht="14.25" customHeight="1">
      <c r="A968" s="59"/>
      <c r="B968" s="97"/>
      <c r="C968" s="97"/>
      <c r="D968" s="97"/>
      <c r="E968" s="97"/>
      <c r="F968" s="97"/>
      <c r="G968" s="97"/>
      <c r="H968" s="99"/>
      <c r="I968" s="59"/>
      <c r="J968" s="59"/>
      <c r="K968" s="59"/>
      <c r="L968" s="59"/>
      <c r="M968" s="118"/>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row>
    <row r="969" ht="14.25" customHeight="1">
      <c r="A969" s="59"/>
      <c r="B969" s="97"/>
      <c r="C969" s="97"/>
      <c r="D969" s="97"/>
      <c r="E969" s="97"/>
      <c r="F969" s="97"/>
      <c r="G969" s="97"/>
      <c r="H969" s="99"/>
      <c r="I969" s="59"/>
      <c r="J969" s="59"/>
      <c r="K969" s="59"/>
      <c r="L969" s="59"/>
      <c r="M969" s="118"/>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row>
    <row r="970" ht="14.25" customHeight="1">
      <c r="A970" s="59"/>
      <c r="B970" s="97"/>
      <c r="C970" s="97"/>
      <c r="D970" s="97"/>
      <c r="E970" s="97"/>
      <c r="F970" s="97"/>
      <c r="G970" s="97"/>
      <c r="H970" s="99"/>
      <c r="I970" s="59"/>
      <c r="J970" s="59"/>
      <c r="K970" s="59"/>
      <c r="L970" s="59"/>
      <c r="M970" s="118"/>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row>
    <row r="971" ht="14.25" customHeight="1">
      <c r="A971" s="59"/>
      <c r="B971" s="97"/>
      <c r="C971" s="97"/>
      <c r="D971" s="97"/>
      <c r="E971" s="97"/>
      <c r="F971" s="97"/>
      <c r="G971" s="97"/>
      <c r="H971" s="99"/>
      <c r="I971" s="59"/>
      <c r="J971" s="59"/>
      <c r="K971" s="59"/>
      <c r="L971" s="59"/>
      <c r="M971" s="118"/>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row>
    <row r="972" ht="14.25" customHeight="1">
      <c r="A972" s="59"/>
      <c r="B972" s="97"/>
      <c r="C972" s="97"/>
      <c r="D972" s="97"/>
      <c r="E972" s="97"/>
      <c r="F972" s="97"/>
      <c r="G972" s="97"/>
      <c r="H972" s="99"/>
      <c r="I972" s="59"/>
      <c r="J972" s="59"/>
      <c r="K972" s="59"/>
      <c r="L972" s="59"/>
      <c r="M972" s="118"/>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row>
    <row r="973" ht="14.25" customHeight="1">
      <c r="A973" s="59"/>
      <c r="B973" s="97"/>
      <c r="C973" s="97"/>
      <c r="D973" s="97"/>
      <c r="E973" s="97"/>
      <c r="F973" s="97"/>
      <c r="G973" s="97"/>
      <c r="H973" s="99"/>
      <c r="I973" s="59"/>
      <c r="J973" s="59"/>
      <c r="K973" s="59"/>
      <c r="L973" s="59"/>
      <c r="M973" s="118"/>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row>
    <row r="974" ht="14.25" customHeight="1">
      <c r="A974" s="59"/>
      <c r="B974" s="97"/>
      <c r="C974" s="97"/>
      <c r="D974" s="97"/>
      <c r="E974" s="97"/>
      <c r="F974" s="97"/>
      <c r="G974" s="97"/>
      <c r="H974" s="99"/>
      <c r="I974" s="59"/>
      <c r="J974" s="59"/>
      <c r="K974" s="59"/>
      <c r="L974" s="59"/>
      <c r="M974" s="118"/>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row>
    <row r="975" ht="14.25" customHeight="1">
      <c r="A975" s="59"/>
      <c r="B975" s="97"/>
      <c r="C975" s="97"/>
      <c r="D975" s="97"/>
      <c r="E975" s="97"/>
      <c r="F975" s="97"/>
      <c r="G975" s="97"/>
      <c r="H975" s="99"/>
      <c r="I975" s="59"/>
      <c r="J975" s="59"/>
      <c r="K975" s="59"/>
      <c r="L975" s="59"/>
      <c r="M975" s="118"/>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row>
    <row r="976" ht="14.25" customHeight="1">
      <c r="A976" s="59"/>
      <c r="B976" s="97"/>
      <c r="C976" s="97"/>
      <c r="D976" s="97"/>
      <c r="E976" s="97"/>
      <c r="F976" s="97"/>
      <c r="G976" s="97"/>
      <c r="H976" s="99"/>
      <c r="I976" s="59"/>
      <c r="J976" s="59"/>
      <c r="K976" s="59"/>
      <c r="L976" s="59"/>
      <c r="M976" s="118"/>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row>
    <row r="977" ht="14.25" customHeight="1">
      <c r="A977" s="59"/>
      <c r="B977" s="97"/>
      <c r="C977" s="97"/>
      <c r="D977" s="97"/>
      <c r="E977" s="97"/>
      <c r="F977" s="97"/>
      <c r="G977" s="97"/>
      <c r="H977" s="99"/>
      <c r="I977" s="59"/>
      <c r="J977" s="59"/>
      <c r="K977" s="59"/>
      <c r="L977" s="59"/>
      <c r="M977" s="118"/>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row>
    <row r="978" ht="14.25" customHeight="1">
      <c r="A978" s="59"/>
      <c r="B978" s="97"/>
      <c r="C978" s="97"/>
      <c r="D978" s="97"/>
      <c r="E978" s="97"/>
      <c r="F978" s="97"/>
      <c r="G978" s="97"/>
      <c r="H978" s="99"/>
      <c r="I978" s="59"/>
      <c r="J978" s="59"/>
      <c r="K978" s="59"/>
      <c r="L978" s="59"/>
      <c r="M978" s="118"/>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row>
    <row r="979" ht="14.25" customHeight="1">
      <c r="A979" s="59"/>
      <c r="B979" s="97"/>
      <c r="C979" s="97"/>
      <c r="D979" s="97"/>
      <c r="E979" s="97"/>
      <c r="F979" s="97"/>
      <c r="G979" s="97"/>
      <c r="H979" s="99"/>
      <c r="I979" s="59"/>
      <c r="J979" s="59"/>
      <c r="K979" s="59"/>
      <c r="L979" s="59"/>
      <c r="M979" s="118"/>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row>
    <row r="980" ht="14.25" customHeight="1">
      <c r="A980" s="59"/>
      <c r="B980" s="97"/>
      <c r="C980" s="97"/>
      <c r="D980" s="97"/>
      <c r="E980" s="97"/>
      <c r="F980" s="97"/>
      <c r="G980" s="97"/>
      <c r="H980" s="99"/>
      <c r="I980" s="59"/>
      <c r="J980" s="59"/>
      <c r="K980" s="59"/>
      <c r="L980" s="59"/>
      <c r="M980" s="118"/>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row>
    <row r="981" ht="14.25" customHeight="1">
      <c r="A981" s="59"/>
      <c r="B981" s="97"/>
      <c r="C981" s="97"/>
      <c r="D981" s="97"/>
      <c r="E981" s="97"/>
      <c r="F981" s="97"/>
      <c r="G981" s="97"/>
      <c r="H981" s="99"/>
      <c r="I981" s="59"/>
      <c r="J981" s="59"/>
      <c r="K981" s="59"/>
      <c r="L981" s="59"/>
      <c r="M981" s="118"/>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row>
    <row r="982" ht="14.25" customHeight="1">
      <c r="A982" s="59"/>
      <c r="B982" s="97"/>
      <c r="C982" s="97"/>
      <c r="D982" s="97"/>
      <c r="E982" s="97"/>
      <c r="F982" s="97"/>
      <c r="G982" s="97"/>
      <c r="H982" s="99"/>
      <c r="I982" s="59"/>
      <c r="J982" s="59"/>
      <c r="K982" s="59"/>
      <c r="L982" s="59"/>
      <c r="M982" s="118"/>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row>
    <row r="983" ht="14.25" customHeight="1">
      <c r="A983" s="59"/>
      <c r="B983" s="97"/>
      <c r="C983" s="97"/>
      <c r="D983" s="97"/>
      <c r="E983" s="97"/>
      <c r="F983" s="97"/>
      <c r="G983" s="97"/>
      <c r="H983" s="99"/>
      <c r="I983" s="59"/>
      <c r="J983" s="59"/>
      <c r="K983" s="59"/>
      <c r="L983" s="59"/>
      <c r="M983" s="118"/>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row>
    <row r="984" ht="14.25" customHeight="1">
      <c r="A984" s="59"/>
      <c r="B984" s="97"/>
      <c r="C984" s="97"/>
      <c r="D984" s="97"/>
      <c r="E984" s="97"/>
      <c r="F984" s="97"/>
      <c r="G984" s="97"/>
      <c r="H984" s="99"/>
      <c r="I984" s="59"/>
      <c r="J984" s="59"/>
      <c r="K984" s="59"/>
      <c r="L984" s="59"/>
      <c r="M984" s="118"/>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row>
    <row r="985" ht="14.25" customHeight="1">
      <c r="A985" s="59"/>
      <c r="B985" s="97"/>
      <c r="C985" s="97"/>
      <c r="D985" s="97"/>
      <c r="E985" s="97"/>
      <c r="F985" s="97"/>
      <c r="G985" s="97"/>
      <c r="H985" s="99"/>
      <c r="I985" s="59"/>
      <c r="J985" s="59"/>
      <c r="K985" s="59"/>
      <c r="L985" s="59"/>
      <c r="M985" s="118"/>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row>
    <row r="986" ht="14.25" customHeight="1">
      <c r="A986" s="59"/>
      <c r="B986" s="97"/>
      <c r="C986" s="97"/>
      <c r="D986" s="97"/>
      <c r="E986" s="97"/>
      <c r="F986" s="97"/>
      <c r="G986" s="97"/>
      <c r="H986" s="99"/>
      <c r="I986" s="59"/>
      <c r="J986" s="59"/>
      <c r="K986" s="59"/>
      <c r="L986" s="59"/>
      <c r="M986" s="118"/>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row>
    <row r="987" ht="14.25" customHeight="1">
      <c r="A987" s="59"/>
      <c r="B987" s="97"/>
      <c r="C987" s="97"/>
      <c r="D987" s="97"/>
      <c r="E987" s="97"/>
      <c r="F987" s="97"/>
      <c r="G987" s="97"/>
      <c r="H987" s="99"/>
      <c r="I987" s="59"/>
      <c r="J987" s="59"/>
      <c r="K987" s="59"/>
      <c r="L987" s="59"/>
      <c r="M987" s="118"/>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row>
    <row r="988" ht="14.25" customHeight="1">
      <c r="A988" s="59"/>
      <c r="B988" s="97"/>
      <c r="C988" s="97"/>
      <c r="D988" s="97"/>
      <c r="E988" s="97"/>
      <c r="F988" s="97"/>
      <c r="G988" s="97"/>
      <c r="H988" s="99"/>
      <c r="I988" s="59"/>
      <c r="J988" s="59"/>
      <c r="K988" s="59"/>
      <c r="L988" s="59"/>
      <c r="M988" s="118"/>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row>
    <row r="989" ht="14.25" customHeight="1">
      <c r="A989" s="59"/>
      <c r="B989" s="97"/>
      <c r="C989" s="97"/>
      <c r="D989" s="97"/>
      <c r="E989" s="97"/>
      <c r="F989" s="97"/>
      <c r="G989" s="97"/>
      <c r="H989" s="99"/>
      <c r="I989" s="59"/>
      <c r="J989" s="59"/>
      <c r="K989" s="59"/>
      <c r="L989" s="59"/>
      <c r="M989" s="118"/>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row>
    <row r="990" ht="14.25" customHeight="1">
      <c r="A990" s="59"/>
      <c r="B990" s="97"/>
      <c r="C990" s="97"/>
      <c r="D990" s="97"/>
      <c r="E990" s="97"/>
      <c r="F990" s="97"/>
      <c r="G990" s="97"/>
      <c r="H990" s="99"/>
      <c r="I990" s="59"/>
      <c r="J990" s="59"/>
      <c r="K990" s="59"/>
      <c r="L990" s="59"/>
      <c r="M990" s="118"/>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row>
    <row r="991" ht="14.25" customHeight="1">
      <c r="A991" s="59"/>
      <c r="B991" s="97"/>
      <c r="C991" s="97"/>
      <c r="D991" s="97"/>
      <c r="E991" s="97"/>
      <c r="F991" s="97"/>
      <c r="G991" s="97"/>
      <c r="H991" s="99"/>
      <c r="I991" s="59"/>
      <c r="J991" s="59"/>
      <c r="K991" s="59"/>
      <c r="L991" s="59"/>
      <c r="M991" s="118"/>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row>
    <row r="992" ht="14.25" customHeight="1">
      <c r="A992" s="59"/>
      <c r="B992" s="97"/>
      <c r="C992" s="97"/>
      <c r="D992" s="97"/>
      <c r="E992" s="97"/>
      <c r="F992" s="97"/>
      <c r="G992" s="97"/>
      <c r="H992" s="99"/>
      <c r="I992" s="59"/>
      <c r="J992" s="59"/>
      <c r="K992" s="59"/>
      <c r="L992" s="59"/>
      <c r="M992" s="118"/>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row>
    <row r="993" ht="14.25" customHeight="1">
      <c r="A993" s="59"/>
      <c r="B993" s="97"/>
      <c r="C993" s="97"/>
      <c r="D993" s="97"/>
      <c r="E993" s="97"/>
      <c r="F993" s="97"/>
      <c r="G993" s="97"/>
      <c r="H993" s="99"/>
      <c r="I993" s="59"/>
      <c r="J993" s="59"/>
      <c r="K993" s="59"/>
      <c r="L993" s="59"/>
      <c r="M993" s="118"/>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row>
    <row r="994" ht="14.25" customHeight="1">
      <c r="A994" s="59"/>
      <c r="B994" s="97"/>
      <c r="C994" s="97"/>
      <c r="D994" s="97"/>
      <c r="E994" s="97"/>
      <c r="F994" s="97"/>
      <c r="G994" s="97"/>
      <c r="H994" s="99"/>
      <c r="I994" s="59"/>
      <c r="J994" s="59"/>
      <c r="K994" s="59"/>
      <c r="L994" s="59"/>
      <c r="M994" s="118"/>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row>
    <row r="995" ht="14.25" customHeight="1">
      <c r="A995" s="59"/>
      <c r="B995" s="97"/>
      <c r="C995" s="97"/>
      <c r="D995" s="97"/>
      <c r="E995" s="97"/>
      <c r="F995" s="97"/>
      <c r="G995" s="97"/>
      <c r="H995" s="99"/>
      <c r="I995" s="59"/>
      <c r="J995" s="59"/>
      <c r="K995" s="59"/>
      <c r="L995" s="59"/>
      <c r="M995" s="118"/>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row>
    <row r="996" ht="14.25" customHeight="1">
      <c r="A996" s="59"/>
      <c r="B996" s="97"/>
      <c r="C996" s="97"/>
      <c r="D996" s="97"/>
      <c r="E996" s="97"/>
      <c r="F996" s="97"/>
      <c r="G996" s="97"/>
      <c r="H996" s="99"/>
      <c r="I996" s="59"/>
      <c r="J996" s="59"/>
      <c r="K996" s="59"/>
      <c r="L996" s="59"/>
      <c r="M996" s="118"/>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row>
    <row r="997" ht="14.25" customHeight="1">
      <c r="A997" s="59"/>
      <c r="B997" s="97"/>
      <c r="C997" s="97"/>
      <c r="D997" s="97"/>
      <c r="E997" s="97"/>
      <c r="F997" s="97"/>
      <c r="G997" s="97"/>
      <c r="H997" s="99"/>
      <c r="I997" s="59"/>
      <c r="J997" s="59"/>
      <c r="K997" s="59"/>
      <c r="L997" s="59"/>
      <c r="M997" s="118"/>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row>
    <row r="998" ht="14.25" customHeight="1">
      <c r="A998" s="59"/>
      <c r="B998" s="97"/>
      <c r="C998" s="97"/>
      <c r="D998" s="97"/>
      <c r="E998" s="97"/>
      <c r="F998" s="97"/>
      <c r="G998" s="97"/>
      <c r="H998" s="99"/>
      <c r="I998" s="59"/>
      <c r="J998" s="59"/>
      <c r="K998" s="59"/>
      <c r="L998" s="59"/>
      <c r="M998" s="118"/>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row>
    <row r="999" ht="14.25" customHeight="1">
      <c r="A999" s="59"/>
      <c r="B999" s="97"/>
      <c r="C999" s="97"/>
      <c r="D999" s="97"/>
      <c r="E999" s="97"/>
      <c r="F999" s="97"/>
      <c r="G999" s="97"/>
      <c r="H999" s="99"/>
      <c r="I999" s="59"/>
      <c r="J999" s="59"/>
      <c r="K999" s="59"/>
      <c r="L999" s="59"/>
      <c r="M999" s="118"/>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row>
    <row r="1000" ht="14.25" customHeight="1">
      <c r="A1000" s="59"/>
      <c r="B1000" s="97"/>
      <c r="C1000" s="97"/>
      <c r="D1000" s="97"/>
      <c r="E1000" s="97"/>
      <c r="F1000" s="97"/>
      <c r="G1000" s="97"/>
      <c r="H1000" s="99"/>
      <c r="I1000" s="59"/>
      <c r="J1000" s="59"/>
      <c r="K1000" s="59"/>
      <c r="L1000" s="59"/>
      <c r="M1000" s="118"/>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row>
  </sheetData>
  <mergeCells count="2">
    <mergeCell ref="B8:E8"/>
    <mergeCell ref="B10:D10"/>
  </mergeCells>
  <conditionalFormatting sqref="G11:G22">
    <cfRule type="containsText" dxfId="0" priority="1" operator="containsText" text="Yes">
      <formula>NOT(ISERROR(SEARCH(("Yes"),(G11))))</formula>
    </cfRule>
  </conditionalFormatting>
  <conditionalFormatting sqref="G24:G29">
    <cfRule type="containsText" dxfId="0" priority="2" operator="containsText" text="Yes">
      <formula>NOT(ISERROR(SEARCH(("Yes"),(G24))))</formula>
    </cfRule>
  </conditionalFormatting>
  <conditionalFormatting sqref="G31:G42">
    <cfRule type="containsText" dxfId="0" priority="3" operator="containsText" text="Yes">
      <formula>NOT(ISERROR(SEARCH(("Yes"),(G31))))</formula>
    </cfRule>
  </conditionalFormatting>
  <conditionalFormatting sqref="G44:G46">
    <cfRule type="containsText" dxfId="0" priority="4" operator="containsText" text="Yes">
      <formula>NOT(ISERROR(SEARCH(("Yes"),(G44))))</formula>
    </cfRule>
  </conditionalFormatting>
  <conditionalFormatting sqref="G48:G57">
    <cfRule type="containsText" dxfId="0" priority="5" operator="containsText" text="Yes">
      <formula>NOT(ISERROR(SEARCH(("Yes"),(G48))))</formula>
    </cfRule>
  </conditionalFormatting>
  <conditionalFormatting sqref="G59:G67">
    <cfRule type="containsText" dxfId="0" priority="6" operator="containsText" text="Yes">
      <formula>NOT(ISERROR(SEARCH(("Yes"),(G59))))</formula>
    </cfRule>
  </conditionalFormatting>
  <dataValidations>
    <dataValidation type="list" allowBlank="1" showErrorMessage="1" sqref="G13:G14 G25 G28 G32:G40">
      <formula1>$J$17:$J$19</formula1>
    </dataValidation>
    <dataValidation type="list" allowBlank="1" showErrorMessage="1" sqref="G31 G41:G42 G44 G46 G48:G57 G59:G67">
      <formula1>$J$22:$J$24</formula1>
    </dataValidation>
    <dataValidation type="list" allowBlank="1" showErrorMessage="1" sqref="G11:G12 G15:G22 G24 G26:G27 G29 G45">
      <formula1>$J$11:$J$13</formula1>
    </dataValidation>
  </dataValidations>
  <printOptions/>
  <pageMargins bottom="0.75" footer="0.0" header="0.0" left="0.7" right="0.7" top="0.75"/>
  <pageSetup paperSize="9" orientation="portrait"/>
  <headerFooter>
    <oddFooter>&amp;R#000000C2 - Safaricom Internal</oddFooter>
  </headerFooter>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showGridLines="0" workbookViewId="0"/>
  </sheetViews>
  <sheetFormatPr customHeight="1" defaultColWidth="14.43" defaultRowHeight="15.0"/>
  <cols>
    <col customWidth="1" min="1" max="1" width="6.57"/>
    <col customWidth="1" min="2" max="2" width="13.86"/>
    <col customWidth="1" min="3" max="3" width="17.0"/>
    <col customWidth="1" min="4" max="4" width="13.86"/>
    <col customWidth="1" min="5" max="5" width="9.14"/>
    <col customWidth="1" min="6" max="6" width="10.14"/>
    <col customWidth="1" min="7" max="7" width="4.57"/>
    <col customWidth="1" min="8" max="8" width="9.0"/>
    <col customWidth="1" min="9" max="9" width="4.57"/>
    <col customWidth="1" min="10" max="10" width="5.14"/>
    <col customWidth="1" min="11" max="11" width="7.86"/>
    <col customWidth="1" min="12" max="12" width="6.43"/>
    <col customWidth="1" min="13" max="13" width="5.0"/>
    <col customWidth="1" min="14" max="14" width="4.57"/>
    <col customWidth="1" min="15" max="15" width="7.0"/>
    <col customWidth="1" min="16" max="16" width="2.43"/>
    <col customWidth="1" min="17" max="17" width="4.57"/>
    <col customWidth="1" min="18" max="18" width="6.57"/>
    <col customWidth="1" min="19" max="19" width="4.57"/>
    <col customWidth="1" min="20" max="20" width="2.43"/>
    <col customWidth="1" min="21" max="21" width="2.57"/>
    <col customWidth="1" min="22" max="22" width="9.43"/>
    <col customWidth="1" min="23" max="23" width="5.0"/>
    <col customWidth="1" min="24" max="24" width="12.0"/>
    <col customWidth="1" min="25" max="25" width="14.0"/>
    <col customWidth="1" min="26" max="26" width="15.0"/>
    <col customWidth="1" min="27" max="27" width="16.57"/>
    <col customWidth="1" min="28" max="28" width="16.43"/>
    <col customWidth="1" min="29" max="29" width="12.14"/>
    <col customWidth="1" min="30" max="30" width="8.57"/>
    <col customWidth="1" min="31" max="31" width="5.0"/>
    <col customWidth="1" min="32" max="32" width="9.14"/>
    <col customWidth="1" min="33" max="33" width="23.14"/>
    <col customWidth="1" min="34" max="34" width="9.14"/>
    <col customWidth="1" min="35" max="35" width="6.57"/>
    <col customWidth="1" min="36" max="36" width="11.0"/>
    <col customWidth="1" min="37" max="37" width="8.14"/>
    <col customWidth="1" min="38" max="38" width="10.57"/>
    <col customWidth="1" min="39" max="39" width="6.57"/>
    <col customWidth="1" min="40" max="40" width="10.86"/>
    <col customWidth="1" min="41" max="41" width="6.86"/>
    <col customWidth="1" min="42" max="42" width="10.57"/>
    <col customWidth="1" min="43" max="43" width="5.86"/>
    <col customWidth="1" min="44" max="44" width="9.0"/>
    <col customWidth="1" min="45" max="45" width="6.14"/>
    <col customWidth="1" min="46" max="47" width="9.14"/>
    <col customWidth="1" min="48" max="48" width="10.14"/>
    <col customWidth="1" min="49" max="57" width="9.14"/>
    <col customWidth="1" min="58" max="59" width="8.71"/>
    <col customWidth="1" min="60" max="60" width="17.43"/>
    <col customWidth="1" min="61" max="61" width="13.43"/>
    <col customWidth="1" min="62" max="89" width="8.71"/>
  </cols>
  <sheetData>
    <row r="1" ht="14.25" customHeight="1">
      <c r="A1" s="14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4.25" customHeight="1">
      <c r="A2" s="142"/>
      <c r="B2" s="1"/>
      <c r="C2" s="1"/>
      <c r="D2" s="1"/>
      <c r="E2" s="1"/>
      <c r="F2" s="1"/>
      <c r="G2" s="1"/>
      <c r="H2" s="1"/>
      <c r="I2" s="1"/>
      <c r="J2" s="1"/>
      <c r="K2" s="1"/>
      <c r="L2" s="1"/>
      <c r="M2" s="1"/>
      <c r="N2" s="1"/>
      <c r="O2" s="1"/>
      <c r="P2" s="1"/>
      <c r="Q2" s="1"/>
      <c r="R2" s="1"/>
      <c r="S2" s="1"/>
      <c r="T2" s="1"/>
      <c r="U2" s="143"/>
      <c r="V2" s="1"/>
      <c r="W2" s="1"/>
      <c r="X2" s="1"/>
      <c r="Y2" s="1"/>
      <c r="Z2" s="1"/>
      <c r="AA2" s="1"/>
      <c r="AB2" s="1"/>
      <c r="AC2" s="1"/>
      <c r="AD2" s="1"/>
      <c r="AE2" s="1"/>
      <c r="AF2" s="1"/>
      <c r="AG2" s="1"/>
      <c r="AH2" s="1"/>
      <c r="AI2" s="1"/>
      <c r="AJ2" s="1"/>
      <c r="AK2" s="1"/>
      <c r="AL2" s="1"/>
      <c r="AM2" s="1"/>
    </row>
    <row r="3" ht="14.25" customHeight="1">
      <c r="A3" s="142"/>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31.5" customHeight="1">
      <c r="A4" s="142"/>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41.25" customHeight="1">
      <c r="A5" s="142"/>
      <c r="B5" s="1"/>
      <c r="C5" s="144" t="s">
        <v>574</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4.25" customHeight="1">
      <c r="A6" s="142"/>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24.75" customHeight="1">
      <c r="A7" s="142"/>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4.25" customHeight="1">
      <c r="A8" s="142"/>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24.0" customHeight="1">
      <c r="A9" s="142"/>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4.25" customHeight="1">
      <c r="A10" s="142"/>
      <c r="B10" s="1"/>
      <c r="C10" s="144" t="s">
        <v>575</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4.25" customHeight="1">
      <c r="A11" s="142"/>
      <c r="B11" s="1"/>
      <c r="C11" s="1"/>
      <c r="D11" s="144"/>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4.25" customHeight="1">
      <c r="A12" s="14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4.25" customHeight="1">
      <c r="A13" s="142"/>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4.25" customHeight="1">
      <c r="A14" s="142"/>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4.25" customHeight="1">
      <c r="A15" s="14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4.25" customHeight="1">
      <c r="A16" s="142"/>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4.25" customHeight="1">
      <c r="A17" s="142"/>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row r="18" ht="14.25" customHeight="1">
      <c r="A18" s="142"/>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ht="14.25" customHeight="1">
      <c r="A19" s="142"/>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ht="14.25" customHeight="1">
      <c r="A20" s="142"/>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ht="14.25" customHeight="1">
      <c r="A21" s="14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4.25" customHeight="1">
      <c r="A22" s="14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ht="14.25" customHeight="1">
      <c r="A23" s="142"/>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4.25" customHeight="1">
      <c r="A24" s="142"/>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4.25" customHeight="1">
      <c r="A25" s="142"/>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4.25" customHeight="1">
      <c r="A26" s="142"/>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4.25" customHeight="1">
      <c r="A27" s="142"/>
      <c r="B27" s="1"/>
      <c r="C27" s="1"/>
      <c r="D27" s="1"/>
      <c r="E27" s="1"/>
      <c r="F27" s="1"/>
      <c r="G27" s="1"/>
      <c r="H27" s="1"/>
      <c r="I27" s="1"/>
      <c r="J27" s="1"/>
      <c r="K27" s="1"/>
      <c r="L27" s="1"/>
      <c r="M27" s="1"/>
      <c r="N27" s="1"/>
      <c r="O27" s="1"/>
      <c r="P27" s="1"/>
      <c r="Q27" s="1"/>
      <c r="R27" s="1"/>
      <c r="S27" s="1"/>
      <c r="T27" s="1"/>
      <c r="U27" s="1"/>
      <c r="V27" s="1"/>
      <c r="W27" s="1"/>
      <c r="X27" s="1" t="s">
        <v>576</v>
      </c>
      <c r="Y27" s="1"/>
      <c r="Z27" s="1"/>
      <c r="AA27" s="1"/>
      <c r="AB27" s="1"/>
      <c r="AC27" s="1"/>
      <c r="AD27" s="1"/>
      <c r="AE27" s="1"/>
      <c r="AF27" s="1"/>
      <c r="AG27" s="1"/>
      <c r="AH27" s="1"/>
      <c r="AI27" s="1"/>
      <c r="AJ27" s="1"/>
      <c r="AK27" s="1"/>
      <c r="AL27" s="1"/>
      <c r="AM27" s="1"/>
    </row>
    <row r="28" ht="27.75" customHeight="1">
      <c r="A28" s="142"/>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7.5" customHeight="1">
      <c r="A29" s="142"/>
      <c r="B29" s="142"/>
      <c r="C29" s="142"/>
      <c r="D29" s="142"/>
      <c r="E29" s="142"/>
      <c r="F29" s="142"/>
      <c r="G29" s="142"/>
      <c r="H29" s="142"/>
      <c r="I29" s="142"/>
      <c r="J29" s="142"/>
      <c r="K29" s="142"/>
      <c r="L29" s="142"/>
      <c r="M29" s="142"/>
      <c r="N29" s="142"/>
      <c r="O29" s="145"/>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row>
    <row r="30" ht="27.75" customHeight="1">
      <c r="A30" s="142"/>
      <c r="B30" s="146" t="s">
        <v>577</v>
      </c>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row>
    <row r="31" ht="7.5" customHeight="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row>
    <row r="32" ht="21.0" customHeight="1">
      <c r="A32" s="142"/>
      <c r="B32" s="148" t="s">
        <v>578</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4.25" customHeight="1">
      <c r="A33" s="142"/>
      <c r="B33" s="149" t="s">
        <v>579</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49" t="s">
        <v>580</v>
      </c>
      <c r="AF33" s="1"/>
      <c r="AG33" s="1"/>
      <c r="AH33" s="1"/>
      <c r="AI33" s="1"/>
      <c r="AJ33" s="1"/>
      <c r="AK33" s="1"/>
      <c r="AL33" s="1"/>
      <c r="AM33" s="1"/>
    </row>
    <row r="34" ht="14.25" customHeight="1">
      <c r="A34" s="142"/>
      <c r="B34" s="150"/>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4.25" customHeight="1">
      <c r="A35" s="142"/>
      <c r="B35" s="150"/>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29.25" customHeight="1">
      <c r="A36" s="142"/>
      <c r="B36" s="1"/>
      <c r="C36" s="151" t="str">
        <f t="shared" ref="C36:D36" si="1">C190</f>
        <v>Temperature</v>
      </c>
      <c r="D36" s="152" t="str">
        <f t="shared" si="1"/>
        <v>App or Freq</v>
      </c>
      <c r="E36" s="153"/>
      <c r="F36" s="153"/>
      <c r="G36" s="153"/>
      <c r="H36" s="154"/>
      <c r="I36" s="155" t="str">
        <f t="shared" ref="I36:I37" si="3">L190</f>
        <v>Intensity</v>
      </c>
      <c r="J36" s="153"/>
      <c r="K36" s="153"/>
      <c r="L36" s="153"/>
      <c r="M36" s="153"/>
      <c r="N36" s="153"/>
      <c r="O36" s="153"/>
      <c r="P36" s="153"/>
      <c r="Q36" s="153"/>
      <c r="R36" s="154"/>
      <c r="S36" s="152" t="str">
        <f t="shared" ref="S36:S37" si="4">U190</f>
        <v>Impact</v>
      </c>
      <c r="T36" s="153"/>
      <c r="U36" s="153"/>
      <c r="V36" s="153"/>
      <c r="W36" s="153"/>
      <c r="X36" s="153"/>
      <c r="Y36" s="154"/>
      <c r="Z36" s="1"/>
      <c r="AA36" s="1"/>
      <c r="AB36" s="1"/>
      <c r="AC36" s="1"/>
      <c r="AD36" s="1"/>
      <c r="AE36" s="1"/>
      <c r="AF36" s="1"/>
      <c r="AG36" s="1"/>
      <c r="AH36" s="1"/>
      <c r="AI36" s="1"/>
      <c r="AJ36" s="1"/>
      <c r="AK36" s="1"/>
      <c r="AL36" s="1"/>
      <c r="AM36" s="1"/>
    </row>
    <row r="37" ht="29.25" customHeight="1">
      <c r="A37" s="142"/>
      <c r="B37" s="1"/>
      <c r="C37" s="151" t="str">
        <f t="shared" ref="C37:D37" si="2">C191</f>
        <v>Intense Precipitation </v>
      </c>
      <c r="D37" s="152" t="str">
        <f t="shared" si="2"/>
        <v>App or Freq</v>
      </c>
      <c r="E37" s="153"/>
      <c r="F37" s="153"/>
      <c r="G37" s="153"/>
      <c r="H37" s="154"/>
      <c r="I37" s="152" t="str">
        <f t="shared" si="3"/>
        <v>Intensity</v>
      </c>
      <c r="J37" s="153"/>
      <c r="K37" s="153"/>
      <c r="L37" s="153"/>
      <c r="M37" s="153"/>
      <c r="N37" s="153"/>
      <c r="O37" s="153"/>
      <c r="P37" s="153"/>
      <c r="Q37" s="153"/>
      <c r="R37" s="154"/>
      <c r="S37" s="152" t="str">
        <f t="shared" si="4"/>
        <v>Impact</v>
      </c>
      <c r="T37" s="153"/>
      <c r="U37" s="153"/>
      <c r="V37" s="153"/>
      <c r="W37" s="153"/>
      <c r="X37" s="153"/>
      <c r="Y37" s="154"/>
      <c r="Z37" s="1"/>
      <c r="AA37" s="1"/>
      <c r="AB37" s="1"/>
      <c r="AC37" s="1"/>
      <c r="AD37" s="1"/>
      <c r="AE37" s="1"/>
      <c r="AF37" s="1"/>
      <c r="AG37" s="1"/>
      <c r="AH37" s="1"/>
      <c r="AI37" s="1"/>
      <c r="AJ37" s="1"/>
      <c r="AK37" s="1"/>
      <c r="AL37" s="1"/>
      <c r="AM37" s="1"/>
    </row>
    <row r="38" ht="29.25" customHeight="1">
      <c r="A38" s="142"/>
      <c r="B38" s="1"/>
      <c r="C38" s="151" t="str">
        <f t="shared" ref="C38:D38" si="5">C192</f>
        <v>Droughts</v>
      </c>
      <c r="D38" s="155" t="str">
        <f t="shared" si="5"/>
        <v>App or Freq</v>
      </c>
      <c r="E38" s="153"/>
      <c r="F38" s="154"/>
      <c r="G38" s="155" t="str">
        <f>I192</f>
        <v>Timing</v>
      </c>
      <c r="H38" s="153"/>
      <c r="I38" s="153"/>
      <c r="J38" s="153"/>
      <c r="K38" s="153"/>
      <c r="L38" s="153"/>
      <c r="M38" s="154"/>
      <c r="N38" s="155" t="str">
        <f>Q192</f>
        <v>Intensity</v>
      </c>
      <c r="O38" s="153"/>
      <c r="P38" s="153"/>
      <c r="Q38" s="153"/>
      <c r="R38" s="153"/>
      <c r="S38" s="153"/>
      <c r="T38" s="154"/>
      <c r="U38" s="155" t="str">
        <f>X192</f>
        <v>Impact</v>
      </c>
      <c r="V38" s="153"/>
      <c r="W38" s="153"/>
      <c r="X38" s="153"/>
      <c r="Y38" s="154"/>
      <c r="Z38" s="1"/>
      <c r="AA38" s="1"/>
      <c r="AB38" s="1"/>
      <c r="AC38" s="1"/>
      <c r="AD38" s="1"/>
      <c r="AE38" s="1"/>
      <c r="AF38" s="1"/>
      <c r="AG38" s="1"/>
      <c r="AH38" s="1"/>
      <c r="AI38" s="1"/>
      <c r="AJ38" s="1"/>
      <c r="AK38" s="1"/>
      <c r="AL38" s="1"/>
      <c r="AM38" s="1"/>
    </row>
    <row r="39" ht="30.0" customHeight="1">
      <c r="A39" s="142"/>
      <c r="B39" s="1"/>
      <c r="C39" s="151" t="str">
        <f t="shared" ref="C39:D39" si="6">C193</f>
        <v>Flooding</v>
      </c>
      <c r="D39" s="155" t="str">
        <f t="shared" si="6"/>
        <v>App or Freq</v>
      </c>
      <c r="E39" s="153"/>
      <c r="F39" s="154"/>
      <c r="G39" s="155" t="str">
        <f t="shared" ref="G39:G40" si="8">G193</f>
        <v>Timing</v>
      </c>
      <c r="H39" s="153"/>
      <c r="I39" s="153"/>
      <c r="J39" s="153"/>
      <c r="K39" s="154"/>
      <c r="L39" s="155" t="str">
        <f t="shared" ref="L39:L40" si="9">M193</f>
        <v>Intensity</v>
      </c>
      <c r="M39" s="153"/>
      <c r="N39" s="153"/>
      <c r="O39" s="153"/>
      <c r="P39" s="154"/>
      <c r="Q39" s="155" t="str">
        <f t="shared" ref="Q39:Q40" si="10">S193</f>
        <v>Extent</v>
      </c>
      <c r="R39" s="153"/>
      <c r="S39" s="153"/>
      <c r="T39" s="153"/>
      <c r="U39" s="153"/>
      <c r="V39" s="153"/>
      <c r="W39" s="154"/>
      <c r="X39" s="152" t="str">
        <f t="shared" ref="X39:X40" si="11">X193</f>
        <v>Impact</v>
      </c>
      <c r="Y39" s="154"/>
      <c r="Z39" s="1"/>
      <c r="AA39" s="1"/>
      <c r="AB39" s="1"/>
      <c r="AC39" s="1"/>
      <c r="AD39" s="1"/>
      <c r="AE39" s="1"/>
      <c r="AF39" s="1"/>
      <c r="AG39" s="1"/>
      <c r="AH39" s="1"/>
      <c r="AI39" s="1"/>
      <c r="AJ39" s="1"/>
      <c r="AK39" s="1"/>
      <c r="AL39" s="1"/>
      <c r="AM39" s="1"/>
    </row>
    <row r="40" ht="29.25" customHeight="1">
      <c r="A40" s="142"/>
      <c r="B40" s="1"/>
      <c r="C40" s="151" t="str">
        <f t="shared" ref="C40:D40" si="7">C194</f>
        <v>Flash Floods</v>
      </c>
      <c r="D40" s="155" t="str">
        <f t="shared" si="7"/>
        <v>App or Freq</v>
      </c>
      <c r="E40" s="153"/>
      <c r="F40" s="154"/>
      <c r="G40" s="155" t="str">
        <f t="shared" si="8"/>
        <v>Timing</v>
      </c>
      <c r="H40" s="153"/>
      <c r="I40" s="153"/>
      <c r="J40" s="153"/>
      <c r="K40" s="154"/>
      <c r="L40" s="155" t="str">
        <f t="shared" si="9"/>
        <v>Intensity</v>
      </c>
      <c r="M40" s="153"/>
      <c r="N40" s="153"/>
      <c r="O40" s="153"/>
      <c r="P40" s="154"/>
      <c r="Q40" s="155" t="str">
        <f t="shared" si="10"/>
        <v>Extent</v>
      </c>
      <c r="R40" s="153"/>
      <c r="S40" s="153"/>
      <c r="T40" s="153"/>
      <c r="U40" s="153"/>
      <c r="V40" s="153"/>
      <c r="W40" s="154"/>
      <c r="X40" s="152" t="str">
        <f t="shared" si="11"/>
        <v>Impact</v>
      </c>
      <c r="Y40" s="154"/>
      <c r="Z40" s="1"/>
      <c r="AA40" s="1"/>
      <c r="AB40" s="1"/>
      <c r="AC40" s="1"/>
      <c r="AD40" s="1"/>
      <c r="AE40" s="1"/>
      <c r="AF40" s="1"/>
      <c r="AG40" s="1"/>
      <c r="AH40" s="1"/>
      <c r="AI40" s="1"/>
      <c r="AJ40" s="1"/>
      <c r="AK40" s="1"/>
      <c r="AL40" s="1"/>
      <c r="AM40" s="1"/>
    </row>
    <row r="41" ht="26.25" customHeight="1">
      <c r="A41" s="142"/>
      <c r="B41" s="1"/>
      <c r="C41" s="151" t="str">
        <f t="shared" ref="C41:D41" si="12">C195</f>
        <v>Storms &amp; Upper Winds</v>
      </c>
      <c r="D41" s="152" t="str">
        <f t="shared" si="12"/>
        <v>App or Freq</v>
      </c>
      <c r="E41" s="153"/>
      <c r="F41" s="153"/>
      <c r="G41" s="153"/>
      <c r="H41" s="154"/>
      <c r="I41" s="152" t="str">
        <f t="shared" ref="I41:I43" si="14">L195</f>
        <v>Intensity</v>
      </c>
      <c r="J41" s="153"/>
      <c r="K41" s="153"/>
      <c r="L41" s="153"/>
      <c r="M41" s="153"/>
      <c r="N41" s="153"/>
      <c r="O41" s="153"/>
      <c r="P41" s="153"/>
      <c r="Q41" s="153"/>
      <c r="R41" s="154"/>
      <c r="S41" s="152" t="str">
        <f t="shared" ref="S41:S43" si="15">U195</f>
        <v>Impact</v>
      </c>
      <c r="T41" s="153"/>
      <c r="U41" s="153"/>
      <c r="V41" s="153"/>
      <c r="W41" s="153"/>
      <c r="X41" s="153"/>
      <c r="Y41" s="154"/>
      <c r="Z41" s="1"/>
      <c r="AA41" s="1"/>
      <c r="AB41" s="1"/>
      <c r="AC41" s="1"/>
      <c r="AD41" s="1"/>
      <c r="AE41" s="1"/>
      <c r="AF41" s="1"/>
      <c r="AG41" s="1"/>
      <c r="AH41" s="1"/>
      <c r="AI41" s="1"/>
      <c r="AJ41" s="1"/>
      <c r="AK41" s="1"/>
      <c r="AL41" s="1"/>
      <c r="AM41" s="1"/>
    </row>
    <row r="42" ht="24.0" customHeight="1">
      <c r="A42" s="142"/>
      <c r="B42" s="1"/>
      <c r="C42" s="151" t="str">
        <f t="shared" ref="C42:D42" si="13">C196</f>
        <v>Pollution</v>
      </c>
      <c r="D42" s="152" t="str">
        <f t="shared" si="13"/>
        <v>App or Freq</v>
      </c>
      <c r="E42" s="153"/>
      <c r="F42" s="153"/>
      <c r="G42" s="153"/>
      <c r="H42" s="154"/>
      <c r="I42" s="152" t="str">
        <f t="shared" si="14"/>
        <v>Intensity</v>
      </c>
      <c r="J42" s="153"/>
      <c r="K42" s="153"/>
      <c r="L42" s="153"/>
      <c r="M42" s="153"/>
      <c r="N42" s="153"/>
      <c r="O42" s="153"/>
      <c r="P42" s="153"/>
      <c r="Q42" s="153"/>
      <c r="R42" s="154"/>
      <c r="S42" s="152" t="str">
        <f t="shared" si="15"/>
        <v>Impact</v>
      </c>
      <c r="T42" s="153"/>
      <c r="U42" s="153"/>
      <c r="V42" s="153"/>
      <c r="W42" s="153"/>
      <c r="X42" s="153"/>
      <c r="Y42" s="154"/>
      <c r="Z42" s="1"/>
      <c r="AA42" s="1"/>
      <c r="AB42" s="1"/>
      <c r="AC42" s="1"/>
      <c r="AD42" s="1"/>
      <c r="AE42" s="1"/>
      <c r="AF42" s="1"/>
      <c r="AG42" s="1"/>
      <c r="AH42" s="1"/>
      <c r="AI42" s="1"/>
      <c r="AJ42" s="1"/>
      <c r="AK42" s="1"/>
      <c r="AL42" s="1"/>
      <c r="AM42" s="1"/>
    </row>
    <row r="43" ht="29.25" customHeight="1">
      <c r="A43" s="142"/>
      <c r="B43" s="1"/>
      <c r="C43" s="151" t="str">
        <f t="shared" ref="C43:D43" si="16">C197</f>
        <v>LUI</v>
      </c>
      <c r="D43" s="152" t="str">
        <f t="shared" si="16"/>
        <v>Applicability</v>
      </c>
      <c r="E43" s="153"/>
      <c r="F43" s="153"/>
      <c r="G43" s="153"/>
      <c r="H43" s="154"/>
      <c r="I43" s="152" t="str">
        <f t="shared" si="14"/>
        <v>Impact</v>
      </c>
      <c r="J43" s="153"/>
      <c r="K43" s="153"/>
      <c r="L43" s="153"/>
      <c r="M43" s="153"/>
      <c r="N43" s="153"/>
      <c r="O43" s="153"/>
      <c r="P43" s="153"/>
      <c r="Q43" s="153"/>
      <c r="R43" s="154"/>
      <c r="S43" s="152" t="str">
        <f t="shared" si="15"/>
        <v>Sensitization</v>
      </c>
      <c r="T43" s="153"/>
      <c r="U43" s="153"/>
      <c r="V43" s="153"/>
      <c r="W43" s="153"/>
      <c r="X43" s="153"/>
      <c r="Y43" s="154"/>
      <c r="Z43" s="1"/>
      <c r="AA43" s="1"/>
      <c r="AB43" s="1"/>
      <c r="AC43" s="1"/>
      <c r="AD43" s="1"/>
      <c r="AE43" s="1"/>
      <c r="AF43" s="1"/>
      <c r="AG43" s="1"/>
      <c r="AH43" s="1"/>
      <c r="AI43" s="1"/>
      <c r="AJ43" s="1"/>
      <c r="AK43" s="1"/>
      <c r="AL43" s="1"/>
      <c r="AM43" s="1"/>
    </row>
    <row r="44" ht="29.25" customHeight="1">
      <c r="A44" s="142"/>
      <c r="B44" s="1"/>
      <c r="C44" s="151" t="str">
        <f>C208</f>
        <v>Other Factors</v>
      </c>
      <c r="D44" s="155" t="str">
        <f>D198</f>
        <v>Fire/wildfires </v>
      </c>
      <c r="E44" s="154"/>
      <c r="F44" s="155" t="str">
        <f>G198</f>
        <v>Lightning </v>
      </c>
      <c r="G44" s="154"/>
      <c r="H44" s="155" t="str">
        <f>K198</f>
        <v>Snow</v>
      </c>
      <c r="I44" s="153"/>
      <c r="J44" s="154"/>
      <c r="K44" s="155" t="str">
        <f>N198</f>
        <v>Hail</v>
      </c>
      <c r="L44" s="154"/>
      <c r="M44" s="155" t="str">
        <f>Q198</f>
        <v>EA or VA</v>
      </c>
      <c r="N44" s="153"/>
      <c r="O44" s="153"/>
      <c r="P44" s="154"/>
      <c r="Q44" s="155" t="str">
        <f>X198</f>
        <v>Soil Extraction</v>
      </c>
      <c r="R44" s="153"/>
      <c r="S44" s="153"/>
      <c r="T44" s="153"/>
      <c r="U44" s="154"/>
      <c r="V44" s="155" t="str">
        <f>Y198</f>
        <v>Deforestation</v>
      </c>
      <c r="W44" s="153"/>
      <c r="X44" s="154"/>
      <c r="Y44" s="156" t="str">
        <f>Z198</f>
        <v>Ubarnization</v>
      </c>
      <c r="Z44" s="1"/>
      <c r="AA44" s="1"/>
      <c r="AB44" s="1"/>
      <c r="AC44" s="1"/>
      <c r="AD44" s="1"/>
      <c r="AE44" s="1"/>
      <c r="AF44" s="1"/>
      <c r="AG44" s="1"/>
      <c r="AH44" s="1"/>
      <c r="AI44" s="1"/>
      <c r="AJ44" s="1"/>
      <c r="AK44" s="1"/>
      <c r="AL44" s="1"/>
      <c r="AM44" s="1"/>
    </row>
    <row r="45" ht="14.25" customHeight="1">
      <c r="A45" s="142"/>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4.25" customHeight="1">
      <c r="A46" s="142"/>
      <c r="B46" s="1"/>
      <c r="C46" s="1"/>
      <c r="D46" s="1"/>
      <c r="E46" s="1"/>
      <c r="F46" s="1"/>
      <c r="G46" s="1"/>
      <c r="H46" s="157" t="s">
        <v>581</v>
      </c>
      <c r="I46" s="1"/>
      <c r="J46" s="158"/>
      <c r="K46" s="93" t="s">
        <v>582</v>
      </c>
      <c r="L46" s="1"/>
      <c r="M46" s="159"/>
      <c r="N46" s="93" t="s">
        <v>583</v>
      </c>
      <c r="O46" s="1"/>
      <c r="P46" s="1"/>
      <c r="Q46" s="160"/>
      <c r="R46" s="93" t="s">
        <v>584</v>
      </c>
      <c r="S46" s="1"/>
      <c r="T46" s="1"/>
      <c r="U46" s="1"/>
      <c r="V46" s="1"/>
      <c r="W46" s="1"/>
      <c r="X46" s="1"/>
      <c r="Y46" s="1"/>
      <c r="Z46" s="1"/>
      <c r="AA46" s="1"/>
      <c r="AB46" s="1"/>
      <c r="AC46" s="1"/>
      <c r="AD46" s="1"/>
      <c r="AE46" s="1"/>
      <c r="AF46" s="1"/>
      <c r="AG46" s="1"/>
      <c r="AH46" s="1"/>
      <c r="AI46" s="1"/>
      <c r="AJ46" s="1"/>
      <c r="AK46" s="1"/>
      <c r="AL46" s="1"/>
      <c r="AM46" s="1"/>
    </row>
    <row r="47" ht="29.25" customHeight="1">
      <c r="A47" s="142"/>
      <c r="B47" s="1"/>
      <c r="C47" s="1"/>
      <c r="D47" s="1"/>
      <c r="E47" s="1"/>
      <c r="F47" s="1"/>
      <c r="G47" s="1"/>
      <c r="H47" s="1"/>
      <c r="I47" s="1"/>
      <c r="J47" s="1"/>
      <c r="K47" s="1"/>
      <c r="L47" s="1"/>
      <c r="M47" s="1"/>
      <c r="N47" s="1"/>
      <c r="O47" s="1"/>
      <c r="P47" s="1"/>
      <c r="Q47" s="1"/>
      <c r="R47" s="1"/>
      <c r="S47" s="1"/>
      <c r="T47" s="1"/>
      <c r="U47" s="1"/>
      <c r="V47" s="1"/>
      <c r="W47" s="1"/>
      <c r="X47" s="1"/>
      <c r="Y47" s="161"/>
      <c r="Z47" s="1"/>
      <c r="AA47" s="1"/>
      <c r="AB47" s="1"/>
      <c r="AC47" s="1"/>
      <c r="AD47" s="1"/>
      <c r="AE47" s="1"/>
      <c r="AF47" s="1"/>
      <c r="AG47" s="1"/>
      <c r="AH47" s="1"/>
      <c r="AI47" s="1"/>
      <c r="AJ47" s="1"/>
      <c r="AK47" s="1"/>
      <c r="AL47" s="1"/>
      <c r="AM47" s="1"/>
    </row>
    <row r="48" ht="27.75" customHeight="1">
      <c r="A48" s="142"/>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6.0" customHeight="1">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row>
    <row r="50" ht="27.75" customHeight="1">
      <c r="A50" s="142"/>
      <c r="B50" s="146" t="s">
        <v>585</v>
      </c>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62"/>
    </row>
    <row r="51" ht="6.0"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row>
    <row r="52" ht="21.0" customHeight="1">
      <c r="A52" s="142"/>
      <c r="B52" s="148" t="s">
        <v>578</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49" t="s">
        <v>586</v>
      </c>
      <c r="AE52" s="1"/>
      <c r="AF52" s="1"/>
      <c r="AG52" s="1"/>
      <c r="AH52" s="1"/>
      <c r="AI52" s="1"/>
      <c r="AJ52" s="1"/>
      <c r="AK52" s="1"/>
      <c r="AL52" s="1"/>
      <c r="AM52" s="1"/>
    </row>
    <row r="53" ht="14.25" customHeight="1">
      <c r="A53" s="142"/>
      <c r="B53" s="149" t="s">
        <v>587</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4.25" customHeight="1">
      <c r="A54" s="142"/>
      <c r="B54" s="150"/>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30.0" customHeight="1">
      <c r="A55" s="142"/>
      <c r="B55" s="1"/>
      <c r="C55" s="163" t="str">
        <f t="shared" ref="C55:E55" si="17">B210</f>
        <v>Livelihoods</v>
      </c>
      <c r="D55" s="164" t="str">
        <f t="shared" si="17"/>
        <v>Food Security</v>
      </c>
      <c r="E55" s="165" t="str">
        <f t="shared" si="17"/>
        <v>Grazing/Farm Land</v>
      </c>
      <c r="F55" s="154"/>
      <c r="G55" s="165" t="str">
        <f>F210</f>
        <v>Crops</v>
      </c>
      <c r="H55" s="154"/>
      <c r="I55" s="165" t="str">
        <f>H210</f>
        <v>Livestock</v>
      </c>
      <c r="J55" s="153"/>
      <c r="K55" s="154"/>
      <c r="L55" s="165" t="str">
        <f>K210</f>
        <v>Fishstock</v>
      </c>
      <c r="M55" s="153"/>
      <c r="N55" s="154"/>
      <c r="O55" s="165" t="str">
        <f>N210</f>
        <v>Local commerce</v>
      </c>
      <c r="P55" s="153"/>
      <c r="Q55" s="153"/>
      <c r="R55" s="154"/>
      <c r="S55" s="165" t="str">
        <f>R210</f>
        <v>Gender </v>
      </c>
      <c r="T55" s="153"/>
      <c r="U55" s="153"/>
      <c r="V55" s="154"/>
      <c r="W55" s="165" t="str">
        <f>U210</f>
        <v>Conviviality </v>
      </c>
      <c r="X55" s="154"/>
      <c r="Y55" s="164" t="str">
        <f t="shared" ref="Y55:AB55" si="18">X210</f>
        <v>Education </v>
      </c>
      <c r="Z55" s="164" t="str">
        <f t="shared" si="18"/>
        <v>WFI/WFDU</v>
      </c>
      <c r="AA55" s="164" t="str">
        <f t="shared" si="18"/>
        <v>ATF/I</v>
      </c>
      <c r="AB55" s="164" t="str">
        <f t="shared" si="18"/>
        <v>Disaster Events</v>
      </c>
      <c r="AC55" s="1"/>
      <c r="AD55" s="1"/>
      <c r="AE55" s="1"/>
      <c r="AF55" s="1"/>
      <c r="AG55" s="1"/>
      <c r="AH55" s="1"/>
      <c r="AI55" s="1"/>
      <c r="AJ55" s="1"/>
      <c r="AK55" s="1"/>
      <c r="AL55" s="1"/>
      <c r="AM55" s="1"/>
    </row>
    <row r="56" ht="29.25" customHeight="1">
      <c r="A56" s="142"/>
      <c r="B56" s="1"/>
      <c r="C56" s="163" t="str">
        <f t="shared" ref="C56:D56" si="19">B211</f>
        <v>Health &amp; Safety</v>
      </c>
      <c r="D56" s="165" t="str">
        <f t="shared" si="19"/>
        <v>Borne Diseases</v>
      </c>
      <c r="E56" s="153"/>
      <c r="F56" s="154"/>
      <c r="G56" s="165" t="str">
        <f>D211</f>
        <v>SLUP&amp;C</v>
      </c>
      <c r="H56" s="153"/>
      <c r="I56" s="153"/>
      <c r="J56" s="153"/>
      <c r="K56" s="154"/>
      <c r="L56" s="165" t="str">
        <f>G211</f>
        <v>SWM</v>
      </c>
      <c r="M56" s="153"/>
      <c r="N56" s="153"/>
      <c r="O56" s="153"/>
      <c r="P56" s="153"/>
      <c r="Q56" s="153"/>
      <c r="R56" s="154"/>
      <c r="S56" s="165" t="str">
        <f>L211</f>
        <v>LWM</v>
      </c>
      <c r="T56" s="153"/>
      <c r="U56" s="153"/>
      <c r="V56" s="153"/>
      <c r="W56" s="153"/>
      <c r="X56" s="154"/>
      <c r="Y56" s="165" t="str">
        <f>R211</f>
        <v>ATHS</v>
      </c>
      <c r="Z56" s="154"/>
      <c r="AA56" s="165" t="str">
        <f>Y211</f>
        <v>ATHE</v>
      </c>
      <c r="AB56" s="154"/>
      <c r="AC56" s="1"/>
      <c r="AD56" s="1"/>
      <c r="AE56" s="1"/>
      <c r="AF56" s="1"/>
      <c r="AG56" s="1"/>
      <c r="AH56" s="1"/>
      <c r="AI56" s="1"/>
      <c r="AJ56" s="1"/>
      <c r="AK56" s="1"/>
      <c r="AL56" s="1"/>
      <c r="AM56" s="1"/>
    </row>
    <row r="57" ht="29.25" customHeight="1">
      <c r="A57" s="142"/>
      <c r="B57" s="1"/>
      <c r="C57" s="163" t="str">
        <f t="shared" ref="C57:E57" si="20">B212</f>
        <v>Assets and Utilities</v>
      </c>
      <c r="D57" s="164" t="str">
        <f t="shared" si="20"/>
        <v>Housing</v>
      </c>
      <c r="E57" s="165" t="str">
        <f t="shared" si="20"/>
        <v>Public facilities </v>
      </c>
      <c r="F57" s="154"/>
      <c r="G57" s="165" t="str">
        <f>F212</f>
        <v>SWD</v>
      </c>
      <c r="H57" s="154"/>
      <c r="I57" s="165" t="str">
        <f>H212</f>
        <v>Sanitary facilities </v>
      </c>
      <c r="J57" s="153"/>
      <c r="K57" s="154"/>
      <c r="L57" s="165" t="str">
        <f>K212</f>
        <v>Sewer lines </v>
      </c>
      <c r="M57" s="153"/>
      <c r="N57" s="154"/>
      <c r="O57" s="165" t="str">
        <f>N212</f>
        <v>Power lines/supply</v>
      </c>
      <c r="P57" s="153"/>
      <c r="Q57" s="153"/>
      <c r="R57" s="154"/>
      <c r="S57" s="165" t="str">
        <f>R212</f>
        <v>Energy for HH use </v>
      </c>
      <c r="T57" s="153"/>
      <c r="U57" s="153"/>
      <c r="V57" s="154"/>
      <c r="W57" s="165" t="str">
        <f>U212</f>
        <v>Water pipes </v>
      </c>
      <c r="X57" s="154"/>
      <c r="Y57" s="164" t="str">
        <f t="shared" ref="Y57:AB57" si="21">X212</f>
        <v>PWT</v>
      </c>
      <c r="Z57" s="164" t="str">
        <f t="shared" si="21"/>
        <v>Water Storage</v>
      </c>
      <c r="AA57" s="164" t="str">
        <f t="shared" si="21"/>
        <v>R &amp; T</v>
      </c>
      <c r="AB57" s="164" t="str">
        <f t="shared" si="21"/>
        <v>Communication </v>
      </c>
      <c r="AC57" s="1"/>
      <c r="AD57" s="1"/>
      <c r="AE57" s="1"/>
      <c r="AF57" s="1"/>
      <c r="AG57" s="1"/>
      <c r="AH57" s="1"/>
      <c r="AI57" s="1"/>
      <c r="AJ57" s="1"/>
      <c r="AK57" s="1"/>
      <c r="AL57" s="1"/>
      <c r="AM57" s="1"/>
    </row>
    <row r="58" ht="29.25" customHeight="1">
      <c r="A58" s="142"/>
      <c r="B58" s="1"/>
      <c r="C58" s="163" t="str">
        <f t="shared" ref="C58:D58" si="22">B213</f>
        <v>Potable water </v>
      </c>
      <c r="D58" s="165" t="str">
        <f t="shared" si="22"/>
        <v>Access</v>
      </c>
      <c r="E58" s="153"/>
      <c r="F58" s="153"/>
      <c r="G58" s="153"/>
      <c r="H58" s="153"/>
      <c r="I58" s="153"/>
      <c r="J58" s="154"/>
      <c r="K58" s="165" t="str">
        <f>J213</f>
        <v>Scarcities </v>
      </c>
      <c r="L58" s="153"/>
      <c r="M58" s="153"/>
      <c r="N58" s="153"/>
      <c r="O58" s="153"/>
      <c r="P58" s="153"/>
      <c r="Q58" s="153"/>
      <c r="R58" s="153"/>
      <c r="S58" s="153"/>
      <c r="T58" s="153"/>
      <c r="U58" s="153"/>
      <c r="V58" s="153"/>
      <c r="W58" s="153"/>
      <c r="X58" s="154"/>
      <c r="Y58" s="165" t="str">
        <f t="shared" ref="Y58:Y59" si="24">X213</f>
        <v>Quality</v>
      </c>
      <c r="Z58" s="153"/>
      <c r="AA58" s="153"/>
      <c r="AB58" s="154"/>
      <c r="AC58" s="1"/>
      <c r="AD58" s="1"/>
      <c r="AE58" s="1"/>
      <c r="AF58" s="1"/>
      <c r="AG58" s="1"/>
      <c r="AH58" s="1"/>
      <c r="AI58" s="1"/>
      <c r="AJ58" s="1"/>
      <c r="AK58" s="1"/>
      <c r="AL58" s="1"/>
      <c r="AM58" s="1"/>
    </row>
    <row r="59" ht="29.25" customHeight="1">
      <c r="A59" s="142"/>
      <c r="B59" s="1"/>
      <c r="C59" s="163" t="str">
        <f t="shared" ref="C59:D59" si="23">B214</f>
        <v>EBS</v>
      </c>
      <c r="D59" s="165" t="str">
        <f t="shared" si="23"/>
        <v>Soil </v>
      </c>
      <c r="E59" s="154"/>
      <c r="F59" s="165" t="str">
        <f t="shared" ref="F59:F60" si="27">D214</f>
        <v>LC &amp; P</v>
      </c>
      <c r="G59" s="153"/>
      <c r="H59" s="154"/>
      <c r="I59" s="165" t="str">
        <f t="shared" ref="I59:I60" si="28">G214</f>
        <v>NV</v>
      </c>
      <c r="J59" s="153"/>
      <c r="K59" s="153"/>
      <c r="L59" s="154"/>
      <c r="M59" s="165" t="str">
        <f>J214</f>
        <v>Wetland </v>
      </c>
      <c r="N59" s="153"/>
      <c r="O59" s="153"/>
      <c r="P59" s="153"/>
      <c r="Q59" s="154"/>
      <c r="R59" s="165" t="str">
        <f>M214</f>
        <v>Biodiversity</v>
      </c>
      <c r="S59" s="153"/>
      <c r="T59" s="153"/>
      <c r="U59" s="153"/>
      <c r="V59" s="154"/>
      <c r="W59" s="165" t="str">
        <f>R214</f>
        <v>NWB</v>
      </c>
      <c r="X59" s="154"/>
      <c r="Y59" s="164" t="str">
        <f t="shared" si="24"/>
        <v>Sea</v>
      </c>
      <c r="Z59" s="164" t="str">
        <f t="shared" ref="Z59:AB59" si="25">Y214</f>
        <v>EF</v>
      </c>
      <c r="AA59" s="164" t="str">
        <f t="shared" si="25"/>
        <v>Land use </v>
      </c>
      <c r="AB59" s="164" t="str">
        <f t="shared" si="25"/>
        <v>Topography</v>
      </c>
      <c r="AC59" s="1"/>
      <c r="AD59" s="1"/>
      <c r="AE59" s="1"/>
      <c r="AF59" s="1"/>
      <c r="AG59" s="1"/>
      <c r="AH59" s="1"/>
      <c r="AI59" s="1"/>
      <c r="AJ59" s="1"/>
      <c r="AK59" s="1"/>
      <c r="AL59" s="1"/>
      <c r="AM59" s="1"/>
    </row>
    <row r="60" ht="26.25" customHeight="1">
      <c r="A60" s="142"/>
      <c r="B60" s="1"/>
      <c r="C60" s="163" t="str">
        <f t="shared" ref="C60:D60" si="26">B215</f>
        <v>Institutions</v>
      </c>
      <c r="D60" s="165" t="str">
        <f t="shared" si="26"/>
        <v>EWS</v>
      </c>
      <c r="E60" s="154"/>
      <c r="F60" s="165" t="str">
        <f t="shared" si="27"/>
        <v>A &amp; I</v>
      </c>
      <c r="G60" s="153"/>
      <c r="H60" s="154"/>
      <c r="I60" s="165" t="str">
        <f t="shared" si="28"/>
        <v>EC</v>
      </c>
      <c r="J60" s="153"/>
      <c r="K60" s="154"/>
      <c r="L60" s="165" t="str">
        <f>K215</f>
        <v>R/RP</v>
      </c>
      <c r="M60" s="153"/>
      <c r="N60" s="153"/>
      <c r="O60" s="154"/>
      <c r="P60" s="165" t="str">
        <f>O215</f>
        <v>HFO</v>
      </c>
      <c r="Q60" s="153"/>
      <c r="R60" s="153"/>
      <c r="S60" s="153"/>
      <c r="T60" s="153"/>
      <c r="U60" s="153"/>
      <c r="V60" s="153"/>
      <c r="W60" s="154"/>
      <c r="X60" s="165" t="str">
        <f>V215</f>
        <v>DP</v>
      </c>
      <c r="Y60" s="154"/>
      <c r="Z60" s="164" t="str">
        <f t="shared" ref="Z60:AB60" si="29">Y215</f>
        <v>DR</v>
      </c>
      <c r="AA60" s="164" t="str">
        <f t="shared" si="29"/>
        <v>PFR</v>
      </c>
      <c r="AB60" s="164" t="str">
        <f t="shared" si="29"/>
        <v>PFM</v>
      </c>
      <c r="AC60" s="1"/>
      <c r="AD60" s="1"/>
      <c r="AE60" s="1"/>
      <c r="AF60" s="1"/>
      <c r="AG60" s="1"/>
      <c r="AH60" s="1"/>
      <c r="AI60" s="1"/>
      <c r="AJ60" s="1"/>
      <c r="AK60" s="1"/>
      <c r="AL60" s="1"/>
      <c r="AM60" s="1"/>
    </row>
    <row r="61" ht="14.25" customHeight="1">
      <c r="A61" s="142"/>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4.25" customHeight="1">
      <c r="A62" s="14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21.0" customHeight="1">
      <c r="A63" s="142"/>
      <c r="B63" s="1"/>
      <c r="C63" s="1"/>
      <c r="D63" s="1"/>
      <c r="E63" s="1"/>
      <c r="F63" s="1"/>
      <c r="G63" s="1"/>
      <c r="H63" s="157" t="s">
        <v>581</v>
      </c>
      <c r="I63" s="1"/>
      <c r="J63" s="158"/>
      <c r="K63" s="93" t="s">
        <v>582</v>
      </c>
      <c r="L63" s="1"/>
      <c r="M63" s="159"/>
      <c r="N63" s="93" t="s">
        <v>583</v>
      </c>
      <c r="O63" s="1"/>
      <c r="P63" s="1"/>
      <c r="Q63" s="160"/>
      <c r="R63" s="93" t="s">
        <v>584</v>
      </c>
      <c r="S63" s="1"/>
      <c r="T63" s="1"/>
      <c r="U63" s="1"/>
      <c r="V63" s="1"/>
      <c r="W63" s="1"/>
      <c r="X63" s="1"/>
      <c r="Y63" s="1"/>
      <c r="Z63" s="1"/>
      <c r="AA63" s="1"/>
      <c r="AB63" s="1"/>
      <c r="AC63" s="1"/>
      <c r="AD63" s="1"/>
      <c r="AE63" s="1"/>
      <c r="AF63" s="1"/>
      <c r="AG63" s="1"/>
      <c r="AH63" s="1"/>
      <c r="AI63" s="1"/>
      <c r="AJ63" s="1"/>
      <c r="AK63" s="1"/>
      <c r="AL63" s="1"/>
      <c r="AM63" s="1"/>
    </row>
    <row r="64" ht="43.5" customHeight="1">
      <c r="A64" s="142"/>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9.0" customHeight="1">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row>
    <row r="66" ht="27.75" customHeight="1">
      <c r="A66" s="142"/>
      <c r="B66" s="146" t="s">
        <v>588</v>
      </c>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147"/>
      <c r="AU66" s="147"/>
      <c r="AV66" s="162"/>
    </row>
    <row r="67" ht="8.2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row>
    <row r="68" ht="21.0" customHeight="1">
      <c r="A68" s="142"/>
      <c r="B68" s="148" t="s">
        <v>578</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49" t="s">
        <v>589</v>
      </c>
      <c r="AE68" s="1"/>
      <c r="AF68" s="1"/>
      <c r="AG68" s="1"/>
      <c r="AH68" s="1"/>
      <c r="AI68" s="1"/>
      <c r="AJ68" s="1"/>
      <c r="AK68" s="1"/>
      <c r="AL68" s="1"/>
      <c r="AM68" s="1"/>
    </row>
    <row r="69" ht="14.25" customHeight="1">
      <c r="A69" s="142"/>
      <c r="B69" s="149" t="s">
        <v>590</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4.25" customHeight="1">
      <c r="A70" s="142"/>
      <c r="B70" s="150"/>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30.0" customHeight="1">
      <c r="A71" s="142"/>
      <c r="B71" s="1"/>
      <c r="C71" s="163" t="str">
        <f t="shared" ref="C71:E71" si="30">B225</f>
        <v>Livelihoods</v>
      </c>
      <c r="D71" s="164" t="str">
        <f t="shared" si="30"/>
        <v>Food Security</v>
      </c>
      <c r="E71" s="165" t="str">
        <f t="shared" si="30"/>
        <v>Grazing/Farm Land</v>
      </c>
      <c r="F71" s="154"/>
      <c r="G71" s="165" t="str">
        <f>F225</f>
        <v>Crops</v>
      </c>
      <c r="H71" s="154"/>
      <c r="I71" s="165" t="str">
        <f>H225</f>
        <v>Livestock</v>
      </c>
      <c r="J71" s="153"/>
      <c r="K71" s="154"/>
      <c r="L71" s="165" t="str">
        <f>K225</f>
        <v>Fishstock</v>
      </c>
      <c r="M71" s="153"/>
      <c r="N71" s="154"/>
      <c r="O71" s="165" t="str">
        <f>N225</f>
        <v>Local commerce</v>
      </c>
      <c r="P71" s="153"/>
      <c r="Q71" s="153"/>
      <c r="R71" s="154"/>
      <c r="S71" s="165" t="str">
        <f>R225</f>
        <v>Gender </v>
      </c>
      <c r="T71" s="153"/>
      <c r="U71" s="153"/>
      <c r="V71" s="154"/>
      <c r="W71" s="165" t="str">
        <f>U225</f>
        <v>Conviviality </v>
      </c>
      <c r="X71" s="154"/>
      <c r="Y71" s="164" t="str">
        <f t="shared" ref="Y71:AB71" si="31">X225</f>
        <v>Education </v>
      </c>
      <c r="Z71" s="164" t="str">
        <f t="shared" si="31"/>
        <v>WFI/WFDU</v>
      </c>
      <c r="AA71" s="164" t="str">
        <f t="shared" si="31"/>
        <v>ATF/I</v>
      </c>
      <c r="AB71" s="164" t="str">
        <f t="shared" si="31"/>
        <v>Disaster Events</v>
      </c>
      <c r="AC71" s="1"/>
      <c r="AD71" s="1"/>
      <c r="AE71" s="1"/>
      <c r="AF71" s="1"/>
      <c r="AG71" s="1"/>
      <c r="AH71" s="1"/>
      <c r="AI71" s="1"/>
      <c r="AJ71" s="1"/>
      <c r="AK71" s="1"/>
      <c r="AL71" s="1"/>
      <c r="AM71" s="1"/>
    </row>
    <row r="72" ht="29.25" customHeight="1">
      <c r="A72" s="142"/>
      <c r="B72" s="1"/>
      <c r="C72" s="163" t="str">
        <f t="shared" ref="C72:D72" si="32">B226</f>
        <v>Health &amp; Safety</v>
      </c>
      <c r="D72" s="165" t="str">
        <f t="shared" si="32"/>
        <v>Borne Diseases</v>
      </c>
      <c r="E72" s="153"/>
      <c r="F72" s="154"/>
      <c r="G72" s="165" t="str">
        <f>D226</f>
        <v>SLUP&amp;C</v>
      </c>
      <c r="H72" s="153"/>
      <c r="I72" s="153"/>
      <c r="J72" s="153"/>
      <c r="K72" s="154"/>
      <c r="L72" s="165" t="str">
        <f>G226</f>
        <v>SWM</v>
      </c>
      <c r="M72" s="153"/>
      <c r="N72" s="153"/>
      <c r="O72" s="153"/>
      <c r="P72" s="153"/>
      <c r="Q72" s="153"/>
      <c r="R72" s="154"/>
      <c r="S72" s="165" t="str">
        <f>L226</f>
        <v>LWM</v>
      </c>
      <c r="T72" s="153"/>
      <c r="U72" s="153"/>
      <c r="V72" s="153"/>
      <c r="W72" s="153"/>
      <c r="X72" s="154"/>
      <c r="Y72" s="165" t="str">
        <f>R226</f>
        <v>ATHS</v>
      </c>
      <c r="Z72" s="154"/>
      <c r="AA72" s="165" t="str">
        <f>Y226</f>
        <v>ATHE</v>
      </c>
      <c r="AB72" s="154"/>
      <c r="AC72" s="1"/>
      <c r="AD72" s="1"/>
      <c r="AE72" s="1"/>
      <c r="AF72" s="1"/>
      <c r="AG72" s="1"/>
      <c r="AH72" s="1"/>
      <c r="AI72" s="1"/>
      <c r="AJ72" s="1"/>
      <c r="AK72" s="1"/>
      <c r="AL72" s="1"/>
      <c r="AM72" s="1"/>
    </row>
    <row r="73" ht="29.25" customHeight="1">
      <c r="A73" s="142"/>
      <c r="B73" s="1"/>
      <c r="C73" s="163" t="str">
        <f t="shared" ref="C73:E73" si="33">B227</f>
        <v>Assets and Utilities</v>
      </c>
      <c r="D73" s="164" t="str">
        <f t="shared" si="33"/>
        <v>Housing</v>
      </c>
      <c r="E73" s="165" t="str">
        <f t="shared" si="33"/>
        <v>Public facilities </v>
      </c>
      <c r="F73" s="154"/>
      <c r="G73" s="165" t="str">
        <f>F227</f>
        <v>SWD</v>
      </c>
      <c r="H73" s="154"/>
      <c r="I73" s="165" t="str">
        <f>H227</f>
        <v>Sanitary facilities </v>
      </c>
      <c r="J73" s="153"/>
      <c r="K73" s="154"/>
      <c r="L73" s="165" t="str">
        <f>K227</f>
        <v>Sewer lines </v>
      </c>
      <c r="M73" s="153"/>
      <c r="N73" s="154"/>
      <c r="O73" s="165" t="str">
        <f>N227</f>
        <v>Power lines/supply</v>
      </c>
      <c r="P73" s="153"/>
      <c r="Q73" s="153"/>
      <c r="R73" s="154"/>
      <c r="S73" s="165" t="str">
        <f>R227</f>
        <v>Energy for HH use </v>
      </c>
      <c r="T73" s="153"/>
      <c r="U73" s="153"/>
      <c r="V73" s="154"/>
      <c r="W73" s="165" t="str">
        <f>U227</f>
        <v>Water pipes </v>
      </c>
      <c r="X73" s="154"/>
      <c r="Y73" s="164" t="str">
        <f t="shared" ref="Y73:AB73" si="34">X227</f>
        <v>PWT</v>
      </c>
      <c r="Z73" s="164" t="str">
        <f t="shared" si="34"/>
        <v>Water Storage</v>
      </c>
      <c r="AA73" s="164" t="str">
        <f t="shared" si="34"/>
        <v>R &amp; T</v>
      </c>
      <c r="AB73" s="164" t="str">
        <f t="shared" si="34"/>
        <v>Communication </v>
      </c>
      <c r="AC73" s="1"/>
      <c r="AD73" s="1"/>
      <c r="AE73" s="1"/>
      <c r="AF73" s="1"/>
      <c r="AG73" s="1"/>
      <c r="AH73" s="1"/>
      <c r="AI73" s="1"/>
      <c r="AJ73" s="1"/>
      <c r="AK73" s="1"/>
      <c r="AL73" s="1"/>
      <c r="AM73" s="1"/>
    </row>
    <row r="74" ht="29.25" customHeight="1">
      <c r="A74" s="142"/>
      <c r="B74" s="1"/>
      <c r="C74" s="163" t="str">
        <f t="shared" ref="C74:D74" si="35">B228</f>
        <v>Potable water </v>
      </c>
      <c r="D74" s="165" t="str">
        <f t="shared" si="35"/>
        <v>Access</v>
      </c>
      <c r="E74" s="153"/>
      <c r="F74" s="153"/>
      <c r="G74" s="153"/>
      <c r="H74" s="153"/>
      <c r="I74" s="153"/>
      <c r="J74" s="154"/>
      <c r="K74" s="165" t="str">
        <f>J228</f>
        <v>Scarcities </v>
      </c>
      <c r="L74" s="153"/>
      <c r="M74" s="153"/>
      <c r="N74" s="153"/>
      <c r="O74" s="153"/>
      <c r="P74" s="153"/>
      <c r="Q74" s="153"/>
      <c r="R74" s="153"/>
      <c r="S74" s="153"/>
      <c r="T74" s="153"/>
      <c r="U74" s="153"/>
      <c r="V74" s="153"/>
      <c r="W74" s="153"/>
      <c r="X74" s="154"/>
      <c r="Y74" s="165" t="str">
        <f t="shared" ref="Y74:Y75" si="37">X228</f>
        <v>Quality</v>
      </c>
      <c r="Z74" s="153"/>
      <c r="AA74" s="153"/>
      <c r="AB74" s="154"/>
      <c r="AC74" s="1"/>
      <c r="AD74" s="1"/>
      <c r="AE74" s="1"/>
      <c r="AF74" s="1"/>
      <c r="AG74" s="1"/>
      <c r="AH74" s="1"/>
      <c r="AI74" s="1"/>
      <c r="AJ74" s="1"/>
      <c r="AK74" s="1"/>
      <c r="AL74" s="1"/>
      <c r="AM74" s="1"/>
    </row>
    <row r="75" ht="29.25" customHeight="1">
      <c r="A75" s="142"/>
      <c r="B75" s="1"/>
      <c r="C75" s="163" t="str">
        <f t="shared" ref="C75:D75" si="36">B229</f>
        <v>EBS</v>
      </c>
      <c r="D75" s="165" t="str">
        <f t="shared" si="36"/>
        <v>Soil </v>
      </c>
      <c r="E75" s="154"/>
      <c r="F75" s="165" t="str">
        <f t="shared" ref="F75:F76" si="40">D229</f>
        <v>LC &amp; P</v>
      </c>
      <c r="G75" s="153"/>
      <c r="H75" s="154"/>
      <c r="I75" s="165" t="str">
        <f t="shared" ref="I75:I76" si="41">G229</f>
        <v>NV</v>
      </c>
      <c r="J75" s="153"/>
      <c r="K75" s="153"/>
      <c r="L75" s="154"/>
      <c r="M75" s="165" t="str">
        <f>J229</f>
        <v>Wetland </v>
      </c>
      <c r="N75" s="153"/>
      <c r="O75" s="153"/>
      <c r="P75" s="153"/>
      <c r="Q75" s="154"/>
      <c r="R75" s="165" t="str">
        <f>M229</f>
        <v>Biodiversity</v>
      </c>
      <c r="S75" s="153"/>
      <c r="T75" s="153"/>
      <c r="U75" s="153"/>
      <c r="V75" s="154"/>
      <c r="W75" s="165" t="str">
        <f>R229</f>
        <v>NWB</v>
      </c>
      <c r="X75" s="154"/>
      <c r="Y75" s="164" t="str">
        <f t="shared" si="37"/>
        <v>Sea</v>
      </c>
      <c r="Z75" s="164" t="str">
        <f t="shared" ref="Z75:AB75" si="38">Y229</f>
        <v>EF</v>
      </c>
      <c r="AA75" s="164" t="str">
        <f t="shared" si="38"/>
        <v>Land use </v>
      </c>
      <c r="AB75" s="164" t="str">
        <f t="shared" si="38"/>
        <v>Topography</v>
      </c>
      <c r="AC75" s="1"/>
      <c r="AD75" s="1"/>
      <c r="AE75" s="1"/>
      <c r="AF75" s="1"/>
      <c r="AG75" s="1"/>
      <c r="AH75" s="1"/>
      <c r="AI75" s="1"/>
      <c r="AJ75" s="1"/>
      <c r="AK75" s="1"/>
      <c r="AL75" s="1"/>
      <c r="AM75" s="1"/>
    </row>
    <row r="76" ht="23.25" customHeight="1">
      <c r="A76" s="142"/>
      <c r="B76" s="1"/>
      <c r="C76" s="163" t="str">
        <f t="shared" ref="C76:D76" si="39">B230</f>
        <v>Institutions</v>
      </c>
      <c r="D76" s="165" t="str">
        <f t="shared" si="39"/>
        <v>EWS</v>
      </c>
      <c r="E76" s="154"/>
      <c r="F76" s="165" t="str">
        <f t="shared" si="40"/>
        <v>A &amp; I</v>
      </c>
      <c r="G76" s="153"/>
      <c r="H76" s="154"/>
      <c r="I76" s="165" t="str">
        <f t="shared" si="41"/>
        <v>EC</v>
      </c>
      <c r="J76" s="153"/>
      <c r="K76" s="154"/>
      <c r="L76" s="165" t="str">
        <f>K230</f>
        <v>R/RP</v>
      </c>
      <c r="M76" s="153"/>
      <c r="N76" s="153"/>
      <c r="O76" s="154"/>
      <c r="P76" s="165" t="str">
        <f>O230</f>
        <v>HFO</v>
      </c>
      <c r="Q76" s="153"/>
      <c r="R76" s="153"/>
      <c r="S76" s="153"/>
      <c r="T76" s="153"/>
      <c r="U76" s="153"/>
      <c r="V76" s="153"/>
      <c r="W76" s="154"/>
      <c r="X76" s="165" t="str">
        <f>V230</f>
        <v>DP</v>
      </c>
      <c r="Y76" s="154"/>
      <c r="Z76" s="164" t="str">
        <f t="shared" ref="Z76:AB76" si="42">Y230</f>
        <v>DR</v>
      </c>
      <c r="AA76" s="164" t="str">
        <f t="shared" si="42"/>
        <v>PFR</v>
      </c>
      <c r="AB76" s="164" t="str">
        <f t="shared" si="42"/>
        <v>PFM</v>
      </c>
      <c r="AC76" s="1"/>
      <c r="AD76" s="1"/>
      <c r="AE76" s="1"/>
      <c r="AF76" s="1"/>
      <c r="AG76" s="1"/>
      <c r="AH76" s="1"/>
      <c r="AI76" s="1"/>
      <c r="AJ76" s="1"/>
      <c r="AK76" s="1"/>
      <c r="AL76" s="1"/>
      <c r="AM76" s="1"/>
    </row>
    <row r="77" ht="14.25" customHeight="1">
      <c r="A77" s="142"/>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4.25" customHeight="1">
      <c r="A78" s="14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21.0" customHeight="1">
      <c r="A79" s="142"/>
      <c r="B79" s="1"/>
      <c r="C79" s="1"/>
      <c r="D79" s="1"/>
      <c r="E79" s="1"/>
      <c r="F79" s="1"/>
      <c r="G79" s="1"/>
      <c r="H79" s="157" t="s">
        <v>581</v>
      </c>
      <c r="I79" s="1"/>
      <c r="J79" s="158"/>
      <c r="K79" s="93" t="s">
        <v>582</v>
      </c>
      <c r="L79" s="1"/>
      <c r="M79" s="159"/>
      <c r="N79" s="93" t="s">
        <v>583</v>
      </c>
      <c r="O79" s="1"/>
      <c r="P79" s="1"/>
      <c r="Q79" s="160"/>
      <c r="R79" s="93" t="s">
        <v>584</v>
      </c>
      <c r="S79" s="1"/>
      <c r="T79" s="1"/>
      <c r="U79" s="1"/>
      <c r="V79" s="1"/>
      <c r="W79" s="1"/>
      <c r="X79" s="1"/>
      <c r="Y79" s="1"/>
      <c r="Z79" s="1"/>
      <c r="AA79" s="1"/>
      <c r="AB79" s="1"/>
      <c r="AC79" s="1"/>
      <c r="AD79" s="1"/>
      <c r="AE79" s="1"/>
      <c r="AF79" s="1"/>
      <c r="AG79" s="1"/>
      <c r="AH79" s="1"/>
      <c r="AI79" s="1"/>
      <c r="AJ79" s="1"/>
      <c r="AK79" s="1"/>
      <c r="AL79" s="1"/>
      <c r="AM79" s="1"/>
    </row>
    <row r="80" ht="78.75" customHeight="1">
      <c r="A80" s="142"/>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8.25" customHeight="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row>
    <row r="82" ht="27.75" customHeight="1">
      <c r="A82" s="142"/>
      <c r="B82" s="146" t="s">
        <v>591</v>
      </c>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62"/>
    </row>
    <row r="83" ht="8.25" customHeight="1">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row>
    <row r="84" ht="21.0" customHeight="1">
      <c r="A84" s="142"/>
      <c r="B84" s="148" t="s">
        <v>578</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49" t="s">
        <v>592</v>
      </c>
      <c r="AG84" s="1"/>
      <c r="AH84" s="1"/>
      <c r="AI84" s="1"/>
      <c r="AJ84" s="1"/>
      <c r="AK84" s="1"/>
      <c r="AL84" s="1"/>
      <c r="AM84" s="1"/>
    </row>
    <row r="85" ht="14.25" customHeight="1">
      <c r="A85" s="142"/>
      <c r="B85" s="149" t="s">
        <v>593</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4.25" customHeight="1">
      <c r="A86" s="142"/>
      <c r="B86" s="150"/>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30.0" customHeight="1">
      <c r="A87" s="142"/>
      <c r="B87" s="1"/>
      <c r="C87" s="163" t="str">
        <f t="shared" ref="C87:E87" si="43">B240</f>
        <v>Livelihoods</v>
      </c>
      <c r="D87" s="164" t="str">
        <f t="shared" si="43"/>
        <v>Food Security</v>
      </c>
      <c r="E87" s="165" t="str">
        <f t="shared" si="43"/>
        <v>Grazing/Farm Land</v>
      </c>
      <c r="F87" s="154"/>
      <c r="G87" s="165" t="str">
        <f>F240</f>
        <v>Crops</v>
      </c>
      <c r="H87" s="154"/>
      <c r="I87" s="165" t="str">
        <f>H240</f>
        <v>Livestock</v>
      </c>
      <c r="J87" s="153"/>
      <c r="K87" s="154"/>
      <c r="L87" s="165" t="str">
        <f>K240</f>
        <v>Fishstock</v>
      </c>
      <c r="M87" s="153"/>
      <c r="N87" s="154"/>
      <c r="O87" s="165" t="str">
        <f>N240</f>
        <v>Local commerce</v>
      </c>
      <c r="P87" s="153"/>
      <c r="Q87" s="153"/>
      <c r="R87" s="154"/>
      <c r="S87" s="165" t="str">
        <f>R240</f>
        <v>Gender </v>
      </c>
      <c r="T87" s="153"/>
      <c r="U87" s="153"/>
      <c r="V87" s="154"/>
      <c r="W87" s="165" t="str">
        <f>U240</f>
        <v>Conviviality </v>
      </c>
      <c r="X87" s="154"/>
      <c r="Y87" s="164" t="str">
        <f t="shared" ref="Y87:AB87" si="44">X240</f>
        <v>Education </v>
      </c>
      <c r="Z87" s="164" t="str">
        <f t="shared" si="44"/>
        <v>WFI/WFDU</v>
      </c>
      <c r="AA87" s="164" t="str">
        <f t="shared" si="44"/>
        <v>ATF/I</v>
      </c>
      <c r="AB87" s="164" t="str">
        <f t="shared" si="44"/>
        <v>Disaster Events</v>
      </c>
      <c r="AC87" s="1"/>
      <c r="AD87" s="1"/>
      <c r="AE87" s="1"/>
      <c r="AF87" s="1"/>
      <c r="AG87" s="1"/>
      <c r="AH87" s="1"/>
      <c r="AI87" s="1"/>
      <c r="AJ87" s="1"/>
      <c r="AK87" s="1"/>
      <c r="AL87" s="1"/>
      <c r="AM87" s="1"/>
    </row>
    <row r="88" ht="29.25" customHeight="1">
      <c r="A88" s="142"/>
      <c r="B88" s="1"/>
      <c r="C88" s="163" t="str">
        <f t="shared" ref="C88:D88" si="45">B241</f>
        <v>Health &amp; Safety</v>
      </c>
      <c r="D88" s="165" t="str">
        <f t="shared" si="45"/>
        <v>Borne Diseases</v>
      </c>
      <c r="E88" s="153"/>
      <c r="F88" s="154"/>
      <c r="G88" s="165" t="str">
        <f>D241</f>
        <v>SLUP&amp;C</v>
      </c>
      <c r="H88" s="153"/>
      <c r="I88" s="153"/>
      <c r="J88" s="153"/>
      <c r="K88" s="154"/>
      <c r="L88" s="165" t="str">
        <f>G241</f>
        <v>SWM</v>
      </c>
      <c r="M88" s="153"/>
      <c r="N88" s="153"/>
      <c r="O88" s="153"/>
      <c r="P88" s="153"/>
      <c r="Q88" s="153"/>
      <c r="R88" s="154"/>
      <c r="S88" s="165" t="str">
        <f>L241</f>
        <v>LWM</v>
      </c>
      <c r="T88" s="153"/>
      <c r="U88" s="153"/>
      <c r="V88" s="153"/>
      <c r="W88" s="153"/>
      <c r="X88" s="154"/>
      <c r="Y88" s="165" t="str">
        <f>R241</f>
        <v>ATHS</v>
      </c>
      <c r="Z88" s="154"/>
      <c r="AA88" s="165" t="str">
        <f>Y241</f>
        <v>ATHE</v>
      </c>
      <c r="AB88" s="154"/>
      <c r="AC88" s="1"/>
      <c r="AD88" s="1"/>
      <c r="AE88" s="1"/>
      <c r="AF88" s="1"/>
      <c r="AG88" s="1"/>
      <c r="AH88" s="1"/>
      <c r="AI88" s="1"/>
      <c r="AJ88" s="1"/>
      <c r="AK88" s="1"/>
      <c r="AL88" s="1"/>
      <c r="AM88" s="1"/>
    </row>
    <row r="89" ht="29.25" customHeight="1">
      <c r="A89" s="142"/>
      <c r="B89" s="1"/>
      <c r="C89" s="163" t="str">
        <f t="shared" ref="C89:E89" si="46">B242</f>
        <v>Assets and Utilities</v>
      </c>
      <c r="D89" s="164" t="str">
        <f t="shared" si="46"/>
        <v>Housing</v>
      </c>
      <c r="E89" s="165" t="str">
        <f t="shared" si="46"/>
        <v>Public facilities </v>
      </c>
      <c r="F89" s="154"/>
      <c r="G89" s="165" t="str">
        <f>F242</f>
        <v>SWD</v>
      </c>
      <c r="H89" s="154"/>
      <c r="I89" s="165" t="str">
        <f>H242</f>
        <v>Sanitary facilities </v>
      </c>
      <c r="J89" s="153"/>
      <c r="K89" s="154"/>
      <c r="L89" s="165" t="str">
        <f>K242</f>
        <v>Sewer lines </v>
      </c>
      <c r="M89" s="153"/>
      <c r="N89" s="154"/>
      <c r="O89" s="165" t="str">
        <f>N242</f>
        <v>Power lines/supply</v>
      </c>
      <c r="P89" s="153"/>
      <c r="Q89" s="153"/>
      <c r="R89" s="154"/>
      <c r="S89" s="165" t="str">
        <f>R242</f>
        <v>Energy for HH use </v>
      </c>
      <c r="T89" s="153"/>
      <c r="U89" s="153"/>
      <c r="V89" s="154"/>
      <c r="W89" s="165" t="str">
        <f>U242</f>
        <v>Water pipes </v>
      </c>
      <c r="X89" s="154"/>
      <c r="Y89" s="164" t="str">
        <f t="shared" ref="Y89:AB89" si="47">X242</f>
        <v>PWT</v>
      </c>
      <c r="Z89" s="164" t="str">
        <f t="shared" si="47"/>
        <v>Water Storage</v>
      </c>
      <c r="AA89" s="164" t="str">
        <f t="shared" si="47"/>
        <v>R &amp; T</v>
      </c>
      <c r="AB89" s="164" t="str">
        <f t="shared" si="47"/>
        <v>Communication </v>
      </c>
      <c r="AC89" s="1"/>
      <c r="AD89" s="1"/>
      <c r="AE89" s="1"/>
      <c r="AF89" s="1"/>
      <c r="AG89" s="1"/>
      <c r="AH89" s="1"/>
      <c r="AI89" s="1"/>
      <c r="AJ89" s="1"/>
      <c r="AK89" s="1"/>
      <c r="AL89" s="1"/>
      <c r="AM89" s="1"/>
    </row>
    <row r="90" ht="29.25" customHeight="1">
      <c r="A90" s="142"/>
      <c r="B90" s="1"/>
      <c r="C90" s="163" t="str">
        <f t="shared" ref="C90:D90" si="48">B243</f>
        <v>Potable water </v>
      </c>
      <c r="D90" s="165" t="str">
        <f t="shared" si="48"/>
        <v>Access</v>
      </c>
      <c r="E90" s="153"/>
      <c r="F90" s="153"/>
      <c r="G90" s="153"/>
      <c r="H90" s="153"/>
      <c r="I90" s="153"/>
      <c r="J90" s="154"/>
      <c r="K90" s="165" t="str">
        <f>J243</f>
        <v>Scarcities </v>
      </c>
      <c r="L90" s="153"/>
      <c r="M90" s="153"/>
      <c r="N90" s="153"/>
      <c r="O90" s="153"/>
      <c r="P90" s="153"/>
      <c r="Q90" s="153"/>
      <c r="R90" s="153"/>
      <c r="S90" s="153"/>
      <c r="T90" s="153"/>
      <c r="U90" s="153"/>
      <c r="V90" s="153"/>
      <c r="W90" s="153"/>
      <c r="X90" s="154"/>
      <c r="Y90" s="165" t="str">
        <f t="shared" ref="Y90:Y91" si="50">X243</f>
        <v>Quality</v>
      </c>
      <c r="Z90" s="153"/>
      <c r="AA90" s="153"/>
      <c r="AB90" s="154"/>
      <c r="AC90" s="1"/>
      <c r="AD90" s="1"/>
      <c r="AE90" s="1"/>
      <c r="AF90" s="1"/>
      <c r="AG90" s="1"/>
      <c r="AH90" s="1"/>
      <c r="AI90" s="1"/>
      <c r="AJ90" s="1"/>
      <c r="AK90" s="1"/>
      <c r="AL90" s="1"/>
      <c r="AM90" s="1"/>
    </row>
    <row r="91" ht="29.25" customHeight="1">
      <c r="A91" s="142"/>
      <c r="B91" s="1"/>
      <c r="C91" s="163" t="str">
        <f t="shared" ref="C91:D91" si="49">B244</f>
        <v>EBS</v>
      </c>
      <c r="D91" s="165" t="str">
        <f t="shared" si="49"/>
        <v>Soil </v>
      </c>
      <c r="E91" s="154"/>
      <c r="F91" s="165" t="str">
        <f t="shared" ref="F91:F92" si="53">D244</f>
        <v>LC &amp; P</v>
      </c>
      <c r="G91" s="153"/>
      <c r="H91" s="154"/>
      <c r="I91" s="165" t="str">
        <f t="shared" ref="I91:I92" si="54">G244</f>
        <v>NV</v>
      </c>
      <c r="J91" s="153"/>
      <c r="K91" s="153"/>
      <c r="L91" s="154"/>
      <c r="M91" s="165" t="str">
        <f>J244</f>
        <v>Wetland </v>
      </c>
      <c r="N91" s="153"/>
      <c r="O91" s="153"/>
      <c r="P91" s="153"/>
      <c r="Q91" s="154"/>
      <c r="R91" s="165" t="str">
        <f>M244</f>
        <v>Biodiversity</v>
      </c>
      <c r="S91" s="153"/>
      <c r="T91" s="153"/>
      <c r="U91" s="153"/>
      <c r="V91" s="154"/>
      <c r="W91" s="165" t="str">
        <f>R244</f>
        <v>NWB</v>
      </c>
      <c r="X91" s="154"/>
      <c r="Y91" s="164" t="str">
        <f t="shared" si="50"/>
        <v>Sea</v>
      </c>
      <c r="Z91" s="164" t="str">
        <f t="shared" ref="Z91:AB91" si="51">Y244</f>
        <v>EF</v>
      </c>
      <c r="AA91" s="164" t="str">
        <f t="shared" si="51"/>
        <v>Land use </v>
      </c>
      <c r="AB91" s="164" t="str">
        <f t="shared" si="51"/>
        <v>Topography</v>
      </c>
      <c r="AC91" s="1"/>
      <c r="AD91" s="1"/>
      <c r="AE91" s="1"/>
      <c r="AF91" s="1"/>
      <c r="AG91" s="1"/>
      <c r="AH91" s="1"/>
      <c r="AI91" s="1"/>
      <c r="AJ91" s="1"/>
      <c r="AK91" s="1"/>
      <c r="AL91" s="1"/>
      <c r="AM91" s="1"/>
    </row>
    <row r="92" ht="30.0" customHeight="1">
      <c r="A92" s="142"/>
      <c r="B92" s="1"/>
      <c r="C92" s="163" t="str">
        <f t="shared" ref="C92:D92" si="52">B245</f>
        <v>Institutions</v>
      </c>
      <c r="D92" s="165" t="str">
        <f t="shared" si="52"/>
        <v>EWS</v>
      </c>
      <c r="E92" s="154"/>
      <c r="F92" s="165" t="str">
        <f t="shared" si="53"/>
        <v>A &amp; I</v>
      </c>
      <c r="G92" s="153"/>
      <c r="H92" s="154"/>
      <c r="I92" s="165" t="str">
        <f t="shared" si="54"/>
        <v>EC</v>
      </c>
      <c r="J92" s="153"/>
      <c r="K92" s="154"/>
      <c r="L92" s="165" t="str">
        <f>K245</f>
        <v>R/RP</v>
      </c>
      <c r="M92" s="153"/>
      <c r="N92" s="153"/>
      <c r="O92" s="154"/>
      <c r="P92" s="165" t="str">
        <f>O245</f>
        <v>HFO</v>
      </c>
      <c r="Q92" s="153"/>
      <c r="R92" s="153"/>
      <c r="S92" s="153"/>
      <c r="T92" s="153"/>
      <c r="U92" s="153"/>
      <c r="V92" s="153"/>
      <c r="W92" s="154"/>
      <c r="X92" s="165" t="str">
        <f>V245</f>
        <v>DP</v>
      </c>
      <c r="Y92" s="154"/>
      <c r="Z92" s="164" t="str">
        <f t="shared" ref="Z92:AB92" si="55">Y245</f>
        <v>DR</v>
      </c>
      <c r="AA92" s="164" t="str">
        <f t="shared" si="55"/>
        <v>PFR</v>
      </c>
      <c r="AB92" s="164" t="str">
        <f t="shared" si="55"/>
        <v>PFM</v>
      </c>
      <c r="AC92" s="1"/>
      <c r="AD92" s="1"/>
      <c r="AE92" s="1"/>
      <c r="AF92" s="1"/>
      <c r="AG92" s="1"/>
      <c r="AH92" s="1"/>
      <c r="AI92" s="1"/>
      <c r="AJ92" s="1"/>
      <c r="AK92" s="1"/>
      <c r="AL92" s="1"/>
      <c r="AM92" s="1"/>
    </row>
    <row r="93" ht="14.25" customHeight="1">
      <c r="A93" s="142"/>
      <c r="B93" s="1"/>
      <c r="C93" s="1"/>
      <c r="D93" s="1"/>
      <c r="E93" s="1"/>
      <c r="F93" s="1"/>
      <c r="H93" s="166"/>
      <c r="K93" s="96"/>
      <c r="M93" s="167"/>
      <c r="N93" s="96"/>
      <c r="Q93" s="167"/>
      <c r="R93" s="96"/>
      <c r="U93" s="1"/>
      <c r="V93" s="1"/>
      <c r="W93" s="1"/>
      <c r="X93" s="1"/>
      <c r="Y93" s="1"/>
      <c r="Z93" s="1"/>
      <c r="AA93" s="1"/>
      <c r="AB93" s="1"/>
      <c r="AC93" s="1"/>
      <c r="AD93" s="1"/>
      <c r="AE93" s="1"/>
      <c r="AF93" s="1"/>
      <c r="AG93" s="1"/>
      <c r="AH93" s="1"/>
      <c r="AI93" s="1"/>
      <c r="AJ93" s="1"/>
      <c r="AK93" s="1"/>
      <c r="AL93" s="1"/>
      <c r="AM93" s="1"/>
    </row>
    <row r="94" ht="14.25" customHeight="1">
      <c r="A94" s="142"/>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21.0" customHeight="1">
      <c r="A95" s="142"/>
      <c r="B95" s="1"/>
      <c r="C95" s="1"/>
      <c r="D95" s="1"/>
      <c r="E95" s="1"/>
      <c r="F95" s="1"/>
      <c r="G95" s="1"/>
      <c r="H95" s="157" t="s">
        <v>581</v>
      </c>
      <c r="I95" s="1"/>
      <c r="J95" s="168"/>
      <c r="K95" s="93" t="s">
        <v>594</v>
      </c>
      <c r="L95" s="1"/>
      <c r="M95" s="159"/>
      <c r="N95" s="93" t="s">
        <v>595</v>
      </c>
      <c r="O95" s="1"/>
      <c r="P95" s="1"/>
      <c r="Q95" s="160"/>
      <c r="R95" s="93" t="s">
        <v>596</v>
      </c>
      <c r="S95" s="1"/>
      <c r="T95" s="1"/>
      <c r="U95" s="1"/>
      <c r="V95" s="1"/>
      <c r="W95" s="1"/>
      <c r="X95" s="1"/>
      <c r="Y95" s="1"/>
      <c r="Z95" s="1"/>
      <c r="AA95" s="1"/>
      <c r="AB95" s="1"/>
      <c r="AC95" s="1"/>
      <c r="AD95" s="1"/>
      <c r="AE95" s="1"/>
      <c r="AF95" s="1"/>
      <c r="AG95" s="1"/>
      <c r="AH95" s="1"/>
      <c r="AI95" s="1"/>
      <c r="AJ95" s="1"/>
      <c r="AK95" s="1"/>
      <c r="AL95" s="1"/>
      <c r="AM95" s="1"/>
    </row>
    <row r="96" ht="27.0" customHeight="1">
      <c r="A96" s="142"/>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43.5" customHeight="1">
      <c r="A97" s="142"/>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7.5" customHeight="1">
      <c r="A98" s="142"/>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c r="AP98" s="169"/>
      <c r="AQ98" s="169"/>
      <c r="AR98" s="169"/>
      <c r="AS98" s="169"/>
      <c r="AT98" s="169"/>
      <c r="AU98" s="169"/>
    </row>
    <row r="99" ht="27.75" customHeight="1">
      <c r="A99" s="142"/>
      <c r="B99" s="146" t="s">
        <v>597</v>
      </c>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62"/>
    </row>
    <row r="100" ht="7.5" customHeight="1">
      <c r="A100" s="142"/>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row>
    <row r="101" ht="14.25" customHeight="1">
      <c r="A101" s="14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21.0" customHeight="1">
      <c r="A102" s="142"/>
      <c r="B102" s="148" t="s">
        <v>578</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4.25" customHeight="1">
      <c r="A103" s="142"/>
      <c r="B103" s="149" t="s">
        <v>598</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49" t="s">
        <v>599</v>
      </c>
      <c r="AE103" s="1"/>
      <c r="AF103" s="1"/>
      <c r="AG103" s="1"/>
      <c r="AH103" s="1"/>
      <c r="AI103" s="1"/>
      <c r="AJ103" s="1"/>
      <c r="AK103" s="1"/>
      <c r="AL103" s="1"/>
      <c r="AM103" s="1"/>
    </row>
    <row r="104" ht="14.25" customHeight="1">
      <c r="A104" s="142"/>
      <c r="B104" s="149" t="s">
        <v>600</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4.25" customHeight="1">
      <c r="A105" s="142"/>
      <c r="B105" s="150"/>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52.5" customHeight="1">
      <c r="A106" s="142"/>
      <c r="B106" s="1"/>
      <c r="C106" s="170"/>
      <c r="D106" s="171" t="str">
        <f>B255</f>
        <v>Livelihoods</v>
      </c>
      <c r="E106" s="172"/>
      <c r="F106" s="171" t="str">
        <f>D255</f>
        <v>Health &amp; Safety</v>
      </c>
      <c r="G106" s="173"/>
      <c r="H106" s="172"/>
      <c r="I106" s="171" t="str">
        <f>H255</f>
        <v>Assets and Utilities</v>
      </c>
      <c r="J106" s="173"/>
      <c r="K106" s="173"/>
      <c r="L106" s="172"/>
      <c r="M106" s="171" t="str">
        <f>N255</f>
        <v>Potable water </v>
      </c>
      <c r="N106" s="173"/>
      <c r="O106" s="172"/>
      <c r="P106" s="171" t="str">
        <f>U255</f>
        <v>EBS</v>
      </c>
      <c r="Q106" s="173"/>
      <c r="R106" s="173"/>
      <c r="S106" s="172"/>
      <c r="T106" s="171" t="str">
        <f>Y255</f>
        <v>Institutions</v>
      </c>
      <c r="U106" s="173"/>
      <c r="V106" s="173"/>
      <c r="W106" s="172"/>
      <c r="X106" s="1"/>
      <c r="Y106" s="1"/>
      <c r="Z106" s="1"/>
      <c r="AA106" s="1"/>
      <c r="AB106" s="1"/>
      <c r="AC106" s="1"/>
      <c r="AD106" s="1"/>
      <c r="AE106" s="1"/>
      <c r="AF106" s="1"/>
      <c r="AG106" s="1"/>
      <c r="AH106" s="1"/>
      <c r="AI106" s="1"/>
      <c r="AJ106" s="1"/>
      <c r="AK106" s="1"/>
      <c r="AL106" s="1"/>
      <c r="AM106" s="1"/>
    </row>
    <row r="107" ht="14.25" customHeight="1">
      <c r="A107" s="142"/>
      <c r="B107" s="150"/>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4.25" customHeight="1">
      <c r="A108" s="142"/>
      <c r="B108" s="149" t="s">
        <v>601</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4.25" customHeight="1">
      <c r="A109" s="142"/>
      <c r="B109" s="150"/>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52.5" customHeight="1">
      <c r="A110" s="142"/>
      <c r="B110" s="1"/>
      <c r="C110" s="170"/>
      <c r="D110" s="171" t="str">
        <f>B260</f>
        <v>Livelihoods</v>
      </c>
      <c r="E110" s="172"/>
      <c r="F110" s="171" t="str">
        <f>D260</f>
        <v>Health &amp; Safety</v>
      </c>
      <c r="G110" s="173"/>
      <c r="H110" s="172"/>
      <c r="I110" s="171" t="str">
        <f>H260</f>
        <v>Assets and Utilities</v>
      </c>
      <c r="J110" s="173"/>
      <c r="K110" s="173"/>
      <c r="L110" s="172"/>
      <c r="M110" s="171" t="str">
        <f>N260</f>
        <v>Potable water </v>
      </c>
      <c r="N110" s="173"/>
      <c r="O110" s="172"/>
      <c r="P110" s="171" t="str">
        <f>U260</f>
        <v>EBS</v>
      </c>
      <c r="Q110" s="173"/>
      <c r="R110" s="173"/>
      <c r="S110" s="172"/>
      <c r="T110" s="171" t="str">
        <f>Y260</f>
        <v>Institutions</v>
      </c>
      <c r="U110" s="173"/>
      <c r="V110" s="173"/>
      <c r="W110" s="172"/>
      <c r="X110" s="1"/>
      <c r="Y110" s="1"/>
      <c r="Z110" s="1"/>
      <c r="AA110" s="1"/>
      <c r="AB110" s="1"/>
      <c r="AC110" s="1"/>
      <c r="AD110" s="1"/>
      <c r="AE110" s="1"/>
      <c r="AF110" s="1"/>
      <c r="AG110" s="1"/>
      <c r="AH110" s="1"/>
      <c r="AI110" s="1"/>
      <c r="AJ110" s="1"/>
      <c r="AK110" s="1"/>
      <c r="AL110" s="1"/>
      <c r="AM110" s="1"/>
    </row>
    <row r="111" ht="14.25" customHeight="1">
      <c r="A111" s="142"/>
      <c r="B111" s="150"/>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4.25" customHeight="1">
      <c r="A112" s="142"/>
      <c r="B112" s="150"/>
      <c r="C112" s="1"/>
      <c r="D112" s="1"/>
      <c r="E112" s="1"/>
      <c r="F112" s="1"/>
      <c r="G112" s="1"/>
      <c r="H112" s="157" t="s">
        <v>581</v>
      </c>
      <c r="I112" s="1"/>
      <c r="J112" s="158"/>
      <c r="K112" s="93" t="s">
        <v>582</v>
      </c>
      <c r="L112" s="1"/>
      <c r="M112" s="159"/>
      <c r="N112" s="93" t="s">
        <v>583</v>
      </c>
      <c r="O112" s="1"/>
      <c r="P112" s="1"/>
      <c r="Q112" s="160"/>
      <c r="R112" s="93" t="s">
        <v>584</v>
      </c>
      <c r="S112" s="1"/>
      <c r="T112" s="1"/>
      <c r="U112" s="1"/>
      <c r="V112" s="1"/>
      <c r="W112" s="1"/>
      <c r="X112" s="1"/>
      <c r="Y112" s="1"/>
      <c r="Z112" s="1"/>
      <c r="AA112" s="1"/>
      <c r="AB112" s="1"/>
      <c r="AC112" s="1"/>
      <c r="AD112" s="1"/>
      <c r="AE112" s="1"/>
      <c r="AF112" s="1"/>
      <c r="AG112" s="1"/>
      <c r="AH112" s="1"/>
      <c r="AI112" s="1"/>
      <c r="AJ112" s="1"/>
      <c r="AK112" s="1"/>
      <c r="AL112" s="1"/>
      <c r="AM112" s="1"/>
    </row>
    <row r="113" ht="27.75" customHeight="1">
      <c r="A113" s="142"/>
      <c r="B113" s="150"/>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4.25" customHeight="1">
      <c r="A114" s="142"/>
      <c r="B114" s="1"/>
      <c r="C114" s="149" t="s">
        <v>602</v>
      </c>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49" t="s">
        <v>599</v>
      </c>
      <c r="AF114" s="1"/>
      <c r="AG114" s="1"/>
      <c r="AH114" s="1"/>
      <c r="AI114" s="1"/>
      <c r="AJ114" s="1"/>
      <c r="AK114" s="1"/>
      <c r="AL114" s="1"/>
      <c r="AM114" s="1"/>
    </row>
    <row r="115" ht="14.25" customHeight="1">
      <c r="A115" s="142"/>
      <c r="B115" s="150"/>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30.0" customHeight="1">
      <c r="A116" s="142"/>
      <c r="B116" s="1"/>
      <c r="C116" s="163" t="str">
        <f t="shared" ref="C116:E116" si="56">B265</f>
        <v>Livelihoods</v>
      </c>
      <c r="D116" s="164" t="str">
        <f t="shared" si="56"/>
        <v>Food Security</v>
      </c>
      <c r="E116" s="165" t="str">
        <f t="shared" si="56"/>
        <v>Grazing/Farm Land</v>
      </c>
      <c r="F116" s="154"/>
      <c r="G116" s="165" t="str">
        <f>F265</f>
        <v>Crops</v>
      </c>
      <c r="H116" s="154"/>
      <c r="I116" s="165" t="str">
        <f>H265</f>
        <v>Livestock</v>
      </c>
      <c r="J116" s="153"/>
      <c r="K116" s="154"/>
      <c r="L116" s="165" t="str">
        <f>K265</f>
        <v>Fishstock</v>
      </c>
      <c r="M116" s="153"/>
      <c r="N116" s="154"/>
      <c r="O116" s="165" t="str">
        <f>N265</f>
        <v>Local commerce</v>
      </c>
      <c r="P116" s="153"/>
      <c r="Q116" s="153"/>
      <c r="R116" s="154"/>
      <c r="S116" s="165" t="str">
        <f>R265</f>
        <v>Gender </v>
      </c>
      <c r="T116" s="153"/>
      <c r="U116" s="153"/>
      <c r="V116" s="154"/>
      <c r="W116" s="165" t="str">
        <f>U265</f>
        <v>Conviviality </v>
      </c>
      <c r="X116" s="154"/>
      <c r="Y116" s="164" t="str">
        <f t="shared" ref="Y116:AB116" si="57">X265</f>
        <v>Education </v>
      </c>
      <c r="Z116" s="164" t="str">
        <f t="shared" si="57"/>
        <v>WFI/WFDU</v>
      </c>
      <c r="AA116" s="164" t="str">
        <f t="shared" si="57"/>
        <v>ATF/I</v>
      </c>
      <c r="AB116" s="164" t="str">
        <f t="shared" si="57"/>
        <v>Disaster Events</v>
      </c>
      <c r="AC116" s="1"/>
      <c r="AD116" s="1"/>
      <c r="AE116" s="1"/>
      <c r="AF116" s="1"/>
      <c r="AG116" s="1"/>
      <c r="AH116" s="1"/>
      <c r="AI116" s="1"/>
      <c r="AJ116" s="1"/>
      <c r="AK116" s="1"/>
      <c r="AL116" s="1"/>
      <c r="AM116" s="1"/>
    </row>
    <row r="117" ht="29.25" customHeight="1">
      <c r="A117" s="142"/>
      <c r="B117" s="1"/>
      <c r="C117" s="163" t="str">
        <f t="shared" ref="C117:D117" si="58">B266</f>
        <v>Health &amp; Safety</v>
      </c>
      <c r="D117" s="165" t="str">
        <f t="shared" si="58"/>
        <v>Borne Diseases</v>
      </c>
      <c r="E117" s="153"/>
      <c r="F117" s="154"/>
      <c r="G117" s="165" t="str">
        <f>D266</f>
        <v>SLUP&amp;C</v>
      </c>
      <c r="H117" s="153"/>
      <c r="I117" s="153"/>
      <c r="J117" s="153"/>
      <c r="K117" s="154"/>
      <c r="L117" s="165" t="str">
        <f>G266</f>
        <v>SWM</v>
      </c>
      <c r="M117" s="153"/>
      <c r="N117" s="153"/>
      <c r="O117" s="153"/>
      <c r="P117" s="153"/>
      <c r="Q117" s="153"/>
      <c r="R117" s="154"/>
      <c r="S117" s="165" t="str">
        <f>L266</f>
        <v>LWM</v>
      </c>
      <c r="T117" s="153"/>
      <c r="U117" s="153"/>
      <c r="V117" s="153"/>
      <c r="W117" s="153"/>
      <c r="X117" s="154"/>
      <c r="Y117" s="165" t="str">
        <f>R266</f>
        <v>ATHS</v>
      </c>
      <c r="Z117" s="154"/>
      <c r="AA117" s="165" t="str">
        <f>Y266</f>
        <v>ATHE</v>
      </c>
      <c r="AB117" s="154"/>
      <c r="AC117" s="1"/>
      <c r="AD117" s="1"/>
      <c r="AE117" s="1"/>
      <c r="AF117" s="1"/>
      <c r="AG117" s="1"/>
      <c r="AH117" s="1"/>
      <c r="AI117" s="1"/>
      <c r="AJ117" s="1"/>
      <c r="AK117" s="1"/>
      <c r="AL117" s="1"/>
      <c r="AM117" s="1"/>
    </row>
    <row r="118" ht="29.25" customHeight="1">
      <c r="A118" s="142"/>
      <c r="B118" s="1"/>
      <c r="C118" s="163" t="str">
        <f t="shared" ref="C118:E118" si="59">B267</f>
        <v>Assets and Utilities</v>
      </c>
      <c r="D118" s="164" t="str">
        <f t="shared" si="59"/>
        <v>Housing</v>
      </c>
      <c r="E118" s="165" t="str">
        <f t="shared" si="59"/>
        <v>Public facilities </v>
      </c>
      <c r="F118" s="154"/>
      <c r="G118" s="165" t="str">
        <f>F267</f>
        <v>SWD</v>
      </c>
      <c r="H118" s="154"/>
      <c r="I118" s="165" t="str">
        <f>H267</f>
        <v>Sanitary facilities </v>
      </c>
      <c r="J118" s="153"/>
      <c r="K118" s="154"/>
      <c r="L118" s="165" t="str">
        <f>K267</f>
        <v>Sewer lines </v>
      </c>
      <c r="M118" s="153"/>
      <c r="N118" s="154"/>
      <c r="O118" s="165" t="str">
        <f>N267</f>
        <v>Power lines/supply</v>
      </c>
      <c r="P118" s="153"/>
      <c r="Q118" s="153"/>
      <c r="R118" s="154"/>
      <c r="S118" s="165" t="str">
        <f>R267</f>
        <v>Energy for HH use </v>
      </c>
      <c r="T118" s="153"/>
      <c r="U118" s="153"/>
      <c r="V118" s="154"/>
      <c r="W118" s="165" t="str">
        <f>U267</f>
        <v>Water pipes </v>
      </c>
      <c r="X118" s="154"/>
      <c r="Y118" s="164" t="str">
        <f t="shared" ref="Y118:AB118" si="60">X267</f>
        <v>PWT</v>
      </c>
      <c r="Z118" s="164" t="str">
        <f t="shared" si="60"/>
        <v>Water Storage</v>
      </c>
      <c r="AA118" s="164" t="str">
        <f t="shared" si="60"/>
        <v>R &amp; T</v>
      </c>
      <c r="AB118" s="164" t="str">
        <f t="shared" si="60"/>
        <v>Communication </v>
      </c>
      <c r="AC118" s="1"/>
      <c r="AD118" s="1"/>
      <c r="AE118" s="1"/>
      <c r="AF118" s="1"/>
      <c r="AG118" s="1"/>
      <c r="AH118" s="1"/>
      <c r="AI118" s="1"/>
      <c r="AJ118" s="1"/>
      <c r="AK118" s="1"/>
      <c r="AL118" s="1"/>
      <c r="AM118" s="1"/>
    </row>
    <row r="119" ht="29.25" customHeight="1">
      <c r="A119" s="142"/>
      <c r="B119" s="1"/>
      <c r="C119" s="163" t="str">
        <f t="shared" ref="C119:D119" si="61">B268</f>
        <v>Potable water </v>
      </c>
      <c r="D119" s="165" t="str">
        <f t="shared" si="61"/>
        <v>Access</v>
      </c>
      <c r="E119" s="153"/>
      <c r="F119" s="153"/>
      <c r="G119" s="153"/>
      <c r="H119" s="153"/>
      <c r="I119" s="153"/>
      <c r="J119" s="154"/>
      <c r="K119" s="165" t="str">
        <f>J268</f>
        <v>Scarcities </v>
      </c>
      <c r="L119" s="153"/>
      <c r="M119" s="153"/>
      <c r="N119" s="153"/>
      <c r="O119" s="153"/>
      <c r="P119" s="153"/>
      <c r="Q119" s="153"/>
      <c r="R119" s="153"/>
      <c r="S119" s="153"/>
      <c r="T119" s="153"/>
      <c r="U119" s="153"/>
      <c r="V119" s="153"/>
      <c r="W119" s="153"/>
      <c r="X119" s="154"/>
      <c r="Y119" s="165" t="str">
        <f t="shared" ref="Y119:Y120" si="63">X268</f>
        <v>Quality</v>
      </c>
      <c r="Z119" s="153"/>
      <c r="AA119" s="153"/>
      <c r="AB119" s="154"/>
      <c r="AC119" s="1"/>
      <c r="AD119" s="1"/>
      <c r="AE119" s="1"/>
      <c r="AF119" s="1"/>
      <c r="AG119" s="1"/>
      <c r="AH119" s="1"/>
      <c r="AI119" s="1"/>
      <c r="AJ119" s="1"/>
      <c r="AK119" s="1"/>
      <c r="AL119" s="1"/>
      <c r="AM119" s="1"/>
    </row>
    <row r="120" ht="29.25" customHeight="1">
      <c r="A120" s="142"/>
      <c r="B120" s="1"/>
      <c r="C120" s="163" t="str">
        <f t="shared" ref="C120:D120" si="62">B269</f>
        <v>EBS</v>
      </c>
      <c r="D120" s="165" t="str">
        <f t="shared" si="62"/>
        <v>Soil </v>
      </c>
      <c r="E120" s="154"/>
      <c r="F120" s="165" t="str">
        <f t="shared" ref="F120:F121" si="66">D269</f>
        <v>LC &amp; P</v>
      </c>
      <c r="G120" s="153"/>
      <c r="H120" s="154"/>
      <c r="I120" s="165" t="str">
        <f t="shared" ref="I120:I121" si="67">G269</f>
        <v>NV</v>
      </c>
      <c r="J120" s="153"/>
      <c r="K120" s="153"/>
      <c r="L120" s="154"/>
      <c r="M120" s="165" t="str">
        <f>J269</f>
        <v>Wetland </v>
      </c>
      <c r="N120" s="153"/>
      <c r="O120" s="153"/>
      <c r="P120" s="153"/>
      <c r="Q120" s="154"/>
      <c r="R120" s="165" t="str">
        <f>M269</f>
        <v>Biodiversity</v>
      </c>
      <c r="S120" s="153"/>
      <c r="T120" s="153"/>
      <c r="U120" s="153"/>
      <c r="V120" s="154"/>
      <c r="W120" s="165" t="str">
        <f>R269</f>
        <v>NWB</v>
      </c>
      <c r="X120" s="154"/>
      <c r="Y120" s="164" t="str">
        <f t="shared" si="63"/>
        <v>Sea</v>
      </c>
      <c r="Z120" s="164" t="str">
        <f t="shared" ref="Z120:AB120" si="64">Y269</f>
        <v>EF</v>
      </c>
      <c r="AA120" s="164" t="str">
        <f t="shared" si="64"/>
        <v>Land use </v>
      </c>
      <c r="AB120" s="164" t="str">
        <f t="shared" si="64"/>
        <v>Topography</v>
      </c>
      <c r="AC120" s="1"/>
      <c r="AD120" s="1"/>
      <c r="AE120" s="1"/>
      <c r="AF120" s="1"/>
      <c r="AG120" s="1"/>
      <c r="AH120" s="1"/>
      <c r="AI120" s="1"/>
      <c r="AJ120" s="1"/>
      <c r="AK120" s="1"/>
      <c r="AL120" s="1"/>
      <c r="AM120" s="1"/>
    </row>
    <row r="121" ht="28.5" customHeight="1">
      <c r="A121" s="142"/>
      <c r="B121" s="1"/>
      <c r="C121" s="163" t="str">
        <f t="shared" ref="C121:D121" si="65">B270</f>
        <v>Institutions</v>
      </c>
      <c r="D121" s="165" t="str">
        <f t="shared" si="65"/>
        <v>EWS</v>
      </c>
      <c r="E121" s="154"/>
      <c r="F121" s="165" t="str">
        <f t="shared" si="66"/>
        <v>A &amp; I</v>
      </c>
      <c r="G121" s="153"/>
      <c r="H121" s="154"/>
      <c r="I121" s="165" t="str">
        <f t="shared" si="67"/>
        <v>EC</v>
      </c>
      <c r="J121" s="153"/>
      <c r="K121" s="154"/>
      <c r="L121" s="165" t="str">
        <f>K270</f>
        <v>R/RP</v>
      </c>
      <c r="M121" s="153"/>
      <c r="N121" s="153"/>
      <c r="O121" s="154"/>
      <c r="P121" s="165" t="str">
        <f>O270</f>
        <v>HFO</v>
      </c>
      <c r="Q121" s="153"/>
      <c r="R121" s="153"/>
      <c r="S121" s="153"/>
      <c r="T121" s="153"/>
      <c r="U121" s="153"/>
      <c r="V121" s="153"/>
      <c r="W121" s="154"/>
      <c r="X121" s="165" t="str">
        <f>V270</f>
        <v>DP</v>
      </c>
      <c r="Y121" s="154"/>
      <c r="Z121" s="164" t="str">
        <f t="shared" ref="Z121:AB121" si="68">Y270</f>
        <v>DR</v>
      </c>
      <c r="AA121" s="164" t="str">
        <f t="shared" si="68"/>
        <v>PFR</v>
      </c>
      <c r="AB121" s="164" t="str">
        <f t="shared" si="68"/>
        <v>PFM</v>
      </c>
      <c r="AC121" s="1"/>
      <c r="AD121" s="1"/>
      <c r="AE121" s="1"/>
      <c r="AF121" s="1"/>
      <c r="AG121" s="1"/>
      <c r="AH121" s="1"/>
      <c r="AI121" s="1"/>
      <c r="AJ121" s="1"/>
      <c r="AK121" s="1"/>
      <c r="AL121" s="1"/>
      <c r="AM121" s="1"/>
    </row>
    <row r="122" ht="14.25" customHeight="1">
      <c r="A122" s="14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4.25" customHeight="1">
      <c r="A123" s="14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21.0" customHeight="1">
      <c r="A124" s="142"/>
      <c r="B124" s="1"/>
      <c r="C124" s="1"/>
      <c r="D124" s="1"/>
      <c r="E124" s="1"/>
      <c r="F124" s="1"/>
      <c r="G124" s="1"/>
      <c r="H124" s="157" t="s">
        <v>581</v>
      </c>
      <c r="I124" s="1"/>
      <c r="J124" s="158"/>
      <c r="K124" s="93" t="s">
        <v>582</v>
      </c>
      <c r="L124" s="1"/>
      <c r="M124" s="159"/>
      <c r="N124" s="93" t="s">
        <v>583</v>
      </c>
      <c r="O124" s="1"/>
      <c r="P124" s="1"/>
      <c r="Q124" s="160"/>
      <c r="R124" s="93" t="s">
        <v>584</v>
      </c>
      <c r="S124" s="1"/>
      <c r="T124" s="1"/>
      <c r="U124" s="1"/>
      <c r="V124" s="1"/>
      <c r="W124" s="1"/>
      <c r="X124" s="1"/>
      <c r="Y124" s="1"/>
      <c r="Z124" s="1"/>
      <c r="AA124" s="1"/>
      <c r="AB124" s="1"/>
      <c r="AC124" s="1"/>
      <c r="AD124" s="1"/>
      <c r="AE124" s="1"/>
      <c r="AF124" s="1"/>
      <c r="AG124" s="1"/>
      <c r="AH124" s="1"/>
      <c r="AI124" s="1"/>
      <c r="AJ124" s="1"/>
      <c r="AK124" s="1"/>
      <c r="AL124" s="1"/>
      <c r="AM124" s="1"/>
    </row>
    <row r="125" ht="43.5" customHeight="1">
      <c r="A125" s="14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43.5" customHeight="1">
      <c r="A126" s="14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7.5" customHeight="1">
      <c r="A127" s="142"/>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row>
    <row r="128" ht="27.75" customHeight="1">
      <c r="A128" s="142"/>
      <c r="B128" s="146" t="s">
        <v>603</v>
      </c>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62"/>
    </row>
    <row r="129" ht="7.5" customHeight="1">
      <c r="A129" s="142"/>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row>
    <row r="130" ht="14.25" customHeight="1">
      <c r="A130" s="14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21.0" customHeight="1">
      <c r="A131" s="142"/>
      <c r="B131" s="148" t="s">
        <v>578</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4.25" customHeight="1">
      <c r="A132" s="142"/>
      <c r="B132" s="149" t="s">
        <v>604</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49" t="s">
        <v>605</v>
      </c>
      <c r="AG132" s="1"/>
      <c r="AH132" s="1"/>
      <c r="AI132" s="1"/>
      <c r="AJ132" s="1"/>
      <c r="AK132" s="1"/>
      <c r="AL132" s="1"/>
      <c r="AM132" s="1"/>
    </row>
    <row r="133" ht="14.25" customHeight="1">
      <c r="A133" s="142"/>
      <c r="B133" s="150"/>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52.5" customHeight="1">
      <c r="A134" s="142"/>
      <c r="B134" s="1"/>
      <c r="C134" s="170"/>
      <c r="D134" s="171" t="str">
        <f>B280</f>
        <v>Livelihoods</v>
      </c>
      <c r="E134" s="172"/>
      <c r="F134" s="171" t="str">
        <f>D280</f>
        <v>Health &amp; Safety</v>
      </c>
      <c r="G134" s="173"/>
      <c r="H134" s="172"/>
      <c r="I134" s="171" t="str">
        <f>H280</f>
        <v>Assets and Utilities</v>
      </c>
      <c r="J134" s="173"/>
      <c r="K134" s="173"/>
      <c r="L134" s="172"/>
      <c r="M134" s="171" t="str">
        <f>N280</f>
        <v>Potable water </v>
      </c>
      <c r="N134" s="173"/>
      <c r="O134" s="172"/>
      <c r="P134" s="171" t="str">
        <f>U280</f>
        <v>EBS</v>
      </c>
      <c r="Q134" s="173"/>
      <c r="R134" s="173"/>
      <c r="S134" s="172"/>
      <c r="T134" s="171" t="str">
        <f>Y280</f>
        <v>Institutions</v>
      </c>
      <c r="U134" s="173"/>
      <c r="V134" s="173"/>
      <c r="W134" s="172"/>
      <c r="X134" s="1"/>
      <c r="Y134" s="1"/>
      <c r="Z134" s="1"/>
      <c r="AA134" s="1"/>
      <c r="AB134" s="1"/>
      <c r="AC134" s="1"/>
      <c r="AD134" s="1"/>
      <c r="AE134" s="1"/>
      <c r="AF134" s="1"/>
      <c r="AG134" s="1"/>
      <c r="AH134" s="1"/>
      <c r="AI134" s="1"/>
      <c r="AJ134" s="1"/>
      <c r="AK134" s="1"/>
      <c r="AL134" s="1"/>
      <c r="AM134" s="1"/>
    </row>
    <row r="135" ht="14.25" customHeight="1">
      <c r="A135" s="142"/>
      <c r="B135" s="150"/>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4.25" customHeight="1">
      <c r="A136" s="142"/>
      <c r="B136" s="150"/>
      <c r="C136" s="1"/>
      <c r="D136" s="1"/>
      <c r="E136" s="1"/>
      <c r="F136" s="1"/>
      <c r="G136" s="1"/>
      <c r="H136" s="157" t="s">
        <v>581</v>
      </c>
      <c r="I136" s="1"/>
      <c r="J136" s="158"/>
      <c r="K136" s="93" t="s">
        <v>582</v>
      </c>
      <c r="L136" s="1"/>
      <c r="M136" s="159"/>
      <c r="N136" s="93" t="s">
        <v>583</v>
      </c>
      <c r="O136" s="1"/>
      <c r="P136" s="1"/>
      <c r="Q136" s="160"/>
      <c r="R136" s="93" t="s">
        <v>584</v>
      </c>
      <c r="S136" s="1"/>
      <c r="T136" s="1"/>
      <c r="U136" s="1"/>
      <c r="V136" s="1"/>
      <c r="W136" s="1"/>
      <c r="X136" s="1"/>
      <c r="Y136" s="1"/>
      <c r="Z136" s="1"/>
      <c r="AA136" s="1"/>
      <c r="AB136" s="1"/>
      <c r="AC136" s="1"/>
      <c r="AD136" s="1"/>
      <c r="AE136" s="1"/>
      <c r="AF136" s="1"/>
      <c r="AG136" s="1"/>
      <c r="AH136" s="1"/>
      <c r="AI136" s="1"/>
      <c r="AJ136" s="1"/>
      <c r="AK136" s="1"/>
      <c r="AL136" s="1"/>
      <c r="AM136" s="1"/>
    </row>
    <row r="137" ht="14.25" customHeight="1">
      <c r="A137" s="142"/>
      <c r="B137" s="150"/>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4.25" customHeight="1">
      <c r="A138" s="142"/>
      <c r="B138" s="150"/>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4.25" customHeight="1">
      <c r="A139" s="142"/>
      <c r="B139" s="150"/>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4.25" customHeight="1">
      <c r="A140" s="142"/>
      <c r="B140" s="150"/>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4.25" customHeight="1">
      <c r="A141" s="142"/>
      <c r="B141" s="150"/>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4.25" customHeight="1">
      <c r="A142" s="142"/>
      <c r="B142" s="150"/>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4.25" customHeight="1">
      <c r="A143" s="142"/>
      <c r="B143" s="150"/>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21.0" customHeight="1">
      <c r="A144" s="142"/>
      <c r="B144" s="148"/>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4.25" customHeight="1">
      <c r="A145" s="142"/>
      <c r="B145" s="149" t="s">
        <v>606</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49" t="s">
        <v>607</v>
      </c>
      <c r="AG145" s="1"/>
      <c r="AH145" s="1"/>
      <c r="AI145" s="1"/>
      <c r="AJ145" s="1"/>
      <c r="AK145" s="1"/>
      <c r="AL145" s="1"/>
      <c r="AM145" s="1"/>
    </row>
    <row r="146" ht="14.25" customHeight="1">
      <c r="A146" s="142"/>
      <c r="B146" s="150"/>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30.0" customHeight="1">
      <c r="A147" s="142"/>
      <c r="B147" s="1"/>
      <c r="C147" s="163" t="str">
        <f t="shared" ref="C147:E147" si="69">B285</f>
        <v>Livelihoods</v>
      </c>
      <c r="D147" s="164" t="str">
        <f t="shared" si="69"/>
        <v>Food Security</v>
      </c>
      <c r="E147" s="165" t="str">
        <f t="shared" si="69"/>
        <v>Grazing/Farm Land</v>
      </c>
      <c r="F147" s="154"/>
      <c r="G147" s="165" t="str">
        <f>F285</f>
        <v>Crops</v>
      </c>
      <c r="H147" s="154"/>
      <c r="I147" s="165" t="str">
        <f>H285</f>
        <v>Livestock</v>
      </c>
      <c r="J147" s="153"/>
      <c r="K147" s="154"/>
      <c r="L147" s="165" t="str">
        <f>K285</f>
        <v>Fishstock</v>
      </c>
      <c r="M147" s="153"/>
      <c r="N147" s="154"/>
      <c r="O147" s="165" t="str">
        <f>N285</f>
        <v>Local commerce</v>
      </c>
      <c r="P147" s="153"/>
      <c r="Q147" s="153"/>
      <c r="R147" s="154"/>
      <c r="S147" s="165" t="str">
        <f>R285</f>
        <v>Gender </v>
      </c>
      <c r="T147" s="153"/>
      <c r="U147" s="153"/>
      <c r="V147" s="154"/>
      <c r="W147" s="165" t="str">
        <f>U285</f>
        <v>Conviviality </v>
      </c>
      <c r="X147" s="154"/>
      <c r="Y147" s="164" t="str">
        <f t="shared" ref="Y147:AB147" si="70">X285</f>
        <v>Education </v>
      </c>
      <c r="Z147" s="164" t="str">
        <f t="shared" si="70"/>
        <v>WFI/WFDU</v>
      </c>
      <c r="AA147" s="164" t="str">
        <f t="shared" si="70"/>
        <v>ATF/I</v>
      </c>
      <c r="AB147" s="164" t="str">
        <f t="shared" si="70"/>
        <v>Disaster Events</v>
      </c>
      <c r="AC147" s="1"/>
      <c r="AD147" s="1"/>
      <c r="AE147" s="1"/>
      <c r="AF147" s="1"/>
      <c r="AG147" s="1"/>
      <c r="AH147" s="1"/>
      <c r="AI147" s="1"/>
      <c r="AJ147" s="1"/>
      <c r="AK147" s="1"/>
      <c r="AL147" s="1"/>
      <c r="AM147" s="1"/>
    </row>
    <row r="148" ht="29.25" customHeight="1">
      <c r="A148" s="142"/>
      <c r="B148" s="1"/>
      <c r="C148" s="163" t="str">
        <f t="shared" ref="C148:D148" si="71">B286</f>
        <v>Health &amp; Safety</v>
      </c>
      <c r="D148" s="165" t="str">
        <f t="shared" si="71"/>
        <v>Borne Diseases</v>
      </c>
      <c r="E148" s="153"/>
      <c r="F148" s="154"/>
      <c r="G148" s="165" t="str">
        <f>D286</f>
        <v>SLUP&amp;C</v>
      </c>
      <c r="H148" s="153"/>
      <c r="I148" s="153"/>
      <c r="J148" s="153"/>
      <c r="K148" s="154"/>
      <c r="L148" s="165" t="str">
        <f>G286</f>
        <v>SWM</v>
      </c>
      <c r="M148" s="153"/>
      <c r="N148" s="153"/>
      <c r="O148" s="153"/>
      <c r="P148" s="153"/>
      <c r="Q148" s="153"/>
      <c r="R148" s="154"/>
      <c r="S148" s="165" t="str">
        <f>L286</f>
        <v>LWM</v>
      </c>
      <c r="T148" s="153"/>
      <c r="U148" s="153"/>
      <c r="V148" s="153"/>
      <c r="W148" s="153"/>
      <c r="X148" s="154"/>
      <c r="Y148" s="165" t="str">
        <f>R286</f>
        <v>ATHS</v>
      </c>
      <c r="Z148" s="154"/>
      <c r="AA148" s="165" t="str">
        <f>Y286</f>
        <v>ATHE</v>
      </c>
      <c r="AB148" s="154"/>
      <c r="AC148" s="1"/>
      <c r="AD148" s="1"/>
      <c r="AE148" s="1"/>
      <c r="AF148" s="1"/>
      <c r="AG148" s="1"/>
      <c r="AH148" s="1"/>
      <c r="AI148" s="1"/>
      <c r="AJ148" s="1"/>
      <c r="AK148" s="1"/>
      <c r="AL148" s="1"/>
      <c r="AM148" s="1"/>
    </row>
    <row r="149" ht="29.25" customHeight="1">
      <c r="A149" s="142"/>
      <c r="B149" s="1"/>
      <c r="C149" s="163" t="str">
        <f t="shared" ref="C149:E149" si="72">B287</f>
        <v>Assets and Utilities</v>
      </c>
      <c r="D149" s="164" t="str">
        <f t="shared" si="72"/>
        <v>Housing</v>
      </c>
      <c r="E149" s="165" t="str">
        <f t="shared" si="72"/>
        <v>Public facilities </v>
      </c>
      <c r="F149" s="154"/>
      <c r="G149" s="165" t="str">
        <f>F287</f>
        <v>SWD</v>
      </c>
      <c r="H149" s="154"/>
      <c r="I149" s="165" t="str">
        <f>H287</f>
        <v>Sanitary facilities </v>
      </c>
      <c r="J149" s="153"/>
      <c r="K149" s="154"/>
      <c r="L149" s="165" t="str">
        <f>K287</f>
        <v>Sewer lines </v>
      </c>
      <c r="M149" s="153"/>
      <c r="N149" s="154"/>
      <c r="O149" s="165" t="str">
        <f>N287</f>
        <v>Power lines/supply</v>
      </c>
      <c r="P149" s="153"/>
      <c r="Q149" s="153"/>
      <c r="R149" s="154"/>
      <c r="S149" s="165" t="str">
        <f>R287</f>
        <v>Energy for HH use </v>
      </c>
      <c r="T149" s="153"/>
      <c r="U149" s="153"/>
      <c r="V149" s="154"/>
      <c r="W149" s="165" t="str">
        <f>U287</f>
        <v>Water pipes </v>
      </c>
      <c r="X149" s="154"/>
      <c r="Y149" s="164" t="str">
        <f t="shared" ref="Y149:AB149" si="73">X287</f>
        <v>PWT</v>
      </c>
      <c r="Z149" s="164" t="str">
        <f t="shared" si="73"/>
        <v>Water Storage</v>
      </c>
      <c r="AA149" s="164" t="str">
        <f t="shared" si="73"/>
        <v>R &amp; T</v>
      </c>
      <c r="AB149" s="164" t="str">
        <f t="shared" si="73"/>
        <v>Communication </v>
      </c>
      <c r="AC149" s="1"/>
      <c r="AD149" s="1"/>
      <c r="AE149" s="1"/>
      <c r="AF149" s="1"/>
      <c r="AG149" s="1"/>
      <c r="AH149" s="1"/>
      <c r="AI149" s="1"/>
      <c r="AJ149" s="1"/>
      <c r="AK149" s="1"/>
      <c r="AL149" s="1"/>
      <c r="AM149" s="1"/>
    </row>
    <row r="150" ht="29.25" customHeight="1">
      <c r="A150" s="142"/>
      <c r="B150" s="1"/>
      <c r="C150" s="163" t="str">
        <f t="shared" ref="C150:D150" si="74">B288</f>
        <v>Potable water </v>
      </c>
      <c r="D150" s="165" t="str">
        <f t="shared" si="74"/>
        <v>Access</v>
      </c>
      <c r="E150" s="153"/>
      <c r="F150" s="153"/>
      <c r="G150" s="153"/>
      <c r="H150" s="153"/>
      <c r="I150" s="153"/>
      <c r="J150" s="154"/>
      <c r="K150" s="165" t="str">
        <f>J288</f>
        <v>Scarcities </v>
      </c>
      <c r="L150" s="153"/>
      <c r="M150" s="153"/>
      <c r="N150" s="153"/>
      <c r="O150" s="153"/>
      <c r="P150" s="153"/>
      <c r="Q150" s="153"/>
      <c r="R150" s="153"/>
      <c r="S150" s="153"/>
      <c r="T150" s="153"/>
      <c r="U150" s="153"/>
      <c r="V150" s="153"/>
      <c r="W150" s="153"/>
      <c r="X150" s="154"/>
      <c r="Y150" s="165" t="str">
        <f t="shared" ref="Y150:Y151" si="76">X288</f>
        <v>Quality</v>
      </c>
      <c r="Z150" s="153"/>
      <c r="AA150" s="153"/>
      <c r="AB150" s="154"/>
      <c r="AC150" s="1"/>
      <c r="AD150" s="1"/>
      <c r="AE150" s="1"/>
      <c r="AF150" s="1"/>
      <c r="AG150" s="1"/>
      <c r="AH150" s="1"/>
      <c r="AI150" s="1"/>
      <c r="AJ150" s="1"/>
      <c r="AK150" s="1"/>
      <c r="AL150" s="1"/>
      <c r="AM150" s="1"/>
    </row>
    <row r="151" ht="29.25" customHeight="1">
      <c r="A151" s="142"/>
      <c r="B151" s="1"/>
      <c r="C151" s="163" t="str">
        <f t="shared" ref="C151:D151" si="75">B289</f>
        <v>EBS</v>
      </c>
      <c r="D151" s="165" t="str">
        <f t="shared" si="75"/>
        <v>Soil </v>
      </c>
      <c r="E151" s="154"/>
      <c r="F151" s="165" t="str">
        <f t="shared" ref="F151:F152" si="79">D289</f>
        <v>LC &amp; P</v>
      </c>
      <c r="G151" s="153"/>
      <c r="H151" s="154"/>
      <c r="I151" s="165" t="str">
        <f t="shared" ref="I151:I152" si="80">G289</f>
        <v>NV</v>
      </c>
      <c r="J151" s="153"/>
      <c r="K151" s="153"/>
      <c r="L151" s="154"/>
      <c r="M151" s="165" t="str">
        <f>J289</f>
        <v>Wetland </v>
      </c>
      <c r="N151" s="153"/>
      <c r="O151" s="153"/>
      <c r="P151" s="153"/>
      <c r="Q151" s="154"/>
      <c r="R151" s="165" t="str">
        <f>M289</f>
        <v>Biodiversity</v>
      </c>
      <c r="S151" s="153"/>
      <c r="T151" s="153"/>
      <c r="U151" s="153"/>
      <c r="V151" s="154"/>
      <c r="W151" s="165" t="str">
        <f>R289</f>
        <v>NWB</v>
      </c>
      <c r="X151" s="154"/>
      <c r="Y151" s="164" t="str">
        <f t="shared" si="76"/>
        <v>Sea</v>
      </c>
      <c r="Z151" s="164" t="str">
        <f t="shared" ref="Z151:AB151" si="77">Y289</f>
        <v>EF</v>
      </c>
      <c r="AA151" s="164" t="str">
        <f t="shared" si="77"/>
        <v>Land use </v>
      </c>
      <c r="AB151" s="164" t="str">
        <f t="shared" si="77"/>
        <v>Topography</v>
      </c>
      <c r="AC151" s="1"/>
      <c r="AD151" s="1"/>
      <c r="AE151" s="1"/>
      <c r="AF151" s="1"/>
      <c r="AG151" s="1"/>
      <c r="AH151" s="1"/>
      <c r="AI151" s="1"/>
      <c r="AJ151" s="1"/>
      <c r="AK151" s="1"/>
      <c r="AL151" s="1"/>
      <c r="AM151" s="1"/>
    </row>
    <row r="152" ht="24.0" customHeight="1">
      <c r="A152" s="142"/>
      <c r="B152" s="1"/>
      <c r="C152" s="163" t="str">
        <f t="shared" ref="C152:D152" si="78">B290</f>
        <v>Institutions</v>
      </c>
      <c r="D152" s="165" t="str">
        <f t="shared" si="78"/>
        <v>EWS</v>
      </c>
      <c r="E152" s="154"/>
      <c r="F152" s="165" t="str">
        <f t="shared" si="79"/>
        <v>A &amp; I</v>
      </c>
      <c r="G152" s="153"/>
      <c r="H152" s="154"/>
      <c r="I152" s="165" t="str">
        <f t="shared" si="80"/>
        <v>EC</v>
      </c>
      <c r="J152" s="153"/>
      <c r="K152" s="154"/>
      <c r="L152" s="165" t="str">
        <f>K290</f>
        <v>R/RP</v>
      </c>
      <c r="M152" s="153"/>
      <c r="N152" s="153"/>
      <c r="O152" s="154"/>
      <c r="P152" s="165" t="str">
        <f>O290</f>
        <v>HFO</v>
      </c>
      <c r="Q152" s="153"/>
      <c r="R152" s="153"/>
      <c r="S152" s="153"/>
      <c r="T152" s="153"/>
      <c r="U152" s="153"/>
      <c r="V152" s="153"/>
      <c r="W152" s="154"/>
      <c r="X152" s="165" t="str">
        <f>V290</f>
        <v>DP</v>
      </c>
      <c r="Y152" s="154"/>
      <c r="Z152" s="164" t="str">
        <f t="shared" ref="Z152:AB152" si="81">Y290</f>
        <v>DR</v>
      </c>
      <c r="AA152" s="164" t="str">
        <f t="shared" si="81"/>
        <v>PFR</v>
      </c>
      <c r="AB152" s="164" t="str">
        <f t="shared" si="81"/>
        <v>PFM</v>
      </c>
      <c r="AC152" s="1"/>
      <c r="AD152" s="1"/>
      <c r="AE152" s="1"/>
      <c r="AF152" s="1"/>
      <c r="AG152" s="1"/>
      <c r="AH152" s="1"/>
      <c r="AI152" s="1"/>
      <c r="AJ152" s="1"/>
      <c r="AK152" s="1"/>
      <c r="AL152" s="1"/>
      <c r="AM152" s="1"/>
    </row>
    <row r="153" ht="18.75" customHeight="1">
      <c r="A153" s="14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4.25" customHeight="1">
      <c r="A154" s="14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21.0" customHeight="1">
      <c r="A155" s="142"/>
      <c r="B155" s="1"/>
      <c r="C155" s="1"/>
      <c r="D155" s="1"/>
      <c r="E155" s="1"/>
      <c r="F155" s="1"/>
      <c r="G155" s="1"/>
      <c r="H155" s="157" t="s">
        <v>581</v>
      </c>
      <c r="I155" s="1"/>
      <c r="J155" s="158"/>
      <c r="K155" s="93" t="s">
        <v>582</v>
      </c>
      <c r="L155" s="1"/>
      <c r="M155" s="159"/>
      <c r="N155" s="93" t="s">
        <v>583</v>
      </c>
      <c r="O155" s="1"/>
      <c r="P155" s="1"/>
      <c r="Q155" s="160"/>
      <c r="R155" s="93" t="s">
        <v>584</v>
      </c>
      <c r="S155" s="1"/>
      <c r="T155" s="1"/>
      <c r="U155" s="1"/>
      <c r="V155" s="1"/>
      <c r="W155" s="1"/>
      <c r="X155" s="1"/>
      <c r="Y155" s="1"/>
      <c r="Z155" s="1"/>
      <c r="AA155" s="1"/>
      <c r="AB155" s="1"/>
      <c r="AC155" s="1"/>
      <c r="AD155" s="1"/>
      <c r="AE155" s="1"/>
      <c r="AF155" s="1"/>
      <c r="AG155" s="1"/>
      <c r="AH155" s="1"/>
      <c r="AI155" s="1"/>
      <c r="AJ155" s="1"/>
      <c r="AK155" s="1"/>
      <c r="AL155" s="1"/>
      <c r="AM155" s="1"/>
    </row>
    <row r="156" ht="21.0" customHeight="1">
      <c r="A156" s="14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43.5" customHeight="1">
      <c r="A157" s="14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39.75" customHeight="1"/>
    <row r="169" ht="14.25" customHeight="1"/>
    <row r="170" ht="34.5" customHeight="1"/>
    <row r="171" ht="14.25" customHeight="1"/>
    <row r="172" ht="14.25" customHeight="1"/>
    <row r="173" ht="14.25" customHeight="1"/>
    <row r="174" ht="57.75" customHeight="1"/>
    <row r="175" ht="14.25" customHeight="1"/>
    <row r="176" ht="14.25" customHeight="1"/>
    <row r="177" ht="35.25" customHeight="1"/>
    <row r="178" ht="14.25" customHeight="1"/>
    <row r="179" ht="14.25" customHeight="1"/>
    <row r="180" ht="34.5" customHeight="1"/>
    <row r="181" ht="14.25" customHeight="1"/>
    <row r="182" ht="14.25" customHeight="1"/>
    <row r="183" ht="14.25" customHeight="1"/>
    <row r="184" ht="14.25" customHeight="1"/>
    <row r="185" ht="14.25" customHeight="1"/>
    <row r="186" ht="14.25" customHeight="1"/>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AN188" s="1"/>
      <c r="AO188" s="1"/>
      <c r="AP188" s="1"/>
      <c r="AQ188" s="1"/>
      <c r="AR188" s="1"/>
      <c r="AS188" s="1"/>
      <c r="AT188" s="1"/>
      <c r="AU188" s="1"/>
      <c r="AW188" s="1"/>
      <c r="AX188" s="1"/>
      <c r="AY188" s="1"/>
      <c r="AZ188" s="1"/>
      <c r="BA188" s="1"/>
      <c r="BB188" s="1"/>
      <c r="BC188" s="1"/>
    </row>
    <row r="189" ht="14.25" customHeight="1">
      <c r="A189" s="1"/>
      <c r="B189" s="174" t="s">
        <v>608</v>
      </c>
      <c r="C189" s="1"/>
      <c r="D189" s="1"/>
      <c r="E189" s="1"/>
      <c r="F189" s="1"/>
      <c r="G189" s="1"/>
      <c r="H189" s="1"/>
      <c r="I189" s="1"/>
      <c r="J189" s="1"/>
      <c r="K189" s="1"/>
      <c r="L189" s="1"/>
      <c r="M189" s="1"/>
      <c r="N189" s="1"/>
      <c r="O189" s="1"/>
      <c r="P189" s="1"/>
      <c r="Q189" s="1"/>
      <c r="R189" s="1"/>
      <c r="S189" s="1"/>
      <c r="T189" s="1"/>
      <c r="U189" s="1"/>
      <c r="V189" s="1"/>
      <c r="W189" s="1"/>
      <c r="AN189" s="1"/>
      <c r="AO189" s="60"/>
      <c r="AP189" s="60"/>
      <c r="AQ189" s="60"/>
      <c r="AR189" s="1"/>
      <c r="AS189" s="1"/>
      <c r="AT189" s="1"/>
      <c r="AU189" s="1"/>
      <c r="AW189" s="1"/>
      <c r="AX189" s="1"/>
      <c r="AY189" s="1"/>
      <c r="AZ189" s="1"/>
      <c r="BA189" s="1"/>
      <c r="BB189" s="1"/>
      <c r="BC189" s="1"/>
    </row>
    <row r="190" ht="14.25" customHeight="1">
      <c r="A190" s="1"/>
      <c r="B190" s="175"/>
      <c r="C190" s="176" t="str">
        <f>$X$338</f>
        <v>Temperature</v>
      </c>
      <c r="D190" s="177" t="str">
        <f>Y338</f>
        <v>App or Freq</v>
      </c>
      <c r="E190" s="69"/>
      <c r="F190" s="69"/>
      <c r="G190" s="69"/>
      <c r="H190" s="69"/>
      <c r="I190" s="69"/>
      <c r="J190" s="69"/>
      <c r="K190" s="178"/>
      <c r="L190" s="179" t="str">
        <f>Y339</f>
        <v>Intensity</v>
      </c>
      <c r="M190" s="69"/>
      <c r="N190" s="69"/>
      <c r="O190" s="69"/>
      <c r="P190" s="69"/>
      <c r="Q190" s="69"/>
      <c r="R190" s="69"/>
      <c r="S190" s="69"/>
      <c r="T190" s="178"/>
      <c r="U190" s="177" t="str">
        <f>Y340</f>
        <v>Impact</v>
      </c>
      <c r="V190" s="69"/>
      <c r="W190" s="69"/>
      <c r="X190" s="69"/>
      <c r="Y190" s="69"/>
      <c r="Z190" s="178"/>
      <c r="AB190" s="180" t="s">
        <v>609</v>
      </c>
      <c r="AC190" s="181"/>
      <c r="AD190" s="181" t="str">
        <f>Z337</f>
        <v>Rating?</v>
      </c>
      <c r="AE190" s="1"/>
      <c r="AF190" s="182" t="str">
        <f>AC337</f>
        <v>Exposure</v>
      </c>
      <c r="AG190" s="183"/>
      <c r="AH190" s="181"/>
      <c r="AI190" s="1"/>
      <c r="AJ190" s="180" t="str">
        <f>AI337</f>
        <v>Sensitivity</v>
      </c>
      <c r="AK190" s="181"/>
      <c r="AL190" s="71"/>
      <c r="AM190" s="1"/>
      <c r="AN190" s="184" t="str">
        <f>AO337</f>
        <v>Adaptive Capacity</v>
      </c>
      <c r="AO190" s="184"/>
      <c r="AP190" s="1"/>
      <c r="AQ190" s="1"/>
      <c r="AR190" s="185" t="s">
        <v>610</v>
      </c>
      <c r="AS190" s="186"/>
      <c r="AU190" s="187"/>
      <c r="AV190" s="187"/>
      <c r="AW190" s="188" t="s">
        <v>611</v>
      </c>
      <c r="AX190" s="188"/>
    </row>
    <row r="191" ht="14.25" customHeight="1">
      <c r="A191" s="1"/>
      <c r="B191" s="1"/>
      <c r="C191" s="176" t="str">
        <f>$X$342</f>
        <v>Intense Precipitation </v>
      </c>
      <c r="D191" s="177" t="str">
        <f>Y342</f>
        <v>App or Freq</v>
      </c>
      <c r="E191" s="69"/>
      <c r="F191" s="69"/>
      <c r="G191" s="69"/>
      <c r="H191" s="69"/>
      <c r="I191" s="69"/>
      <c r="J191" s="69"/>
      <c r="K191" s="178"/>
      <c r="L191" s="179" t="str">
        <f>Y343</f>
        <v>Intensity</v>
      </c>
      <c r="M191" s="69"/>
      <c r="N191" s="69"/>
      <c r="O191" s="69"/>
      <c r="P191" s="69"/>
      <c r="Q191" s="69"/>
      <c r="R191" s="69"/>
      <c r="S191" s="69"/>
      <c r="T191" s="178"/>
      <c r="U191" s="177" t="str">
        <f>Y344</f>
        <v>Impact</v>
      </c>
      <c r="V191" s="69"/>
      <c r="W191" s="69"/>
      <c r="X191" s="69"/>
      <c r="Y191" s="69"/>
      <c r="Z191" s="178"/>
      <c r="AB191" s="189">
        <v>1.0</v>
      </c>
      <c r="AC191" s="190" t="str">
        <f t="shared" ref="AC191:AD191" si="82">X338</f>
        <v>Temperature</v>
      </c>
      <c r="AD191" s="191" t="str">
        <f t="shared" si="82"/>
        <v>App or Freq</v>
      </c>
      <c r="AE191" s="192" t="str">
        <f t="shared" ref="AE191:AH191" si="83">AB338</f>
        <v>High</v>
      </c>
      <c r="AF191" s="190">
        <f t="shared" si="83"/>
        <v>1</v>
      </c>
      <c r="AG191" s="190" t="str">
        <f t="shared" si="83"/>
        <v>Livelihoods</v>
      </c>
      <c r="AH191" s="193" t="str">
        <f t="shared" si="83"/>
        <v>Food Security</v>
      </c>
      <c r="AI191" s="194" t="str">
        <f t="shared" ref="AI191:AL191" si="84">AH338</f>
        <v>Low</v>
      </c>
      <c r="AJ191" s="190">
        <f t="shared" si="84"/>
        <v>1</v>
      </c>
      <c r="AK191" s="190" t="str">
        <f t="shared" si="84"/>
        <v>Livelihoods</v>
      </c>
      <c r="AL191" s="190" t="str">
        <f t="shared" si="84"/>
        <v>Food Security</v>
      </c>
      <c r="AM191" s="194" t="str">
        <f t="shared" ref="AM191:AP191" si="85">AN338</f>
        <v>Low</v>
      </c>
      <c r="AN191" s="191">
        <f t="shared" si="85"/>
        <v>1</v>
      </c>
      <c r="AO191" s="191" t="str">
        <f t="shared" si="85"/>
        <v>Livelihoods</v>
      </c>
      <c r="AP191" s="191" t="str">
        <f t="shared" si="85"/>
        <v>Food Security</v>
      </c>
      <c r="AQ191" s="195" t="str">
        <f t="shared" ref="AQ191:AQ202" si="86">AT338</f>
        <v>Good</v>
      </c>
      <c r="AR191" s="196" t="str">
        <f>$AK$191</f>
        <v>Livelihoods</v>
      </c>
      <c r="AS191" s="197" t="str">
        <f t="shared" ref="AS191:AS196" si="87">BJ338</f>
        <v>Low</v>
      </c>
      <c r="AU191" s="96"/>
      <c r="AV191" s="96"/>
      <c r="AW191" s="198" t="str">
        <f t="shared" ref="AW191:AW196" si="88">AR198</f>
        <v>Livelihoods</v>
      </c>
      <c r="AX191" s="199" t="str">
        <f t="shared" ref="AX191:AX196" si="89">BJ354</f>
        <v>Low</v>
      </c>
    </row>
    <row r="192" ht="14.25" customHeight="1">
      <c r="A192" s="1"/>
      <c r="B192" s="1"/>
      <c r="C192" s="176" t="str">
        <f>$X$346</f>
        <v>Droughts</v>
      </c>
      <c r="D192" s="177" t="str">
        <f>Y346</f>
        <v>App or Freq</v>
      </c>
      <c r="E192" s="69"/>
      <c r="F192" s="69"/>
      <c r="G192" s="69"/>
      <c r="H192" s="178"/>
      <c r="I192" s="177" t="str">
        <f>Y347</f>
        <v>Timing</v>
      </c>
      <c r="J192" s="69"/>
      <c r="K192" s="69"/>
      <c r="L192" s="69"/>
      <c r="M192" s="69"/>
      <c r="N192" s="69"/>
      <c r="O192" s="69"/>
      <c r="P192" s="178"/>
      <c r="Q192" s="177" t="str">
        <f>Y348</f>
        <v>Intensity</v>
      </c>
      <c r="R192" s="69"/>
      <c r="S192" s="69"/>
      <c r="T192" s="69"/>
      <c r="U192" s="69"/>
      <c r="V192" s="69"/>
      <c r="W192" s="178"/>
      <c r="X192" s="177" t="str">
        <f>Y349</f>
        <v>Impact</v>
      </c>
      <c r="Y192" s="69"/>
      <c r="Z192" s="178"/>
      <c r="AB192" s="200"/>
      <c r="AC192" s="190"/>
      <c r="AD192" s="191" t="str">
        <f t="shared" ref="AD192:AD194" si="90">Y339</f>
        <v>Intensity</v>
      </c>
      <c r="AE192" s="192" t="str">
        <f t="shared" ref="AE192:AE193" si="91">AB339</f>
        <v>Low</v>
      </c>
      <c r="AF192" s="190"/>
      <c r="AG192" s="190"/>
      <c r="AH192" s="193" t="str">
        <f t="shared" ref="AH192:AH202" si="92">AE339</f>
        <v>Grazing/Farm Land</v>
      </c>
      <c r="AI192" s="194" t="str">
        <f t="shared" ref="AI192:AI202" si="93">AH339</f>
        <v>Low</v>
      </c>
      <c r="AJ192" s="190"/>
      <c r="AK192" s="190"/>
      <c r="AL192" s="190" t="str">
        <f t="shared" ref="AL192:AL202" si="94">AK339</f>
        <v>Grazing/Farm Land</v>
      </c>
      <c r="AM192" s="194" t="str">
        <f t="shared" ref="AM192:AM202" si="95">AN339</f>
        <v>Low</v>
      </c>
      <c r="AN192" s="191"/>
      <c r="AO192" s="191"/>
      <c r="AP192" s="191" t="str">
        <f t="shared" ref="AP192:AP202" si="96">AQ339</f>
        <v>Grazing/Farm Land</v>
      </c>
      <c r="AQ192" s="195" t="str">
        <f t="shared" si="86"/>
        <v>Good</v>
      </c>
      <c r="AR192" s="196" t="str">
        <f>$AK$204</f>
        <v>Health &amp; Safety</v>
      </c>
      <c r="AS192" s="197" t="str">
        <f t="shared" si="87"/>
        <v>Low</v>
      </c>
      <c r="AU192" s="96"/>
      <c r="AV192" s="96"/>
      <c r="AW192" s="198" t="str">
        <f t="shared" si="88"/>
        <v>Health &amp; Safety</v>
      </c>
      <c r="AX192" s="199" t="str">
        <f t="shared" si="89"/>
        <v>Low</v>
      </c>
    </row>
    <row r="193" ht="15.75" customHeight="1">
      <c r="A193" s="1"/>
      <c r="B193" s="1"/>
      <c r="C193" s="176" t="str">
        <f>$X$351</f>
        <v>Flooding</v>
      </c>
      <c r="D193" s="177" t="str">
        <f>Y351</f>
        <v>App or Freq</v>
      </c>
      <c r="E193" s="69"/>
      <c r="F193" s="178"/>
      <c r="G193" s="177" t="str">
        <f>Y352</f>
        <v>Timing</v>
      </c>
      <c r="H193" s="69"/>
      <c r="I193" s="69"/>
      <c r="J193" s="69"/>
      <c r="K193" s="69"/>
      <c r="L193" s="178"/>
      <c r="M193" s="177" t="str">
        <f>Y353</f>
        <v>Intensity</v>
      </c>
      <c r="N193" s="69"/>
      <c r="O193" s="69"/>
      <c r="P193" s="69"/>
      <c r="Q193" s="69"/>
      <c r="R193" s="178"/>
      <c r="S193" s="177" t="str">
        <f>Y354</f>
        <v>Extent</v>
      </c>
      <c r="T193" s="69"/>
      <c r="U193" s="69"/>
      <c r="V193" s="69"/>
      <c r="W193" s="178"/>
      <c r="X193" s="177" t="str">
        <f>Y355</f>
        <v>Impact</v>
      </c>
      <c r="Y193" s="69"/>
      <c r="Z193" s="178"/>
      <c r="AB193" s="201"/>
      <c r="AC193" s="190"/>
      <c r="AD193" s="191" t="str">
        <f t="shared" si="90"/>
        <v>Impact</v>
      </c>
      <c r="AE193" s="192" t="str">
        <f t="shared" si="91"/>
        <v>Low</v>
      </c>
      <c r="AF193" s="190"/>
      <c r="AG193" s="190"/>
      <c r="AH193" s="193" t="str">
        <f t="shared" si="92"/>
        <v>Crops</v>
      </c>
      <c r="AI193" s="194" t="str">
        <f t="shared" si="93"/>
        <v>Low</v>
      </c>
      <c r="AJ193" s="190"/>
      <c r="AK193" s="190"/>
      <c r="AL193" s="190" t="str">
        <f t="shared" si="94"/>
        <v>Crops</v>
      </c>
      <c r="AM193" s="194" t="str">
        <f t="shared" si="95"/>
        <v>Low</v>
      </c>
      <c r="AN193" s="191"/>
      <c r="AO193" s="191"/>
      <c r="AP193" s="191" t="str">
        <f t="shared" si="96"/>
        <v>Crops</v>
      </c>
      <c r="AQ193" s="195" t="str">
        <f t="shared" si="86"/>
        <v>Good</v>
      </c>
      <c r="AR193" s="196" t="str">
        <f>$AK$211</f>
        <v>Assets and Utilities</v>
      </c>
      <c r="AS193" s="197" t="str">
        <f t="shared" si="87"/>
        <v>Low</v>
      </c>
      <c r="AU193" s="96"/>
      <c r="AV193" s="96"/>
      <c r="AW193" s="198" t="str">
        <f t="shared" si="88"/>
        <v>Assets and Utilities</v>
      </c>
      <c r="AX193" s="199" t="str">
        <f t="shared" si="89"/>
        <v>Low</v>
      </c>
    </row>
    <row r="194" ht="14.25" customHeight="1">
      <c r="A194" s="1"/>
      <c r="B194" s="1"/>
      <c r="C194" s="176" t="str">
        <f>$X$357</f>
        <v>Flash Floods</v>
      </c>
      <c r="D194" s="177" t="str">
        <f>Y357</f>
        <v>App or Freq</v>
      </c>
      <c r="E194" s="69"/>
      <c r="F194" s="178"/>
      <c r="G194" s="177" t="str">
        <f>Y358</f>
        <v>Timing</v>
      </c>
      <c r="H194" s="69"/>
      <c r="I194" s="69"/>
      <c r="J194" s="69"/>
      <c r="K194" s="69"/>
      <c r="L194" s="178"/>
      <c r="M194" s="177" t="str">
        <f>Y359</f>
        <v>Intensity</v>
      </c>
      <c r="N194" s="69"/>
      <c r="O194" s="69"/>
      <c r="P194" s="69"/>
      <c r="Q194" s="69"/>
      <c r="R194" s="178"/>
      <c r="S194" s="177" t="str">
        <f>Y360</f>
        <v>Extent</v>
      </c>
      <c r="T194" s="69"/>
      <c r="U194" s="69"/>
      <c r="V194" s="69"/>
      <c r="W194" s="178"/>
      <c r="X194" s="177" t="str">
        <f>Y361</f>
        <v>Impact</v>
      </c>
      <c r="Y194" s="69"/>
      <c r="Z194" s="178"/>
      <c r="AB194" s="202" t="str">
        <f>" "</f>
        <v> </v>
      </c>
      <c r="AC194" s="203"/>
      <c r="AD194" s="204" t="str">
        <f t="shared" si="90"/>
        <v> </v>
      </c>
      <c r="AE194" s="205"/>
      <c r="AF194" s="190"/>
      <c r="AG194" s="190"/>
      <c r="AH194" s="193" t="str">
        <f t="shared" si="92"/>
        <v>Livestock</v>
      </c>
      <c r="AI194" s="194" t="str">
        <f t="shared" si="93"/>
        <v>Low</v>
      </c>
      <c r="AJ194" s="190"/>
      <c r="AK194" s="190"/>
      <c r="AL194" s="190" t="str">
        <f t="shared" si="94"/>
        <v>Livestock</v>
      </c>
      <c r="AM194" s="194" t="str">
        <f t="shared" si="95"/>
        <v>Low</v>
      </c>
      <c r="AN194" s="191"/>
      <c r="AO194" s="191"/>
      <c r="AP194" s="191" t="str">
        <f t="shared" si="96"/>
        <v>Livestock</v>
      </c>
      <c r="AQ194" s="195" t="str">
        <f t="shared" si="86"/>
        <v>Good</v>
      </c>
      <c r="AR194" s="196" t="str">
        <f>$AK$224</f>
        <v>Potable water </v>
      </c>
      <c r="AS194" s="197" t="str">
        <f t="shared" si="87"/>
        <v>Low</v>
      </c>
      <c r="AU194" s="96"/>
      <c r="AV194" s="96"/>
      <c r="AW194" s="198" t="str">
        <f t="shared" si="88"/>
        <v>Potable water </v>
      </c>
      <c r="AX194" s="199" t="str">
        <f t="shared" si="89"/>
        <v>Low</v>
      </c>
    </row>
    <row r="195" ht="14.25" customHeight="1">
      <c r="A195" s="1"/>
      <c r="B195" s="1"/>
      <c r="C195" s="176" t="str">
        <f>$X$363</f>
        <v>Storms &amp; Upper Winds</v>
      </c>
      <c r="D195" s="177" t="str">
        <f>Y363</f>
        <v>App or Freq</v>
      </c>
      <c r="E195" s="69"/>
      <c r="F195" s="69"/>
      <c r="G195" s="69"/>
      <c r="H195" s="69"/>
      <c r="I195" s="69"/>
      <c r="J195" s="69"/>
      <c r="K195" s="178"/>
      <c r="L195" s="179" t="str">
        <f>Y364</f>
        <v>Intensity</v>
      </c>
      <c r="M195" s="69"/>
      <c r="N195" s="69"/>
      <c r="O195" s="69"/>
      <c r="P195" s="69"/>
      <c r="Q195" s="69"/>
      <c r="R195" s="69"/>
      <c r="S195" s="69"/>
      <c r="T195" s="178"/>
      <c r="U195" s="177" t="str">
        <f>Y365</f>
        <v>Impact</v>
      </c>
      <c r="V195" s="69"/>
      <c r="W195" s="69"/>
      <c r="X195" s="69"/>
      <c r="Y195" s="69"/>
      <c r="Z195" s="178"/>
      <c r="AB195" s="189">
        <v>2.0</v>
      </c>
      <c r="AC195" s="190" t="str">
        <f t="shared" ref="AC195:AD195" si="97">X342</f>
        <v>Intense Precipitation </v>
      </c>
      <c r="AD195" s="191" t="str">
        <f t="shared" si="97"/>
        <v>App or Freq</v>
      </c>
      <c r="AE195" s="192" t="str">
        <f t="shared" ref="AE195:AE197" si="98">AB342</f>
        <v>Low</v>
      </c>
      <c r="AF195" s="190"/>
      <c r="AG195" s="190"/>
      <c r="AH195" s="193" t="str">
        <f t="shared" si="92"/>
        <v>Fishstock</v>
      </c>
      <c r="AI195" s="194" t="str">
        <f t="shared" si="93"/>
        <v>Low</v>
      </c>
      <c r="AJ195" s="190"/>
      <c r="AK195" s="190"/>
      <c r="AL195" s="190" t="str">
        <f t="shared" si="94"/>
        <v>Fishstock</v>
      </c>
      <c r="AM195" s="194" t="str">
        <f t="shared" si="95"/>
        <v>Low</v>
      </c>
      <c r="AN195" s="191"/>
      <c r="AO195" s="191"/>
      <c r="AP195" s="191" t="str">
        <f t="shared" si="96"/>
        <v>Fishstock</v>
      </c>
      <c r="AQ195" s="195" t="str">
        <f t="shared" si="86"/>
        <v>Good</v>
      </c>
      <c r="AR195" s="196" t="str">
        <f>$AK$228</f>
        <v>EBS</v>
      </c>
      <c r="AS195" s="197" t="str">
        <f t="shared" si="87"/>
        <v>Low</v>
      </c>
      <c r="AU195" s="96"/>
      <c r="AV195" s="96"/>
      <c r="AW195" s="198" t="str">
        <f t="shared" si="88"/>
        <v>EBS</v>
      </c>
      <c r="AX195" s="199" t="str">
        <f t="shared" si="89"/>
        <v>Low</v>
      </c>
    </row>
    <row r="196" ht="14.25" customHeight="1">
      <c r="A196" s="1"/>
      <c r="B196" s="1"/>
      <c r="C196" s="176" t="str">
        <f>$X$367</f>
        <v>Pollution</v>
      </c>
      <c r="D196" s="177" t="str">
        <f>Y367</f>
        <v>App or Freq</v>
      </c>
      <c r="E196" s="69"/>
      <c r="F196" s="69"/>
      <c r="G196" s="69"/>
      <c r="H196" s="69"/>
      <c r="I196" s="69"/>
      <c r="J196" s="69"/>
      <c r="K196" s="178"/>
      <c r="L196" s="179" t="str">
        <f>Y368</f>
        <v>Intensity</v>
      </c>
      <c r="M196" s="69"/>
      <c r="N196" s="69"/>
      <c r="O196" s="69"/>
      <c r="P196" s="69"/>
      <c r="Q196" s="69"/>
      <c r="R196" s="69"/>
      <c r="S196" s="69"/>
      <c r="T196" s="178"/>
      <c r="U196" s="177" t="str">
        <f>Y369</f>
        <v>Impact</v>
      </c>
      <c r="V196" s="69"/>
      <c r="W196" s="69"/>
      <c r="X196" s="69"/>
      <c r="Y196" s="69"/>
      <c r="Z196" s="178"/>
      <c r="AB196" s="200"/>
      <c r="AC196" s="190"/>
      <c r="AD196" s="191" t="str">
        <f t="shared" ref="AD196:AD197" si="99">Y343</f>
        <v>Intensity</v>
      </c>
      <c r="AE196" s="192" t="str">
        <f t="shared" si="98"/>
        <v>Low</v>
      </c>
      <c r="AF196" s="190"/>
      <c r="AG196" s="190"/>
      <c r="AH196" s="193" t="str">
        <f t="shared" si="92"/>
        <v>Local commerce</v>
      </c>
      <c r="AI196" s="194" t="str">
        <f t="shared" si="93"/>
        <v>Low</v>
      </c>
      <c r="AJ196" s="190"/>
      <c r="AK196" s="190"/>
      <c r="AL196" s="190" t="str">
        <f t="shared" si="94"/>
        <v>Local commerce</v>
      </c>
      <c r="AM196" s="194" t="str">
        <f t="shared" si="95"/>
        <v>Low</v>
      </c>
      <c r="AN196" s="191"/>
      <c r="AO196" s="191"/>
      <c r="AP196" s="191" t="str">
        <f t="shared" si="96"/>
        <v>Local commerce</v>
      </c>
      <c r="AQ196" s="195" t="str">
        <f t="shared" si="86"/>
        <v>Good</v>
      </c>
      <c r="AR196" s="196" t="str">
        <f>$AK$239</f>
        <v>Institutions</v>
      </c>
      <c r="AS196" s="197" t="str">
        <f t="shared" si="87"/>
        <v>Low</v>
      </c>
      <c r="AU196" s="96"/>
      <c r="AV196" s="96"/>
      <c r="AW196" s="198" t="str">
        <f t="shared" si="88"/>
        <v>Institutions</v>
      </c>
      <c r="AX196" s="199" t="str">
        <f t="shared" si="89"/>
        <v>Low</v>
      </c>
    </row>
    <row r="197" ht="15.75" customHeight="1">
      <c r="A197" s="1"/>
      <c r="B197" s="1"/>
      <c r="C197" s="176" t="str">
        <f>$X$371</f>
        <v>LUI</v>
      </c>
      <c r="D197" s="177" t="str">
        <f>Y371</f>
        <v>Applicability</v>
      </c>
      <c r="E197" s="69"/>
      <c r="F197" s="69"/>
      <c r="G197" s="69"/>
      <c r="H197" s="69"/>
      <c r="I197" s="69"/>
      <c r="J197" s="69"/>
      <c r="K197" s="178"/>
      <c r="L197" s="179" t="str">
        <f>Y372</f>
        <v>Impact</v>
      </c>
      <c r="M197" s="69"/>
      <c r="N197" s="69"/>
      <c r="O197" s="69"/>
      <c r="P197" s="69"/>
      <c r="Q197" s="69"/>
      <c r="R197" s="69"/>
      <c r="S197" s="69"/>
      <c r="T197" s="178"/>
      <c r="U197" s="177" t="str">
        <f>Y373</f>
        <v>Sensitization</v>
      </c>
      <c r="V197" s="69"/>
      <c r="W197" s="69"/>
      <c r="X197" s="69"/>
      <c r="Y197" s="69"/>
      <c r="Z197" s="178"/>
      <c r="AB197" s="201"/>
      <c r="AC197" s="190"/>
      <c r="AD197" s="191" t="str">
        <f t="shared" si="99"/>
        <v>Impact</v>
      </c>
      <c r="AE197" s="192" t="str">
        <f t="shared" si="98"/>
        <v>Low</v>
      </c>
      <c r="AF197" s="190"/>
      <c r="AG197" s="190"/>
      <c r="AH197" s="193" t="str">
        <f t="shared" si="92"/>
        <v>Gender </v>
      </c>
      <c r="AI197" s="194" t="str">
        <f t="shared" si="93"/>
        <v>Low</v>
      </c>
      <c r="AJ197" s="190"/>
      <c r="AK197" s="190"/>
      <c r="AL197" s="190" t="str">
        <f t="shared" si="94"/>
        <v>Gender </v>
      </c>
      <c r="AM197" s="194" t="str">
        <f t="shared" si="95"/>
        <v>Low</v>
      </c>
      <c r="AN197" s="191"/>
      <c r="AO197" s="191"/>
      <c r="AP197" s="191" t="str">
        <f t="shared" si="96"/>
        <v>Gender </v>
      </c>
      <c r="AQ197" s="195" t="str">
        <f t="shared" si="86"/>
        <v>Good</v>
      </c>
      <c r="AR197" s="96"/>
      <c r="AS197" s="206"/>
      <c r="AU197" s="96"/>
      <c r="AV197" s="96"/>
      <c r="AW197" s="206"/>
      <c r="BB197" s="36"/>
    </row>
    <row r="198" ht="14.25" customHeight="1">
      <c r="A198" s="1"/>
      <c r="B198" s="1"/>
      <c r="C198" s="176" t="str">
        <f>$X$375</f>
        <v>Other Factors</v>
      </c>
      <c r="D198" s="207" t="str">
        <f>Y375</f>
        <v>Fire/wildfires </v>
      </c>
      <c r="E198" s="69"/>
      <c r="F198" s="178"/>
      <c r="G198" s="177" t="str">
        <f>Y376</f>
        <v>Lightning </v>
      </c>
      <c r="H198" s="69"/>
      <c r="I198" s="69"/>
      <c r="J198" s="178"/>
      <c r="K198" s="177" t="str">
        <f>Y377</f>
        <v>Snow</v>
      </c>
      <c r="L198" s="69"/>
      <c r="M198" s="178"/>
      <c r="N198" s="177" t="str">
        <f>Y378</f>
        <v>Hail</v>
      </c>
      <c r="O198" s="69"/>
      <c r="P198" s="178"/>
      <c r="Q198" s="177" t="str">
        <f>Y379</f>
        <v>EA or VA</v>
      </c>
      <c r="R198" s="69"/>
      <c r="S198" s="69"/>
      <c r="T198" s="69"/>
      <c r="U198" s="69"/>
      <c r="V198" s="69"/>
      <c r="W198" s="178"/>
      <c r="X198" s="208" t="str">
        <f>Y380</f>
        <v>Soil Extraction</v>
      </c>
      <c r="Y198" s="208" t="str">
        <f>Y381</f>
        <v>Deforestation</v>
      </c>
      <c r="Z198" s="208" t="str">
        <f>Y382</f>
        <v>Ubarnization</v>
      </c>
      <c r="AB198" s="209" t="str">
        <f>" "</f>
        <v> </v>
      </c>
      <c r="AC198" s="204" t="str">
        <f t="shared" ref="AC198:AD198" si="100">X345</f>
        <v> </v>
      </c>
      <c r="AD198" s="204" t="str">
        <f t="shared" si="100"/>
        <v> </v>
      </c>
      <c r="AE198" s="205"/>
      <c r="AF198" s="190"/>
      <c r="AG198" s="190"/>
      <c r="AH198" s="193" t="str">
        <f t="shared" si="92"/>
        <v>Conviviality </v>
      </c>
      <c r="AI198" s="194" t="str">
        <f t="shared" si="93"/>
        <v>Low</v>
      </c>
      <c r="AJ198" s="190"/>
      <c r="AK198" s="190"/>
      <c r="AL198" s="190" t="str">
        <f t="shared" si="94"/>
        <v>Conviviality </v>
      </c>
      <c r="AM198" s="194" t="str">
        <f t="shared" si="95"/>
        <v>Low</v>
      </c>
      <c r="AN198" s="191"/>
      <c r="AO198" s="191"/>
      <c r="AP198" s="191" t="str">
        <f t="shared" si="96"/>
        <v>Conviviality </v>
      </c>
      <c r="AQ198" s="195" t="str">
        <f t="shared" si="86"/>
        <v>Good</v>
      </c>
      <c r="AR198" s="196" t="str">
        <f>$AV$338</f>
        <v>Livelihoods</v>
      </c>
      <c r="AS198" s="197" t="str">
        <f t="shared" ref="AS198:AS203" si="102">BJ338</f>
        <v>Low</v>
      </c>
    </row>
    <row r="199" ht="14.25" customHeight="1">
      <c r="A199" s="1"/>
      <c r="B199" s="210" t="s">
        <v>578</v>
      </c>
      <c r="C199" s="1"/>
      <c r="D199" s="1"/>
      <c r="E199" s="1"/>
      <c r="F199" s="1"/>
      <c r="G199" s="1"/>
      <c r="H199" s="1"/>
      <c r="I199" s="1"/>
      <c r="J199" s="1"/>
      <c r="K199" s="1"/>
      <c r="L199" s="1"/>
      <c r="M199" s="1"/>
      <c r="N199" s="1"/>
      <c r="O199" s="1"/>
      <c r="P199" s="1"/>
      <c r="Q199" s="1"/>
      <c r="R199" s="1"/>
      <c r="S199" s="1"/>
      <c r="T199" s="1"/>
      <c r="U199" s="1"/>
      <c r="V199" s="1"/>
      <c r="W199" s="1"/>
      <c r="AB199" s="189">
        <v>3.0</v>
      </c>
      <c r="AC199" s="190" t="str">
        <f t="shared" ref="AC199:AD199" si="101">X346</f>
        <v>Droughts</v>
      </c>
      <c r="AD199" s="191" t="str">
        <f t="shared" si="101"/>
        <v>App or Freq</v>
      </c>
      <c r="AE199" s="192" t="str">
        <f t="shared" ref="AE199:AE202" si="103">AB346</f>
        <v>Low</v>
      </c>
      <c r="AF199" s="190"/>
      <c r="AG199" s="190"/>
      <c r="AH199" s="193" t="str">
        <f t="shared" si="92"/>
        <v>Education </v>
      </c>
      <c r="AI199" s="194" t="str">
        <f t="shared" si="93"/>
        <v>Low</v>
      </c>
      <c r="AJ199" s="190"/>
      <c r="AK199" s="190"/>
      <c r="AL199" s="190" t="str">
        <f t="shared" si="94"/>
        <v>Education </v>
      </c>
      <c r="AM199" s="194" t="str">
        <f t="shared" si="95"/>
        <v>Low</v>
      </c>
      <c r="AN199" s="191"/>
      <c r="AO199" s="191"/>
      <c r="AP199" s="191" t="str">
        <f t="shared" si="96"/>
        <v>Education </v>
      </c>
      <c r="AQ199" s="195" t="str">
        <f t="shared" si="86"/>
        <v>Good</v>
      </c>
      <c r="AR199" s="196" t="str">
        <f>$AV$351</f>
        <v>Health &amp; Safety</v>
      </c>
      <c r="AS199" s="197" t="str">
        <f t="shared" si="102"/>
        <v>Low</v>
      </c>
      <c r="AU199" s="96"/>
      <c r="AV199" s="96"/>
      <c r="AW199" s="206"/>
    </row>
    <row r="200" ht="14.25" customHeight="1">
      <c r="A200" s="1"/>
      <c r="B200" s="211"/>
      <c r="C200" s="212" t="str">
        <f>$X$338</f>
        <v>Temperature</v>
      </c>
      <c r="D200" s="177" t="str">
        <f>AE191</f>
        <v>High</v>
      </c>
      <c r="E200" s="69"/>
      <c r="F200" s="69"/>
      <c r="G200" s="69"/>
      <c r="H200" s="69"/>
      <c r="I200" s="69"/>
      <c r="J200" s="69"/>
      <c r="K200" s="178"/>
      <c r="L200" s="179" t="str">
        <f>AE192</f>
        <v>Low</v>
      </c>
      <c r="M200" s="69"/>
      <c r="N200" s="69"/>
      <c r="O200" s="69"/>
      <c r="P200" s="69"/>
      <c r="Q200" s="69"/>
      <c r="R200" s="69"/>
      <c r="S200" s="69"/>
      <c r="T200" s="178"/>
      <c r="U200" s="177" t="str">
        <f>$AE$193</f>
        <v>Low</v>
      </c>
      <c r="V200" s="69"/>
      <c r="W200" s="69"/>
      <c r="X200" s="69"/>
      <c r="Y200" s="69"/>
      <c r="Z200" s="178"/>
      <c r="AB200" s="200"/>
      <c r="AC200" s="190"/>
      <c r="AD200" s="191" t="str">
        <f t="shared" ref="AD200:AD202" si="104">Y347</f>
        <v>Timing</v>
      </c>
      <c r="AE200" s="192" t="str">
        <f t="shared" si="103"/>
        <v>Low</v>
      </c>
      <c r="AF200" s="190"/>
      <c r="AG200" s="190"/>
      <c r="AH200" s="193" t="str">
        <f t="shared" si="92"/>
        <v>WFI/WFDU</v>
      </c>
      <c r="AI200" s="194" t="str">
        <f t="shared" si="93"/>
        <v>Low</v>
      </c>
      <c r="AJ200" s="190"/>
      <c r="AK200" s="190"/>
      <c r="AL200" s="190" t="str">
        <f t="shared" si="94"/>
        <v>WFI/WFDU</v>
      </c>
      <c r="AM200" s="194" t="str">
        <f t="shared" si="95"/>
        <v>Low</v>
      </c>
      <c r="AN200" s="191"/>
      <c r="AO200" s="191"/>
      <c r="AP200" s="191" t="str">
        <f t="shared" si="96"/>
        <v>WFI/WFDU</v>
      </c>
      <c r="AQ200" s="195" t="str">
        <f t="shared" si="86"/>
        <v>Good</v>
      </c>
      <c r="AR200" s="196" t="str">
        <f>$AV$358</f>
        <v>Assets and Utilities</v>
      </c>
      <c r="AS200" s="197" t="str">
        <f t="shared" si="102"/>
        <v>Low</v>
      </c>
    </row>
    <row r="201" ht="14.25" customHeight="1">
      <c r="A201" s="1"/>
      <c r="B201" s="210"/>
      <c r="C201" s="212" t="str">
        <f>$X$342</f>
        <v>Intense Precipitation </v>
      </c>
      <c r="D201" s="177" t="str">
        <f>AE195</f>
        <v>Low</v>
      </c>
      <c r="E201" s="69"/>
      <c r="F201" s="69"/>
      <c r="G201" s="69"/>
      <c r="H201" s="69"/>
      <c r="I201" s="69"/>
      <c r="J201" s="69"/>
      <c r="K201" s="178"/>
      <c r="L201" s="179" t="str">
        <f>AE196</f>
        <v>Low</v>
      </c>
      <c r="M201" s="69"/>
      <c r="N201" s="69"/>
      <c r="O201" s="69"/>
      <c r="P201" s="69"/>
      <c r="Q201" s="69"/>
      <c r="R201" s="69"/>
      <c r="S201" s="69"/>
      <c r="T201" s="178"/>
      <c r="U201" s="177" t="str">
        <f>AE197</f>
        <v>Low</v>
      </c>
      <c r="V201" s="69"/>
      <c r="W201" s="69"/>
      <c r="X201" s="69"/>
      <c r="Y201" s="69"/>
      <c r="Z201" s="178"/>
      <c r="AB201" s="200"/>
      <c r="AC201" s="190"/>
      <c r="AD201" s="191" t="str">
        <f t="shared" si="104"/>
        <v>Intensity</v>
      </c>
      <c r="AE201" s="213" t="str">
        <f t="shared" si="103"/>
        <v>Low</v>
      </c>
      <c r="AF201" s="190"/>
      <c r="AG201" s="190"/>
      <c r="AH201" s="193" t="str">
        <f t="shared" si="92"/>
        <v>ATF/I</v>
      </c>
      <c r="AI201" s="194" t="str">
        <f t="shared" si="93"/>
        <v>Low</v>
      </c>
      <c r="AJ201" s="190"/>
      <c r="AK201" s="190"/>
      <c r="AL201" s="190" t="str">
        <f t="shared" si="94"/>
        <v>ATF/I</v>
      </c>
      <c r="AM201" s="194" t="str">
        <f t="shared" si="95"/>
        <v>Low</v>
      </c>
      <c r="AN201" s="191"/>
      <c r="AO201" s="191"/>
      <c r="AP201" s="191" t="str">
        <f t="shared" si="96"/>
        <v>ATF/I</v>
      </c>
      <c r="AQ201" s="195" t="str">
        <f t="shared" si="86"/>
        <v>Good</v>
      </c>
      <c r="AR201" s="196" t="str">
        <f>$AV$371</f>
        <v>Potable water </v>
      </c>
      <c r="AS201" s="197" t="str">
        <f t="shared" si="102"/>
        <v>Low</v>
      </c>
    </row>
    <row r="202" ht="14.25" customHeight="1">
      <c r="A202" s="1"/>
      <c r="B202" s="210"/>
      <c r="C202" s="212" t="str">
        <f>$X$346</f>
        <v>Droughts</v>
      </c>
      <c r="D202" s="177" t="str">
        <f>AE199</f>
        <v>Low</v>
      </c>
      <c r="E202" s="69"/>
      <c r="F202" s="69"/>
      <c r="G202" s="69"/>
      <c r="H202" s="178"/>
      <c r="I202" s="177" t="str">
        <f>AE200</f>
        <v>Low</v>
      </c>
      <c r="J202" s="69"/>
      <c r="K202" s="69"/>
      <c r="L202" s="69"/>
      <c r="M202" s="69"/>
      <c r="N202" s="69"/>
      <c r="O202" s="69"/>
      <c r="P202" s="178"/>
      <c r="Q202" s="177" t="str">
        <f>AE201</f>
        <v>Low</v>
      </c>
      <c r="R202" s="69"/>
      <c r="S202" s="69"/>
      <c r="T202" s="69"/>
      <c r="U202" s="69"/>
      <c r="V202" s="69"/>
      <c r="W202" s="178"/>
      <c r="X202" s="177" t="str">
        <f>AE202</f>
        <v>Low</v>
      </c>
      <c r="Y202" s="69"/>
      <c r="Z202" s="178"/>
      <c r="AB202" s="201"/>
      <c r="AC202" s="190"/>
      <c r="AD202" s="191" t="str">
        <f t="shared" si="104"/>
        <v>Impact</v>
      </c>
      <c r="AE202" s="192" t="str">
        <f t="shared" si="103"/>
        <v>Low</v>
      </c>
      <c r="AF202" s="190"/>
      <c r="AG202" s="190"/>
      <c r="AH202" s="193" t="str">
        <f t="shared" si="92"/>
        <v>Disaster Events</v>
      </c>
      <c r="AI202" s="194" t="str">
        <f t="shared" si="93"/>
        <v>Low</v>
      </c>
      <c r="AJ202" s="190"/>
      <c r="AK202" s="190"/>
      <c r="AL202" s="190" t="str">
        <f t="shared" si="94"/>
        <v>Disaster Events</v>
      </c>
      <c r="AM202" s="194" t="str">
        <f t="shared" si="95"/>
        <v>Low</v>
      </c>
      <c r="AN202" s="191"/>
      <c r="AO202" s="191"/>
      <c r="AP202" s="191" t="str">
        <f t="shared" si="96"/>
        <v>Disaster Events</v>
      </c>
      <c r="AQ202" s="195" t="str">
        <f t="shared" si="86"/>
        <v>Good</v>
      </c>
      <c r="AR202" s="196" t="str">
        <f>$AV$375</f>
        <v>EBS</v>
      </c>
      <c r="AS202" s="197" t="str">
        <f t="shared" si="102"/>
        <v>Low</v>
      </c>
    </row>
    <row r="203" ht="14.25" customHeight="1">
      <c r="A203" s="1"/>
      <c r="B203" s="210"/>
      <c r="C203" s="212" t="str">
        <f>$X$351</f>
        <v>Flooding</v>
      </c>
      <c r="D203" s="177" t="str">
        <f>$AE$204</f>
        <v>Low</v>
      </c>
      <c r="E203" s="69"/>
      <c r="F203" s="178"/>
      <c r="G203" s="177" t="str">
        <f>AE205</f>
        <v>Low</v>
      </c>
      <c r="H203" s="69"/>
      <c r="I203" s="69"/>
      <c r="J203" s="69"/>
      <c r="K203" s="69"/>
      <c r="L203" s="178"/>
      <c r="M203" s="177" t="str">
        <f>AE206</f>
        <v>Low</v>
      </c>
      <c r="N203" s="69"/>
      <c r="O203" s="69"/>
      <c r="P203" s="69"/>
      <c r="Q203" s="69"/>
      <c r="R203" s="178"/>
      <c r="S203" s="177" t="str">
        <f>AE207</f>
        <v>Low</v>
      </c>
      <c r="T203" s="69"/>
      <c r="U203" s="69"/>
      <c r="V203" s="69"/>
      <c r="W203" s="178"/>
      <c r="X203" s="177" t="str">
        <f>AE208</f>
        <v>Low</v>
      </c>
      <c r="Y203" s="69"/>
      <c r="Z203" s="178"/>
      <c r="AB203" s="209" t="str">
        <f>" "</f>
        <v> </v>
      </c>
      <c r="AC203" s="204" t="str">
        <f t="shared" ref="AC203:AD203" si="105">X350</f>
        <v> </v>
      </c>
      <c r="AD203" s="204" t="str">
        <f t="shared" si="105"/>
        <v> </v>
      </c>
      <c r="AE203" s="205"/>
      <c r="AF203" s="214" t="str">
        <f t="shared" ref="AF203:AH203" si="106">AC350</f>
        <v> </v>
      </c>
      <c r="AG203" s="214" t="str">
        <f t="shared" si="106"/>
        <v> </v>
      </c>
      <c r="AH203" s="203" t="str">
        <f t="shared" si="106"/>
        <v> </v>
      </c>
      <c r="AI203" s="206"/>
      <c r="AJ203" s="214" t="str">
        <f>AI350</f>
        <v> </v>
      </c>
      <c r="AK203" s="214"/>
      <c r="AL203" s="214"/>
      <c r="AM203" s="194"/>
      <c r="AN203" s="196"/>
      <c r="AO203" s="196"/>
      <c r="AP203" s="196"/>
      <c r="AQ203" s="215"/>
      <c r="AR203" s="196" t="str">
        <f>$AV$386</f>
        <v>Institutions</v>
      </c>
      <c r="AS203" s="197" t="str">
        <f t="shared" si="102"/>
        <v>Low</v>
      </c>
    </row>
    <row r="204" ht="14.25" customHeight="1">
      <c r="A204" s="1"/>
      <c r="B204" s="210"/>
      <c r="C204" s="212" t="str">
        <f>$X$357</f>
        <v>Flash Floods</v>
      </c>
      <c r="D204" s="177" t="str">
        <f>AE210</f>
        <v>Low</v>
      </c>
      <c r="E204" s="69"/>
      <c r="F204" s="178"/>
      <c r="G204" s="177" t="str">
        <f>AE211</f>
        <v>Low</v>
      </c>
      <c r="H204" s="69"/>
      <c r="I204" s="69"/>
      <c r="J204" s="69"/>
      <c r="K204" s="69"/>
      <c r="L204" s="178"/>
      <c r="M204" s="177" t="str">
        <f>AE212</f>
        <v>Low</v>
      </c>
      <c r="N204" s="69"/>
      <c r="O204" s="69"/>
      <c r="P204" s="69"/>
      <c r="Q204" s="69"/>
      <c r="R204" s="178"/>
      <c r="S204" s="177" t="str">
        <f>AE213</f>
        <v>Low</v>
      </c>
      <c r="T204" s="69"/>
      <c r="U204" s="69"/>
      <c r="V204" s="69"/>
      <c r="W204" s="178"/>
      <c r="X204" s="177" t="str">
        <f>AE214</f>
        <v>Low</v>
      </c>
      <c r="Y204" s="69"/>
      <c r="Z204" s="178"/>
      <c r="AB204" s="189">
        <v>4.0</v>
      </c>
      <c r="AC204" s="190" t="str">
        <f t="shared" ref="AC204:AD204" si="107">X351</f>
        <v>Flooding</v>
      </c>
      <c r="AD204" s="191" t="str">
        <f t="shared" si="107"/>
        <v>App or Freq</v>
      </c>
      <c r="AE204" s="192" t="str">
        <f t="shared" ref="AE204:AH204" si="108">AB351</f>
        <v>Low</v>
      </c>
      <c r="AF204" s="190">
        <f t="shared" si="108"/>
        <v>2</v>
      </c>
      <c r="AG204" s="190" t="str">
        <f t="shared" si="108"/>
        <v>Health &amp; Safety</v>
      </c>
      <c r="AH204" s="193" t="str">
        <f t="shared" si="108"/>
        <v>Borne Diseases</v>
      </c>
      <c r="AI204" s="194" t="str">
        <f t="shared" ref="AI204:AL204" si="109">AH351</f>
        <v>Low</v>
      </c>
      <c r="AJ204" s="190">
        <f t="shared" si="109"/>
        <v>2</v>
      </c>
      <c r="AK204" s="190" t="str">
        <f t="shared" si="109"/>
        <v>Health &amp; Safety</v>
      </c>
      <c r="AL204" s="190" t="str">
        <f t="shared" si="109"/>
        <v>Borne Diseases</v>
      </c>
      <c r="AM204" s="194" t="str">
        <f t="shared" ref="AM204:AP204" si="110">AN351</f>
        <v>Low</v>
      </c>
      <c r="AN204" s="191">
        <f t="shared" si="110"/>
        <v>2</v>
      </c>
      <c r="AO204" s="191" t="str">
        <f t="shared" si="110"/>
        <v>Health &amp; Safety</v>
      </c>
      <c r="AP204" s="191" t="str">
        <f t="shared" si="110"/>
        <v>Borne Diseases</v>
      </c>
      <c r="AQ204" s="195" t="str">
        <f t="shared" ref="AQ204:AQ209" si="111">AT351</f>
        <v>Good</v>
      </c>
    </row>
    <row r="205" ht="21.0" customHeight="1">
      <c r="A205" s="1"/>
      <c r="B205" s="174"/>
      <c r="C205" s="212" t="str">
        <f>$X$363</f>
        <v>Storms &amp; Upper Winds</v>
      </c>
      <c r="D205" s="177" t="str">
        <f>AE216</f>
        <v>Low</v>
      </c>
      <c r="E205" s="69"/>
      <c r="F205" s="69"/>
      <c r="G205" s="69"/>
      <c r="H205" s="69"/>
      <c r="I205" s="69"/>
      <c r="J205" s="69"/>
      <c r="K205" s="178"/>
      <c r="L205" s="179" t="str">
        <f>AE217</f>
        <v>Low</v>
      </c>
      <c r="M205" s="69"/>
      <c r="N205" s="69"/>
      <c r="O205" s="69"/>
      <c r="P205" s="69"/>
      <c r="Q205" s="69"/>
      <c r="R205" s="69"/>
      <c r="S205" s="69"/>
      <c r="T205" s="178"/>
      <c r="U205" s="177" t="str">
        <f>AE218</f>
        <v>Low</v>
      </c>
      <c r="V205" s="69"/>
      <c r="W205" s="69"/>
      <c r="X205" s="69"/>
      <c r="Y205" s="69"/>
      <c r="Z205" s="178"/>
      <c r="AB205" s="200"/>
      <c r="AC205" s="190"/>
      <c r="AD205" s="191" t="str">
        <f t="shared" ref="AD205:AD208" si="112">Y352</f>
        <v>Timing</v>
      </c>
      <c r="AE205" s="192" t="str">
        <f t="shared" ref="AE205:AE208" si="113">AB352</f>
        <v>Low</v>
      </c>
      <c r="AF205" s="190"/>
      <c r="AG205" s="190"/>
      <c r="AH205" s="193" t="str">
        <f t="shared" ref="AH205:AH209" si="114">AE352</f>
        <v>SLUP&amp;C</v>
      </c>
      <c r="AI205" s="194" t="str">
        <f t="shared" ref="AI205:AI209" si="115">AH352</f>
        <v>Low</v>
      </c>
      <c r="AJ205" s="190"/>
      <c r="AK205" s="190"/>
      <c r="AL205" s="190" t="str">
        <f t="shared" ref="AL205:AL209" si="116">AK352</f>
        <v>SLUP&amp;C</v>
      </c>
      <c r="AM205" s="194" t="str">
        <f t="shared" ref="AM205:AM209" si="117">AN352</f>
        <v>Low</v>
      </c>
      <c r="AN205" s="191"/>
      <c r="AO205" s="191"/>
      <c r="AP205" s="191" t="str">
        <f t="shared" ref="AP205:AP209" si="118">AQ352</f>
        <v>SLUP&amp;C</v>
      </c>
      <c r="AQ205" s="195" t="str">
        <f t="shared" si="111"/>
        <v>Good</v>
      </c>
      <c r="AR205" s="216" t="s">
        <v>612</v>
      </c>
      <c r="AS205" s="216"/>
      <c r="AT205" s="216"/>
      <c r="AV205" s="217" t="s">
        <v>611</v>
      </c>
      <c r="AW205" s="218"/>
      <c r="AX205" s="219"/>
    </row>
    <row r="206" ht="14.25" customHeight="1">
      <c r="A206" s="1"/>
      <c r="B206" s="175"/>
      <c r="C206" s="212" t="str">
        <f>$X$367</f>
        <v>Pollution</v>
      </c>
      <c r="D206" s="177" t="str">
        <f>AE220</f>
        <v>Low</v>
      </c>
      <c r="E206" s="69"/>
      <c r="F206" s="69"/>
      <c r="G206" s="69"/>
      <c r="H206" s="69"/>
      <c r="I206" s="69"/>
      <c r="J206" s="69"/>
      <c r="K206" s="178"/>
      <c r="L206" s="179" t="str">
        <f>AE221</f>
        <v>Low</v>
      </c>
      <c r="M206" s="69"/>
      <c r="N206" s="69"/>
      <c r="O206" s="69"/>
      <c r="P206" s="69"/>
      <c r="Q206" s="69"/>
      <c r="R206" s="69"/>
      <c r="S206" s="69"/>
      <c r="T206" s="178"/>
      <c r="U206" s="177" t="str">
        <f>AE222</f>
        <v>Low</v>
      </c>
      <c r="V206" s="69"/>
      <c r="W206" s="69"/>
      <c r="X206" s="69"/>
      <c r="Y206" s="69"/>
      <c r="Z206" s="178"/>
      <c r="AB206" s="200"/>
      <c r="AC206" s="190"/>
      <c r="AD206" s="191" t="str">
        <f t="shared" si="112"/>
        <v>Intensity</v>
      </c>
      <c r="AE206" s="192" t="str">
        <f t="shared" si="113"/>
        <v>Low</v>
      </c>
      <c r="AF206" s="190"/>
      <c r="AG206" s="190"/>
      <c r="AH206" s="193" t="str">
        <f t="shared" si="114"/>
        <v>SWM</v>
      </c>
      <c r="AI206" s="194" t="str">
        <f t="shared" si="115"/>
        <v>Low</v>
      </c>
      <c r="AJ206" s="190"/>
      <c r="AK206" s="190"/>
      <c r="AL206" s="190" t="str">
        <f t="shared" si="116"/>
        <v>SWM</v>
      </c>
      <c r="AM206" s="194" t="str">
        <f t="shared" si="117"/>
        <v>Low</v>
      </c>
      <c r="AN206" s="191"/>
      <c r="AO206" s="191"/>
      <c r="AP206" s="191" t="str">
        <f t="shared" si="118"/>
        <v>SWM</v>
      </c>
      <c r="AQ206" s="195" t="str">
        <f t="shared" si="111"/>
        <v>Good</v>
      </c>
      <c r="AR206" s="220">
        <f t="shared" ref="AR206:AT206" si="119">AF191</f>
        <v>1</v>
      </c>
      <c r="AS206" s="220" t="str">
        <f t="shared" si="119"/>
        <v>Livelihoods</v>
      </c>
      <c r="AT206" s="220" t="str">
        <f t="shared" si="119"/>
        <v>Food Security</v>
      </c>
      <c r="AU206" s="215" t="str">
        <f t="shared" ref="AU206:AU217" si="121">AZ338</f>
        <v>Low</v>
      </c>
      <c r="AV206" s="208" t="str">
        <f t="shared" ref="AV206:AW206" si="120">AS206</f>
        <v>Livelihoods</v>
      </c>
      <c r="AW206" s="220" t="str">
        <f t="shared" si="120"/>
        <v>Food Security</v>
      </c>
      <c r="AX206" s="199" t="str">
        <f t="shared" ref="AX206:AX217" si="122">BF338</f>
        <v>Low</v>
      </c>
    </row>
    <row r="207" ht="14.25" customHeight="1">
      <c r="A207" s="1"/>
      <c r="B207" s="1"/>
      <c r="C207" s="212" t="str">
        <f>$X$371</f>
        <v>LUI</v>
      </c>
      <c r="D207" s="177" t="str">
        <f>AE224</f>
        <v>Low</v>
      </c>
      <c r="E207" s="69"/>
      <c r="F207" s="69"/>
      <c r="G207" s="69"/>
      <c r="H207" s="69"/>
      <c r="I207" s="69"/>
      <c r="J207" s="69"/>
      <c r="K207" s="178"/>
      <c r="L207" s="179" t="str">
        <f>AE225</f>
        <v>Low</v>
      </c>
      <c r="M207" s="69"/>
      <c r="N207" s="69"/>
      <c r="O207" s="69"/>
      <c r="P207" s="69"/>
      <c r="Q207" s="69"/>
      <c r="R207" s="69"/>
      <c r="S207" s="69"/>
      <c r="T207" s="178"/>
      <c r="U207" s="177" t="str">
        <f>AE226</f>
        <v>Low</v>
      </c>
      <c r="V207" s="69"/>
      <c r="W207" s="69"/>
      <c r="X207" s="69"/>
      <c r="Y207" s="69"/>
      <c r="Z207" s="178"/>
      <c r="AB207" s="200"/>
      <c r="AC207" s="190"/>
      <c r="AD207" s="191" t="str">
        <f t="shared" si="112"/>
        <v>Extent</v>
      </c>
      <c r="AE207" s="192" t="str">
        <f t="shared" si="113"/>
        <v>Low</v>
      </c>
      <c r="AF207" s="190"/>
      <c r="AG207" s="190"/>
      <c r="AH207" s="193" t="str">
        <f t="shared" si="114"/>
        <v>LWM</v>
      </c>
      <c r="AI207" s="194" t="str">
        <f t="shared" si="115"/>
        <v>Low</v>
      </c>
      <c r="AJ207" s="190"/>
      <c r="AK207" s="190"/>
      <c r="AL207" s="190" t="str">
        <f t="shared" si="116"/>
        <v>LWM</v>
      </c>
      <c r="AM207" s="194" t="str">
        <f t="shared" si="117"/>
        <v>Low</v>
      </c>
      <c r="AN207" s="191"/>
      <c r="AO207" s="191"/>
      <c r="AP207" s="191" t="str">
        <f t="shared" si="118"/>
        <v>LWM</v>
      </c>
      <c r="AQ207" s="195" t="str">
        <f t="shared" si="111"/>
        <v>Good</v>
      </c>
      <c r="AR207" s="220"/>
      <c r="AS207" s="220"/>
      <c r="AT207" s="220" t="str">
        <f t="shared" ref="AT207:AT217" si="123">AH192</f>
        <v>Grazing/Farm Land</v>
      </c>
      <c r="AU207" s="215" t="str">
        <f t="shared" si="121"/>
        <v>Low</v>
      </c>
      <c r="AV207" s="208"/>
      <c r="AW207" s="220" t="str">
        <f t="shared" ref="AW207:AW217" si="124">AT207</f>
        <v>Grazing/Farm Land</v>
      </c>
      <c r="AX207" s="199" t="str">
        <f t="shared" si="122"/>
        <v>Low</v>
      </c>
    </row>
    <row r="208" ht="14.25" customHeight="1">
      <c r="A208" s="1"/>
      <c r="B208" s="1"/>
      <c r="C208" s="212" t="str">
        <f>$X$375</f>
        <v>Other Factors</v>
      </c>
      <c r="D208" s="207" t="str">
        <f>AE228</f>
        <v>Low</v>
      </c>
      <c r="E208" s="69"/>
      <c r="F208" s="178"/>
      <c r="G208" s="177" t="str">
        <f>AE229</f>
        <v>Low</v>
      </c>
      <c r="H208" s="69"/>
      <c r="I208" s="69"/>
      <c r="J208" s="178"/>
      <c r="K208" s="177" t="str">
        <f>AE230</f>
        <v>Low</v>
      </c>
      <c r="L208" s="69"/>
      <c r="M208" s="178"/>
      <c r="N208" s="177" t="str">
        <f>AE231</f>
        <v>Low</v>
      </c>
      <c r="O208" s="69"/>
      <c r="P208" s="178"/>
      <c r="Q208" s="177" t="str">
        <f>AE232</f>
        <v>Low</v>
      </c>
      <c r="R208" s="69"/>
      <c r="S208" s="69"/>
      <c r="T208" s="69"/>
      <c r="U208" s="69"/>
      <c r="V208" s="69"/>
      <c r="W208" s="178"/>
      <c r="X208" s="208" t="str">
        <f>AE233</f>
        <v>Low</v>
      </c>
      <c r="Y208" s="208" t="str">
        <f>AE234</f>
        <v>Low</v>
      </c>
      <c r="Z208" s="208" t="str">
        <f>AE235</f>
        <v>Low</v>
      </c>
      <c r="AB208" s="221"/>
      <c r="AC208" s="190"/>
      <c r="AD208" s="191" t="str">
        <f t="shared" si="112"/>
        <v>Impact</v>
      </c>
      <c r="AE208" s="192" t="str">
        <f t="shared" si="113"/>
        <v>Low</v>
      </c>
      <c r="AF208" s="190"/>
      <c r="AG208" s="190"/>
      <c r="AH208" s="193" t="str">
        <f t="shared" si="114"/>
        <v>ATHS</v>
      </c>
      <c r="AI208" s="194" t="str">
        <f t="shared" si="115"/>
        <v>Low</v>
      </c>
      <c r="AJ208" s="190"/>
      <c r="AK208" s="190"/>
      <c r="AL208" s="190" t="str">
        <f t="shared" si="116"/>
        <v>ATHS</v>
      </c>
      <c r="AM208" s="194" t="str">
        <f t="shared" si="117"/>
        <v>Low</v>
      </c>
      <c r="AN208" s="191"/>
      <c r="AO208" s="191"/>
      <c r="AP208" s="191" t="str">
        <f t="shared" si="118"/>
        <v>ATHS</v>
      </c>
      <c r="AQ208" s="195" t="str">
        <f t="shared" si="111"/>
        <v>Good</v>
      </c>
      <c r="AR208" s="220"/>
      <c r="AS208" s="220"/>
      <c r="AT208" s="220" t="str">
        <f t="shared" si="123"/>
        <v>Crops</v>
      </c>
      <c r="AU208" s="215" t="str">
        <f t="shared" si="121"/>
        <v>Low</v>
      </c>
      <c r="AV208" s="208"/>
      <c r="AW208" s="220" t="str">
        <f t="shared" si="124"/>
        <v>Crops</v>
      </c>
      <c r="AX208" s="199" t="str">
        <f t="shared" si="122"/>
        <v>Low</v>
      </c>
    </row>
    <row r="209" ht="14.25" customHeight="1">
      <c r="A209" s="1"/>
      <c r="B209" s="222" t="s">
        <v>585</v>
      </c>
      <c r="C209" s="223"/>
      <c r="D209" s="224"/>
      <c r="E209" s="3"/>
      <c r="F209" s="3"/>
      <c r="G209" s="3"/>
      <c r="H209" s="4"/>
      <c r="I209" s="224"/>
      <c r="J209" s="3"/>
      <c r="K209" s="3"/>
      <c r="L209" s="3"/>
      <c r="M209" s="4"/>
      <c r="N209" s="224"/>
      <c r="O209" s="3"/>
      <c r="P209" s="3"/>
      <c r="Q209" s="3"/>
      <c r="R209" s="4"/>
      <c r="S209" s="224"/>
      <c r="T209" s="3"/>
      <c r="U209" s="3"/>
      <c r="V209" s="3"/>
      <c r="W209" s="4"/>
      <c r="X209" s="225"/>
      <c r="Y209" s="225"/>
      <c r="Z209" s="225"/>
      <c r="AA209" s="225"/>
      <c r="AB209" s="209" t="str">
        <f>" "</f>
        <v> </v>
      </c>
      <c r="AC209" s="204"/>
      <c r="AD209" s="204"/>
      <c r="AE209" s="205"/>
      <c r="AF209" s="190"/>
      <c r="AG209" s="190"/>
      <c r="AH209" s="193" t="str">
        <f t="shared" si="114"/>
        <v>ATHE</v>
      </c>
      <c r="AI209" s="194" t="str">
        <f t="shared" si="115"/>
        <v>Low</v>
      </c>
      <c r="AJ209" s="190"/>
      <c r="AK209" s="190"/>
      <c r="AL209" s="190" t="str">
        <f t="shared" si="116"/>
        <v>ATHE</v>
      </c>
      <c r="AM209" s="194" t="str">
        <f t="shared" si="117"/>
        <v>Low</v>
      </c>
      <c r="AN209" s="191"/>
      <c r="AO209" s="191"/>
      <c r="AP209" s="191" t="str">
        <f t="shared" si="118"/>
        <v>ATHE</v>
      </c>
      <c r="AQ209" s="195" t="str">
        <f t="shared" si="111"/>
        <v>Good</v>
      </c>
      <c r="AR209" s="220"/>
      <c r="AS209" s="220"/>
      <c r="AT209" s="220" t="str">
        <f t="shared" si="123"/>
        <v>Livestock</v>
      </c>
      <c r="AU209" s="215" t="str">
        <f t="shared" si="121"/>
        <v>Low</v>
      </c>
      <c r="AV209" s="208"/>
      <c r="AW209" s="220" t="str">
        <f t="shared" si="124"/>
        <v>Livestock</v>
      </c>
      <c r="AX209" s="199" t="str">
        <f t="shared" si="122"/>
        <v>Low</v>
      </c>
    </row>
    <row r="210" ht="14.25" customHeight="1">
      <c r="A210" s="1"/>
      <c r="B210" s="226" t="str">
        <f>$AD$338</f>
        <v>Livelihoods</v>
      </c>
      <c r="C210" s="227" t="str">
        <f>AE338</f>
        <v>Food Security</v>
      </c>
      <c r="D210" s="228" t="str">
        <f>AE339</f>
        <v>Grazing/Farm Land</v>
      </c>
      <c r="E210" s="178"/>
      <c r="F210" s="228" t="str">
        <f>AE340</f>
        <v>Crops</v>
      </c>
      <c r="G210" s="178"/>
      <c r="H210" s="228" t="str">
        <f>AE341</f>
        <v>Livestock</v>
      </c>
      <c r="I210" s="69"/>
      <c r="J210" s="178"/>
      <c r="K210" s="228" t="str">
        <f>AE342</f>
        <v>Fishstock</v>
      </c>
      <c r="L210" s="69"/>
      <c r="M210" s="178"/>
      <c r="N210" s="228" t="str">
        <f>AE343</f>
        <v>Local commerce</v>
      </c>
      <c r="O210" s="69"/>
      <c r="P210" s="69"/>
      <c r="Q210" s="178"/>
      <c r="R210" s="228" t="str">
        <f>AE344</f>
        <v>Gender </v>
      </c>
      <c r="S210" s="69"/>
      <c r="T210" s="178"/>
      <c r="U210" s="228" t="str">
        <f>AE345</f>
        <v>Conviviality </v>
      </c>
      <c r="V210" s="69"/>
      <c r="W210" s="178"/>
      <c r="X210" s="227" t="str">
        <f>AE346</f>
        <v>Education </v>
      </c>
      <c r="Y210" s="227" t="str">
        <f>AE347</f>
        <v>WFI/WFDU</v>
      </c>
      <c r="Z210" s="227" t="str">
        <f>AE348</f>
        <v>ATF/I</v>
      </c>
      <c r="AA210" s="227" t="str">
        <f>AE349</f>
        <v>Disaster Events</v>
      </c>
      <c r="AB210" s="193">
        <v>5.0</v>
      </c>
      <c r="AC210" s="190" t="str">
        <f t="shared" ref="AC210:AD210" si="125">X357</f>
        <v>Flash Floods</v>
      </c>
      <c r="AD210" s="191" t="str">
        <f t="shared" si="125"/>
        <v>App or Freq</v>
      </c>
      <c r="AE210" s="192" t="str">
        <f t="shared" ref="AE210:AH210" si="126">AB357</f>
        <v>Low</v>
      </c>
      <c r="AF210" s="214" t="str">
        <f t="shared" si="126"/>
        <v> </v>
      </c>
      <c r="AG210" s="214" t="str">
        <f t="shared" si="126"/>
        <v> </v>
      </c>
      <c r="AH210" s="203" t="str">
        <f t="shared" si="126"/>
        <v> </v>
      </c>
      <c r="AI210" s="206"/>
      <c r="AJ210" s="214" t="str">
        <f>AI357</f>
        <v> </v>
      </c>
      <c r="AK210" s="214"/>
      <c r="AL210" s="214"/>
      <c r="AM210" s="194"/>
      <c r="AN210" s="196"/>
      <c r="AO210" s="196"/>
      <c r="AP210" s="196"/>
      <c r="AQ210" s="215"/>
      <c r="AR210" s="220"/>
      <c r="AS210" s="220"/>
      <c r="AT210" s="220" t="str">
        <f t="shared" si="123"/>
        <v>Fishstock</v>
      </c>
      <c r="AU210" s="215" t="str">
        <f t="shared" si="121"/>
        <v>Low</v>
      </c>
      <c r="AV210" s="208"/>
      <c r="AW210" s="220" t="str">
        <f t="shared" si="124"/>
        <v>Fishstock</v>
      </c>
      <c r="AX210" s="199" t="str">
        <f t="shared" si="122"/>
        <v>Low</v>
      </c>
    </row>
    <row r="211" ht="18.0" customHeight="1">
      <c r="A211" s="1"/>
      <c r="B211" s="226" t="str">
        <f>$AD$351</f>
        <v>Health &amp; Safety</v>
      </c>
      <c r="C211" s="226" t="str">
        <f>AE351</f>
        <v>Borne Diseases</v>
      </c>
      <c r="D211" s="229" t="str">
        <f>AE352</f>
        <v>SLUP&amp;C</v>
      </c>
      <c r="E211" s="69"/>
      <c r="F211" s="178"/>
      <c r="G211" s="229" t="str">
        <f>AE353</f>
        <v>SWM</v>
      </c>
      <c r="H211" s="69"/>
      <c r="I211" s="69"/>
      <c r="J211" s="69"/>
      <c r="K211" s="178"/>
      <c r="L211" s="229" t="str">
        <f>AE354</f>
        <v>LWM</v>
      </c>
      <c r="M211" s="69"/>
      <c r="N211" s="69"/>
      <c r="O211" s="69"/>
      <c r="P211" s="69"/>
      <c r="Q211" s="178"/>
      <c r="R211" s="229" t="str">
        <f>AE355</f>
        <v>ATHS</v>
      </c>
      <c r="S211" s="69"/>
      <c r="T211" s="69"/>
      <c r="U211" s="69"/>
      <c r="V211" s="69"/>
      <c r="W211" s="69"/>
      <c r="X211" s="178"/>
      <c r="Y211" s="229" t="str">
        <f>AE356</f>
        <v>ATHE</v>
      </c>
      <c r="Z211" s="69"/>
      <c r="AA211" s="178"/>
      <c r="AB211" s="230"/>
      <c r="AC211" s="190"/>
      <c r="AD211" s="191" t="str">
        <f t="shared" ref="AD211:AD214" si="130">Y358</f>
        <v>Timing</v>
      </c>
      <c r="AE211" s="213" t="str">
        <f t="shared" ref="AE211:AH211" si="127">AB358</f>
        <v>Low</v>
      </c>
      <c r="AF211" s="190">
        <f t="shared" si="127"/>
        <v>3</v>
      </c>
      <c r="AG211" s="190" t="str">
        <f t="shared" si="127"/>
        <v>Assets and Utilities</v>
      </c>
      <c r="AH211" s="193" t="str">
        <f t="shared" si="127"/>
        <v>Housing</v>
      </c>
      <c r="AI211" s="194" t="str">
        <f t="shared" ref="AI211:AL211" si="128">AH358</f>
        <v>Low</v>
      </c>
      <c r="AJ211" s="190">
        <f t="shared" si="128"/>
        <v>3</v>
      </c>
      <c r="AK211" s="190" t="str">
        <f t="shared" si="128"/>
        <v>Assets and Utilities</v>
      </c>
      <c r="AL211" s="190" t="str">
        <f t="shared" si="128"/>
        <v>Housing</v>
      </c>
      <c r="AM211" s="194" t="str">
        <f t="shared" ref="AM211:AP211" si="129">AN358</f>
        <v>Low</v>
      </c>
      <c r="AN211" s="191">
        <f t="shared" si="129"/>
        <v>3</v>
      </c>
      <c r="AO211" s="191" t="str">
        <f t="shared" si="129"/>
        <v>Assets and Utilities</v>
      </c>
      <c r="AP211" s="191" t="str">
        <f t="shared" si="129"/>
        <v>Housing</v>
      </c>
      <c r="AQ211" s="195" t="str">
        <f t="shared" ref="AQ211:AQ222" si="131">AT358</f>
        <v>Good</v>
      </c>
      <c r="AR211" s="220"/>
      <c r="AS211" s="220"/>
      <c r="AT211" s="220" t="str">
        <f t="shared" si="123"/>
        <v>Local commerce</v>
      </c>
      <c r="AU211" s="215" t="str">
        <f t="shared" si="121"/>
        <v>Low</v>
      </c>
      <c r="AV211" s="208"/>
      <c r="AW211" s="220" t="str">
        <f t="shared" si="124"/>
        <v>Local commerce</v>
      </c>
      <c r="AX211" s="199" t="str">
        <f t="shared" si="122"/>
        <v>Low</v>
      </c>
    </row>
    <row r="212" ht="14.25" customHeight="1">
      <c r="A212" s="1"/>
      <c r="B212" s="226" t="str">
        <f>$AD$358</f>
        <v>Assets and Utilities</v>
      </c>
      <c r="C212" s="227" t="str">
        <f>AE358</f>
        <v>Housing</v>
      </c>
      <c r="D212" s="228" t="str">
        <f>AE359</f>
        <v>Public facilities </v>
      </c>
      <c r="E212" s="178"/>
      <c r="F212" s="228" t="str">
        <f>AE360</f>
        <v>SWD</v>
      </c>
      <c r="G212" s="178"/>
      <c r="H212" s="228" t="str">
        <f>AE361</f>
        <v>Sanitary facilities </v>
      </c>
      <c r="I212" s="69"/>
      <c r="J212" s="178"/>
      <c r="K212" s="228" t="str">
        <f>AE362</f>
        <v>Sewer lines </v>
      </c>
      <c r="L212" s="69"/>
      <c r="M212" s="178"/>
      <c r="N212" s="228" t="str">
        <f>AE363</f>
        <v>Power lines/supply</v>
      </c>
      <c r="O212" s="69"/>
      <c r="P212" s="69"/>
      <c r="Q212" s="178"/>
      <c r="R212" s="228" t="str">
        <f>AE364</f>
        <v>Energy for HH use </v>
      </c>
      <c r="S212" s="69"/>
      <c r="T212" s="178"/>
      <c r="U212" s="228" t="str">
        <f>AE365</f>
        <v>Water pipes </v>
      </c>
      <c r="V212" s="69"/>
      <c r="W212" s="178"/>
      <c r="X212" s="227" t="str">
        <f>AE366</f>
        <v>PWT</v>
      </c>
      <c r="Y212" s="227" t="str">
        <f>AE367</f>
        <v>Water Storage</v>
      </c>
      <c r="Z212" s="227" t="str">
        <f>AE368</f>
        <v>R &amp; T</v>
      </c>
      <c r="AA212" s="227" t="str">
        <f>AE369</f>
        <v>Communication </v>
      </c>
      <c r="AB212" s="230"/>
      <c r="AC212" s="190"/>
      <c r="AD212" s="191" t="str">
        <f t="shared" si="130"/>
        <v>Intensity</v>
      </c>
      <c r="AE212" s="213" t="str">
        <f t="shared" ref="AE212:AE214" si="132">AB359</f>
        <v>Low</v>
      </c>
      <c r="AF212" s="190"/>
      <c r="AG212" s="190"/>
      <c r="AH212" s="193" t="str">
        <f t="shared" ref="AH212:AH222" si="133">AE359</f>
        <v>Public facilities </v>
      </c>
      <c r="AI212" s="194" t="str">
        <f t="shared" ref="AI212:AI222" si="134">AH359</f>
        <v>Low</v>
      </c>
      <c r="AJ212" s="190"/>
      <c r="AK212" s="190"/>
      <c r="AL212" s="190" t="str">
        <f t="shared" ref="AL212:AL222" si="135">AK359</f>
        <v>Public facilities </v>
      </c>
      <c r="AM212" s="194" t="str">
        <f t="shared" ref="AM212:AM222" si="136">AN359</f>
        <v>Low</v>
      </c>
      <c r="AN212" s="191"/>
      <c r="AO212" s="191"/>
      <c r="AP212" s="191" t="str">
        <f t="shared" ref="AP212:AP222" si="137">AQ359</f>
        <v>Public facilities </v>
      </c>
      <c r="AQ212" s="195" t="str">
        <f t="shared" si="131"/>
        <v>Good</v>
      </c>
      <c r="AR212" s="220"/>
      <c r="AS212" s="220"/>
      <c r="AT212" s="220" t="str">
        <f t="shared" si="123"/>
        <v>Gender </v>
      </c>
      <c r="AU212" s="215" t="str">
        <f t="shared" si="121"/>
        <v>Low</v>
      </c>
      <c r="AV212" s="208"/>
      <c r="AW212" s="220" t="str">
        <f t="shared" si="124"/>
        <v>Gender </v>
      </c>
      <c r="AX212" s="199" t="str">
        <f t="shared" si="122"/>
        <v>Low</v>
      </c>
    </row>
    <row r="213" ht="14.25" customHeight="1">
      <c r="A213" s="1"/>
      <c r="B213" s="226" t="str">
        <f>$AD$371</f>
        <v>Potable water </v>
      </c>
      <c r="C213" s="229" t="str">
        <f>AE371</f>
        <v>Access</v>
      </c>
      <c r="D213" s="69"/>
      <c r="E213" s="69"/>
      <c r="F213" s="69"/>
      <c r="G213" s="69"/>
      <c r="H213" s="69"/>
      <c r="I213" s="178"/>
      <c r="J213" s="229" t="str">
        <f>AE372</f>
        <v>Scarcities </v>
      </c>
      <c r="K213" s="69"/>
      <c r="L213" s="69"/>
      <c r="M213" s="69"/>
      <c r="N213" s="69"/>
      <c r="O213" s="69"/>
      <c r="P213" s="69"/>
      <c r="Q213" s="69"/>
      <c r="R213" s="69"/>
      <c r="S213" s="69"/>
      <c r="T213" s="69"/>
      <c r="U213" s="69"/>
      <c r="V213" s="69"/>
      <c r="W213" s="178"/>
      <c r="X213" s="229" t="str">
        <f>AE373</f>
        <v>Quality</v>
      </c>
      <c r="Y213" s="69"/>
      <c r="Z213" s="69"/>
      <c r="AA213" s="178"/>
      <c r="AB213" s="230"/>
      <c r="AC213" s="190"/>
      <c r="AD213" s="191" t="str">
        <f t="shared" si="130"/>
        <v>Extent</v>
      </c>
      <c r="AE213" s="213" t="str">
        <f t="shared" si="132"/>
        <v>Low</v>
      </c>
      <c r="AF213" s="190"/>
      <c r="AG213" s="190"/>
      <c r="AH213" s="193" t="str">
        <f t="shared" si="133"/>
        <v>SWD</v>
      </c>
      <c r="AI213" s="194" t="str">
        <f t="shared" si="134"/>
        <v>Low</v>
      </c>
      <c r="AJ213" s="190"/>
      <c r="AK213" s="190"/>
      <c r="AL213" s="190" t="str">
        <f t="shared" si="135"/>
        <v>SWD</v>
      </c>
      <c r="AM213" s="194" t="str">
        <f t="shared" si="136"/>
        <v>Low</v>
      </c>
      <c r="AN213" s="191"/>
      <c r="AO213" s="191"/>
      <c r="AP213" s="191" t="str">
        <f t="shared" si="137"/>
        <v>SWD</v>
      </c>
      <c r="AQ213" s="195" t="str">
        <f t="shared" si="131"/>
        <v>Good</v>
      </c>
      <c r="AR213" s="220"/>
      <c r="AS213" s="220"/>
      <c r="AT213" s="220" t="str">
        <f t="shared" si="123"/>
        <v>Conviviality </v>
      </c>
      <c r="AU213" s="215" t="str">
        <f t="shared" si="121"/>
        <v>Low</v>
      </c>
      <c r="AV213" s="208"/>
      <c r="AW213" s="220" t="str">
        <f t="shared" si="124"/>
        <v>Conviviality </v>
      </c>
      <c r="AX213" s="199" t="str">
        <f t="shared" si="122"/>
        <v>Low</v>
      </c>
    </row>
    <row r="214" ht="14.25" customHeight="1">
      <c r="A214" s="231" t="s">
        <v>582</v>
      </c>
      <c r="B214" s="226" t="str">
        <f>$AD$375</f>
        <v>EBS</v>
      </c>
      <c r="C214" s="227" t="str">
        <f>AE375</f>
        <v>Soil </v>
      </c>
      <c r="D214" s="229" t="str">
        <f>AE376</f>
        <v>LC &amp; P</v>
      </c>
      <c r="E214" s="69"/>
      <c r="F214" s="178"/>
      <c r="G214" s="229" t="str">
        <f>AE377</f>
        <v>NV</v>
      </c>
      <c r="H214" s="69"/>
      <c r="I214" s="178"/>
      <c r="J214" s="229" t="str">
        <f>AE378</f>
        <v>Wetland </v>
      </c>
      <c r="K214" s="69"/>
      <c r="L214" s="178"/>
      <c r="M214" s="229" t="str">
        <f>AE379</f>
        <v>Biodiversity</v>
      </c>
      <c r="N214" s="69"/>
      <c r="O214" s="69"/>
      <c r="P214" s="69"/>
      <c r="Q214" s="178"/>
      <c r="R214" s="229" t="str">
        <f>AE380</f>
        <v>NWB</v>
      </c>
      <c r="S214" s="69"/>
      <c r="T214" s="69"/>
      <c r="U214" s="69"/>
      <c r="V214" s="69"/>
      <c r="W214" s="178"/>
      <c r="X214" s="227" t="str">
        <f>AE381</f>
        <v>Sea</v>
      </c>
      <c r="Y214" s="227" t="str">
        <f>AE382</f>
        <v>EF</v>
      </c>
      <c r="Z214" s="227" t="str">
        <f>AE383</f>
        <v>Land use </v>
      </c>
      <c r="AA214" s="227" t="str">
        <f>AE384</f>
        <v>Topography</v>
      </c>
      <c r="AB214" s="230"/>
      <c r="AC214" s="190"/>
      <c r="AD214" s="191" t="str">
        <f t="shared" si="130"/>
        <v>Impact</v>
      </c>
      <c r="AE214" s="213" t="str">
        <f t="shared" si="132"/>
        <v>Low</v>
      </c>
      <c r="AF214" s="190"/>
      <c r="AG214" s="190"/>
      <c r="AH214" s="193" t="str">
        <f t="shared" si="133"/>
        <v>Sanitary facilities </v>
      </c>
      <c r="AI214" s="194" t="str">
        <f t="shared" si="134"/>
        <v>Low</v>
      </c>
      <c r="AJ214" s="190"/>
      <c r="AK214" s="190"/>
      <c r="AL214" s="190" t="str">
        <f t="shared" si="135"/>
        <v>Sanitary facilities </v>
      </c>
      <c r="AM214" s="194" t="str">
        <f t="shared" si="136"/>
        <v>Low</v>
      </c>
      <c r="AN214" s="191"/>
      <c r="AO214" s="191"/>
      <c r="AP214" s="191" t="str">
        <f t="shared" si="137"/>
        <v>Sanitary facilities </v>
      </c>
      <c r="AQ214" s="195" t="str">
        <f t="shared" si="131"/>
        <v>Good</v>
      </c>
      <c r="AR214" s="220"/>
      <c r="AS214" s="220"/>
      <c r="AT214" s="220" t="str">
        <f t="shared" si="123"/>
        <v>Education </v>
      </c>
      <c r="AU214" s="215" t="str">
        <f t="shared" si="121"/>
        <v>Low</v>
      </c>
      <c r="AV214" s="208"/>
      <c r="AW214" s="220" t="str">
        <f t="shared" si="124"/>
        <v>Education </v>
      </c>
      <c r="AX214" s="199" t="str">
        <f t="shared" si="122"/>
        <v>Low</v>
      </c>
    </row>
    <row r="215" ht="14.25" customHeight="1">
      <c r="A215" s="232" t="s">
        <v>613</v>
      </c>
      <c r="B215" s="226" t="str">
        <f>$AD$386</f>
        <v>Institutions</v>
      </c>
      <c r="C215" s="227" t="str">
        <f>AE386</f>
        <v>EWS</v>
      </c>
      <c r="D215" s="228" t="str">
        <f>AE387</f>
        <v>A &amp; I</v>
      </c>
      <c r="E215" s="69"/>
      <c r="F215" s="178"/>
      <c r="G215" s="228" t="str">
        <f>AE388</f>
        <v>EC</v>
      </c>
      <c r="H215" s="69"/>
      <c r="I215" s="69"/>
      <c r="J215" s="178"/>
      <c r="K215" s="229" t="str">
        <f>AE389</f>
        <v>R/RP</v>
      </c>
      <c r="L215" s="69"/>
      <c r="M215" s="69"/>
      <c r="N215" s="178"/>
      <c r="O215" s="229" t="str">
        <f>AE390</f>
        <v>HFO</v>
      </c>
      <c r="P215" s="69"/>
      <c r="Q215" s="69"/>
      <c r="R215" s="69"/>
      <c r="S215" s="69"/>
      <c r="T215" s="69"/>
      <c r="U215" s="178"/>
      <c r="V215" s="229" t="str">
        <f>AE391</f>
        <v>DP</v>
      </c>
      <c r="W215" s="69"/>
      <c r="X215" s="178"/>
      <c r="Y215" s="233" t="str">
        <f>AE392</f>
        <v>DR</v>
      </c>
      <c r="Z215" s="227" t="str">
        <f>AE393</f>
        <v>PFR</v>
      </c>
      <c r="AA215" s="227" t="str">
        <f>AE394</f>
        <v>PFM</v>
      </c>
      <c r="AB215" s="60"/>
      <c r="AC215" s="204"/>
      <c r="AD215" s="204"/>
      <c r="AE215" s="234"/>
      <c r="AF215" s="190"/>
      <c r="AG215" s="190"/>
      <c r="AH215" s="193" t="str">
        <f t="shared" si="133"/>
        <v>Sewer lines </v>
      </c>
      <c r="AI215" s="194" t="str">
        <f t="shared" si="134"/>
        <v>Low</v>
      </c>
      <c r="AJ215" s="190"/>
      <c r="AK215" s="190"/>
      <c r="AL215" s="190" t="str">
        <f t="shared" si="135"/>
        <v>Sewer lines </v>
      </c>
      <c r="AM215" s="194" t="str">
        <f t="shared" si="136"/>
        <v>Low</v>
      </c>
      <c r="AN215" s="191"/>
      <c r="AO215" s="191"/>
      <c r="AP215" s="191" t="str">
        <f t="shared" si="137"/>
        <v>Sewer lines </v>
      </c>
      <c r="AQ215" s="195" t="str">
        <f t="shared" si="131"/>
        <v>Good</v>
      </c>
      <c r="AR215" s="220"/>
      <c r="AS215" s="220"/>
      <c r="AT215" s="220" t="str">
        <f t="shared" si="123"/>
        <v>WFI/WFDU</v>
      </c>
      <c r="AU215" s="215" t="str">
        <f t="shared" si="121"/>
        <v>Low</v>
      </c>
      <c r="AV215" s="208"/>
      <c r="AW215" s="220" t="str">
        <f t="shared" si="124"/>
        <v>WFI/WFDU</v>
      </c>
      <c r="AX215" s="199" t="str">
        <f t="shared" si="122"/>
        <v>Low</v>
      </c>
    </row>
    <row r="216" ht="14.25" customHeight="1">
      <c r="A216" s="235" t="s">
        <v>584</v>
      </c>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c r="AA216" s="236"/>
      <c r="AB216" s="189">
        <v>6.0</v>
      </c>
      <c r="AC216" s="190" t="str">
        <f t="shared" ref="AC216:AD216" si="138">X363</f>
        <v>Storms &amp; Upper Winds</v>
      </c>
      <c r="AD216" s="191" t="str">
        <f t="shared" si="138"/>
        <v>App or Freq</v>
      </c>
      <c r="AE216" s="213" t="str">
        <f t="shared" ref="AE216:AE218" si="139">AB363</f>
        <v>Low</v>
      </c>
      <c r="AF216" s="190"/>
      <c r="AG216" s="190"/>
      <c r="AH216" s="193" t="str">
        <f t="shared" si="133"/>
        <v>Power lines/supply</v>
      </c>
      <c r="AI216" s="194" t="str">
        <f t="shared" si="134"/>
        <v>Low</v>
      </c>
      <c r="AJ216" s="190"/>
      <c r="AK216" s="190"/>
      <c r="AL216" s="190" t="str">
        <f t="shared" si="135"/>
        <v>Power lines/supply</v>
      </c>
      <c r="AM216" s="194" t="str">
        <f t="shared" si="136"/>
        <v>Low</v>
      </c>
      <c r="AN216" s="191"/>
      <c r="AO216" s="191"/>
      <c r="AP216" s="191" t="str">
        <f t="shared" si="137"/>
        <v>Power lines/supply</v>
      </c>
      <c r="AQ216" s="195" t="str">
        <f t="shared" si="131"/>
        <v>Good</v>
      </c>
      <c r="AR216" s="220"/>
      <c r="AS216" s="220"/>
      <c r="AT216" s="220" t="str">
        <f t="shared" si="123"/>
        <v>ATF/I</v>
      </c>
      <c r="AU216" s="215" t="str">
        <f t="shared" si="121"/>
        <v>Low</v>
      </c>
      <c r="AV216" s="208"/>
      <c r="AW216" s="220" t="str">
        <f t="shared" si="124"/>
        <v>ATF/I</v>
      </c>
      <c r="AX216" s="199" t="str">
        <f t="shared" si="122"/>
        <v>Low</v>
      </c>
    </row>
    <row r="217" ht="14.25" customHeight="1">
      <c r="A217" s="237" t="s">
        <v>614</v>
      </c>
      <c r="B217" s="226" t="str">
        <f>$AD$338</f>
        <v>Livelihoods</v>
      </c>
      <c r="C217" s="227" t="str">
        <f>AI191</f>
        <v>Low</v>
      </c>
      <c r="D217" s="228" t="str">
        <f>AI192</f>
        <v>Low</v>
      </c>
      <c r="E217" s="178"/>
      <c r="F217" s="228" t="str">
        <f>AI193</f>
        <v>Low</v>
      </c>
      <c r="G217" s="178"/>
      <c r="H217" s="228" t="str">
        <f>AI194</f>
        <v>Low</v>
      </c>
      <c r="I217" s="69"/>
      <c r="J217" s="178"/>
      <c r="K217" s="228" t="str">
        <f>AI195</f>
        <v>Low</v>
      </c>
      <c r="L217" s="69"/>
      <c r="M217" s="178"/>
      <c r="N217" s="228" t="str">
        <f>AI196</f>
        <v>Low</v>
      </c>
      <c r="O217" s="69"/>
      <c r="P217" s="69"/>
      <c r="Q217" s="178"/>
      <c r="R217" s="228" t="str">
        <f>AI197</f>
        <v>Low</v>
      </c>
      <c r="S217" s="69"/>
      <c r="T217" s="178"/>
      <c r="U217" s="228" t="str">
        <f>AI198</f>
        <v>Low</v>
      </c>
      <c r="V217" s="69"/>
      <c r="W217" s="178"/>
      <c r="X217" s="227" t="str">
        <f>AI199</f>
        <v>Low</v>
      </c>
      <c r="Y217" s="227" t="str">
        <f>AI200</f>
        <v>Low</v>
      </c>
      <c r="Z217" s="227" t="str">
        <f>AI201</f>
        <v>Low</v>
      </c>
      <c r="AA217" s="227" t="str">
        <f>AI202</f>
        <v>Low</v>
      </c>
      <c r="AB217" s="200"/>
      <c r="AC217" s="190"/>
      <c r="AD217" s="191" t="str">
        <f t="shared" ref="AD217:AD218" si="140">Y364</f>
        <v>Intensity</v>
      </c>
      <c r="AE217" s="213" t="str">
        <f t="shared" si="139"/>
        <v>Low</v>
      </c>
      <c r="AF217" s="190"/>
      <c r="AG217" s="190"/>
      <c r="AH217" s="193" t="str">
        <f t="shared" si="133"/>
        <v>Energy for HH use </v>
      </c>
      <c r="AI217" s="194" t="str">
        <f t="shared" si="134"/>
        <v>Low</v>
      </c>
      <c r="AJ217" s="190"/>
      <c r="AK217" s="190"/>
      <c r="AL217" s="190" t="str">
        <f t="shared" si="135"/>
        <v>Energy for HH use </v>
      </c>
      <c r="AM217" s="194" t="str">
        <f t="shared" si="136"/>
        <v>Low</v>
      </c>
      <c r="AN217" s="191"/>
      <c r="AO217" s="191"/>
      <c r="AP217" s="191" t="str">
        <f t="shared" si="137"/>
        <v>Energy for HH use </v>
      </c>
      <c r="AQ217" s="195" t="str">
        <f t="shared" si="131"/>
        <v>Good</v>
      </c>
      <c r="AR217" s="220"/>
      <c r="AS217" s="220"/>
      <c r="AT217" s="220" t="str">
        <f t="shared" si="123"/>
        <v>Disaster Events</v>
      </c>
      <c r="AU217" s="215" t="str">
        <f t="shared" si="121"/>
        <v>Low</v>
      </c>
      <c r="AV217" s="208"/>
      <c r="AW217" s="220" t="str">
        <f t="shared" si="124"/>
        <v>Disaster Events</v>
      </c>
      <c r="AX217" s="199" t="str">
        <f t="shared" si="122"/>
        <v>Low</v>
      </c>
    </row>
    <row r="218" ht="14.25" customHeight="1">
      <c r="A218" s="1"/>
      <c r="B218" s="226" t="str">
        <f>$AD$351</f>
        <v>Health &amp; Safety</v>
      </c>
      <c r="C218" s="226" t="str">
        <f>AI204</f>
        <v>Low</v>
      </c>
      <c r="D218" s="229" t="str">
        <f>AI205</f>
        <v>Low</v>
      </c>
      <c r="E218" s="69"/>
      <c r="F218" s="178"/>
      <c r="G218" s="229" t="str">
        <f>AI206</f>
        <v>Low</v>
      </c>
      <c r="H218" s="69"/>
      <c r="I218" s="69"/>
      <c r="J218" s="69"/>
      <c r="K218" s="178"/>
      <c r="L218" s="229" t="str">
        <f>AI207</f>
        <v>Low</v>
      </c>
      <c r="M218" s="69"/>
      <c r="N218" s="69"/>
      <c r="O218" s="69"/>
      <c r="P218" s="69"/>
      <c r="Q218" s="178"/>
      <c r="R218" s="229" t="str">
        <f>AI208</f>
        <v>Low</v>
      </c>
      <c r="S218" s="69"/>
      <c r="T218" s="69"/>
      <c r="U218" s="69"/>
      <c r="V218" s="69"/>
      <c r="W218" s="69"/>
      <c r="X218" s="178"/>
      <c r="Y218" s="229" t="str">
        <f>AI209</f>
        <v>Low</v>
      </c>
      <c r="Z218" s="69"/>
      <c r="AA218" s="178"/>
      <c r="AB218" s="200"/>
      <c r="AC218" s="190"/>
      <c r="AD218" s="191" t="str">
        <f t="shared" si="140"/>
        <v>Impact</v>
      </c>
      <c r="AE218" s="213" t="str">
        <f t="shared" si="139"/>
        <v>Low</v>
      </c>
      <c r="AF218" s="190"/>
      <c r="AG218" s="190"/>
      <c r="AH218" s="193" t="str">
        <f t="shared" si="133"/>
        <v>Water pipes </v>
      </c>
      <c r="AI218" s="194" t="str">
        <f t="shared" si="134"/>
        <v>Low</v>
      </c>
      <c r="AJ218" s="190"/>
      <c r="AK218" s="190"/>
      <c r="AL218" s="190" t="str">
        <f t="shared" si="135"/>
        <v>Water pipes </v>
      </c>
      <c r="AM218" s="194" t="str">
        <f t="shared" si="136"/>
        <v>Low</v>
      </c>
      <c r="AN218" s="191"/>
      <c r="AO218" s="191"/>
      <c r="AP218" s="191" t="str">
        <f t="shared" si="137"/>
        <v>Water pipes </v>
      </c>
      <c r="AQ218" s="195" t="str">
        <f t="shared" si="131"/>
        <v>Good</v>
      </c>
      <c r="AR218" s="208" t="str">
        <f t="shared" ref="AR218:AT218" si="141">AF203</f>
        <v> </v>
      </c>
      <c r="AS218" s="208" t="str">
        <f t="shared" si="141"/>
        <v> </v>
      </c>
      <c r="AT218" s="208" t="str">
        <f t="shared" si="141"/>
        <v> </v>
      </c>
      <c r="AU218" s="215"/>
      <c r="AV218" s="208" t="str">
        <f t="shared" ref="AV218:AW218" si="142">AS218</f>
        <v> </v>
      </c>
      <c r="AW218" s="208" t="str">
        <f t="shared" si="142"/>
        <v> </v>
      </c>
      <c r="AX218" s="199"/>
    </row>
    <row r="219" ht="14.25" customHeight="1">
      <c r="A219" s="1"/>
      <c r="B219" s="226" t="str">
        <f>$AD$358</f>
        <v>Assets and Utilities</v>
      </c>
      <c r="C219" s="227" t="str">
        <f>AI211</f>
        <v>Low</v>
      </c>
      <c r="D219" s="228" t="str">
        <f>AI212</f>
        <v>Low</v>
      </c>
      <c r="E219" s="178"/>
      <c r="F219" s="228" t="str">
        <f>AI213</f>
        <v>Low</v>
      </c>
      <c r="G219" s="178"/>
      <c r="H219" s="228" t="str">
        <f>AI214</f>
        <v>Low</v>
      </c>
      <c r="I219" s="69"/>
      <c r="J219" s="178"/>
      <c r="K219" s="228" t="str">
        <f>AI215</f>
        <v>Low</v>
      </c>
      <c r="L219" s="69"/>
      <c r="M219" s="178"/>
      <c r="N219" s="228" t="str">
        <f>AI216</f>
        <v>Low</v>
      </c>
      <c r="O219" s="69"/>
      <c r="P219" s="69"/>
      <c r="Q219" s="178"/>
      <c r="R219" s="228" t="str">
        <f>AI217</f>
        <v>Low</v>
      </c>
      <c r="S219" s="69"/>
      <c r="T219" s="178"/>
      <c r="U219" s="228" t="str">
        <f>AI218</f>
        <v>Low</v>
      </c>
      <c r="V219" s="69"/>
      <c r="W219" s="178"/>
      <c r="X219" s="227" t="str">
        <f>AI219</f>
        <v>Low</v>
      </c>
      <c r="Y219" s="227" t="str">
        <f>AI220</f>
        <v>Low</v>
      </c>
      <c r="Z219" s="227" t="str">
        <f>AI221</f>
        <v>Low</v>
      </c>
      <c r="AA219" s="227" t="str">
        <f>AI222</f>
        <v>Low</v>
      </c>
      <c r="AB219" s="96"/>
      <c r="AC219" s="204"/>
      <c r="AD219" s="204"/>
      <c r="AE219" s="234"/>
      <c r="AF219" s="190"/>
      <c r="AG219" s="190"/>
      <c r="AH219" s="193" t="str">
        <f t="shared" si="133"/>
        <v>PWT</v>
      </c>
      <c r="AI219" s="194" t="str">
        <f t="shared" si="134"/>
        <v>Low</v>
      </c>
      <c r="AJ219" s="190"/>
      <c r="AK219" s="190"/>
      <c r="AL219" s="190" t="str">
        <f t="shared" si="135"/>
        <v>PWT</v>
      </c>
      <c r="AM219" s="194" t="str">
        <f t="shared" si="136"/>
        <v>Low</v>
      </c>
      <c r="AN219" s="191"/>
      <c r="AO219" s="191"/>
      <c r="AP219" s="191" t="str">
        <f t="shared" si="137"/>
        <v>PWT</v>
      </c>
      <c r="AQ219" s="195" t="str">
        <f t="shared" si="131"/>
        <v>Good</v>
      </c>
      <c r="AR219" s="220">
        <f t="shared" ref="AR219:AT219" si="143">AF204</f>
        <v>2</v>
      </c>
      <c r="AS219" s="220" t="str">
        <f t="shared" si="143"/>
        <v>Health &amp; Safety</v>
      </c>
      <c r="AT219" s="220" t="str">
        <f t="shared" si="143"/>
        <v>Borne Diseases</v>
      </c>
      <c r="AU219" s="215" t="str">
        <f t="shared" ref="AU219:AU224" si="146">AZ351</f>
        <v>Low</v>
      </c>
      <c r="AV219" s="208" t="str">
        <f t="shared" ref="AV219:AW219" si="144">AS219</f>
        <v>Health &amp; Safety</v>
      </c>
      <c r="AW219" s="220" t="str">
        <f t="shared" si="144"/>
        <v>Borne Diseases</v>
      </c>
      <c r="AX219" s="199" t="str">
        <f t="shared" ref="AX219:AX224" si="147">BF351</f>
        <v>Low</v>
      </c>
    </row>
    <row r="220" ht="14.25" customHeight="1">
      <c r="A220" s="1"/>
      <c r="B220" s="226" t="str">
        <f>$AD$371</f>
        <v>Potable water </v>
      </c>
      <c r="C220" s="229" t="str">
        <f>AI224</f>
        <v>Low</v>
      </c>
      <c r="D220" s="69"/>
      <c r="E220" s="69"/>
      <c r="F220" s="69"/>
      <c r="G220" s="69"/>
      <c r="H220" s="69"/>
      <c r="I220" s="178"/>
      <c r="J220" s="229" t="str">
        <f>AI225</f>
        <v>Low</v>
      </c>
      <c r="K220" s="69"/>
      <c r="L220" s="69"/>
      <c r="M220" s="69"/>
      <c r="N220" s="69"/>
      <c r="O220" s="69"/>
      <c r="P220" s="69"/>
      <c r="Q220" s="69"/>
      <c r="R220" s="69"/>
      <c r="S220" s="69"/>
      <c r="T220" s="69"/>
      <c r="U220" s="69"/>
      <c r="V220" s="69"/>
      <c r="W220" s="178"/>
      <c r="X220" s="229" t="str">
        <f>AI226</f>
        <v>Low</v>
      </c>
      <c r="Y220" s="69"/>
      <c r="Z220" s="69"/>
      <c r="AA220" s="178"/>
      <c r="AB220" s="189">
        <v>7.0</v>
      </c>
      <c r="AC220" s="190" t="str">
        <f t="shared" ref="AC220:AD220" si="145">X367</f>
        <v>Pollution</v>
      </c>
      <c r="AD220" s="191" t="str">
        <f t="shared" si="145"/>
        <v>App or Freq</v>
      </c>
      <c r="AE220" s="213" t="str">
        <f t="shared" ref="AE220:AE222" si="148">AB367</f>
        <v>Low</v>
      </c>
      <c r="AF220" s="190"/>
      <c r="AG220" s="190"/>
      <c r="AH220" s="193" t="str">
        <f t="shared" si="133"/>
        <v>Water Storage</v>
      </c>
      <c r="AI220" s="194" t="str">
        <f t="shared" si="134"/>
        <v>Low</v>
      </c>
      <c r="AJ220" s="190"/>
      <c r="AK220" s="190"/>
      <c r="AL220" s="190" t="str">
        <f t="shared" si="135"/>
        <v>Water Storage</v>
      </c>
      <c r="AM220" s="194" t="str">
        <f t="shared" si="136"/>
        <v>Low</v>
      </c>
      <c r="AN220" s="191"/>
      <c r="AO220" s="191"/>
      <c r="AP220" s="191" t="str">
        <f t="shared" si="137"/>
        <v>Water Storage</v>
      </c>
      <c r="AQ220" s="195" t="str">
        <f t="shared" si="131"/>
        <v>Good</v>
      </c>
      <c r="AR220" s="220"/>
      <c r="AS220" s="220"/>
      <c r="AT220" s="220" t="str">
        <f t="shared" ref="AT220:AT224" si="149">AH205</f>
        <v>SLUP&amp;C</v>
      </c>
      <c r="AU220" s="215" t="str">
        <f t="shared" si="146"/>
        <v>Low</v>
      </c>
      <c r="AV220" s="208"/>
      <c r="AW220" s="220" t="str">
        <f t="shared" ref="AW220:AW224" si="150">AT220</f>
        <v>SLUP&amp;C</v>
      </c>
      <c r="AX220" s="199" t="str">
        <f t="shared" si="147"/>
        <v>Low</v>
      </c>
    </row>
    <row r="221" ht="14.25" customHeight="1">
      <c r="A221" s="1"/>
      <c r="B221" s="226" t="str">
        <f>$AD$375</f>
        <v>EBS</v>
      </c>
      <c r="C221" s="227" t="str">
        <f>AI228</f>
        <v>Low</v>
      </c>
      <c r="D221" s="229" t="str">
        <f>AI229</f>
        <v>Low</v>
      </c>
      <c r="E221" s="69"/>
      <c r="F221" s="178"/>
      <c r="G221" s="229" t="str">
        <f>AI230</f>
        <v>Low</v>
      </c>
      <c r="H221" s="69"/>
      <c r="I221" s="178"/>
      <c r="J221" s="229" t="str">
        <f>AI231</f>
        <v>Low</v>
      </c>
      <c r="K221" s="69"/>
      <c r="L221" s="178"/>
      <c r="M221" s="229" t="str">
        <f>AI232</f>
        <v>Low</v>
      </c>
      <c r="N221" s="69"/>
      <c r="O221" s="69"/>
      <c r="P221" s="69"/>
      <c r="Q221" s="178"/>
      <c r="R221" s="229" t="str">
        <f>AI233</f>
        <v>Low</v>
      </c>
      <c r="S221" s="69"/>
      <c r="T221" s="69"/>
      <c r="U221" s="69"/>
      <c r="V221" s="69"/>
      <c r="W221" s="178"/>
      <c r="X221" s="227" t="str">
        <f>AI234</f>
        <v>Low</v>
      </c>
      <c r="Y221" s="227" t="str">
        <f>AI235</f>
        <v>Low</v>
      </c>
      <c r="Z221" s="227" t="str">
        <f>AI236</f>
        <v>Low</v>
      </c>
      <c r="AA221" s="227" t="str">
        <f>AI237</f>
        <v>Low</v>
      </c>
      <c r="AB221" s="200"/>
      <c r="AC221" s="190"/>
      <c r="AD221" s="191" t="str">
        <f t="shared" ref="AD221:AD222" si="151">Y368</f>
        <v>Intensity</v>
      </c>
      <c r="AE221" s="213" t="str">
        <f t="shared" si="148"/>
        <v>Low</v>
      </c>
      <c r="AF221" s="190"/>
      <c r="AG221" s="190"/>
      <c r="AH221" s="193" t="str">
        <f t="shared" si="133"/>
        <v>R &amp; T</v>
      </c>
      <c r="AI221" s="194" t="str">
        <f t="shared" si="134"/>
        <v>Low</v>
      </c>
      <c r="AJ221" s="190"/>
      <c r="AK221" s="190"/>
      <c r="AL221" s="190" t="str">
        <f t="shared" si="135"/>
        <v>R &amp; T</v>
      </c>
      <c r="AM221" s="194" t="str">
        <f t="shared" si="136"/>
        <v>Low</v>
      </c>
      <c r="AN221" s="191"/>
      <c r="AO221" s="191"/>
      <c r="AP221" s="191" t="str">
        <f t="shared" si="137"/>
        <v>R &amp; T</v>
      </c>
      <c r="AQ221" s="195" t="str">
        <f t="shared" si="131"/>
        <v>Good</v>
      </c>
      <c r="AR221" s="220"/>
      <c r="AS221" s="220"/>
      <c r="AT221" s="220" t="str">
        <f t="shared" si="149"/>
        <v>SWM</v>
      </c>
      <c r="AU221" s="215" t="str">
        <f t="shared" si="146"/>
        <v>Low</v>
      </c>
      <c r="AV221" s="208"/>
      <c r="AW221" s="220" t="str">
        <f t="shared" si="150"/>
        <v>SWM</v>
      </c>
      <c r="AX221" s="199" t="str">
        <f t="shared" si="147"/>
        <v>Low</v>
      </c>
    </row>
    <row r="222" ht="14.25" customHeight="1">
      <c r="A222" s="1"/>
      <c r="B222" s="226" t="str">
        <f>$AD$386</f>
        <v>Institutions</v>
      </c>
      <c r="C222" s="227" t="str">
        <f>AI239</f>
        <v>Low</v>
      </c>
      <c r="D222" s="228" t="str">
        <f>AI240</f>
        <v>Low</v>
      </c>
      <c r="E222" s="69"/>
      <c r="F222" s="178"/>
      <c r="G222" s="228" t="str">
        <f>AI241</f>
        <v>Low</v>
      </c>
      <c r="H222" s="69"/>
      <c r="I222" s="69"/>
      <c r="J222" s="178"/>
      <c r="K222" s="229" t="str">
        <f>AI242</f>
        <v>Low</v>
      </c>
      <c r="L222" s="69"/>
      <c r="M222" s="69"/>
      <c r="N222" s="178"/>
      <c r="O222" s="229" t="str">
        <f>AI243</f>
        <v>Low</v>
      </c>
      <c r="P222" s="69"/>
      <c r="Q222" s="69"/>
      <c r="R222" s="69"/>
      <c r="S222" s="69"/>
      <c r="T222" s="69"/>
      <c r="U222" s="178"/>
      <c r="V222" s="229" t="str">
        <f>AI244</f>
        <v>Low</v>
      </c>
      <c r="W222" s="69"/>
      <c r="X222" s="178"/>
      <c r="Y222" s="233" t="str">
        <f>AI245</f>
        <v>Low</v>
      </c>
      <c r="Z222" s="227" t="str">
        <f>AI246</f>
        <v>Low</v>
      </c>
      <c r="AA222" s="227" t="str">
        <f>AI247</f>
        <v>Low</v>
      </c>
      <c r="AB222" s="200"/>
      <c r="AC222" s="190"/>
      <c r="AD222" s="191" t="str">
        <f t="shared" si="151"/>
        <v>Impact</v>
      </c>
      <c r="AE222" s="213" t="str">
        <f t="shared" si="148"/>
        <v>Low</v>
      </c>
      <c r="AF222" s="190"/>
      <c r="AG222" s="190"/>
      <c r="AH222" s="193" t="str">
        <f t="shared" si="133"/>
        <v>Communication </v>
      </c>
      <c r="AI222" s="194" t="str">
        <f t="shared" si="134"/>
        <v>Low</v>
      </c>
      <c r="AJ222" s="190"/>
      <c r="AK222" s="190"/>
      <c r="AL222" s="190" t="str">
        <f t="shared" si="135"/>
        <v>Communication </v>
      </c>
      <c r="AM222" s="194" t="str">
        <f t="shared" si="136"/>
        <v>Low</v>
      </c>
      <c r="AN222" s="191"/>
      <c r="AO222" s="191"/>
      <c r="AP222" s="191" t="str">
        <f t="shared" si="137"/>
        <v>Communication </v>
      </c>
      <c r="AQ222" s="195" t="str">
        <f t="shared" si="131"/>
        <v>Good</v>
      </c>
      <c r="AR222" s="220"/>
      <c r="AS222" s="220"/>
      <c r="AT222" s="220" t="str">
        <f t="shared" si="149"/>
        <v>LWM</v>
      </c>
      <c r="AU222" s="215" t="str">
        <f t="shared" si="146"/>
        <v>Low</v>
      </c>
      <c r="AV222" s="208"/>
      <c r="AW222" s="220" t="str">
        <f t="shared" si="150"/>
        <v>LWM</v>
      </c>
      <c r="AX222" s="199" t="str">
        <f t="shared" si="147"/>
        <v>Low</v>
      </c>
    </row>
    <row r="223" ht="14.25" customHeight="1">
      <c r="A223" s="1"/>
      <c r="AB223" s="238"/>
      <c r="AC223" s="214"/>
      <c r="AD223" s="196"/>
      <c r="AE223" s="213"/>
      <c r="AF223" s="214" t="str">
        <f t="shared" ref="AF223:AH223" si="152">AC370</f>
        <v> </v>
      </c>
      <c r="AG223" s="214" t="str">
        <f t="shared" si="152"/>
        <v> </v>
      </c>
      <c r="AH223" s="203" t="str">
        <f t="shared" si="152"/>
        <v> </v>
      </c>
      <c r="AI223" s="206"/>
      <c r="AJ223" s="214" t="str">
        <f>AI370</f>
        <v> </v>
      </c>
      <c r="AK223" s="214"/>
      <c r="AL223" s="214"/>
      <c r="AM223" s="206"/>
      <c r="AN223" s="196"/>
      <c r="AO223" s="196"/>
      <c r="AP223" s="196"/>
      <c r="AQ223" s="215"/>
      <c r="AR223" s="220"/>
      <c r="AS223" s="220"/>
      <c r="AT223" s="220" t="str">
        <f t="shared" si="149"/>
        <v>ATHS</v>
      </c>
      <c r="AU223" s="215" t="str">
        <f t="shared" si="146"/>
        <v>Low</v>
      </c>
      <c r="AV223" s="208"/>
      <c r="AW223" s="220" t="str">
        <f t="shared" si="150"/>
        <v>ATHS</v>
      </c>
      <c r="AX223" s="199" t="str">
        <f t="shared" si="147"/>
        <v>Low</v>
      </c>
    </row>
    <row r="224" ht="14.25" customHeight="1">
      <c r="A224" s="1"/>
      <c r="B224" s="222" t="s">
        <v>588</v>
      </c>
      <c r="C224" s="223"/>
      <c r="D224" s="224"/>
      <c r="E224" s="3"/>
      <c r="F224" s="3"/>
      <c r="G224" s="3"/>
      <c r="H224" s="4"/>
      <c r="I224" s="224"/>
      <c r="J224" s="3"/>
      <c r="K224" s="3"/>
      <c r="L224" s="3"/>
      <c r="M224" s="4"/>
      <c r="N224" s="224"/>
      <c r="O224" s="3"/>
      <c r="P224" s="3"/>
      <c r="Q224" s="3"/>
      <c r="R224" s="4"/>
      <c r="S224" s="224"/>
      <c r="T224" s="3"/>
      <c r="U224" s="3"/>
      <c r="V224" s="3"/>
      <c r="W224" s="4"/>
      <c r="X224" s="225"/>
      <c r="Y224" s="225"/>
      <c r="Z224" s="225"/>
      <c r="AA224" s="225"/>
      <c r="AB224" s="189">
        <v>8.0</v>
      </c>
      <c r="AC224" s="190" t="str">
        <f t="shared" ref="AC224:AD224" si="153">X371</f>
        <v>LUI</v>
      </c>
      <c r="AD224" s="191" t="str">
        <f t="shared" si="153"/>
        <v>Applicability</v>
      </c>
      <c r="AE224" s="213" t="str">
        <f t="shared" ref="AE224:AH224" si="154">AB371</f>
        <v>Low</v>
      </c>
      <c r="AF224" s="190">
        <f t="shared" si="154"/>
        <v>4</v>
      </c>
      <c r="AG224" s="190" t="str">
        <f t="shared" si="154"/>
        <v>Potable water </v>
      </c>
      <c r="AH224" s="193" t="str">
        <f t="shared" si="154"/>
        <v>Access</v>
      </c>
      <c r="AI224" s="194" t="str">
        <f t="shared" ref="AI224:AL224" si="155">AH371</f>
        <v>Low</v>
      </c>
      <c r="AJ224" s="190">
        <f t="shared" si="155"/>
        <v>4</v>
      </c>
      <c r="AK224" s="190" t="str">
        <f t="shared" si="155"/>
        <v>Potable water </v>
      </c>
      <c r="AL224" s="190" t="str">
        <f t="shared" si="155"/>
        <v>Access</v>
      </c>
      <c r="AM224" s="194" t="str">
        <f t="shared" ref="AM224:AP224" si="156">AN371</f>
        <v>Low</v>
      </c>
      <c r="AN224" s="191">
        <f t="shared" si="156"/>
        <v>4</v>
      </c>
      <c r="AO224" s="191" t="str">
        <f t="shared" si="156"/>
        <v>Potable water </v>
      </c>
      <c r="AP224" s="191" t="str">
        <f t="shared" si="156"/>
        <v>Access</v>
      </c>
      <c r="AQ224" s="195" t="str">
        <f t="shared" ref="AQ224:AQ226" si="157">AT371</f>
        <v>Good</v>
      </c>
      <c r="AR224" s="220"/>
      <c r="AS224" s="220"/>
      <c r="AT224" s="220" t="str">
        <f t="shared" si="149"/>
        <v>ATHE</v>
      </c>
      <c r="AU224" s="215" t="str">
        <f t="shared" si="146"/>
        <v>Low</v>
      </c>
      <c r="AV224" s="208"/>
      <c r="AW224" s="220" t="str">
        <f t="shared" si="150"/>
        <v>ATHE</v>
      </c>
      <c r="AX224" s="199" t="str">
        <f t="shared" si="147"/>
        <v>Low</v>
      </c>
    </row>
    <row r="225" ht="14.25" customHeight="1">
      <c r="A225" s="1"/>
      <c r="B225" s="239" t="str">
        <f>$AJ$338</f>
        <v>Livelihoods</v>
      </c>
      <c r="C225" s="240" t="str">
        <f>AK338</f>
        <v>Food Security</v>
      </c>
      <c r="D225" s="241" t="str">
        <f>AK339</f>
        <v>Grazing/Farm Land</v>
      </c>
      <c r="E225" s="178"/>
      <c r="F225" s="241" t="str">
        <f>AK340</f>
        <v>Crops</v>
      </c>
      <c r="G225" s="178"/>
      <c r="H225" s="241" t="str">
        <f>AK341</f>
        <v>Livestock</v>
      </c>
      <c r="I225" s="69"/>
      <c r="J225" s="178"/>
      <c r="K225" s="241" t="str">
        <f>AK342</f>
        <v>Fishstock</v>
      </c>
      <c r="L225" s="69"/>
      <c r="M225" s="178"/>
      <c r="N225" s="241" t="str">
        <f>AK343</f>
        <v>Local commerce</v>
      </c>
      <c r="O225" s="69"/>
      <c r="P225" s="69"/>
      <c r="Q225" s="178"/>
      <c r="R225" s="241" t="str">
        <f>AK344</f>
        <v>Gender </v>
      </c>
      <c r="S225" s="69"/>
      <c r="T225" s="178"/>
      <c r="U225" s="241" t="str">
        <f>AK345</f>
        <v>Conviviality </v>
      </c>
      <c r="V225" s="69"/>
      <c r="W225" s="178"/>
      <c r="X225" s="240" t="str">
        <f>AK346</f>
        <v>Education </v>
      </c>
      <c r="Y225" s="240" t="str">
        <f>AK347</f>
        <v>WFI/WFDU</v>
      </c>
      <c r="Z225" s="240" t="str">
        <f>AK348</f>
        <v>ATF/I</v>
      </c>
      <c r="AA225" s="240" t="str">
        <f>AK349</f>
        <v>Disaster Events</v>
      </c>
      <c r="AB225" s="200"/>
      <c r="AC225" s="190"/>
      <c r="AD225" s="191" t="str">
        <f t="shared" ref="AD225:AD226" si="160">Y372</f>
        <v>Impact</v>
      </c>
      <c r="AE225" s="213" t="str">
        <f t="shared" ref="AE225:AE226" si="161">AB372</f>
        <v>Low</v>
      </c>
      <c r="AF225" s="190"/>
      <c r="AG225" s="190"/>
      <c r="AH225" s="193" t="str">
        <f t="shared" ref="AH225:AH226" si="162">AE372</f>
        <v>Scarcities </v>
      </c>
      <c r="AI225" s="194" t="str">
        <f t="shared" ref="AI225:AI226" si="163">AH372</f>
        <v>Low</v>
      </c>
      <c r="AJ225" s="190"/>
      <c r="AK225" s="190"/>
      <c r="AL225" s="190" t="str">
        <f t="shared" ref="AL225:AL226" si="164">AK372</f>
        <v>Scarcities </v>
      </c>
      <c r="AM225" s="194" t="str">
        <f t="shared" ref="AM225:AM226" si="165">AN372</f>
        <v>Low</v>
      </c>
      <c r="AN225" s="191"/>
      <c r="AO225" s="191"/>
      <c r="AP225" s="191" t="str">
        <f t="shared" ref="AP225:AP226" si="166">AQ372</f>
        <v>Scarcities </v>
      </c>
      <c r="AQ225" s="195" t="str">
        <f t="shared" si="157"/>
        <v>Good</v>
      </c>
      <c r="AR225" s="208" t="str">
        <f t="shared" ref="AR225:AT225" si="158">AF210</f>
        <v> </v>
      </c>
      <c r="AS225" s="208" t="str">
        <f t="shared" si="158"/>
        <v> </v>
      </c>
      <c r="AT225" s="208" t="str">
        <f t="shared" si="158"/>
        <v> </v>
      </c>
      <c r="AU225" s="215"/>
      <c r="AV225" s="208" t="str">
        <f t="shared" ref="AV225:AW225" si="159">AS225</f>
        <v> </v>
      </c>
      <c r="AW225" s="208" t="str">
        <f t="shared" si="159"/>
        <v> </v>
      </c>
      <c r="AX225" s="199"/>
    </row>
    <row r="226" ht="14.25" customHeight="1">
      <c r="A226" s="1"/>
      <c r="B226" s="239" t="str">
        <f>$AJ$351</f>
        <v>Health &amp; Safety</v>
      </c>
      <c r="C226" s="239" t="str">
        <f>AK351</f>
        <v>Borne Diseases</v>
      </c>
      <c r="D226" s="242" t="str">
        <f>AK352</f>
        <v>SLUP&amp;C</v>
      </c>
      <c r="E226" s="69"/>
      <c r="F226" s="178"/>
      <c r="G226" s="242" t="str">
        <f>AK353</f>
        <v>SWM</v>
      </c>
      <c r="H226" s="69"/>
      <c r="I226" s="69"/>
      <c r="J226" s="69"/>
      <c r="K226" s="178"/>
      <c r="L226" s="242" t="str">
        <f>AK354</f>
        <v>LWM</v>
      </c>
      <c r="M226" s="69"/>
      <c r="N226" s="69"/>
      <c r="O226" s="69"/>
      <c r="P226" s="69"/>
      <c r="Q226" s="178"/>
      <c r="R226" s="242" t="str">
        <f>AK355</f>
        <v>ATHS</v>
      </c>
      <c r="S226" s="69"/>
      <c r="T226" s="69"/>
      <c r="U226" s="69"/>
      <c r="V226" s="69"/>
      <c r="W226" s="69"/>
      <c r="X226" s="178"/>
      <c r="Y226" s="242" t="str">
        <f>AK356</f>
        <v>ATHE</v>
      </c>
      <c r="Z226" s="69"/>
      <c r="AA226" s="178"/>
      <c r="AB226" s="200"/>
      <c r="AC226" s="190"/>
      <c r="AD226" s="191" t="str">
        <f t="shared" si="160"/>
        <v>Sensitization</v>
      </c>
      <c r="AE226" s="213" t="str">
        <f t="shared" si="161"/>
        <v>Low</v>
      </c>
      <c r="AF226" s="190"/>
      <c r="AG226" s="190"/>
      <c r="AH226" s="193" t="str">
        <f t="shared" si="162"/>
        <v>Quality</v>
      </c>
      <c r="AI226" s="194" t="str">
        <f t="shared" si="163"/>
        <v>Low</v>
      </c>
      <c r="AJ226" s="190"/>
      <c r="AK226" s="190"/>
      <c r="AL226" s="190" t="str">
        <f t="shared" si="164"/>
        <v>Quality</v>
      </c>
      <c r="AM226" s="194" t="str">
        <f t="shared" si="165"/>
        <v>Low</v>
      </c>
      <c r="AN226" s="191"/>
      <c r="AO226" s="191"/>
      <c r="AP226" s="191" t="str">
        <f t="shared" si="166"/>
        <v>Quality</v>
      </c>
      <c r="AQ226" s="195" t="str">
        <f t="shared" si="157"/>
        <v>Good</v>
      </c>
      <c r="AR226" s="220">
        <f t="shared" ref="AR226:AT226" si="167">AF211</f>
        <v>3</v>
      </c>
      <c r="AS226" s="220" t="str">
        <f t="shared" si="167"/>
        <v>Assets and Utilities</v>
      </c>
      <c r="AT226" s="220" t="str">
        <f t="shared" si="167"/>
        <v>Housing</v>
      </c>
      <c r="AU226" s="215" t="str">
        <f t="shared" ref="AU226:AU237" si="170">AZ358</f>
        <v>Low</v>
      </c>
      <c r="AV226" s="208" t="str">
        <f t="shared" ref="AV226:AW226" si="168">AS226</f>
        <v>Assets and Utilities</v>
      </c>
      <c r="AW226" s="220" t="str">
        <f t="shared" si="168"/>
        <v>Housing</v>
      </c>
      <c r="AX226" s="199" t="str">
        <f t="shared" ref="AX226:AX241" si="171">BF358</f>
        <v>Low</v>
      </c>
    </row>
    <row r="227" ht="14.25" customHeight="1">
      <c r="A227" s="1"/>
      <c r="B227" s="239" t="str">
        <f>$AJ$358</f>
        <v>Assets and Utilities</v>
      </c>
      <c r="C227" s="240" t="str">
        <f>AK358</f>
        <v>Housing</v>
      </c>
      <c r="D227" s="241" t="str">
        <f>AK359</f>
        <v>Public facilities </v>
      </c>
      <c r="E227" s="178"/>
      <c r="F227" s="241" t="str">
        <f>AK360</f>
        <v>SWD</v>
      </c>
      <c r="G227" s="178"/>
      <c r="H227" s="241" t="str">
        <f>AK361</f>
        <v>Sanitary facilities </v>
      </c>
      <c r="I227" s="69"/>
      <c r="J227" s="178"/>
      <c r="K227" s="241" t="str">
        <f>AK362</f>
        <v>Sewer lines </v>
      </c>
      <c r="L227" s="69"/>
      <c r="M227" s="178"/>
      <c r="N227" s="241" t="str">
        <f>AK363</f>
        <v>Power lines/supply</v>
      </c>
      <c r="O227" s="69"/>
      <c r="P227" s="69"/>
      <c r="Q227" s="178"/>
      <c r="R227" s="241" t="str">
        <f>AK364</f>
        <v>Energy for HH use </v>
      </c>
      <c r="S227" s="69"/>
      <c r="T227" s="178"/>
      <c r="U227" s="241" t="str">
        <f>AK365</f>
        <v>Water pipes </v>
      </c>
      <c r="V227" s="69"/>
      <c r="W227" s="178"/>
      <c r="X227" s="240" t="str">
        <f>AK366</f>
        <v>PWT</v>
      </c>
      <c r="Y227" s="240" t="str">
        <f>AK367</f>
        <v>Water Storage</v>
      </c>
      <c r="Z227" s="240" t="str">
        <f>AK368</f>
        <v>R &amp; T</v>
      </c>
      <c r="AA227" s="240" t="str">
        <f>AK369</f>
        <v>Communication </v>
      </c>
      <c r="AB227" s="96"/>
      <c r="AC227" s="204"/>
      <c r="AD227" s="204"/>
      <c r="AE227" s="234"/>
      <c r="AF227" s="214" t="str">
        <f t="shared" ref="AF227:AH227" si="169">AC374</f>
        <v> </v>
      </c>
      <c r="AG227" s="214" t="str">
        <f t="shared" si="169"/>
        <v> </v>
      </c>
      <c r="AH227" s="203" t="str">
        <f t="shared" si="169"/>
        <v> </v>
      </c>
      <c r="AI227" s="206"/>
      <c r="AJ227" s="214" t="str">
        <f>AI374</f>
        <v> </v>
      </c>
      <c r="AK227" s="214"/>
      <c r="AL227" s="214"/>
      <c r="AM227" s="194"/>
      <c r="AN227" s="196"/>
      <c r="AO227" s="196"/>
      <c r="AP227" s="196"/>
      <c r="AQ227" s="215"/>
      <c r="AR227" s="220"/>
      <c r="AS227" s="220"/>
      <c r="AT227" s="220" t="str">
        <f t="shared" ref="AT227:AT237" si="176">AH212</f>
        <v>Public facilities </v>
      </c>
      <c r="AU227" s="215" t="str">
        <f t="shared" si="170"/>
        <v>Low</v>
      </c>
      <c r="AV227" s="208"/>
      <c r="AW227" s="220" t="str">
        <f t="shared" ref="AW227:AW237" si="177">AT227</f>
        <v>Public facilities </v>
      </c>
      <c r="AX227" s="199" t="str">
        <f t="shared" si="171"/>
        <v>Low</v>
      </c>
    </row>
    <row r="228" ht="14.25" customHeight="1">
      <c r="A228" s="1"/>
      <c r="B228" s="239" t="str">
        <f>$AJ$371</f>
        <v>Potable water </v>
      </c>
      <c r="C228" s="242" t="str">
        <f>AK371</f>
        <v>Access</v>
      </c>
      <c r="D228" s="69"/>
      <c r="E228" s="69"/>
      <c r="F228" s="69"/>
      <c r="G228" s="69"/>
      <c r="H228" s="69"/>
      <c r="I228" s="178"/>
      <c r="J228" s="242" t="str">
        <f>AK372</f>
        <v>Scarcities </v>
      </c>
      <c r="K228" s="69"/>
      <c r="L228" s="69"/>
      <c r="M228" s="69"/>
      <c r="N228" s="69"/>
      <c r="O228" s="69"/>
      <c r="P228" s="69"/>
      <c r="Q228" s="69"/>
      <c r="R228" s="69"/>
      <c r="S228" s="69"/>
      <c r="T228" s="69"/>
      <c r="U228" s="69"/>
      <c r="V228" s="69"/>
      <c r="W228" s="178"/>
      <c r="X228" s="242" t="str">
        <f>AK373</f>
        <v>Quality</v>
      </c>
      <c r="Y228" s="69"/>
      <c r="Z228" s="69"/>
      <c r="AA228" s="178"/>
      <c r="AB228" s="189">
        <v>9.0</v>
      </c>
      <c r="AC228" s="190" t="str">
        <f t="shared" ref="AC228:AD228" si="172">X375</f>
        <v>Other Factors</v>
      </c>
      <c r="AD228" s="191" t="str">
        <f t="shared" si="172"/>
        <v>Fire/wildfires </v>
      </c>
      <c r="AE228" s="213" t="str">
        <f t="shared" ref="AE228:AH228" si="173">AB375</f>
        <v>Low</v>
      </c>
      <c r="AF228" s="190">
        <f t="shared" si="173"/>
        <v>5</v>
      </c>
      <c r="AG228" s="190" t="str">
        <f t="shared" si="173"/>
        <v>EBS</v>
      </c>
      <c r="AH228" s="193" t="str">
        <f t="shared" si="173"/>
        <v>Soil </v>
      </c>
      <c r="AI228" s="194" t="str">
        <f t="shared" ref="AI228:AL228" si="174">AH375</f>
        <v>Low</v>
      </c>
      <c r="AJ228" s="190">
        <f t="shared" si="174"/>
        <v>5</v>
      </c>
      <c r="AK228" s="190" t="str">
        <f t="shared" si="174"/>
        <v>EBS</v>
      </c>
      <c r="AL228" s="190" t="str">
        <f t="shared" si="174"/>
        <v>Soil </v>
      </c>
      <c r="AM228" s="194" t="str">
        <f t="shared" ref="AM228:AP228" si="175">AN375</f>
        <v>Low</v>
      </c>
      <c r="AN228" s="191">
        <f t="shared" si="175"/>
        <v>5</v>
      </c>
      <c r="AO228" s="191" t="str">
        <f t="shared" si="175"/>
        <v>EBS</v>
      </c>
      <c r="AP228" s="191" t="str">
        <f t="shared" si="175"/>
        <v>Soil </v>
      </c>
      <c r="AQ228" s="195" t="str">
        <f t="shared" ref="AQ228:AQ237" si="178">AT375</f>
        <v>Good</v>
      </c>
      <c r="AR228" s="220"/>
      <c r="AS228" s="220"/>
      <c r="AT228" s="220" t="str">
        <f t="shared" si="176"/>
        <v>SWD</v>
      </c>
      <c r="AU228" s="215" t="str">
        <f t="shared" si="170"/>
        <v>Low</v>
      </c>
      <c r="AV228" s="208"/>
      <c r="AW228" s="220" t="str">
        <f t="shared" si="177"/>
        <v>SWD</v>
      </c>
      <c r="AX228" s="199" t="str">
        <f t="shared" si="171"/>
        <v>Low</v>
      </c>
    </row>
    <row r="229" ht="14.25" customHeight="1">
      <c r="A229" s="1"/>
      <c r="B229" s="239" t="str">
        <f>$AJ$375</f>
        <v>EBS</v>
      </c>
      <c r="C229" s="240" t="str">
        <f>AK375</f>
        <v>Soil </v>
      </c>
      <c r="D229" s="242" t="str">
        <f>AK376</f>
        <v>LC &amp; P</v>
      </c>
      <c r="E229" s="69"/>
      <c r="F229" s="178"/>
      <c r="G229" s="242" t="str">
        <f>AK377</f>
        <v>NV</v>
      </c>
      <c r="H229" s="69"/>
      <c r="I229" s="178"/>
      <c r="J229" s="242" t="str">
        <f>AK378</f>
        <v>Wetland </v>
      </c>
      <c r="K229" s="69"/>
      <c r="L229" s="178"/>
      <c r="M229" s="242" t="str">
        <f>AK379</f>
        <v>Biodiversity</v>
      </c>
      <c r="N229" s="69"/>
      <c r="O229" s="69"/>
      <c r="P229" s="69"/>
      <c r="Q229" s="178"/>
      <c r="R229" s="242" t="str">
        <f>AK380</f>
        <v>NWB</v>
      </c>
      <c r="S229" s="69"/>
      <c r="T229" s="69"/>
      <c r="U229" s="69"/>
      <c r="V229" s="69"/>
      <c r="W229" s="178"/>
      <c r="X229" s="240" t="str">
        <f>AK381</f>
        <v>Sea</v>
      </c>
      <c r="Y229" s="240" t="str">
        <f>AK382</f>
        <v>EF</v>
      </c>
      <c r="Z229" s="240" t="str">
        <f>AK383</f>
        <v>Land use </v>
      </c>
      <c r="AA229" s="240" t="str">
        <f>AK384</f>
        <v>Topography</v>
      </c>
      <c r="AB229" s="200"/>
      <c r="AC229" s="190"/>
      <c r="AD229" s="191" t="str">
        <f t="shared" ref="AD229:AD235" si="179">Y376</f>
        <v>Lightning </v>
      </c>
      <c r="AE229" s="213" t="str">
        <f t="shared" ref="AE229:AE235" si="180">AB376</f>
        <v>Low</v>
      </c>
      <c r="AF229" s="190"/>
      <c r="AG229" s="190"/>
      <c r="AH229" s="193" t="str">
        <f t="shared" ref="AH229:AH237" si="181">AE376</f>
        <v>LC &amp; P</v>
      </c>
      <c r="AI229" s="194" t="str">
        <f t="shared" ref="AI229:AI237" si="182">AH376</f>
        <v>Low</v>
      </c>
      <c r="AJ229" s="190"/>
      <c r="AK229" s="190"/>
      <c r="AL229" s="190" t="str">
        <f t="shared" ref="AL229:AL237" si="183">AK376</f>
        <v>LC &amp; P</v>
      </c>
      <c r="AM229" s="194" t="str">
        <f t="shared" ref="AM229:AM237" si="184">AN376</f>
        <v>Low</v>
      </c>
      <c r="AN229" s="191"/>
      <c r="AO229" s="191"/>
      <c r="AP229" s="191" t="str">
        <f t="shared" ref="AP229:AP237" si="185">AQ376</f>
        <v>LC &amp; P</v>
      </c>
      <c r="AQ229" s="195" t="str">
        <f t="shared" si="178"/>
        <v>Good</v>
      </c>
      <c r="AR229" s="220"/>
      <c r="AS229" s="220"/>
      <c r="AT229" s="220" t="str">
        <f t="shared" si="176"/>
        <v>Sanitary facilities </v>
      </c>
      <c r="AU229" s="215" t="str">
        <f t="shared" si="170"/>
        <v>Low</v>
      </c>
      <c r="AV229" s="208"/>
      <c r="AW229" s="220" t="str">
        <f t="shared" si="177"/>
        <v>Sanitary facilities </v>
      </c>
      <c r="AX229" s="199" t="str">
        <f t="shared" si="171"/>
        <v>Low</v>
      </c>
    </row>
    <row r="230" ht="14.25" customHeight="1">
      <c r="A230" s="1"/>
      <c r="B230" s="239" t="str">
        <f>$AJ$386</f>
        <v>Institutions</v>
      </c>
      <c r="C230" s="240" t="str">
        <f>AK386</f>
        <v>EWS</v>
      </c>
      <c r="D230" s="241" t="str">
        <f>AK387</f>
        <v>A &amp; I</v>
      </c>
      <c r="E230" s="69"/>
      <c r="F230" s="178"/>
      <c r="G230" s="241" t="str">
        <f>AK388</f>
        <v>EC</v>
      </c>
      <c r="H230" s="69"/>
      <c r="I230" s="69"/>
      <c r="J230" s="178"/>
      <c r="K230" s="242" t="str">
        <f>AK389</f>
        <v>R/RP</v>
      </c>
      <c r="L230" s="69"/>
      <c r="M230" s="69"/>
      <c r="N230" s="178"/>
      <c r="O230" s="242" t="str">
        <f>AK390</f>
        <v>HFO</v>
      </c>
      <c r="P230" s="69"/>
      <c r="Q230" s="69"/>
      <c r="R230" s="69"/>
      <c r="S230" s="69"/>
      <c r="T230" s="69"/>
      <c r="U230" s="178"/>
      <c r="V230" s="242" t="str">
        <f>AK391</f>
        <v>DP</v>
      </c>
      <c r="W230" s="69"/>
      <c r="X230" s="178"/>
      <c r="Y230" s="243" t="str">
        <f>AK392</f>
        <v>DR</v>
      </c>
      <c r="Z230" s="240" t="str">
        <f>AK393</f>
        <v>PFR</v>
      </c>
      <c r="AA230" s="240" t="str">
        <f>AK394</f>
        <v>PFM</v>
      </c>
      <c r="AB230" s="200"/>
      <c r="AC230" s="190"/>
      <c r="AD230" s="191" t="str">
        <f t="shared" si="179"/>
        <v>Snow</v>
      </c>
      <c r="AE230" s="213" t="str">
        <f t="shared" si="180"/>
        <v>Low</v>
      </c>
      <c r="AF230" s="190"/>
      <c r="AG230" s="190"/>
      <c r="AH230" s="193" t="str">
        <f t="shared" si="181"/>
        <v>NV</v>
      </c>
      <c r="AI230" s="194" t="str">
        <f t="shared" si="182"/>
        <v>Low</v>
      </c>
      <c r="AJ230" s="190"/>
      <c r="AK230" s="190"/>
      <c r="AL230" s="190" t="str">
        <f t="shared" si="183"/>
        <v>NV</v>
      </c>
      <c r="AM230" s="194" t="str">
        <f t="shared" si="184"/>
        <v>Low</v>
      </c>
      <c r="AN230" s="191"/>
      <c r="AO230" s="191"/>
      <c r="AP230" s="191" t="str">
        <f t="shared" si="185"/>
        <v>NV</v>
      </c>
      <c r="AQ230" s="195" t="str">
        <f t="shared" si="178"/>
        <v>Good</v>
      </c>
      <c r="AR230" s="220"/>
      <c r="AS230" s="220"/>
      <c r="AT230" s="220" t="str">
        <f t="shared" si="176"/>
        <v>Sewer lines </v>
      </c>
      <c r="AU230" s="215" t="str">
        <f t="shared" si="170"/>
        <v>Low</v>
      </c>
      <c r="AV230" s="208"/>
      <c r="AW230" s="220" t="str">
        <f t="shared" si="177"/>
        <v>Sewer lines </v>
      </c>
      <c r="AX230" s="199" t="str">
        <f t="shared" si="171"/>
        <v>Low</v>
      </c>
    </row>
    <row r="231" ht="14.25" customHeight="1">
      <c r="A231" s="1"/>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c r="AA231" s="244"/>
      <c r="AB231" s="200"/>
      <c r="AC231" s="190"/>
      <c r="AD231" s="191" t="str">
        <f t="shared" si="179"/>
        <v>Hail</v>
      </c>
      <c r="AE231" s="213" t="str">
        <f t="shared" si="180"/>
        <v>Low</v>
      </c>
      <c r="AF231" s="190"/>
      <c r="AG231" s="190"/>
      <c r="AH231" s="193" t="str">
        <f t="shared" si="181"/>
        <v>Wetland </v>
      </c>
      <c r="AI231" s="194" t="str">
        <f t="shared" si="182"/>
        <v>Low</v>
      </c>
      <c r="AJ231" s="190"/>
      <c r="AK231" s="190"/>
      <c r="AL231" s="190" t="str">
        <f t="shared" si="183"/>
        <v>Wetland </v>
      </c>
      <c r="AM231" s="194" t="str">
        <f t="shared" si="184"/>
        <v>Low</v>
      </c>
      <c r="AN231" s="191"/>
      <c r="AO231" s="191"/>
      <c r="AP231" s="191" t="str">
        <f t="shared" si="185"/>
        <v>Wetland </v>
      </c>
      <c r="AQ231" s="195" t="str">
        <f t="shared" si="178"/>
        <v>Good</v>
      </c>
      <c r="AR231" s="220"/>
      <c r="AS231" s="220"/>
      <c r="AT231" s="220" t="str">
        <f t="shared" si="176"/>
        <v>Power lines/supply</v>
      </c>
      <c r="AU231" s="215" t="str">
        <f t="shared" si="170"/>
        <v>Low</v>
      </c>
      <c r="AV231" s="208"/>
      <c r="AW231" s="220" t="str">
        <f t="shared" si="177"/>
        <v>Power lines/supply</v>
      </c>
      <c r="AX231" s="199" t="str">
        <f t="shared" si="171"/>
        <v>Low</v>
      </c>
    </row>
    <row r="232" ht="14.25" customHeight="1">
      <c r="A232" s="1"/>
      <c r="B232" s="239" t="str">
        <f>$AJ$338</f>
        <v>Livelihoods</v>
      </c>
      <c r="C232" s="240" t="str">
        <f>AM191</f>
        <v>Low</v>
      </c>
      <c r="D232" s="241" t="str">
        <f>AM192</f>
        <v>Low</v>
      </c>
      <c r="E232" s="178"/>
      <c r="F232" s="241" t="str">
        <f>AM193</f>
        <v>Low</v>
      </c>
      <c r="G232" s="178"/>
      <c r="H232" s="241" t="str">
        <f>AM194</f>
        <v>Low</v>
      </c>
      <c r="I232" s="69"/>
      <c r="J232" s="178"/>
      <c r="K232" s="241" t="str">
        <f>AM195</f>
        <v>Low</v>
      </c>
      <c r="L232" s="69"/>
      <c r="M232" s="178"/>
      <c r="N232" s="241" t="str">
        <f>AM196</f>
        <v>Low</v>
      </c>
      <c r="O232" s="69"/>
      <c r="P232" s="69"/>
      <c r="Q232" s="178"/>
      <c r="R232" s="241" t="str">
        <f>AM197</f>
        <v>Low</v>
      </c>
      <c r="S232" s="69"/>
      <c r="T232" s="178"/>
      <c r="U232" s="241" t="str">
        <f>AM198</f>
        <v>Low</v>
      </c>
      <c r="V232" s="69"/>
      <c r="W232" s="178"/>
      <c r="X232" s="240" t="str">
        <f>AM199</f>
        <v>Low</v>
      </c>
      <c r="Y232" s="240" t="str">
        <f>AM200</f>
        <v>Low</v>
      </c>
      <c r="Z232" s="240" t="str">
        <f>AM201</f>
        <v>Low</v>
      </c>
      <c r="AA232" s="240" t="str">
        <f>AM202</f>
        <v>Low</v>
      </c>
      <c r="AB232" s="200"/>
      <c r="AC232" s="190"/>
      <c r="AD232" s="191" t="str">
        <f t="shared" si="179"/>
        <v>EA or VA</v>
      </c>
      <c r="AE232" s="213" t="str">
        <f t="shared" si="180"/>
        <v>Low</v>
      </c>
      <c r="AF232" s="190"/>
      <c r="AG232" s="190"/>
      <c r="AH232" s="193" t="str">
        <f t="shared" si="181"/>
        <v>Biodiversity</v>
      </c>
      <c r="AI232" s="194" t="str">
        <f t="shared" si="182"/>
        <v>Low</v>
      </c>
      <c r="AJ232" s="190"/>
      <c r="AK232" s="190"/>
      <c r="AL232" s="190" t="str">
        <f t="shared" si="183"/>
        <v>Biodiversity</v>
      </c>
      <c r="AM232" s="194" t="str">
        <f t="shared" si="184"/>
        <v>Low</v>
      </c>
      <c r="AN232" s="191"/>
      <c r="AO232" s="191"/>
      <c r="AP232" s="191" t="str">
        <f t="shared" si="185"/>
        <v>Biodiversity</v>
      </c>
      <c r="AQ232" s="195" t="str">
        <f t="shared" si="178"/>
        <v>Good</v>
      </c>
      <c r="AR232" s="220"/>
      <c r="AS232" s="220"/>
      <c r="AT232" s="220" t="str">
        <f t="shared" si="176"/>
        <v>Energy for HH use </v>
      </c>
      <c r="AU232" s="215" t="str">
        <f t="shared" si="170"/>
        <v>Low</v>
      </c>
      <c r="AV232" s="208"/>
      <c r="AW232" s="220" t="str">
        <f t="shared" si="177"/>
        <v>Energy for HH use </v>
      </c>
      <c r="AX232" s="199" t="str">
        <f t="shared" si="171"/>
        <v>Low</v>
      </c>
    </row>
    <row r="233" ht="14.25" customHeight="1">
      <c r="A233" s="1"/>
      <c r="B233" s="239" t="str">
        <f>$AJ$351</f>
        <v>Health &amp; Safety</v>
      </c>
      <c r="C233" s="239" t="str">
        <f>AM204</f>
        <v>Low</v>
      </c>
      <c r="D233" s="242" t="str">
        <f>AM205</f>
        <v>Low</v>
      </c>
      <c r="E233" s="69"/>
      <c r="F233" s="178"/>
      <c r="G233" s="242" t="str">
        <f>AM206</f>
        <v>Low</v>
      </c>
      <c r="H233" s="69"/>
      <c r="I233" s="69"/>
      <c r="J233" s="69"/>
      <c r="K233" s="178"/>
      <c r="L233" s="242" t="str">
        <f>AM207</f>
        <v>Low</v>
      </c>
      <c r="M233" s="69"/>
      <c r="N233" s="69"/>
      <c r="O233" s="69"/>
      <c r="P233" s="69"/>
      <c r="Q233" s="178"/>
      <c r="R233" s="242" t="str">
        <f>AM208</f>
        <v>Low</v>
      </c>
      <c r="S233" s="69"/>
      <c r="T233" s="69"/>
      <c r="U233" s="69"/>
      <c r="V233" s="69"/>
      <c r="W233" s="69"/>
      <c r="X233" s="178"/>
      <c r="Y233" s="242" t="str">
        <f>AM209</f>
        <v>Low</v>
      </c>
      <c r="Z233" s="69"/>
      <c r="AA233" s="178"/>
      <c r="AB233" s="200"/>
      <c r="AC233" s="190"/>
      <c r="AD233" s="191" t="str">
        <f t="shared" si="179"/>
        <v>Soil Extraction</v>
      </c>
      <c r="AE233" s="213" t="str">
        <f t="shared" si="180"/>
        <v>Low</v>
      </c>
      <c r="AF233" s="190"/>
      <c r="AG233" s="190"/>
      <c r="AH233" s="193" t="str">
        <f t="shared" si="181"/>
        <v>NWB</v>
      </c>
      <c r="AI233" s="194" t="str">
        <f t="shared" si="182"/>
        <v>Low</v>
      </c>
      <c r="AJ233" s="190"/>
      <c r="AK233" s="190"/>
      <c r="AL233" s="190" t="str">
        <f t="shared" si="183"/>
        <v>NWB</v>
      </c>
      <c r="AM233" s="194" t="str">
        <f t="shared" si="184"/>
        <v>Low</v>
      </c>
      <c r="AN233" s="191"/>
      <c r="AO233" s="191"/>
      <c r="AP233" s="191" t="str">
        <f t="shared" si="185"/>
        <v>NWB</v>
      </c>
      <c r="AQ233" s="195" t="str">
        <f t="shared" si="178"/>
        <v>Good</v>
      </c>
      <c r="AR233" s="220"/>
      <c r="AS233" s="220"/>
      <c r="AT233" s="220" t="str">
        <f t="shared" si="176"/>
        <v>Water pipes </v>
      </c>
      <c r="AU233" s="215" t="str">
        <f t="shared" si="170"/>
        <v>Low</v>
      </c>
      <c r="AV233" s="208"/>
      <c r="AW233" s="220" t="str">
        <f t="shared" si="177"/>
        <v>Water pipes </v>
      </c>
      <c r="AX233" s="199" t="str">
        <f t="shared" si="171"/>
        <v>Low</v>
      </c>
    </row>
    <row r="234" ht="14.25" customHeight="1">
      <c r="A234" s="1"/>
      <c r="B234" s="239" t="str">
        <f>$AJ$358</f>
        <v>Assets and Utilities</v>
      </c>
      <c r="C234" s="240" t="str">
        <f>AM211</f>
        <v>Low</v>
      </c>
      <c r="D234" s="241" t="str">
        <f>AM212</f>
        <v>Low</v>
      </c>
      <c r="E234" s="178"/>
      <c r="F234" s="241" t="str">
        <f>AM213</f>
        <v>Low</v>
      </c>
      <c r="G234" s="178"/>
      <c r="H234" s="241" t="str">
        <f>AM214</f>
        <v>Low</v>
      </c>
      <c r="I234" s="69"/>
      <c r="J234" s="178"/>
      <c r="K234" s="241" t="str">
        <f>AM215</f>
        <v>Low</v>
      </c>
      <c r="L234" s="69"/>
      <c r="M234" s="178"/>
      <c r="N234" s="241" t="str">
        <f>AM216</f>
        <v>Low</v>
      </c>
      <c r="O234" s="69"/>
      <c r="P234" s="69"/>
      <c r="Q234" s="178"/>
      <c r="R234" s="241" t="str">
        <f>AM217</f>
        <v>Low</v>
      </c>
      <c r="S234" s="69"/>
      <c r="T234" s="178"/>
      <c r="U234" s="241" t="str">
        <f>AM218</f>
        <v>Low</v>
      </c>
      <c r="V234" s="69"/>
      <c r="W234" s="178"/>
      <c r="X234" s="240" t="str">
        <f>AM219</f>
        <v>Low</v>
      </c>
      <c r="Y234" s="240" t="str">
        <f>AM220</f>
        <v>Low</v>
      </c>
      <c r="Z234" s="240" t="str">
        <f>AM221</f>
        <v>Low</v>
      </c>
      <c r="AA234" s="240" t="str">
        <f>AM222</f>
        <v>Low</v>
      </c>
      <c r="AB234" s="245"/>
      <c r="AC234" s="190"/>
      <c r="AD234" s="191" t="str">
        <f t="shared" si="179"/>
        <v>Deforestation</v>
      </c>
      <c r="AE234" s="213" t="str">
        <f t="shared" si="180"/>
        <v>Low</v>
      </c>
      <c r="AF234" s="190"/>
      <c r="AG234" s="190"/>
      <c r="AH234" s="193" t="str">
        <f t="shared" si="181"/>
        <v>Sea</v>
      </c>
      <c r="AI234" s="194" t="str">
        <f t="shared" si="182"/>
        <v>Low</v>
      </c>
      <c r="AJ234" s="190"/>
      <c r="AK234" s="190"/>
      <c r="AL234" s="190" t="str">
        <f t="shared" si="183"/>
        <v>Sea</v>
      </c>
      <c r="AM234" s="194" t="str">
        <f t="shared" si="184"/>
        <v>Low</v>
      </c>
      <c r="AN234" s="191"/>
      <c r="AO234" s="191"/>
      <c r="AP234" s="191" t="str">
        <f t="shared" si="185"/>
        <v>Sea</v>
      </c>
      <c r="AQ234" s="195" t="str">
        <f t="shared" si="178"/>
        <v>Good</v>
      </c>
      <c r="AR234" s="220"/>
      <c r="AS234" s="220"/>
      <c r="AT234" s="220" t="str">
        <f t="shared" si="176"/>
        <v>PWT</v>
      </c>
      <c r="AU234" s="215" t="str">
        <f t="shared" si="170"/>
        <v>Low</v>
      </c>
      <c r="AV234" s="208"/>
      <c r="AW234" s="220" t="str">
        <f t="shared" si="177"/>
        <v>PWT</v>
      </c>
      <c r="AX234" s="199" t="str">
        <f t="shared" si="171"/>
        <v>Low</v>
      </c>
    </row>
    <row r="235" ht="14.25" customHeight="1">
      <c r="A235" s="1"/>
      <c r="B235" s="239" t="str">
        <f>$AJ$371</f>
        <v>Potable water </v>
      </c>
      <c r="C235" s="242" t="str">
        <f>AM224</f>
        <v>Low</v>
      </c>
      <c r="D235" s="69"/>
      <c r="E235" s="69"/>
      <c r="F235" s="69"/>
      <c r="G235" s="69"/>
      <c r="H235" s="69"/>
      <c r="I235" s="178"/>
      <c r="J235" s="242" t="str">
        <f>AM225</f>
        <v>Low</v>
      </c>
      <c r="K235" s="69"/>
      <c r="L235" s="69"/>
      <c r="M235" s="69"/>
      <c r="N235" s="69"/>
      <c r="O235" s="69"/>
      <c r="P235" s="69"/>
      <c r="Q235" s="69"/>
      <c r="R235" s="69"/>
      <c r="S235" s="69"/>
      <c r="T235" s="69"/>
      <c r="U235" s="69"/>
      <c r="V235" s="69"/>
      <c r="W235" s="178"/>
      <c r="X235" s="242" t="str">
        <f>AM226</f>
        <v>Low</v>
      </c>
      <c r="Y235" s="69"/>
      <c r="Z235" s="69"/>
      <c r="AA235" s="178"/>
      <c r="AB235" s="221"/>
      <c r="AC235" s="190"/>
      <c r="AD235" s="191" t="str">
        <f t="shared" si="179"/>
        <v>Ubarnization</v>
      </c>
      <c r="AE235" s="213" t="str">
        <f t="shared" si="180"/>
        <v>Low</v>
      </c>
      <c r="AF235" s="190"/>
      <c r="AG235" s="190"/>
      <c r="AH235" s="193" t="str">
        <f t="shared" si="181"/>
        <v>EF</v>
      </c>
      <c r="AI235" s="194" t="str">
        <f t="shared" si="182"/>
        <v>Low</v>
      </c>
      <c r="AJ235" s="190"/>
      <c r="AK235" s="190"/>
      <c r="AL235" s="190" t="str">
        <f t="shared" si="183"/>
        <v>EF</v>
      </c>
      <c r="AM235" s="194" t="str">
        <f t="shared" si="184"/>
        <v>Low</v>
      </c>
      <c r="AN235" s="191"/>
      <c r="AO235" s="191"/>
      <c r="AP235" s="191" t="str">
        <f t="shared" si="185"/>
        <v>EF</v>
      </c>
      <c r="AQ235" s="195" t="str">
        <f t="shared" si="178"/>
        <v>Good</v>
      </c>
      <c r="AR235" s="220"/>
      <c r="AS235" s="220"/>
      <c r="AT235" s="220" t="str">
        <f t="shared" si="176"/>
        <v>Water Storage</v>
      </c>
      <c r="AU235" s="215" t="str">
        <f t="shared" si="170"/>
        <v>Low</v>
      </c>
      <c r="AV235" s="208"/>
      <c r="AW235" s="220" t="str">
        <f t="shared" si="177"/>
        <v>Water Storage</v>
      </c>
      <c r="AX235" s="199" t="str">
        <f t="shared" si="171"/>
        <v>Low</v>
      </c>
    </row>
    <row r="236" ht="14.25" customHeight="1">
      <c r="A236" s="1"/>
      <c r="B236" s="239" t="str">
        <f>$AJ$375</f>
        <v>EBS</v>
      </c>
      <c r="C236" s="240" t="str">
        <f>AM228</f>
        <v>Low</v>
      </c>
      <c r="D236" s="242" t="str">
        <f>AM229</f>
        <v>Low</v>
      </c>
      <c r="E236" s="69"/>
      <c r="F236" s="178"/>
      <c r="G236" s="242" t="str">
        <f>AM230</f>
        <v>Low</v>
      </c>
      <c r="H236" s="69"/>
      <c r="I236" s="178"/>
      <c r="J236" s="242" t="str">
        <f>AM231</f>
        <v>Low</v>
      </c>
      <c r="K236" s="69"/>
      <c r="L236" s="178"/>
      <c r="M236" s="242" t="str">
        <f>AM232</f>
        <v>Low</v>
      </c>
      <c r="N236" s="69"/>
      <c r="O236" s="69"/>
      <c r="P236" s="69"/>
      <c r="Q236" s="178"/>
      <c r="R236" s="242" t="str">
        <f>AM233</f>
        <v>Low</v>
      </c>
      <c r="S236" s="69"/>
      <c r="T236" s="69"/>
      <c r="U236" s="69"/>
      <c r="V236" s="69"/>
      <c r="W236" s="178"/>
      <c r="X236" s="240" t="str">
        <f>AM234</f>
        <v>Low</v>
      </c>
      <c r="Y236" s="240" t="str">
        <f>AM235</f>
        <v>Low</v>
      </c>
      <c r="Z236" s="240" t="str">
        <f>AM236</f>
        <v>Low</v>
      </c>
      <c r="AA236" s="240" t="str">
        <f>AM237</f>
        <v>Low</v>
      </c>
      <c r="AB236" s="1"/>
      <c r="AC236" s="1"/>
      <c r="AD236" s="1"/>
      <c r="AE236" s="1"/>
      <c r="AF236" s="190"/>
      <c r="AG236" s="190"/>
      <c r="AH236" s="193" t="str">
        <f t="shared" si="181"/>
        <v>Land use </v>
      </c>
      <c r="AI236" s="194" t="str">
        <f t="shared" si="182"/>
        <v>Low</v>
      </c>
      <c r="AJ236" s="190"/>
      <c r="AK236" s="190"/>
      <c r="AL236" s="190" t="str">
        <f t="shared" si="183"/>
        <v>Land use </v>
      </c>
      <c r="AM236" s="194" t="str">
        <f t="shared" si="184"/>
        <v>Low</v>
      </c>
      <c r="AN236" s="191"/>
      <c r="AO236" s="191"/>
      <c r="AP236" s="191" t="str">
        <f t="shared" si="185"/>
        <v>Land use </v>
      </c>
      <c r="AQ236" s="195" t="str">
        <f t="shared" si="178"/>
        <v>Good</v>
      </c>
      <c r="AR236" s="220"/>
      <c r="AS236" s="220"/>
      <c r="AT236" s="220" t="str">
        <f t="shared" si="176"/>
        <v>R &amp; T</v>
      </c>
      <c r="AU236" s="215" t="str">
        <f t="shared" si="170"/>
        <v>Low</v>
      </c>
      <c r="AV236" s="208"/>
      <c r="AW236" s="220" t="str">
        <f t="shared" si="177"/>
        <v>R &amp; T</v>
      </c>
      <c r="AX236" s="199" t="str">
        <f t="shared" si="171"/>
        <v>Low</v>
      </c>
    </row>
    <row r="237" ht="14.25" customHeight="1">
      <c r="A237" s="1"/>
      <c r="B237" s="246" t="str">
        <f>$AJ$386</f>
        <v>Institutions</v>
      </c>
      <c r="C237" s="247" t="str">
        <f>AM239</f>
        <v>Low</v>
      </c>
      <c r="D237" s="248" t="str">
        <f>AM240</f>
        <v>Low</v>
      </c>
      <c r="E237" s="249"/>
      <c r="F237" s="250"/>
      <c r="G237" s="248" t="str">
        <f>AM241</f>
        <v>Low</v>
      </c>
      <c r="H237" s="249"/>
      <c r="I237" s="249"/>
      <c r="J237" s="250"/>
      <c r="K237" s="251" t="str">
        <f>AM242</f>
        <v>Low</v>
      </c>
      <c r="L237" s="249"/>
      <c r="M237" s="249"/>
      <c r="N237" s="250"/>
      <c r="O237" s="251" t="str">
        <f>AM243</f>
        <v>Low</v>
      </c>
      <c r="P237" s="249"/>
      <c r="Q237" s="249"/>
      <c r="R237" s="249"/>
      <c r="S237" s="249"/>
      <c r="T237" s="249"/>
      <c r="U237" s="250"/>
      <c r="V237" s="251" t="str">
        <f>AM244</f>
        <v>Low</v>
      </c>
      <c r="W237" s="249"/>
      <c r="X237" s="250"/>
      <c r="Y237" s="252" t="str">
        <f>AM245</f>
        <v>Low</v>
      </c>
      <c r="Z237" s="247" t="str">
        <f>AM246</f>
        <v>Low</v>
      </c>
      <c r="AA237" s="247" t="str">
        <f>AM247</f>
        <v>Low</v>
      </c>
      <c r="AB237" s="1"/>
      <c r="AC237" s="1"/>
      <c r="AD237" s="1"/>
      <c r="AE237" s="1"/>
      <c r="AF237" s="190"/>
      <c r="AG237" s="190"/>
      <c r="AH237" s="193" t="str">
        <f t="shared" si="181"/>
        <v>Topography</v>
      </c>
      <c r="AI237" s="194" t="str">
        <f t="shared" si="182"/>
        <v>Low</v>
      </c>
      <c r="AJ237" s="190"/>
      <c r="AK237" s="190"/>
      <c r="AL237" s="190" t="str">
        <f t="shared" si="183"/>
        <v>Topography</v>
      </c>
      <c r="AM237" s="194" t="str">
        <f t="shared" si="184"/>
        <v>Low</v>
      </c>
      <c r="AN237" s="191"/>
      <c r="AO237" s="191"/>
      <c r="AP237" s="191" t="str">
        <f t="shared" si="185"/>
        <v>Topography</v>
      </c>
      <c r="AQ237" s="195" t="str">
        <f t="shared" si="178"/>
        <v>Good</v>
      </c>
      <c r="AR237" s="220"/>
      <c r="AS237" s="220"/>
      <c r="AT237" s="220" t="str">
        <f t="shared" si="176"/>
        <v>Communication </v>
      </c>
      <c r="AU237" s="215" t="str">
        <f t="shared" si="170"/>
        <v>Low</v>
      </c>
      <c r="AV237" s="208"/>
      <c r="AW237" s="220" t="str">
        <f t="shared" si="177"/>
        <v>Communication </v>
      </c>
      <c r="AX237" s="199" t="str">
        <f t="shared" si="171"/>
        <v>Low</v>
      </c>
    </row>
    <row r="238" ht="14.25" customHeight="1">
      <c r="A238" s="1"/>
      <c r="B238" s="1"/>
      <c r="C238" s="253"/>
      <c r="D238" s="254"/>
      <c r="H238" s="254"/>
      <c r="L238" s="254"/>
      <c r="P238" s="254"/>
      <c r="T238" s="254"/>
      <c r="X238" s="1"/>
      <c r="AF238" s="214"/>
      <c r="AG238" s="214"/>
      <c r="AH238" s="203"/>
      <c r="AI238" s="206"/>
      <c r="AJ238" s="214"/>
      <c r="AK238" s="214"/>
      <c r="AL238" s="214"/>
      <c r="AM238" s="194"/>
      <c r="AN238" s="196"/>
      <c r="AO238" s="196"/>
      <c r="AP238" s="196"/>
      <c r="AQ238" s="215"/>
      <c r="AR238" s="208" t="str">
        <f t="shared" ref="AR238:AT238" si="186">AF223</f>
        <v> </v>
      </c>
      <c r="AS238" s="208" t="str">
        <f t="shared" si="186"/>
        <v> </v>
      </c>
      <c r="AT238" s="208" t="str">
        <f t="shared" si="186"/>
        <v> </v>
      </c>
      <c r="AU238" s="215"/>
      <c r="AV238" s="208" t="str">
        <f t="shared" ref="AV238:AW238" si="187">AS238</f>
        <v> </v>
      </c>
      <c r="AW238" s="208" t="str">
        <f t="shared" si="187"/>
        <v> </v>
      </c>
      <c r="AX238" s="199" t="str">
        <f t="shared" si="171"/>
        <v>Low</v>
      </c>
    </row>
    <row r="239" ht="14.25" customHeight="1">
      <c r="A239" s="1"/>
      <c r="B239" s="222" t="s">
        <v>591</v>
      </c>
      <c r="C239" s="223"/>
      <c r="D239" s="224"/>
      <c r="E239" s="3"/>
      <c r="F239" s="3"/>
      <c r="G239" s="3"/>
      <c r="H239" s="4"/>
      <c r="I239" s="224"/>
      <c r="J239" s="3"/>
      <c r="K239" s="3"/>
      <c r="L239" s="3"/>
      <c r="M239" s="4"/>
      <c r="N239" s="224"/>
      <c r="O239" s="3"/>
      <c r="P239" s="3"/>
      <c r="Q239" s="3"/>
      <c r="R239" s="4"/>
      <c r="S239" s="224"/>
      <c r="T239" s="3"/>
      <c r="U239" s="3"/>
      <c r="V239" s="3"/>
      <c r="W239" s="4"/>
      <c r="X239" s="225"/>
      <c r="Y239" s="225"/>
      <c r="Z239" s="225"/>
      <c r="AA239" s="225"/>
      <c r="AC239" s="187"/>
      <c r="AF239" s="190">
        <f t="shared" ref="AF239:AH239" si="188">AC386</f>
        <v>6</v>
      </c>
      <c r="AG239" s="190" t="str">
        <f t="shared" si="188"/>
        <v>Institutions</v>
      </c>
      <c r="AH239" s="193" t="str">
        <f t="shared" si="188"/>
        <v>EWS</v>
      </c>
      <c r="AI239" s="194" t="str">
        <f t="shared" ref="AI239:AL239" si="189">AH386</f>
        <v>Low</v>
      </c>
      <c r="AJ239" s="190">
        <f t="shared" si="189"/>
        <v>6</v>
      </c>
      <c r="AK239" s="190" t="str">
        <f t="shared" si="189"/>
        <v>Institutions</v>
      </c>
      <c r="AL239" s="190" t="str">
        <f t="shared" si="189"/>
        <v>EWS</v>
      </c>
      <c r="AM239" s="194" t="str">
        <f t="shared" ref="AM239:AP239" si="190">AN386</f>
        <v>Low</v>
      </c>
      <c r="AN239" s="191">
        <f t="shared" si="190"/>
        <v>6</v>
      </c>
      <c r="AO239" s="191" t="str">
        <f t="shared" si="190"/>
        <v>Institutions</v>
      </c>
      <c r="AP239" s="191" t="str">
        <f t="shared" si="190"/>
        <v>EWS</v>
      </c>
      <c r="AQ239" s="195" t="str">
        <f t="shared" ref="AQ239:AQ247" si="193">AT386</f>
        <v>Good</v>
      </c>
      <c r="AR239" s="220">
        <f t="shared" ref="AR239:AT239" si="191">AF224</f>
        <v>4</v>
      </c>
      <c r="AS239" s="220" t="str">
        <f t="shared" si="191"/>
        <v>Potable water </v>
      </c>
      <c r="AT239" s="220" t="str">
        <f t="shared" si="191"/>
        <v>Access</v>
      </c>
      <c r="AU239" s="215" t="str">
        <f t="shared" ref="AU239:AU241" si="194">AZ371</f>
        <v>Low</v>
      </c>
      <c r="AV239" s="208" t="str">
        <f t="shared" ref="AV239:AW239" si="192">AS239</f>
        <v>Potable water </v>
      </c>
      <c r="AW239" s="220" t="str">
        <f t="shared" si="192"/>
        <v>Access</v>
      </c>
      <c r="AX239" s="199" t="str">
        <f t="shared" si="171"/>
        <v>Low</v>
      </c>
    </row>
    <row r="240" ht="14.25" customHeight="1">
      <c r="A240" s="1"/>
      <c r="B240" s="255" t="str">
        <f>$AP$338</f>
        <v>Livelihoods</v>
      </c>
      <c r="C240" s="256" t="str">
        <f>AQ338</f>
        <v>Food Security</v>
      </c>
      <c r="D240" s="257" t="str">
        <f>AQ339</f>
        <v>Grazing/Farm Land</v>
      </c>
      <c r="E240" s="178"/>
      <c r="F240" s="257" t="str">
        <f>AQ340</f>
        <v>Crops</v>
      </c>
      <c r="G240" s="178"/>
      <c r="H240" s="257" t="str">
        <f>AQ341</f>
        <v>Livestock</v>
      </c>
      <c r="I240" s="69"/>
      <c r="J240" s="178"/>
      <c r="K240" s="257" t="str">
        <f>AQ342</f>
        <v>Fishstock</v>
      </c>
      <c r="L240" s="69"/>
      <c r="M240" s="178"/>
      <c r="N240" s="257" t="str">
        <f>AQ343</f>
        <v>Local commerce</v>
      </c>
      <c r="O240" s="69"/>
      <c r="P240" s="69"/>
      <c r="Q240" s="178"/>
      <c r="R240" s="257" t="str">
        <f>AQ344</f>
        <v>Gender </v>
      </c>
      <c r="S240" s="69"/>
      <c r="T240" s="178"/>
      <c r="U240" s="257" t="str">
        <f>AQ345</f>
        <v>Conviviality </v>
      </c>
      <c r="V240" s="69"/>
      <c r="W240" s="178"/>
      <c r="X240" s="256" t="str">
        <f>AQ346</f>
        <v>Education </v>
      </c>
      <c r="Y240" s="256" t="str">
        <f>AQ347</f>
        <v>WFI/WFDU</v>
      </c>
      <c r="Z240" s="256" t="str">
        <f>AQ348</f>
        <v>ATF/I</v>
      </c>
      <c r="AA240" s="256" t="str">
        <f>AQ349</f>
        <v>Disaster Events</v>
      </c>
      <c r="AB240" s="206"/>
      <c r="AC240" s="96"/>
      <c r="AD240" s="258"/>
      <c r="AE240" s="96"/>
      <c r="AF240" s="190"/>
      <c r="AG240" s="190"/>
      <c r="AH240" s="193" t="str">
        <f t="shared" ref="AH240:AH247" si="195">AE387</f>
        <v>A &amp; I</v>
      </c>
      <c r="AI240" s="194" t="str">
        <f t="shared" ref="AI240:AI247" si="196">AH387</f>
        <v>Low</v>
      </c>
      <c r="AJ240" s="190"/>
      <c r="AK240" s="190"/>
      <c r="AL240" s="190" t="str">
        <f t="shared" ref="AL240:AL247" si="197">AK387</f>
        <v>A &amp; I</v>
      </c>
      <c r="AM240" s="194" t="str">
        <f t="shared" ref="AM240:AM247" si="198">AN387</f>
        <v>Low</v>
      </c>
      <c r="AN240" s="191"/>
      <c r="AO240" s="191"/>
      <c r="AP240" s="191" t="str">
        <f t="shared" ref="AP240:AP247" si="199">AQ387</f>
        <v>A &amp; I</v>
      </c>
      <c r="AQ240" s="195" t="str">
        <f t="shared" si="193"/>
        <v>Good</v>
      </c>
      <c r="AR240" s="220"/>
      <c r="AS240" s="220"/>
      <c r="AT240" s="220" t="str">
        <f t="shared" ref="AT240:AT241" si="200">AH225</f>
        <v>Scarcities </v>
      </c>
      <c r="AU240" s="215" t="str">
        <f t="shared" si="194"/>
        <v>Low</v>
      </c>
      <c r="AV240" s="208"/>
      <c r="AW240" s="220" t="str">
        <f t="shared" ref="AW240:AW241" si="201">AT240</f>
        <v>Scarcities </v>
      </c>
      <c r="AX240" s="199" t="str">
        <f t="shared" si="171"/>
        <v>Low</v>
      </c>
    </row>
    <row r="241" ht="14.25" customHeight="1">
      <c r="A241" s="1"/>
      <c r="B241" s="255" t="str">
        <f>$AP$351</f>
        <v>Health &amp; Safety</v>
      </c>
      <c r="C241" s="255" t="str">
        <f>AQ351</f>
        <v>Borne Diseases</v>
      </c>
      <c r="D241" s="259" t="str">
        <f>AQ352</f>
        <v>SLUP&amp;C</v>
      </c>
      <c r="E241" s="69"/>
      <c r="F241" s="178"/>
      <c r="G241" s="259" t="str">
        <f>AQ353</f>
        <v>SWM</v>
      </c>
      <c r="H241" s="69"/>
      <c r="I241" s="69"/>
      <c r="J241" s="69"/>
      <c r="K241" s="178"/>
      <c r="L241" s="259" t="str">
        <f>AQ354</f>
        <v>LWM</v>
      </c>
      <c r="M241" s="69"/>
      <c r="N241" s="69"/>
      <c r="O241" s="69"/>
      <c r="P241" s="69"/>
      <c r="Q241" s="178"/>
      <c r="R241" s="259" t="str">
        <f>AQ355</f>
        <v>ATHS</v>
      </c>
      <c r="S241" s="69"/>
      <c r="T241" s="69"/>
      <c r="U241" s="69"/>
      <c r="V241" s="69"/>
      <c r="W241" s="69"/>
      <c r="X241" s="178"/>
      <c r="Y241" s="259" t="str">
        <f>AQ356</f>
        <v>ATHE</v>
      </c>
      <c r="Z241" s="69"/>
      <c r="AA241" s="178"/>
      <c r="AB241" s="206"/>
      <c r="AC241" s="96"/>
      <c r="AD241" s="260"/>
      <c r="AE241" s="96"/>
      <c r="AF241" s="190"/>
      <c r="AG241" s="190"/>
      <c r="AH241" s="193" t="str">
        <f t="shared" si="195"/>
        <v>EC</v>
      </c>
      <c r="AI241" s="194" t="str">
        <f t="shared" si="196"/>
        <v>Low</v>
      </c>
      <c r="AJ241" s="190"/>
      <c r="AK241" s="190"/>
      <c r="AL241" s="190" t="str">
        <f t="shared" si="197"/>
        <v>EC</v>
      </c>
      <c r="AM241" s="194" t="str">
        <f t="shared" si="198"/>
        <v>Low</v>
      </c>
      <c r="AN241" s="191"/>
      <c r="AO241" s="191"/>
      <c r="AP241" s="191" t="str">
        <f t="shared" si="199"/>
        <v>EC</v>
      </c>
      <c r="AQ241" s="195" t="str">
        <f t="shared" si="193"/>
        <v>Good</v>
      </c>
      <c r="AR241" s="220"/>
      <c r="AS241" s="220"/>
      <c r="AT241" s="220" t="str">
        <f t="shared" si="200"/>
        <v>Quality</v>
      </c>
      <c r="AU241" s="215" t="str">
        <f t="shared" si="194"/>
        <v>Low</v>
      </c>
      <c r="AV241" s="208"/>
      <c r="AW241" s="220" t="str">
        <f t="shared" si="201"/>
        <v>Quality</v>
      </c>
      <c r="AX241" s="199" t="str">
        <f t="shared" si="171"/>
        <v>Low</v>
      </c>
    </row>
    <row r="242" ht="14.25" customHeight="1">
      <c r="A242" s="1"/>
      <c r="B242" s="255" t="str">
        <f>$AP$358</f>
        <v>Assets and Utilities</v>
      </c>
      <c r="C242" s="256" t="str">
        <f>AQ358</f>
        <v>Housing</v>
      </c>
      <c r="D242" s="257" t="str">
        <f>AQ359</f>
        <v>Public facilities </v>
      </c>
      <c r="E242" s="178"/>
      <c r="F242" s="257" t="str">
        <f>AQ360</f>
        <v>SWD</v>
      </c>
      <c r="G242" s="178"/>
      <c r="H242" s="257" t="str">
        <f>AQ361</f>
        <v>Sanitary facilities </v>
      </c>
      <c r="I242" s="69"/>
      <c r="J242" s="178"/>
      <c r="K242" s="257" t="str">
        <f>AQ362</f>
        <v>Sewer lines </v>
      </c>
      <c r="L242" s="69"/>
      <c r="M242" s="178"/>
      <c r="N242" s="257" t="str">
        <f>AQ363</f>
        <v>Power lines/supply</v>
      </c>
      <c r="O242" s="69"/>
      <c r="P242" s="69"/>
      <c r="Q242" s="178"/>
      <c r="R242" s="257" t="str">
        <f>AQ364</f>
        <v>Energy for HH use </v>
      </c>
      <c r="S242" s="69"/>
      <c r="T242" s="178"/>
      <c r="U242" s="257" t="str">
        <f>AQ365</f>
        <v>Water pipes </v>
      </c>
      <c r="V242" s="69"/>
      <c r="W242" s="178"/>
      <c r="X242" s="256" t="str">
        <f>AQ366</f>
        <v>PWT</v>
      </c>
      <c r="Y242" s="256" t="str">
        <f>AQ367</f>
        <v>Water Storage</v>
      </c>
      <c r="Z242" s="256" t="str">
        <f>AQ368</f>
        <v>R &amp; T</v>
      </c>
      <c r="AA242" s="256" t="str">
        <f>AQ369</f>
        <v>Communication </v>
      </c>
      <c r="AB242" s="206"/>
      <c r="AC242" s="96"/>
      <c r="AD242" s="96"/>
      <c r="AE242" s="96"/>
      <c r="AF242" s="190"/>
      <c r="AG242" s="190"/>
      <c r="AH242" s="193" t="str">
        <f t="shared" si="195"/>
        <v>R/RP</v>
      </c>
      <c r="AI242" s="194" t="str">
        <f t="shared" si="196"/>
        <v>Low</v>
      </c>
      <c r="AJ242" s="190"/>
      <c r="AK242" s="190"/>
      <c r="AL242" s="190" t="str">
        <f t="shared" si="197"/>
        <v>R/RP</v>
      </c>
      <c r="AM242" s="194" t="str">
        <f t="shared" si="198"/>
        <v>Low</v>
      </c>
      <c r="AN242" s="191"/>
      <c r="AO242" s="191"/>
      <c r="AP242" s="191" t="str">
        <f t="shared" si="199"/>
        <v>R/RP</v>
      </c>
      <c r="AQ242" s="195" t="str">
        <f t="shared" si="193"/>
        <v>Good</v>
      </c>
      <c r="AR242" s="208" t="str">
        <f t="shared" ref="AR242:AT242" si="202">AF227</f>
        <v> </v>
      </c>
      <c r="AS242" s="208" t="str">
        <f t="shared" si="202"/>
        <v> </v>
      </c>
      <c r="AT242" s="208" t="str">
        <f t="shared" si="202"/>
        <v> </v>
      </c>
      <c r="AU242" s="215"/>
      <c r="AV242" s="208" t="str">
        <f t="shared" ref="AV242:AW242" si="203">AS242</f>
        <v> </v>
      </c>
      <c r="AW242" s="208" t="str">
        <f t="shared" si="203"/>
        <v> </v>
      </c>
      <c r="AX242" s="199"/>
    </row>
    <row r="243" ht="14.25" customHeight="1">
      <c r="A243" s="1"/>
      <c r="B243" s="255" t="str">
        <f>$AP$371</f>
        <v>Potable water </v>
      </c>
      <c r="C243" s="259" t="str">
        <f>AQ371</f>
        <v>Access</v>
      </c>
      <c r="D243" s="69"/>
      <c r="E243" s="69"/>
      <c r="F243" s="69"/>
      <c r="G243" s="69"/>
      <c r="H243" s="69"/>
      <c r="I243" s="178"/>
      <c r="J243" s="259" t="str">
        <f>AQ372</f>
        <v>Scarcities </v>
      </c>
      <c r="K243" s="69"/>
      <c r="L243" s="69"/>
      <c r="M243" s="69"/>
      <c r="N243" s="69"/>
      <c r="O243" s="69"/>
      <c r="P243" s="69"/>
      <c r="Q243" s="69"/>
      <c r="R243" s="69"/>
      <c r="S243" s="69"/>
      <c r="T243" s="69"/>
      <c r="U243" s="69"/>
      <c r="V243" s="69"/>
      <c r="W243" s="178"/>
      <c r="X243" s="259" t="str">
        <f>AQ373</f>
        <v>Quality</v>
      </c>
      <c r="Y243" s="69"/>
      <c r="Z243" s="69"/>
      <c r="AA243" s="178"/>
      <c r="AB243" s="206"/>
      <c r="AC243" s="96"/>
      <c r="AD243" s="261"/>
      <c r="AF243" s="190"/>
      <c r="AG243" s="190"/>
      <c r="AH243" s="193" t="str">
        <f t="shared" si="195"/>
        <v>HFO</v>
      </c>
      <c r="AI243" s="194" t="str">
        <f t="shared" si="196"/>
        <v>Low</v>
      </c>
      <c r="AJ243" s="190"/>
      <c r="AK243" s="190"/>
      <c r="AL243" s="190" t="str">
        <f t="shared" si="197"/>
        <v>HFO</v>
      </c>
      <c r="AM243" s="194" t="str">
        <f t="shared" si="198"/>
        <v>Low</v>
      </c>
      <c r="AN243" s="191"/>
      <c r="AO243" s="191"/>
      <c r="AP243" s="191" t="str">
        <f t="shared" si="199"/>
        <v>HFO</v>
      </c>
      <c r="AQ243" s="195" t="str">
        <f t="shared" si="193"/>
        <v>Good</v>
      </c>
      <c r="AR243" s="220">
        <f t="shared" ref="AR243:AT243" si="204">AF228</f>
        <v>5</v>
      </c>
      <c r="AS243" s="220" t="str">
        <f t="shared" si="204"/>
        <v>EBS</v>
      </c>
      <c r="AT243" s="220" t="str">
        <f t="shared" si="204"/>
        <v>Soil </v>
      </c>
      <c r="AU243" s="215" t="str">
        <f t="shared" ref="AU243:AU252" si="206">AZ375</f>
        <v>Low</v>
      </c>
      <c r="AV243" s="208" t="str">
        <f t="shared" ref="AV243:AW243" si="205">AS243</f>
        <v>EBS</v>
      </c>
      <c r="AW243" s="220" t="str">
        <f t="shared" si="205"/>
        <v>Soil </v>
      </c>
      <c r="AX243" s="199" t="str">
        <f t="shared" ref="AX243:AX252" si="207">BF375</f>
        <v>Low</v>
      </c>
    </row>
    <row r="244" ht="14.25" customHeight="1">
      <c r="A244" s="1"/>
      <c r="B244" s="255" t="str">
        <f>$AP$375</f>
        <v>EBS</v>
      </c>
      <c r="C244" s="256" t="str">
        <f>AQ375</f>
        <v>Soil </v>
      </c>
      <c r="D244" s="259" t="str">
        <f>AQ376</f>
        <v>LC &amp; P</v>
      </c>
      <c r="E244" s="69"/>
      <c r="F244" s="178"/>
      <c r="G244" s="259" t="str">
        <f>AQ377</f>
        <v>NV</v>
      </c>
      <c r="H244" s="69"/>
      <c r="I244" s="178"/>
      <c r="J244" s="259" t="str">
        <f>AQ378</f>
        <v>Wetland </v>
      </c>
      <c r="K244" s="69"/>
      <c r="L244" s="178"/>
      <c r="M244" s="259" t="str">
        <f>AQ379</f>
        <v>Biodiversity</v>
      </c>
      <c r="N244" s="69"/>
      <c r="O244" s="69"/>
      <c r="P244" s="69"/>
      <c r="Q244" s="178"/>
      <c r="R244" s="259" t="str">
        <f>AQ380</f>
        <v>NWB</v>
      </c>
      <c r="S244" s="69"/>
      <c r="T244" s="69"/>
      <c r="U244" s="69"/>
      <c r="V244" s="69"/>
      <c r="W244" s="178"/>
      <c r="X244" s="256" t="str">
        <f>AQ381</f>
        <v>Sea</v>
      </c>
      <c r="Y244" s="256" t="str">
        <f>AQ382</f>
        <v>EF</v>
      </c>
      <c r="Z244" s="256" t="str">
        <f>AQ383</f>
        <v>Land use </v>
      </c>
      <c r="AA244" s="256" t="str">
        <f>AQ384</f>
        <v>Topography</v>
      </c>
      <c r="AB244" s="206"/>
      <c r="AC244" s="96"/>
      <c r="AD244" s="258"/>
      <c r="AE244" s="96"/>
      <c r="AF244" s="190"/>
      <c r="AG244" s="190"/>
      <c r="AH244" s="193" t="str">
        <f t="shared" si="195"/>
        <v>DP</v>
      </c>
      <c r="AI244" s="194" t="str">
        <f t="shared" si="196"/>
        <v>Low</v>
      </c>
      <c r="AJ244" s="190"/>
      <c r="AK244" s="190"/>
      <c r="AL244" s="190" t="str">
        <f t="shared" si="197"/>
        <v>DP</v>
      </c>
      <c r="AM244" s="194" t="str">
        <f t="shared" si="198"/>
        <v>Low</v>
      </c>
      <c r="AN244" s="191"/>
      <c r="AO244" s="191"/>
      <c r="AP244" s="191" t="str">
        <f t="shared" si="199"/>
        <v>DP</v>
      </c>
      <c r="AQ244" s="195" t="str">
        <f t="shared" si="193"/>
        <v>Good</v>
      </c>
      <c r="AR244" s="220"/>
      <c r="AS244" s="220"/>
      <c r="AT244" s="220" t="str">
        <f t="shared" ref="AT244:AT252" si="208">AH229</f>
        <v>LC &amp; P</v>
      </c>
      <c r="AU244" s="215" t="str">
        <f t="shared" si="206"/>
        <v>Low</v>
      </c>
      <c r="AV244" s="208"/>
      <c r="AW244" s="220" t="str">
        <f t="shared" ref="AW244:AW252" si="209">AT244</f>
        <v>LC &amp; P</v>
      </c>
      <c r="AX244" s="199" t="str">
        <f t="shared" si="207"/>
        <v>Low</v>
      </c>
    </row>
    <row r="245" ht="14.25" customHeight="1">
      <c r="A245" s="1"/>
      <c r="B245" s="255" t="str">
        <f>$AP$386</f>
        <v>Institutions</v>
      </c>
      <c r="C245" s="256" t="str">
        <f>AQ386</f>
        <v>EWS</v>
      </c>
      <c r="D245" s="257" t="str">
        <f>AQ387</f>
        <v>A &amp; I</v>
      </c>
      <c r="E245" s="69"/>
      <c r="F245" s="178"/>
      <c r="G245" s="257" t="str">
        <f>AQ388</f>
        <v>EC</v>
      </c>
      <c r="H245" s="69"/>
      <c r="I245" s="69"/>
      <c r="J245" s="178"/>
      <c r="K245" s="259" t="str">
        <f>AQ389</f>
        <v>R/RP</v>
      </c>
      <c r="L245" s="69"/>
      <c r="M245" s="69"/>
      <c r="N245" s="178"/>
      <c r="O245" s="259" t="str">
        <f>AQ390</f>
        <v>HFO</v>
      </c>
      <c r="P245" s="69"/>
      <c r="Q245" s="69"/>
      <c r="R245" s="69"/>
      <c r="S245" s="69"/>
      <c r="T245" s="69"/>
      <c r="U245" s="178"/>
      <c r="V245" s="259" t="str">
        <f>AQ391</f>
        <v>DP</v>
      </c>
      <c r="W245" s="69"/>
      <c r="X245" s="178"/>
      <c r="Y245" s="262" t="str">
        <f>AQ392</f>
        <v>DR</v>
      </c>
      <c r="Z245" s="256" t="str">
        <f>AQ393</f>
        <v>PFR</v>
      </c>
      <c r="AA245" s="256" t="str">
        <f>AQ394</f>
        <v>PFM</v>
      </c>
      <c r="AB245" s="206"/>
      <c r="AC245" s="96"/>
      <c r="AD245" s="96"/>
      <c r="AE245" s="96"/>
      <c r="AF245" s="190"/>
      <c r="AG245" s="190"/>
      <c r="AH245" s="193" t="str">
        <f t="shared" si="195"/>
        <v>DR</v>
      </c>
      <c r="AI245" s="194" t="str">
        <f t="shared" si="196"/>
        <v>Low</v>
      </c>
      <c r="AJ245" s="190"/>
      <c r="AK245" s="190"/>
      <c r="AL245" s="190" t="str">
        <f t="shared" si="197"/>
        <v>DR</v>
      </c>
      <c r="AM245" s="194" t="str">
        <f t="shared" si="198"/>
        <v>Low</v>
      </c>
      <c r="AN245" s="191"/>
      <c r="AO245" s="191"/>
      <c r="AP245" s="191" t="str">
        <f t="shared" si="199"/>
        <v>DR</v>
      </c>
      <c r="AQ245" s="195" t="str">
        <f t="shared" si="193"/>
        <v>Good</v>
      </c>
      <c r="AR245" s="220"/>
      <c r="AS245" s="220"/>
      <c r="AT245" s="220" t="str">
        <f t="shared" si="208"/>
        <v>NV</v>
      </c>
      <c r="AU245" s="215" t="str">
        <f t="shared" si="206"/>
        <v>Low</v>
      </c>
      <c r="AV245" s="208"/>
      <c r="AW245" s="220" t="str">
        <f t="shared" si="209"/>
        <v>NV</v>
      </c>
      <c r="AX245" s="199" t="str">
        <f t="shared" si="207"/>
        <v>Low</v>
      </c>
    </row>
    <row r="246" ht="14.25" customHeight="1">
      <c r="A246" s="1"/>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06"/>
      <c r="AC246" s="96"/>
      <c r="AD246" s="96"/>
      <c r="AE246" s="96"/>
      <c r="AF246" s="190"/>
      <c r="AG246" s="190"/>
      <c r="AH246" s="193" t="str">
        <f t="shared" si="195"/>
        <v>PFR</v>
      </c>
      <c r="AI246" s="194" t="str">
        <f t="shared" si="196"/>
        <v>Low</v>
      </c>
      <c r="AJ246" s="190"/>
      <c r="AK246" s="190"/>
      <c r="AL246" s="190" t="str">
        <f t="shared" si="197"/>
        <v>PFR</v>
      </c>
      <c r="AM246" s="194" t="str">
        <f t="shared" si="198"/>
        <v>Low</v>
      </c>
      <c r="AN246" s="191"/>
      <c r="AO246" s="191"/>
      <c r="AP246" s="191" t="str">
        <f t="shared" si="199"/>
        <v>PFR</v>
      </c>
      <c r="AQ246" s="195" t="str">
        <f t="shared" si="193"/>
        <v>Good</v>
      </c>
      <c r="AR246" s="220"/>
      <c r="AS246" s="220"/>
      <c r="AT246" s="220" t="str">
        <f t="shared" si="208"/>
        <v>Wetland </v>
      </c>
      <c r="AU246" s="215" t="str">
        <f t="shared" si="206"/>
        <v>Low</v>
      </c>
      <c r="AV246" s="208"/>
      <c r="AW246" s="220" t="str">
        <f t="shared" si="209"/>
        <v>Wetland </v>
      </c>
      <c r="AX246" s="199" t="str">
        <f t="shared" si="207"/>
        <v>Low</v>
      </c>
    </row>
    <row r="247" ht="14.25" customHeight="1">
      <c r="A247" s="1"/>
      <c r="B247" s="255" t="str">
        <f>$AP$338</f>
        <v>Livelihoods</v>
      </c>
      <c r="C247" s="256" t="str">
        <f>AQ191</f>
        <v>Good</v>
      </c>
      <c r="D247" s="257" t="str">
        <f>AQ192</f>
        <v>Good</v>
      </c>
      <c r="E247" s="178"/>
      <c r="F247" s="257" t="str">
        <f>AQ193</f>
        <v>Good</v>
      </c>
      <c r="G247" s="178"/>
      <c r="H247" s="257" t="str">
        <f>AQ194</f>
        <v>Good</v>
      </c>
      <c r="I247" s="69"/>
      <c r="J247" s="178"/>
      <c r="K247" s="257" t="str">
        <f>AQ195</f>
        <v>Good</v>
      </c>
      <c r="L247" s="69"/>
      <c r="M247" s="178"/>
      <c r="N247" s="257" t="str">
        <f>AQ196</f>
        <v>Good</v>
      </c>
      <c r="O247" s="69"/>
      <c r="P247" s="69"/>
      <c r="Q247" s="178"/>
      <c r="R247" s="257" t="str">
        <f>AQ197</f>
        <v>Good</v>
      </c>
      <c r="S247" s="69"/>
      <c r="T247" s="178"/>
      <c r="U247" s="257" t="str">
        <f>AQ198</f>
        <v>Good</v>
      </c>
      <c r="V247" s="69"/>
      <c r="W247" s="178"/>
      <c r="X247" s="256" t="str">
        <f>AQ199</f>
        <v>Good</v>
      </c>
      <c r="Y247" s="256" t="str">
        <f>AQ200</f>
        <v>Good</v>
      </c>
      <c r="Z247" s="256" t="str">
        <f>AQ201</f>
        <v>Good</v>
      </c>
      <c r="AA247" s="256" t="str">
        <f>AQ202</f>
        <v>Good</v>
      </c>
      <c r="AB247" s="206"/>
      <c r="AC247" s="96"/>
      <c r="AD247" s="261"/>
      <c r="AF247" s="190"/>
      <c r="AG247" s="190"/>
      <c r="AH247" s="193" t="str">
        <f t="shared" si="195"/>
        <v>PFM</v>
      </c>
      <c r="AI247" s="194" t="str">
        <f t="shared" si="196"/>
        <v>Low</v>
      </c>
      <c r="AJ247" s="190"/>
      <c r="AK247" s="190"/>
      <c r="AL247" s="190" t="str">
        <f t="shared" si="197"/>
        <v>PFM</v>
      </c>
      <c r="AM247" s="194" t="str">
        <f t="shared" si="198"/>
        <v>Low</v>
      </c>
      <c r="AN247" s="191"/>
      <c r="AO247" s="191"/>
      <c r="AP247" s="191" t="str">
        <f t="shared" si="199"/>
        <v>PFM</v>
      </c>
      <c r="AQ247" s="195" t="str">
        <f t="shared" si="193"/>
        <v>Good</v>
      </c>
      <c r="AR247" s="220"/>
      <c r="AS247" s="220"/>
      <c r="AT247" s="220" t="str">
        <f t="shared" si="208"/>
        <v>Biodiversity</v>
      </c>
      <c r="AU247" s="215" t="str">
        <f t="shared" si="206"/>
        <v>Low</v>
      </c>
      <c r="AV247" s="208"/>
      <c r="AW247" s="220" t="str">
        <f t="shared" si="209"/>
        <v>Biodiversity</v>
      </c>
      <c r="AX247" s="199" t="str">
        <f t="shared" si="207"/>
        <v>Low</v>
      </c>
    </row>
    <row r="248" ht="14.25" customHeight="1">
      <c r="A248" s="1"/>
      <c r="B248" s="255" t="str">
        <f>$AP$351</f>
        <v>Health &amp; Safety</v>
      </c>
      <c r="C248" s="255" t="str">
        <f>AQ204</f>
        <v>Good</v>
      </c>
      <c r="D248" s="259" t="str">
        <f>AQ205</f>
        <v>Good</v>
      </c>
      <c r="E248" s="69"/>
      <c r="F248" s="178"/>
      <c r="G248" s="259" t="str">
        <f>AQ206</f>
        <v>Good</v>
      </c>
      <c r="H248" s="69"/>
      <c r="I248" s="69"/>
      <c r="J248" s="69"/>
      <c r="K248" s="178"/>
      <c r="L248" s="259" t="str">
        <f>AQ207</f>
        <v>Good</v>
      </c>
      <c r="M248" s="69"/>
      <c r="N248" s="69"/>
      <c r="O248" s="69"/>
      <c r="P248" s="69"/>
      <c r="Q248" s="178"/>
      <c r="R248" s="259" t="str">
        <f>AQ208</f>
        <v>Good</v>
      </c>
      <c r="S248" s="69"/>
      <c r="T248" s="69"/>
      <c r="U248" s="69"/>
      <c r="V248" s="69"/>
      <c r="W248" s="69"/>
      <c r="X248" s="178"/>
      <c r="Y248" s="259" t="str">
        <f>AQ209</f>
        <v>Good</v>
      </c>
      <c r="Z248" s="69"/>
      <c r="AA248" s="178"/>
      <c r="AB248" s="206"/>
      <c r="AC248" s="96"/>
      <c r="AD248" s="96"/>
      <c r="AE248" s="96"/>
      <c r="AF248" s="96"/>
      <c r="AH248" s="96"/>
      <c r="AJ248" s="206"/>
      <c r="AK248" s="96"/>
      <c r="AL248" s="206"/>
      <c r="AN248" s="96"/>
      <c r="AO248" s="96"/>
      <c r="AP248" s="206"/>
      <c r="AR248" s="220"/>
      <c r="AS248" s="220"/>
      <c r="AT248" s="220" t="str">
        <f t="shared" si="208"/>
        <v>NWB</v>
      </c>
      <c r="AU248" s="215" t="str">
        <f t="shared" si="206"/>
        <v>Low</v>
      </c>
      <c r="AV248" s="208"/>
      <c r="AW248" s="220" t="str">
        <f t="shared" si="209"/>
        <v>NWB</v>
      </c>
      <c r="AX248" s="199" t="str">
        <f t="shared" si="207"/>
        <v>Low</v>
      </c>
    </row>
    <row r="249" ht="14.25" customHeight="1">
      <c r="A249" s="1"/>
      <c r="B249" s="255" t="str">
        <f>$AP$358</f>
        <v>Assets and Utilities</v>
      </c>
      <c r="C249" s="256" t="str">
        <f>AQ211</f>
        <v>Good</v>
      </c>
      <c r="D249" s="257" t="str">
        <f>AQ212</f>
        <v>Good</v>
      </c>
      <c r="E249" s="178"/>
      <c r="F249" s="257" t="str">
        <f>AQ213</f>
        <v>Good</v>
      </c>
      <c r="G249" s="178"/>
      <c r="H249" s="257" t="str">
        <f>AQ214</f>
        <v>Good</v>
      </c>
      <c r="I249" s="69"/>
      <c r="J249" s="178"/>
      <c r="K249" s="257" t="str">
        <f>AQ215</f>
        <v>Good</v>
      </c>
      <c r="L249" s="69"/>
      <c r="M249" s="178"/>
      <c r="N249" s="257" t="str">
        <f>AQ216</f>
        <v>Good</v>
      </c>
      <c r="O249" s="69"/>
      <c r="P249" s="69"/>
      <c r="Q249" s="178"/>
      <c r="R249" s="257" t="str">
        <f>AQ217</f>
        <v>Good</v>
      </c>
      <c r="S249" s="69"/>
      <c r="T249" s="178"/>
      <c r="U249" s="257" t="str">
        <f>AQ218</f>
        <v>Good</v>
      </c>
      <c r="V249" s="69"/>
      <c r="W249" s="178"/>
      <c r="X249" s="256" t="str">
        <f>AQ219</f>
        <v>Good</v>
      </c>
      <c r="Y249" s="256" t="str">
        <f>AQ220</f>
        <v>Good</v>
      </c>
      <c r="Z249" s="256" t="str">
        <f>AQ221</f>
        <v>Good</v>
      </c>
      <c r="AA249" s="256" t="str">
        <f>AQ222</f>
        <v>Good</v>
      </c>
      <c r="AB249" s="206"/>
      <c r="AC249" s="96"/>
      <c r="AD249" s="96"/>
      <c r="AE249" s="96"/>
      <c r="AF249" s="206"/>
      <c r="AG249" s="96"/>
      <c r="AH249" s="96"/>
      <c r="AI249" s="96"/>
      <c r="AJ249" s="206"/>
      <c r="AK249" s="96"/>
      <c r="AL249" s="206"/>
      <c r="AN249" s="96"/>
      <c r="AO249" s="96"/>
      <c r="AP249" s="206"/>
      <c r="AR249" s="220"/>
      <c r="AS249" s="220"/>
      <c r="AT249" s="220" t="str">
        <f t="shared" si="208"/>
        <v>Sea</v>
      </c>
      <c r="AU249" s="215" t="str">
        <f t="shared" si="206"/>
        <v>Low</v>
      </c>
      <c r="AV249" s="208"/>
      <c r="AW249" s="220" t="str">
        <f t="shared" si="209"/>
        <v>Sea</v>
      </c>
      <c r="AX249" s="199" t="str">
        <f t="shared" si="207"/>
        <v>Low</v>
      </c>
    </row>
    <row r="250" ht="14.25" customHeight="1">
      <c r="A250" s="1"/>
      <c r="B250" s="255" t="str">
        <f>$AP$371</f>
        <v>Potable water </v>
      </c>
      <c r="C250" s="259" t="str">
        <f>AQ224</f>
        <v>Good</v>
      </c>
      <c r="D250" s="69"/>
      <c r="E250" s="69"/>
      <c r="F250" s="69"/>
      <c r="G250" s="69"/>
      <c r="H250" s="69"/>
      <c r="I250" s="178"/>
      <c r="J250" s="259" t="str">
        <f>AQ225</f>
        <v>Good</v>
      </c>
      <c r="K250" s="69"/>
      <c r="L250" s="69"/>
      <c r="M250" s="69"/>
      <c r="N250" s="69"/>
      <c r="O250" s="69"/>
      <c r="P250" s="69"/>
      <c r="Q250" s="69"/>
      <c r="R250" s="69"/>
      <c r="S250" s="69"/>
      <c r="T250" s="69"/>
      <c r="U250" s="69"/>
      <c r="V250" s="69"/>
      <c r="W250" s="178"/>
      <c r="X250" s="259" t="str">
        <f>AQ226</f>
        <v>Good</v>
      </c>
      <c r="Y250" s="69"/>
      <c r="Z250" s="69"/>
      <c r="AA250" s="178"/>
      <c r="AB250" s="206"/>
      <c r="AC250" s="96"/>
      <c r="AD250" s="96"/>
      <c r="AE250" s="96"/>
      <c r="AF250" s="206"/>
      <c r="AG250" s="96"/>
      <c r="AH250" s="261"/>
      <c r="AJ250" s="206"/>
      <c r="AK250" s="238"/>
      <c r="AL250" s="206"/>
      <c r="AN250" s="96"/>
      <c r="AO250" s="96"/>
      <c r="AP250" s="206"/>
      <c r="AR250" s="220"/>
      <c r="AS250" s="220"/>
      <c r="AT250" s="220" t="str">
        <f t="shared" si="208"/>
        <v>EF</v>
      </c>
      <c r="AU250" s="215" t="str">
        <f t="shared" si="206"/>
        <v>Low</v>
      </c>
      <c r="AV250" s="208"/>
      <c r="AW250" s="220" t="str">
        <f t="shared" si="209"/>
        <v>EF</v>
      </c>
      <c r="AX250" s="199" t="str">
        <f t="shared" si="207"/>
        <v>Low</v>
      </c>
    </row>
    <row r="251" ht="14.25" customHeight="1">
      <c r="A251" s="1"/>
      <c r="B251" s="255" t="str">
        <f>$AP$375</f>
        <v>EBS</v>
      </c>
      <c r="C251" s="256" t="str">
        <f>AQ228</f>
        <v>Good</v>
      </c>
      <c r="D251" s="259" t="str">
        <f>AQ229</f>
        <v>Good</v>
      </c>
      <c r="E251" s="69"/>
      <c r="F251" s="178"/>
      <c r="G251" s="259" t="str">
        <f>AQ230</f>
        <v>Good</v>
      </c>
      <c r="H251" s="69"/>
      <c r="I251" s="178"/>
      <c r="J251" s="259" t="str">
        <f>AQ231</f>
        <v>Good</v>
      </c>
      <c r="K251" s="69"/>
      <c r="L251" s="178"/>
      <c r="M251" s="259" t="str">
        <f>AQ232</f>
        <v>Good</v>
      </c>
      <c r="N251" s="69"/>
      <c r="O251" s="69"/>
      <c r="P251" s="69"/>
      <c r="Q251" s="178"/>
      <c r="R251" s="259" t="str">
        <f>AQ233</f>
        <v>Good</v>
      </c>
      <c r="S251" s="69"/>
      <c r="T251" s="69"/>
      <c r="U251" s="69"/>
      <c r="V251" s="69"/>
      <c r="W251" s="178"/>
      <c r="X251" s="256" t="str">
        <f>AQ234</f>
        <v>Good</v>
      </c>
      <c r="Y251" s="256" t="str">
        <f>AQ235</f>
        <v>Good</v>
      </c>
      <c r="Z251" s="256" t="str">
        <f>AQ236</f>
        <v>Good</v>
      </c>
      <c r="AA251" s="256" t="str">
        <f>AQ237</f>
        <v>Good</v>
      </c>
      <c r="AB251" s="206"/>
      <c r="AC251" s="96"/>
      <c r="AD251" s="96"/>
      <c r="AE251" s="96"/>
      <c r="AF251" s="206"/>
      <c r="AG251" s="96"/>
      <c r="AH251" s="96"/>
      <c r="AI251" s="96"/>
      <c r="AJ251" s="206"/>
      <c r="AK251" s="96"/>
      <c r="AL251" s="206"/>
      <c r="AR251" s="220"/>
      <c r="AS251" s="220"/>
      <c r="AT251" s="220" t="str">
        <f t="shared" si="208"/>
        <v>Land use </v>
      </c>
      <c r="AU251" s="215" t="str">
        <f t="shared" si="206"/>
        <v>Low</v>
      </c>
      <c r="AV251" s="208"/>
      <c r="AW251" s="220" t="str">
        <f t="shared" si="209"/>
        <v>Land use </v>
      </c>
      <c r="AX251" s="199" t="str">
        <f t="shared" si="207"/>
        <v>Low</v>
      </c>
    </row>
    <row r="252" ht="14.25" customHeight="1">
      <c r="A252" s="1"/>
      <c r="B252" s="255" t="str">
        <f>$AP$386</f>
        <v>Institutions</v>
      </c>
      <c r="C252" s="256" t="str">
        <f>AQ239</f>
        <v>Good</v>
      </c>
      <c r="D252" s="257" t="str">
        <f>AQ240</f>
        <v>Good</v>
      </c>
      <c r="E252" s="69"/>
      <c r="F252" s="178"/>
      <c r="G252" s="257" t="str">
        <f>AQ241</f>
        <v>Good</v>
      </c>
      <c r="H252" s="69"/>
      <c r="I252" s="69"/>
      <c r="J252" s="178"/>
      <c r="K252" s="259" t="str">
        <f>AQ242</f>
        <v>Good</v>
      </c>
      <c r="L252" s="69"/>
      <c r="M252" s="69"/>
      <c r="N252" s="178"/>
      <c r="O252" s="259" t="str">
        <f>AQ243</f>
        <v>Good</v>
      </c>
      <c r="P252" s="69"/>
      <c r="Q252" s="69"/>
      <c r="R252" s="69"/>
      <c r="S252" s="69"/>
      <c r="T252" s="69"/>
      <c r="U252" s="178"/>
      <c r="V252" s="259" t="str">
        <f>AQ244</f>
        <v>Good</v>
      </c>
      <c r="W252" s="69"/>
      <c r="X252" s="178"/>
      <c r="Y252" s="262" t="str">
        <f>AQ245</f>
        <v>Good</v>
      </c>
      <c r="Z252" s="256" t="str">
        <f>AQ246</f>
        <v>Good</v>
      </c>
      <c r="AA252" s="256" t="str">
        <f>AQ247</f>
        <v>Good</v>
      </c>
      <c r="AB252" s="206"/>
      <c r="AC252" s="96"/>
      <c r="AD252" s="96"/>
      <c r="AE252" s="96"/>
      <c r="AF252" s="206"/>
      <c r="AG252" s="96"/>
      <c r="AH252" s="96"/>
      <c r="AI252" s="96"/>
      <c r="AJ252" s="206"/>
      <c r="AK252" s="96"/>
      <c r="AL252" s="206"/>
      <c r="AR252" s="220"/>
      <c r="AS252" s="220"/>
      <c r="AT252" s="220" t="str">
        <f t="shared" si="208"/>
        <v>Topography</v>
      </c>
      <c r="AU252" s="215" t="str">
        <f t="shared" si="206"/>
        <v>Low</v>
      </c>
      <c r="AV252" s="208"/>
      <c r="AW252" s="220" t="str">
        <f t="shared" si="209"/>
        <v>Topography</v>
      </c>
      <c r="AX252" s="199" t="str">
        <f t="shared" si="207"/>
        <v>Low</v>
      </c>
    </row>
    <row r="253" ht="14.25" customHeight="1">
      <c r="A253" s="1"/>
      <c r="B253" s="264"/>
      <c r="C253" s="253"/>
      <c r="D253" s="265"/>
      <c r="I253" s="265"/>
      <c r="N253" s="265"/>
      <c r="S253" s="265"/>
      <c r="X253" s="1"/>
      <c r="Y253" s="96"/>
      <c r="Z253" s="96"/>
      <c r="AA253" s="96"/>
      <c r="AB253" s="206"/>
      <c r="AC253" s="96"/>
      <c r="AD253" s="261"/>
      <c r="AF253" s="206"/>
      <c r="AG253" s="96"/>
      <c r="AH253" s="96"/>
      <c r="AI253" s="96"/>
      <c r="AJ253" s="206"/>
      <c r="AK253" s="96"/>
      <c r="AL253" s="206"/>
      <c r="AN253" s="187"/>
      <c r="AO253" s="187"/>
      <c r="AP253" s="187"/>
      <c r="AR253" s="208"/>
      <c r="AS253" s="208"/>
      <c r="AT253" s="208"/>
      <c r="AU253" s="215"/>
      <c r="AV253" s="208"/>
      <c r="AW253" s="208"/>
      <c r="AX253" s="199"/>
    </row>
    <row r="254" ht="14.25" customHeight="1">
      <c r="A254" s="1"/>
      <c r="B254" s="222" t="s">
        <v>610</v>
      </c>
      <c r="C254" s="223"/>
      <c r="D254" s="224"/>
      <c r="E254" s="3"/>
      <c r="F254" s="3"/>
      <c r="G254" s="3"/>
      <c r="H254" s="4"/>
      <c r="I254" s="224"/>
      <c r="J254" s="3"/>
      <c r="K254" s="3"/>
      <c r="L254" s="3"/>
      <c r="M254" s="4"/>
      <c r="N254" s="224"/>
      <c r="O254" s="3"/>
      <c r="P254" s="3"/>
      <c r="Q254" s="3"/>
      <c r="R254" s="4"/>
      <c r="S254" s="224"/>
      <c r="T254" s="3"/>
      <c r="U254" s="3"/>
      <c r="V254" s="3"/>
      <c r="W254" s="4"/>
      <c r="X254" s="225"/>
      <c r="Y254" s="225"/>
      <c r="Z254" s="225"/>
      <c r="AA254" s="225"/>
      <c r="AB254" s="206"/>
      <c r="AC254" s="96"/>
      <c r="AD254" s="96"/>
      <c r="AE254" s="96"/>
      <c r="AF254" s="206"/>
      <c r="AG254" s="96"/>
      <c r="AH254" s="96"/>
      <c r="AI254" s="96"/>
      <c r="AJ254" s="206"/>
      <c r="AK254" s="96"/>
      <c r="AL254" s="206"/>
      <c r="AN254" s="258"/>
      <c r="AO254" s="96"/>
      <c r="AP254" s="206"/>
      <c r="AR254" s="220">
        <f t="shared" ref="AR254:AT254" si="210">AF239</f>
        <v>6</v>
      </c>
      <c r="AS254" s="220" t="str">
        <f t="shared" si="210"/>
        <v>Institutions</v>
      </c>
      <c r="AT254" s="220" t="str">
        <f t="shared" si="210"/>
        <v>EWS</v>
      </c>
      <c r="AU254" s="215" t="str">
        <f t="shared" ref="AU254:AU262" si="212">AZ386</f>
        <v>Low</v>
      </c>
      <c r="AV254" s="208" t="str">
        <f t="shared" ref="AV254:AW254" si="211">AS254</f>
        <v>Institutions</v>
      </c>
      <c r="AW254" s="220" t="str">
        <f t="shared" si="211"/>
        <v>EWS</v>
      </c>
      <c r="AX254" s="199" t="str">
        <f t="shared" ref="AX254:AX262" si="213">BF386</f>
        <v>Low</v>
      </c>
    </row>
    <row r="255" ht="14.25" customHeight="1">
      <c r="A255" s="1"/>
      <c r="B255" s="266" t="str">
        <f>$B$240</f>
        <v>Livelihoods</v>
      </c>
      <c r="C255" s="178"/>
      <c r="D255" s="266" t="str">
        <f>$B$241</f>
        <v>Health &amp; Safety</v>
      </c>
      <c r="E255" s="69"/>
      <c r="F255" s="69"/>
      <c r="G255" s="178"/>
      <c r="H255" s="266" t="str">
        <f>$B$242</f>
        <v>Assets and Utilities</v>
      </c>
      <c r="I255" s="69"/>
      <c r="J255" s="69"/>
      <c r="K255" s="69"/>
      <c r="L255" s="69"/>
      <c r="M255" s="178"/>
      <c r="N255" s="266" t="str">
        <f>$B$243</f>
        <v>Potable water </v>
      </c>
      <c r="O255" s="69"/>
      <c r="P255" s="69"/>
      <c r="Q255" s="69"/>
      <c r="R255" s="69"/>
      <c r="S255" s="69"/>
      <c r="T255" s="178"/>
      <c r="U255" s="266" t="str">
        <f>$B$244</f>
        <v>EBS</v>
      </c>
      <c r="V255" s="69"/>
      <c r="W255" s="69"/>
      <c r="X255" s="178"/>
      <c r="Y255" s="266" t="str">
        <f>$B$245</f>
        <v>Institutions</v>
      </c>
      <c r="Z255" s="178"/>
      <c r="AA255" s="208"/>
      <c r="AB255" s="206"/>
      <c r="AC255" s="96"/>
      <c r="AD255" s="96"/>
      <c r="AE255" s="96"/>
      <c r="AF255" s="206"/>
      <c r="AG255" s="96"/>
      <c r="AH255" s="96"/>
      <c r="AI255" s="96"/>
      <c r="AJ255" s="206"/>
      <c r="AK255" s="96"/>
      <c r="AL255" s="206"/>
      <c r="AN255" s="260"/>
      <c r="AO255" s="96"/>
      <c r="AP255" s="206"/>
      <c r="AR255" s="220"/>
      <c r="AS255" s="220"/>
      <c r="AT255" s="220" t="str">
        <f t="shared" ref="AT255:AT262" si="214">AH240</f>
        <v>A &amp; I</v>
      </c>
      <c r="AU255" s="215" t="str">
        <f t="shared" si="212"/>
        <v>Low</v>
      </c>
      <c r="AV255" s="208"/>
      <c r="AW255" s="220" t="str">
        <f t="shared" ref="AW255:AW262" si="215">AT255</f>
        <v>A &amp; I</v>
      </c>
      <c r="AX255" s="199" t="str">
        <f t="shared" si="213"/>
        <v>Low</v>
      </c>
    </row>
    <row r="256" ht="14.25" customHeight="1">
      <c r="A256" s="1"/>
      <c r="B256" s="267"/>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9"/>
      <c r="Z256" s="269"/>
      <c r="AA256" s="96"/>
      <c r="AB256" s="206"/>
      <c r="AC256" s="96"/>
      <c r="AD256" s="96"/>
      <c r="AE256" s="96"/>
      <c r="AF256" s="206"/>
      <c r="AG256" s="96"/>
      <c r="AH256" s="261"/>
      <c r="AJ256" s="206"/>
      <c r="AK256" s="238"/>
      <c r="AL256" s="206"/>
      <c r="AN256" s="96"/>
      <c r="AO256" s="96"/>
      <c r="AP256" s="206"/>
      <c r="AR256" s="220"/>
      <c r="AS256" s="220"/>
      <c r="AT256" s="220" t="str">
        <f t="shared" si="214"/>
        <v>EC</v>
      </c>
      <c r="AU256" s="215" t="str">
        <f t="shared" si="212"/>
        <v>Low</v>
      </c>
      <c r="AV256" s="208"/>
      <c r="AW256" s="220" t="str">
        <f t="shared" si="215"/>
        <v>EC</v>
      </c>
      <c r="AX256" s="199" t="str">
        <f t="shared" si="213"/>
        <v>Low</v>
      </c>
    </row>
    <row r="257" ht="14.25" customHeight="1">
      <c r="A257" s="1"/>
      <c r="B257" s="266" t="str">
        <f>$AS$191</f>
        <v>Low</v>
      </c>
      <c r="C257" s="178"/>
      <c r="D257" s="266" t="str">
        <f>$AS$192</f>
        <v>Low</v>
      </c>
      <c r="E257" s="69"/>
      <c r="F257" s="69"/>
      <c r="G257" s="178"/>
      <c r="H257" s="266" t="str">
        <f>$AS$193</f>
        <v>Low</v>
      </c>
      <c r="I257" s="69"/>
      <c r="J257" s="69"/>
      <c r="K257" s="69"/>
      <c r="L257" s="69"/>
      <c r="M257" s="178"/>
      <c r="N257" s="266" t="str">
        <f>$AS$194</f>
        <v>Low</v>
      </c>
      <c r="O257" s="69"/>
      <c r="P257" s="69"/>
      <c r="Q257" s="69"/>
      <c r="R257" s="69"/>
      <c r="S257" s="69"/>
      <c r="T257" s="178"/>
      <c r="U257" s="266" t="str">
        <f>$AS$195</f>
        <v>Low</v>
      </c>
      <c r="V257" s="69"/>
      <c r="W257" s="69"/>
      <c r="X257" s="178"/>
      <c r="Y257" s="266" t="str">
        <f>$AS$196</f>
        <v>Low</v>
      </c>
      <c r="Z257" s="178"/>
      <c r="AA257" s="97"/>
      <c r="AB257" s="206"/>
      <c r="AC257" s="96"/>
      <c r="AD257" s="96"/>
      <c r="AE257" s="96"/>
      <c r="AF257" s="206"/>
      <c r="AG257" s="96"/>
      <c r="AH257" s="96"/>
      <c r="AI257" s="96"/>
      <c r="AJ257" s="206"/>
      <c r="AK257" s="96"/>
      <c r="AL257" s="206"/>
      <c r="AN257" s="261"/>
      <c r="AP257" s="206"/>
      <c r="AR257" s="220"/>
      <c r="AS257" s="220"/>
      <c r="AT257" s="220" t="str">
        <f t="shared" si="214"/>
        <v>R/RP</v>
      </c>
      <c r="AU257" s="215" t="str">
        <f t="shared" si="212"/>
        <v>Low</v>
      </c>
      <c r="AV257" s="208"/>
      <c r="AW257" s="220" t="str">
        <f t="shared" si="215"/>
        <v>R/RP</v>
      </c>
      <c r="AX257" s="199" t="str">
        <f t="shared" si="213"/>
        <v>Low</v>
      </c>
    </row>
    <row r="258" ht="14.25" customHeight="1">
      <c r="A258" s="1"/>
      <c r="B258" s="1"/>
      <c r="C258" s="270"/>
      <c r="D258" s="179"/>
      <c r="E258" s="69"/>
      <c r="F258" s="69"/>
      <c r="G258" s="69"/>
      <c r="H258" s="178"/>
      <c r="I258" s="179"/>
      <c r="J258" s="69"/>
      <c r="K258" s="69"/>
      <c r="L258" s="69"/>
      <c r="M258" s="178"/>
      <c r="N258" s="179"/>
      <c r="O258" s="69"/>
      <c r="P258" s="69"/>
      <c r="Q258" s="69"/>
      <c r="R258" s="178"/>
      <c r="S258" s="179"/>
      <c r="T258" s="69"/>
      <c r="U258" s="69"/>
      <c r="V258" s="69"/>
      <c r="W258" s="178"/>
      <c r="X258" s="271"/>
      <c r="Y258" s="96"/>
      <c r="Z258" s="203"/>
      <c r="AA258" s="96"/>
      <c r="AB258" s="206"/>
      <c r="AC258" s="96"/>
      <c r="AD258" s="96"/>
      <c r="AE258" s="96"/>
      <c r="AF258" s="206"/>
      <c r="AG258" s="96"/>
      <c r="AH258" s="96"/>
      <c r="AI258" s="96"/>
      <c r="AJ258" s="206"/>
      <c r="AK258" s="96"/>
      <c r="AL258" s="206"/>
      <c r="AN258" s="258"/>
      <c r="AO258" s="96"/>
      <c r="AP258" s="206"/>
      <c r="AR258" s="220"/>
      <c r="AS258" s="220"/>
      <c r="AT258" s="220" t="str">
        <f t="shared" si="214"/>
        <v>HFO</v>
      </c>
      <c r="AU258" s="215" t="str">
        <f t="shared" si="212"/>
        <v>Low</v>
      </c>
      <c r="AV258" s="208"/>
      <c r="AW258" s="220" t="str">
        <f t="shared" si="215"/>
        <v>HFO</v>
      </c>
      <c r="AX258" s="199" t="str">
        <f t="shared" si="213"/>
        <v>Low</v>
      </c>
    </row>
    <row r="259" ht="14.25" customHeight="1">
      <c r="A259" s="1"/>
      <c r="B259" s="222" t="s">
        <v>615</v>
      </c>
      <c r="C259" s="223"/>
      <c r="D259" s="224"/>
      <c r="E259" s="3"/>
      <c r="F259" s="3"/>
      <c r="G259" s="3"/>
      <c r="H259" s="4"/>
      <c r="I259" s="224"/>
      <c r="J259" s="3"/>
      <c r="K259" s="3"/>
      <c r="L259" s="3"/>
      <c r="M259" s="4"/>
      <c r="N259" s="224"/>
      <c r="O259" s="3"/>
      <c r="P259" s="3"/>
      <c r="Q259" s="3"/>
      <c r="R259" s="4"/>
      <c r="S259" s="224"/>
      <c r="T259" s="3"/>
      <c r="U259" s="3"/>
      <c r="V259" s="3"/>
      <c r="W259" s="4"/>
      <c r="X259" s="225"/>
      <c r="Y259" s="225"/>
      <c r="Z259" s="225"/>
      <c r="AA259" s="96"/>
      <c r="AB259" s="206"/>
      <c r="AC259" s="96"/>
      <c r="AD259" s="261"/>
      <c r="AF259" s="206"/>
      <c r="AG259" s="96"/>
      <c r="AH259" s="96"/>
      <c r="AI259" s="96"/>
      <c r="AJ259" s="206"/>
      <c r="AK259" s="96"/>
      <c r="AL259" s="206"/>
      <c r="AN259" s="96"/>
      <c r="AO259" s="96"/>
      <c r="AP259" s="206"/>
      <c r="AR259" s="220"/>
      <c r="AS259" s="220"/>
      <c r="AT259" s="220" t="str">
        <f t="shared" si="214"/>
        <v>DP</v>
      </c>
      <c r="AU259" s="215" t="str">
        <f t="shared" si="212"/>
        <v>Low</v>
      </c>
      <c r="AV259" s="208"/>
      <c r="AW259" s="220" t="str">
        <f t="shared" si="215"/>
        <v>DP</v>
      </c>
      <c r="AX259" s="199" t="str">
        <f t="shared" si="213"/>
        <v>Low</v>
      </c>
    </row>
    <row r="260" ht="14.25" customHeight="1">
      <c r="A260" s="1"/>
      <c r="B260" s="266" t="str">
        <f>$AR$198</f>
        <v>Livelihoods</v>
      </c>
      <c r="C260" s="178"/>
      <c r="D260" s="266" t="str">
        <f>$AR$199</f>
        <v>Health &amp; Safety</v>
      </c>
      <c r="E260" s="69"/>
      <c r="F260" s="69"/>
      <c r="G260" s="178"/>
      <c r="H260" s="266" t="str">
        <f>$AR$200</f>
        <v>Assets and Utilities</v>
      </c>
      <c r="I260" s="69"/>
      <c r="J260" s="69"/>
      <c r="K260" s="69"/>
      <c r="L260" s="69"/>
      <c r="M260" s="178"/>
      <c r="N260" s="266" t="str">
        <f>$AR$201</f>
        <v>Potable water </v>
      </c>
      <c r="O260" s="69"/>
      <c r="P260" s="69"/>
      <c r="Q260" s="69"/>
      <c r="R260" s="69"/>
      <c r="S260" s="69"/>
      <c r="T260" s="178"/>
      <c r="U260" s="266" t="str">
        <f>$AR$202</f>
        <v>EBS</v>
      </c>
      <c r="V260" s="69"/>
      <c r="W260" s="69"/>
      <c r="X260" s="178"/>
      <c r="Y260" s="266" t="str">
        <f>$AR$203</f>
        <v>Institutions</v>
      </c>
      <c r="Z260" s="178"/>
      <c r="AA260" s="96"/>
      <c r="AB260" s="206"/>
      <c r="AC260" s="96"/>
      <c r="AD260" s="96"/>
      <c r="AE260" s="96"/>
      <c r="AF260" s="206"/>
      <c r="AG260" s="96"/>
      <c r="AH260" s="96"/>
      <c r="AI260" s="96"/>
      <c r="AJ260" s="206"/>
      <c r="AK260" s="96"/>
      <c r="AL260" s="206"/>
      <c r="AN260" s="96"/>
      <c r="AO260" s="96"/>
      <c r="AP260" s="206"/>
      <c r="AR260" s="220"/>
      <c r="AS260" s="220"/>
      <c r="AT260" s="220" t="str">
        <f t="shared" si="214"/>
        <v>DR</v>
      </c>
      <c r="AU260" s="215" t="str">
        <f t="shared" si="212"/>
        <v>Low</v>
      </c>
      <c r="AV260" s="208"/>
      <c r="AW260" s="220" t="str">
        <f t="shared" si="215"/>
        <v>DR</v>
      </c>
      <c r="AX260" s="199" t="str">
        <f t="shared" si="213"/>
        <v>Low</v>
      </c>
    </row>
    <row r="261" ht="14.25" customHeight="1">
      <c r="A261" s="1"/>
      <c r="B261" s="267"/>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9"/>
      <c r="Z261" s="269"/>
      <c r="AA261" s="96"/>
      <c r="AB261" s="206"/>
      <c r="AC261" s="96"/>
      <c r="AD261" s="96"/>
      <c r="AE261" s="96"/>
      <c r="AF261" s="206"/>
      <c r="AG261" s="96"/>
      <c r="AH261" s="261"/>
      <c r="AJ261" s="206"/>
      <c r="AK261" s="238"/>
      <c r="AL261" s="206"/>
      <c r="AN261" s="261"/>
      <c r="AP261" s="206"/>
      <c r="AR261" s="220"/>
      <c r="AS261" s="220"/>
      <c r="AT261" s="220" t="str">
        <f t="shared" si="214"/>
        <v>PFR</v>
      </c>
      <c r="AU261" s="215" t="str">
        <f t="shared" si="212"/>
        <v>Low</v>
      </c>
      <c r="AV261" s="208"/>
      <c r="AW261" s="220" t="str">
        <f t="shared" si="215"/>
        <v>PFR</v>
      </c>
      <c r="AX261" s="199" t="str">
        <f t="shared" si="213"/>
        <v>Low</v>
      </c>
    </row>
    <row r="262" ht="14.25" customHeight="1">
      <c r="A262" s="1"/>
      <c r="B262" s="266" t="str">
        <f>$AS$198</f>
        <v>Low</v>
      </c>
      <c r="C262" s="178"/>
      <c r="D262" s="266" t="str">
        <f>$AS$199</f>
        <v>Low</v>
      </c>
      <c r="E262" s="69"/>
      <c r="F262" s="69"/>
      <c r="G262" s="178"/>
      <c r="H262" s="266" t="str">
        <f>$AS$200</f>
        <v>Low</v>
      </c>
      <c r="I262" s="69"/>
      <c r="J262" s="69"/>
      <c r="K262" s="69"/>
      <c r="L262" s="69"/>
      <c r="M262" s="178"/>
      <c r="N262" s="266" t="str">
        <f>$AS$201</f>
        <v>Low</v>
      </c>
      <c r="O262" s="69"/>
      <c r="P262" s="69"/>
      <c r="Q262" s="69"/>
      <c r="R262" s="69"/>
      <c r="S262" s="69"/>
      <c r="T262" s="178"/>
      <c r="U262" s="266" t="str">
        <f>$AS$202</f>
        <v>Low</v>
      </c>
      <c r="V262" s="69"/>
      <c r="W262" s="69"/>
      <c r="X262" s="178"/>
      <c r="Y262" s="266" t="str">
        <f>$AS$203</f>
        <v>Low</v>
      </c>
      <c r="Z262" s="178"/>
      <c r="AA262" s="96"/>
      <c r="AB262" s="206"/>
      <c r="AC262" s="96"/>
      <c r="AD262" s="96"/>
      <c r="AE262" s="96"/>
      <c r="AF262" s="206"/>
      <c r="AG262" s="96"/>
      <c r="AH262" s="96"/>
      <c r="AI262" s="96"/>
      <c r="AJ262" s="206"/>
      <c r="AK262" s="96"/>
      <c r="AL262" s="206"/>
      <c r="AN262" s="96"/>
      <c r="AO262" s="96"/>
      <c r="AP262" s="206"/>
      <c r="AR262" s="220"/>
      <c r="AS262" s="220"/>
      <c r="AT262" s="220" t="str">
        <f t="shared" si="214"/>
        <v>PFM</v>
      </c>
      <c r="AU262" s="215" t="str">
        <f t="shared" si="212"/>
        <v>Low</v>
      </c>
      <c r="AV262" s="208"/>
      <c r="AW262" s="220" t="str">
        <f t="shared" si="215"/>
        <v>PFM</v>
      </c>
      <c r="AX262" s="199" t="str">
        <f t="shared" si="213"/>
        <v>Low</v>
      </c>
    </row>
    <row r="263" ht="14.25" customHeight="1">
      <c r="A263" s="1"/>
      <c r="B263" s="272"/>
      <c r="C263" s="253"/>
      <c r="D263" s="273"/>
      <c r="E263" s="274"/>
      <c r="F263" s="274"/>
      <c r="G263" s="275"/>
      <c r="H263" s="273"/>
      <c r="I263" s="274"/>
      <c r="J263" s="274"/>
      <c r="K263" s="275"/>
      <c r="L263" s="273"/>
      <c r="M263" s="274"/>
      <c r="N263" s="274"/>
      <c r="O263" s="275"/>
      <c r="P263" s="273"/>
      <c r="Q263" s="274"/>
      <c r="R263" s="274"/>
      <c r="S263" s="275"/>
      <c r="T263" s="276"/>
      <c r="U263" s="277"/>
      <c r="V263" s="277"/>
      <c r="W263" s="278"/>
      <c r="X263" s="271"/>
      <c r="Y263" s="96"/>
      <c r="Z263" s="96"/>
      <c r="AA263" s="96"/>
      <c r="AB263" s="206"/>
      <c r="AC263" s="96"/>
      <c r="AD263" s="96"/>
      <c r="AE263" s="96"/>
      <c r="AF263" s="206"/>
      <c r="AG263" s="96"/>
      <c r="AH263" s="96"/>
      <c r="AI263" s="96"/>
      <c r="AJ263" s="206"/>
      <c r="AK263" s="96"/>
      <c r="AL263" s="206"/>
      <c r="AN263" s="96"/>
      <c r="AO263" s="96"/>
      <c r="AP263" s="206"/>
    </row>
    <row r="264" ht="14.25" customHeight="1">
      <c r="A264" s="1"/>
      <c r="B264" s="222" t="s">
        <v>616</v>
      </c>
      <c r="C264" s="223"/>
      <c r="D264" s="224"/>
      <c r="E264" s="3"/>
      <c r="F264" s="3"/>
      <c r="G264" s="3"/>
      <c r="H264" s="4"/>
      <c r="I264" s="224"/>
      <c r="J264" s="3"/>
      <c r="K264" s="3"/>
      <c r="L264" s="3"/>
      <c r="M264" s="4"/>
      <c r="N264" s="224"/>
      <c r="O264" s="3"/>
      <c r="P264" s="3"/>
      <c r="Q264" s="3"/>
      <c r="R264" s="4"/>
      <c r="S264" s="224"/>
      <c r="T264" s="3"/>
      <c r="U264" s="3"/>
      <c r="V264" s="3"/>
      <c r="W264" s="4"/>
      <c r="X264" s="225"/>
      <c r="Y264" s="225"/>
      <c r="Z264" s="225"/>
      <c r="AA264" s="225"/>
      <c r="AC264" s="96"/>
      <c r="AD264" s="96"/>
      <c r="AE264" s="96"/>
      <c r="AF264" s="206"/>
      <c r="AN264" s="96"/>
      <c r="AO264" s="96"/>
      <c r="AP264" s="206"/>
    </row>
    <row r="265" ht="14.25" customHeight="1">
      <c r="A265" s="279" t="s">
        <v>594</v>
      </c>
      <c r="B265" s="226" t="str">
        <f t="shared" ref="B265:D265" si="216">B210</f>
        <v>Livelihoods</v>
      </c>
      <c r="C265" s="227" t="str">
        <f t="shared" si="216"/>
        <v>Food Security</v>
      </c>
      <c r="D265" s="228" t="str">
        <f t="shared" si="216"/>
        <v>Grazing/Farm Land</v>
      </c>
      <c r="E265" s="178"/>
      <c r="F265" s="228" t="str">
        <f>F210</f>
        <v>Crops</v>
      </c>
      <c r="G265" s="178"/>
      <c r="H265" s="228" t="str">
        <f>H210</f>
        <v>Livestock</v>
      </c>
      <c r="I265" s="69"/>
      <c r="J265" s="178"/>
      <c r="K265" s="228" t="str">
        <f>K210</f>
        <v>Fishstock</v>
      </c>
      <c r="L265" s="69"/>
      <c r="M265" s="178"/>
      <c r="N265" s="228" t="str">
        <f>N210</f>
        <v>Local commerce</v>
      </c>
      <c r="O265" s="69"/>
      <c r="P265" s="69"/>
      <c r="Q265" s="178"/>
      <c r="R265" s="228" t="str">
        <f t="shared" ref="R265:R267" si="219">R210</f>
        <v>Gender </v>
      </c>
      <c r="S265" s="69"/>
      <c r="T265" s="178"/>
      <c r="U265" s="228" t="str">
        <f>U210</f>
        <v>Conviviality </v>
      </c>
      <c r="V265" s="69"/>
      <c r="W265" s="178"/>
      <c r="X265" s="227" t="str">
        <f t="shared" ref="X265:AA265" si="217">X210</f>
        <v>Education </v>
      </c>
      <c r="Y265" s="227" t="str">
        <f t="shared" si="217"/>
        <v>WFI/WFDU</v>
      </c>
      <c r="Z265" s="227" t="str">
        <f t="shared" si="217"/>
        <v>ATF/I</v>
      </c>
      <c r="AA265" s="227" t="str">
        <f t="shared" si="217"/>
        <v>Disaster Events</v>
      </c>
      <c r="AC265" s="96"/>
      <c r="AD265" s="96"/>
      <c r="AE265" s="96"/>
      <c r="AF265" s="206"/>
      <c r="AN265" s="96"/>
      <c r="AO265" s="96"/>
      <c r="AP265" s="206"/>
      <c r="AR265" s="96"/>
      <c r="AS265" s="96"/>
      <c r="AT265" s="206"/>
    </row>
    <row r="266" ht="14.25" customHeight="1">
      <c r="A266" s="159" t="s">
        <v>595</v>
      </c>
      <c r="B266" s="226" t="str">
        <f t="shared" ref="B266:D266" si="218">B211</f>
        <v>Health &amp; Safety</v>
      </c>
      <c r="C266" s="226" t="str">
        <f t="shared" si="218"/>
        <v>Borne Diseases</v>
      </c>
      <c r="D266" s="229" t="str">
        <f t="shared" si="218"/>
        <v>SLUP&amp;C</v>
      </c>
      <c r="E266" s="69"/>
      <c r="F266" s="178"/>
      <c r="G266" s="229" t="str">
        <f>G211</f>
        <v>SWM</v>
      </c>
      <c r="H266" s="69"/>
      <c r="I266" s="69"/>
      <c r="J266" s="69"/>
      <c r="K266" s="178"/>
      <c r="L266" s="229" t="str">
        <f>L211</f>
        <v>LWM</v>
      </c>
      <c r="M266" s="69"/>
      <c r="N266" s="69"/>
      <c r="O266" s="69"/>
      <c r="P266" s="69"/>
      <c r="Q266" s="178"/>
      <c r="R266" s="229" t="str">
        <f t="shared" si="219"/>
        <v>ATHS</v>
      </c>
      <c r="S266" s="69"/>
      <c r="T266" s="69"/>
      <c r="U266" s="69"/>
      <c r="V266" s="69"/>
      <c r="W266" s="69"/>
      <c r="X266" s="178"/>
      <c r="Y266" s="229" t="str">
        <f>Y211</f>
        <v>ATHE</v>
      </c>
      <c r="Z266" s="69"/>
      <c r="AA266" s="178"/>
      <c r="AN266" s="96"/>
      <c r="AO266" s="96"/>
      <c r="AP266" s="206"/>
      <c r="AR266" s="96"/>
      <c r="AS266" s="96"/>
      <c r="AT266" s="206"/>
    </row>
    <row r="267" ht="14.25" customHeight="1">
      <c r="A267" s="160" t="s">
        <v>596</v>
      </c>
      <c r="B267" s="226" t="str">
        <f t="shared" ref="B267:D267" si="220">B212</f>
        <v>Assets and Utilities</v>
      </c>
      <c r="C267" s="227" t="str">
        <f t="shared" si="220"/>
        <v>Housing</v>
      </c>
      <c r="D267" s="228" t="str">
        <f t="shared" si="220"/>
        <v>Public facilities </v>
      </c>
      <c r="E267" s="178"/>
      <c r="F267" s="228" t="str">
        <f>F212</f>
        <v>SWD</v>
      </c>
      <c r="G267" s="178"/>
      <c r="H267" s="228" t="str">
        <f>H212</f>
        <v>Sanitary facilities </v>
      </c>
      <c r="I267" s="69"/>
      <c r="J267" s="178"/>
      <c r="K267" s="228" t="str">
        <f>K212</f>
        <v>Sewer lines </v>
      </c>
      <c r="L267" s="69"/>
      <c r="M267" s="178"/>
      <c r="N267" s="228" t="str">
        <f>N212</f>
        <v>Power lines/supply</v>
      </c>
      <c r="O267" s="69"/>
      <c r="P267" s="69"/>
      <c r="Q267" s="178"/>
      <c r="R267" s="228" t="str">
        <f t="shared" si="219"/>
        <v>Energy for HH use </v>
      </c>
      <c r="S267" s="69"/>
      <c r="T267" s="178"/>
      <c r="U267" s="228" t="str">
        <f>U212</f>
        <v>Water pipes </v>
      </c>
      <c r="V267" s="69"/>
      <c r="W267" s="178"/>
      <c r="X267" s="227" t="str">
        <f t="shared" ref="X267:AA267" si="221">X212</f>
        <v>PWT</v>
      </c>
      <c r="Y267" s="227" t="str">
        <f t="shared" si="221"/>
        <v>Water Storage</v>
      </c>
      <c r="Z267" s="227" t="str">
        <f t="shared" si="221"/>
        <v>R &amp; T</v>
      </c>
      <c r="AA267" s="227" t="str">
        <f t="shared" si="221"/>
        <v>Communication </v>
      </c>
      <c r="AN267" s="261"/>
      <c r="AP267" s="206"/>
      <c r="AR267" s="261"/>
      <c r="AT267" s="206"/>
    </row>
    <row r="268" ht="14.25" customHeight="1">
      <c r="A268" s="264"/>
      <c r="B268" s="226" t="str">
        <f t="shared" ref="B268:C268" si="222">B213</f>
        <v>Potable water </v>
      </c>
      <c r="C268" s="229" t="str">
        <f t="shared" si="222"/>
        <v>Access</v>
      </c>
      <c r="D268" s="69"/>
      <c r="E268" s="69"/>
      <c r="F268" s="69"/>
      <c r="G268" s="69"/>
      <c r="H268" s="69"/>
      <c r="I268" s="178"/>
      <c r="J268" s="229" t="str">
        <f t="shared" ref="J268:J269" si="224">J213</f>
        <v>Scarcities </v>
      </c>
      <c r="K268" s="69"/>
      <c r="L268" s="69"/>
      <c r="M268" s="69"/>
      <c r="N268" s="69"/>
      <c r="O268" s="69"/>
      <c r="P268" s="69"/>
      <c r="Q268" s="69"/>
      <c r="R268" s="69"/>
      <c r="S268" s="69"/>
      <c r="T268" s="69"/>
      <c r="U268" s="69"/>
      <c r="V268" s="69"/>
      <c r="W268" s="178"/>
      <c r="X268" s="229" t="str">
        <f t="shared" ref="X268:X269" si="225">X213</f>
        <v>Quality</v>
      </c>
      <c r="Y268" s="69"/>
      <c r="Z268" s="69"/>
      <c r="AA268" s="178"/>
      <c r="AN268" s="96"/>
      <c r="AO268" s="96"/>
      <c r="AP268" s="206"/>
      <c r="AR268" s="96"/>
      <c r="AS268" s="96"/>
      <c r="AT268" s="206"/>
    </row>
    <row r="269" ht="14.25" customHeight="1">
      <c r="A269" s="264"/>
      <c r="B269" s="226" t="str">
        <f t="shared" ref="B269:D269" si="223">B214</f>
        <v>EBS</v>
      </c>
      <c r="C269" s="227" t="str">
        <f t="shared" si="223"/>
        <v>Soil </v>
      </c>
      <c r="D269" s="229" t="str">
        <f t="shared" si="223"/>
        <v>LC &amp; P</v>
      </c>
      <c r="E269" s="69"/>
      <c r="F269" s="178"/>
      <c r="G269" s="229" t="str">
        <f t="shared" ref="G269:G270" si="228">G214</f>
        <v>NV</v>
      </c>
      <c r="H269" s="69"/>
      <c r="I269" s="178"/>
      <c r="J269" s="229" t="str">
        <f t="shared" si="224"/>
        <v>Wetland </v>
      </c>
      <c r="K269" s="69"/>
      <c r="L269" s="178"/>
      <c r="M269" s="229" t="str">
        <f>M214</f>
        <v>Biodiversity</v>
      </c>
      <c r="N269" s="69"/>
      <c r="O269" s="69"/>
      <c r="P269" s="69"/>
      <c r="Q269" s="178"/>
      <c r="R269" s="229" t="str">
        <f>R214</f>
        <v>NWB</v>
      </c>
      <c r="S269" s="69"/>
      <c r="T269" s="69"/>
      <c r="U269" s="69"/>
      <c r="V269" s="69"/>
      <c r="W269" s="178"/>
      <c r="X269" s="227" t="str">
        <f t="shared" si="225"/>
        <v>Sea</v>
      </c>
      <c r="Y269" s="227" t="str">
        <f t="shared" ref="Y269:AA269" si="226">Y214</f>
        <v>EF</v>
      </c>
      <c r="Z269" s="227" t="str">
        <f t="shared" si="226"/>
        <v>Land use </v>
      </c>
      <c r="AA269" s="227" t="str">
        <f t="shared" si="226"/>
        <v>Topography</v>
      </c>
      <c r="AN269" s="96"/>
      <c r="AO269" s="96"/>
      <c r="AP269" s="206"/>
      <c r="AR269" s="96"/>
      <c r="AS269" s="96"/>
      <c r="AT269" s="206"/>
    </row>
    <row r="270" ht="14.25" customHeight="1">
      <c r="A270" s="264"/>
      <c r="B270" s="226" t="str">
        <f t="shared" ref="B270:D270" si="227">B215</f>
        <v>Institutions</v>
      </c>
      <c r="C270" s="227" t="str">
        <f t="shared" si="227"/>
        <v>EWS</v>
      </c>
      <c r="D270" s="228" t="str">
        <f t="shared" si="227"/>
        <v>A &amp; I</v>
      </c>
      <c r="E270" s="69"/>
      <c r="F270" s="178"/>
      <c r="G270" s="228" t="str">
        <f t="shared" si="228"/>
        <v>EC</v>
      </c>
      <c r="H270" s="69"/>
      <c r="I270" s="69"/>
      <c r="J270" s="178"/>
      <c r="K270" s="229" t="str">
        <f>K215</f>
        <v>R/RP</v>
      </c>
      <c r="L270" s="69"/>
      <c r="M270" s="69"/>
      <c r="N270" s="178"/>
      <c r="O270" s="229" t="str">
        <f>O215</f>
        <v>HFO</v>
      </c>
      <c r="P270" s="69"/>
      <c r="Q270" s="69"/>
      <c r="R270" s="69"/>
      <c r="S270" s="69"/>
      <c r="T270" s="69"/>
      <c r="U270" s="178"/>
      <c r="V270" s="229" t="str">
        <f>V215</f>
        <v>DP</v>
      </c>
      <c r="W270" s="69"/>
      <c r="X270" s="178"/>
      <c r="Y270" s="233" t="str">
        <f t="shared" ref="Y270:AA270" si="229">Y215</f>
        <v>DR</v>
      </c>
      <c r="Z270" s="227" t="str">
        <f t="shared" si="229"/>
        <v>PFR</v>
      </c>
      <c r="AA270" s="227" t="str">
        <f t="shared" si="229"/>
        <v>PFM</v>
      </c>
      <c r="AN270" s="96"/>
      <c r="AO270" s="96"/>
      <c r="AP270" s="206"/>
      <c r="AR270" s="96"/>
      <c r="AS270" s="96"/>
      <c r="AT270" s="206"/>
    </row>
    <row r="271" ht="14.25" customHeight="1">
      <c r="A271" s="264"/>
      <c r="B271" s="236"/>
      <c r="C271" s="236"/>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c r="AA271" s="236"/>
      <c r="AN271" s="96"/>
      <c r="AO271" s="96"/>
      <c r="AP271" s="206"/>
      <c r="AR271" s="96"/>
      <c r="AS271" s="96"/>
      <c r="AT271" s="206"/>
    </row>
    <row r="272" ht="14.25" customHeight="1">
      <c r="A272" s="264"/>
      <c r="B272" s="226" t="str">
        <f t="shared" ref="B272:B277" si="230">B265</f>
        <v>Livelihoods</v>
      </c>
      <c r="C272" s="227" t="str">
        <f>$AU$206</f>
        <v>Low</v>
      </c>
      <c r="D272" s="228" t="str">
        <f>$AU$207</f>
        <v>Low</v>
      </c>
      <c r="E272" s="178"/>
      <c r="F272" s="228" t="str">
        <f>$AU$208</f>
        <v>Low</v>
      </c>
      <c r="G272" s="178"/>
      <c r="H272" s="228" t="str">
        <f>$AU$209</f>
        <v>Low</v>
      </c>
      <c r="I272" s="69"/>
      <c r="J272" s="178"/>
      <c r="K272" s="228" t="str">
        <f>$AU$210</f>
        <v>Low</v>
      </c>
      <c r="L272" s="69"/>
      <c r="M272" s="178"/>
      <c r="N272" s="228" t="str">
        <f>$AU$211</f>
        <v>Low</v>
      </c>
      <c r="O272" s="69"/>
      <c r="P272" s="69"/>
      <c r="Q272" s="178"/>
      <c r="R272" s="228" t="str">
        <f>$AU$212</f>
        <v>Low</v>
      </c>
      <c r="S272" s="69"/>
      <c r="T272" s="178"/>
      <c r="U272" s="228" t="str">
        <f>$AU$213</f>
        <v>Low</v>
      </c>
      <c r="V272" s="69"/>
      <c r="W272" s="178"/>
      <c r="X272" s="227" t="str">
        <f>$AU$214</f>
        <v>Low</v>
      </c>
      <c r="Y272" s="227" t="str">
        <f>$AU$215</f>
        <v>Low</v>
      </c>
      <c r="Z272" s="227" t="str">
        <f>$AU$216</f>
        <v>Low</v>
      </c>
      <c r="AA272" s="227" t="str">
        <f>$AU$217</f>
        <v>Low</v>
      </c>
      <c r="AN272" s="96"/>
      <c r="AO272" s="96"/>
      <c r="AP272" s="206"/>
      <c r="AR272" s="96"/>
      <c r="AS272" s="96"/>
      <c r="AT272" s="206"/>
    </row>
    <row r="273" ht="14.25" customHeight="1">
      <c r="A273" s="264"/>
      <c r="B273" s="226" t="str">
        <f t="shared" si="230"/>
        <v>Health &amp; Safety</v>
      </c>
      <c r="C273" s="226" t="str">
        <f>$AU$219</f>
        <v>Low</v>
      </c>
      <c r="D273" s="229" t="str">
        <f>$AU$220</f>
        <v>Low</v>
      </c>
      <c r="E273" s="69"/>
      <c r="F273" s="178"/>
      <c r="G273" s="229" t="str">
        <f>$AU$221</f>
        <v>Low</v>
      </c>
      <c r="H273" s="69"/>
      <c r="I273" s="69"/>
      <c r="J273" s="69"/>
      <c r="K273" s="178"/>
      <c r="L273" s="229" t="str">
        <f>$AU$222</f>
        <v>Low</v>
      </c>
      <c r="M273" s="69"/>
      <c r="N273" s="69"/>
      <c r="O273" s="69"/>
      <c r="P273" s="69"/>
      <c r="Q273" s="178"/>
      <c r="R273" s="229" t="str">
        <f>$AU$223</f>
        <v>Low</v>
      </c>
      <c r="S273" s="69"/>
      <c r="T273" s="69"/>
      <c r="U273" s="69"/>
      <c r="V273" s="69"/>
      <c r="W273" s="69"/>
      <c r="X273" s="178"/>
      <c r="Y273" s="229" t="str">
        <f>$AU$224</f>
        <v>Low</v>
      </c>
      <c r="Z273" s="69"/>
      <c r="AA273" s="178"/>
      <c r="AN273" s="261"/>
      <c r="AP273" s="206"/>
      <c r="AR273" s="261"/>
      <c r="AT273" s="206"/>
    </row>
    <row r="274" ht="14.25" customHeight="1">
      <c r="A274" s="264"/>
      <c r="B274" s="226" t="str">
        <f t="shared" si="230"/>
        <v>Assets and Utilities</v>
      </c>
      <c r="C274" s="227" t="str">
        <f>$AU$226</f>
        <v>Low</v>
      </c>
      <c r="D274" s="228" t="str">
        <f>$AU$227</f>
        <v>Low</v>
      </c>
      <c r="E274" s="178"/>
      <c r="F274" s="228" t="str">
        <f>$AU$228</f>
        <v>Low</v>
      </c>
      <c r="G274" s="178"/>
      <c r="H274" s="228" t="str">
        <f>$AU$229</f>
        <v>Low</v>
      </c>
      <c r="I274" s="69"/>
      <c r="J274" s="178"/>
      <c r="K274" s="228" t="str">
        <f>$AU$230</f>
        <v>Low</v>
      </c>
      <c r="L274" s="69"/>
      <c r="M274" s="178"/>
      <c r="N274" s="228" t="str">
        <f>$AU$231</f>
        <v>Low</v>
      </c>
      <c r="O274" s="69"/>
      <c r="P274" s="69"/>
      <c r="Q274" s="178"/>
      <c r="R274" s="228" t="str">
        <f>$AU$232</f>
        <v>Low</v>
      </c>
      <c r="S274" s="69"/>
      <c r="T274" s="178"/>
      <c r="U274" s="228" t="str">
        <f>$AU$233</f>
        <v>Low</v>
      </c>
      <c r="V274" s="69"/>
      <c r="W274" s="178"/>
      <c r="X274" s="227" t="str">
        <f>$AU$234</f>
        <v>Low</v>
      </c>
      <c r="Y274" s="227" t="str">
        <f>$AU$235</f>
        <v>Low</v>
      </c>
      <c r="Z274" s="227" t="str">
        <f>$AU$236</f>
        <v>Low</v>
      </c>
      <c r="AA274" s="227" t="str">
        <f>$AU$237</f>
        <v>Low</v>
      </c>
      <c r="AN274" s="96"/>
      <c r="AO274" s="96"/>
      <c r="AP274" s="206"/>
      <c r="AR274" s="96"/>
      <c r="AS274" s="96"/>
      <c r="AT274" s="206"/>
    </row>
    <row r="275" ht="14.25" customHeight="1">
      <c r="A275" s="264"/>
      <c r="B275" s="226" t="str">
        <f t="shared" si="230"/>
        <v>Potable water </v>
      </c>
      <c r="C275" s="229" t="str">
        <f>$AU$239</f>
        <v>Low</v>
      </c>
      <c r="D275" s="69"/>
      <c r="E275" s="69"/>
      <c r="F275" s="69"/>
      <c r="G275" s="69"/>
      <c r="H275" s="69"/>
      <c r="I275" s="178"/>
      <c r="J275" s="229" t="str">
        <f>$AU$240</f>
        <v>Low</v>
      </c>
      <c r="K275" s="69"/>
      <c r="L275" s="69"/>
      <c r="M275" s="69"/>
      <c r="N275" s="69"/>
      <c r="O275" s="69"/>
      <c r="P275" s="69"/>
      <c r="Q275" s="69"/>
      <c r="R275" s="69"/>
      <c r="S275" s="69"/>
      <c r="T275" s="69"/>
      <c r="U275" s="69"/>
      <c r="V275" s="69"/>
      <c r="W275" s="178"/>
      <c r="X275" s="229" t="str">
        <f>$AU$241</f>
        <v>Low</v>
      </c>
      <c r="Y275" s="69"/>
      <c r="Z275" s="69"/>
      <c r="AA275" s="178"/>
      <c r="AN275" s="96"/>
      <c r="AO275" s="96"/>
      <c r="AP275" s="206"/>
      <c r="AR275" s="96"/>
      <c r="AS275" s="96"/>
      <c r="AT275" s="206"/>
    </row>
    <row r="276" ht="14.25" customHeight="1">
      <c r="A276" s="264"/>
      <c r="B276" s="226" t="str">
        <f t="shared" si="230"/>
        <v>EBS</v>
      </c>
      <c r="C276" s="227" t="str">
        <f>$AU$243</f>
        <v>Low</v>
      </c>
      <c r="D276" s="229" t="str">
        <f>$AU$244</f>
        <v>Low</v>
      </c>
      <c r="E276" s="69"/>
      <c r="F276" s="178"/>
      <c r="G276" s="229" t="str">
        <f>$AU$245</f>
        <v>Low</v>
      </c>
      <c r="H276" s="69"/>
      <c r="I276" s="178"/>
      <c r="J276" s="229" t="str">
        <f>$AU$246</f>
        <v>Low</v>
      </c>
      <c r="K276" s="69"/>
      <c r="L276" s="178"/>
      <c r="M276" s="229" t="str">
        <f>$AU$247</f>
        <v>Low</v>
      </c>
      <c r="N276" s="69"/>
      <c r="O276" s="69"/>
      <c r="P276" s="69"/>
      <c r="Q276" s="178"/>
      <c r="R276" s="229" t="str">
        <f>$AU$248</f>
        <v>Low</v>
      </c>
      <c r="S276" s="69"/>
      <c r="T276" s="69"/>
      <c r="U276" s="69"/>
      <c r="V276" s="69"/>
      <c r="W276" s="178"/>
      <c r="X276" s="227" t="str">
        <f>$AU$249</f>
        <v>Low</v>
      </c>
      <c r="Y276" s="227" t="str">
        <f>$AU$250</f>
        <v>Low</v>
      </c>
      <c r="Z276" s="227" t="str">
        <f>$AU$251</f>
        <v>Low</v>
      </c>
      <c r="AA276" s="227" t="str">
        <f>$AU$252</f>
        <v>Low</v>
      </c>
      <c r="AN276" s="96"/>
      <c r="AO276" s="96"/>
      <c r="AP276" s="206"/>
      <c r="AR276" s="96"/>
      <c r="AS276" s="96"/>
      <c r="AT276" s="206"/>
    </row>
    <row r="277" ht="14.25" customHeight="1">
      <c r="A277" s="264"/>
      <c r="B277" s="226" t="str">
        <f t="shared" si="230"/>
        <v>Institutions</v>
      </c>
      <c r="C277" s="227" t="str">
        <f>$AU$254</f>
        <v>Low</v>
      </c>
      <c r="D277" s="228" t="str">
        <f>$AU$255</f>
        <v>Low</v>
      </c>
      <c r="E277" s="69"/>
      <c r="F277" s="178"/>
      <c r="G277" s="228" t="str">
        <f>$AU$256</f>
        <v>Low</v>
      </c>
      <c r="H277" s="69"/>
      <c r="I277" s="69"/>
      <c r="J277" s="178"/>
      <c r="K277" s="229" t="str">
        <f>$AU$257</f>
        <v>Low</v>
      </c>
      <c r="L277" s="69"/>
      <c r="M277" s="69"/>
      <c r="N277" s="178"/>
      <c r="O277" s="229" t="str">
        <f>$AU$258</f>
        <v>Low</v>
      </c>
      <c r="P277" s="69"/>
      <c r="Q277" s="69"/>
      <c r="R277" s="69"/>
      <c r="S277" s="69"/>
      <c r="T277" s="69"/>
      <c r="U277" s="178"/>
      <c r="V277" s="229" t="str">
        <f>$AU$259</f>
        <v>Low</v>
      </c>
      <c r="W277" s="69"/>
      <c r="X277" s="178"/>
      <c r="Y277" s="233" t="str">
        <f>$AU$260</f>
        <v>Low</v>
      </c>
      <c r="Z277" s="227" t="str">
        <f>$AU$261</f>
        <v>Low</v>
      </c>
      <c r="AA277" s="227" t="str">
        <f>$AU$262</f>
        <v>Low</v>
      </c>
      <c r="AN277" s="96"/>
      <c r="AO277" s="96"/>
      <c r="AP277" s="206"/>
      <c r="AR277" s="96"/>
      <c r="AS277" s="96"/>
      <c r="AT277" s="206"/>
    </row>
    <row r="278" ht="14.25" customHeight="1">
      <c r="A278" s="264"/>
      <c r="B278" s="264"/>
      <c r="C278" s="253"/>
      <c r="D278" s="280"/>
      <c r="E278" s="281"/>
      <c r="F278" s="281"/>
      <c r="G278" s="282"/>
      <c r="H278" s="280"/>
      <c r="I278" s="281"/>
      <c r="J278" s="281"/>
      <c r="K278" s="282"/>
      <c r="L278" s="280"/>
      <c r="M278" s="281"/>
      <c r="N278" s="281"/>
      <c r="O278" s="282"/>
      <c r="P278" s="280"/>
      <c r="Q278" s="281"/>
      <c r="R278" s="281"/>
      <c r="S278" s="281"/>
      <c r="T278" s="280"/>
      <c r="U278" s="281"/>
      <c r="V278" s="281"/>
      <c r="W278" s="282"/>
      <c r="X278" s="271"/>
      <c r="AN278" s="96"/>
      <c r="AO278" s="96"/>
      <c r="AP278" s="206"/>
      <c r="AR278" s="96"/>
      <c r="AS278" s="96"/>
      <c r="AT278" s="206"/>
    </row>
    <row r="279" ht="14.25" customHeight="1">
      <c r="A279" s="264"/>
      <c r="B279" s="222" t="s">
        <v>617</v>
      </c>
      <c r="C279" s="223"/>
      <c r="D279" s="224"/>
      <c r="E279" s="3"/>
      <c r="F279" s="3"/>
      <c r="G279" s="3"/>
      <c r="H279" s="4"/>
      <c r="I279" s="224"/>
      <c r="J279" s="3"/>
      <c r="K279" s="3"/>
      <c r="L279" s="3"/>
      <c r="M279" s="4"/>
      <c r="N279" s="224"/>
      <c r="O279" s="3"/>
      <c r="P279" s="3"/>
      <c r="Q279" s="3"/>
      <c r="R279" s="4"/>
      <c r="S279" s="224"/>
      <c r="T279" s="3"/>
      <c r="U279" s="3"/>
      <c r="V279" s="3"/>
      <c r="W279" s="4"/>
      <c r="X279" s="225"/>
      <c r="Y279" s="225"/>
      <c r="Z279" s="225"/>
      <c r="AN279" s="96"/>
      <c r="AO279" s="96"/>
      <c r="AP279" s="206"/>
      <c r="AR279" s="96"/>
      <c r="AS279" s="96"/>
      <c r="AT279" s="206"/>
    </row>
    <row r="280" ht="14.25" customHeight="1">
      <c r="A280" s="264"/>
      <c r="B280" s="266" t="str">
        <f>$AW$191</f>
        <v>Livelihoods</v>
      </c>
      <c r="C280" s="178"/>
      <c r="D280" s="266" t="str">
        <f>$AW$192</f>
        <v>Health &amp; Safety</v>
      </c>
      <c r="E280" s="69"/>
      <c r="F280" s="69"/>
      <c r="G280" s="178"/>
      <c r="H280" s="266" t="str">
        <f>$AW$193</f>
        <v>Assets and Utilities</v>
      </c>
      <c r="I280" s="69"/>
      <c r="J280" s="69"/>
      <c r="K280" s="69"/>
      <c r="L280" s="69"/>
      <c r="M280" s="178"/>
      <c r="N280" s="266" t="str">
        <f>$AW$194</f>
        <v>Potable water </v>
      </c>
      <c r="O280" s="69"/>
      <c r="P280" s="69"/>
      <c r="Q280" s="69"/>
      <c r="R280" s="69"/>
      <c r="S280" s="69"/>
      <c r="T280" s="178"/>
      <c r="U280" s="266" t="str">
        <f>$AW$195</f>
        <v>EBS</v>
      </c>
      <c r="V280" s="69"/>
      <c r="W280" s="69"/>
      <c r="X280" s="178"/>
      <c r="Y280" s="266" t="str">
        <f>$AW$196</f>
        <v>Institutions</v>
      </c>
      <c r="Z280" s="178"/>
    </row>
    <row r="281" ht="14.25" customHeight="1">
      <c r="A281" s="264"/>
      <c r="B281" s="267"/>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9"/>
      <c r="Z281" s="269"/>
      <c r="AA281" s="1"/>
      <c r="AB281" s="1"/>
      <c r="AC281" s="1"/>
      <c r="AD281" s="1"/>
      <c r="AE281" s="1"/>
      <c r="AF281" s="1"/>
      <c r="AG281" s="1"/>
      <c r="AH281" s="1"/>
      <c r="AI281" s="1"/>
      <c r="AJ281" s="1"/>
      <c r="AK281" s="1"/>
      <c r="AL281" s="1"/>
      <c r="AM281" s="1"/>
    </row>
    <row r="282" ht="14.25" customHeight="1">
      <c r="A282" s="264"/>
      <c r="B282" s="266" t="str">
        <f>$AX$191</f>
        <v>Low</v>
      </c>
      <c r="C282" s="178"/>
      <c r="D282" s="266" t="str">
        <f>$AX$192</f>
        <v>Low</v>
      </c>
      <c r="E282" s="69"/>
      <c r="F282" s="69"/>
      <c r="G282" s="178"/>
      <c r="H282" s="266" t="str">
        <f>$AX$193</f>
        <v>Low</v>
      </c>
      <c r="I282" s="69"/>
      <c r="J282" s="69"/>
      <c r="K282" s="69"/>
      <c r="L282" s="69"/>
      <c r="M282" s="178"/>
      <c r="N282" s="266" t="str">
        <f>$AX$194</f>
        <v>Low</v>
      </c>
      <c r="O282" s="69"/>
      <c r="P282" s="69"/>
      <c r="Q282" s="69"/>
      <c r="R282" s="69"/>
      <c r="S282" s="69"/>
      <c r="T282" s="178"/>
      <c r="U282" s="266" t="str">
        <f>$AX$195</f>
        <v>Low</v>
      </c>
      <c r="V282" s="69"/>
      <c r="W282" s="69"/>
      <c r="X282" s="178"/>
      <c r="Y282" s="266" t="str">
        <f>$AX$196</f>
        <v>Low</v>
      </c>
      <c r="Z282" s="178"/>
      <c r="AA282" s="1"/>
      <c r="AB282" s="1"/>
      <c r="AC282" s="1"/>
      <c r="AD282" s="1"/>
      <c r="AE282" s="1"/>
      <c r="AF282" s="1"/>
      <c r="AG282" s="1"/>
      <c r="AH282" s="1"/>
      <c r="AI282" s="1"/>
      <c r="AJ282" s="1"/>
      <c r="AK282" s="1"/>
      <c r="AL282" s="1"/>
      <c r="AM282" s="1"/>
    </row>
    <row r="283" ht="14.25" customHeight="1">
      <c r="A283" s="264"/>
      <c r="B283" s="1"/>
      <c r="C283" s="270"/>
      <c r="D283" s="283"/>
      <c r="E283" s="281"/>
      <c r="F283" s="281"/>
      <c r="G283" s="281"/>
      <c r="H283" s="284"/>
      <c r="I283" s="283"/>
      <c r="J283" s="281"/>
      <c r="K283" s="281"/>
      <c r="L283" s="281"/>
      <c r="M283" s="284"/>
      <c r="N283" s="283"/>
      <c r="O283" s="281"/>
      <c r="P283" s="281"/>
      <c r="Q283" s="281"/>
      <c r="R283" s="284"/>
      <c r="S283" s="283"/>
      <c r="T283" s="281"/>
      <c r="U283" s="281"/>
      <c r="V283" s="281"/>
      <c r="W283" s="284"/>
      <c r="X283" s="271"/>
      <c r="Y283" s="96"/>
      <c r="Z283" s="203"/>
      <c r="AA283" s="1"/>
      <c r="AB283" s="1"/>
      <c r="AC283" s="1"/>
      <c r="AD283" s="1"/>
      <c r="AE283" s="1"/>
      <c r="AF283" s="1"/>
      <c r="AG283" s="1"/>
      <c r="AH283" s="1"/>
      <c r="AI283" s="1"/>
      <c r="AJ283" s="1"/>
      <c r="AK283" s="1"/>
      <c r="AL283" s="1"/>
      <c r="AM283" s="1"/>
    </row>
    <row r="284" ht="14.25" customHeight="1">
      <c r="A284" s="264"/>
      <c r="B284" s="222" t="s">
        <v>618</v>
      </c>
      <c r="C284" s="223"/>
      <c r="D284" s="224"/>
      <c r="E284" s="3"/>
      <c r="F284" s="3"/>
      <c r="G284" s="3"/>
      <c r="H284" s="4"/>
      <c r="I284" s="224"/>
      <c r="J284" s="3"/>
      <c r="K284" s="3"/>
      <c r="L284" s="3"/>
      <c r="M284" s="4"/>
      <c r="N284" s="224"/>
      <c r="O284" s="3"/>
      <c r="P284" s="3"/>
      <c r="Q284" s="3"/>
      <c r="R284" s="4"/>
      <c r="S284" s="224"/>
      <c r="T284" s="3"/>
      <c r="U284" s="3"/>
      <c r="V284" s="3"/>
      <c r="W284" s="4"/>
      <c r="X284" s="225"/>
      <c r="Y284" s="225"/>
      <c r="Z284" s="225"/>
      <c r="AA284" s="225"/>
      <c r="AB284" s="1"/>
      <c r="AC284" s="1"/>
      <c r="AD284" s="1"/>
      <c r="AE284" s="1"/>
      <c r="AF284" s="1"/>
      <c r="AG284" s="1"/>
      <c r="AH284" s="1"/>
      <c r="AI284" s="1"/>
      <c r="AJ284" s="1"/>
      <c r="AK284" s="1"/>
      <c r="AL284" s="1"/>
      <c r="AM284" s="1"/>
    </row>
    <row r="285" ht="14.25" customHeight="1">
      <c r="A285" s="264"/>
      <c r="B285" s="226" t="str">
        <f t="shared" ref="B285:D285" si="231">B265</f>
        <v>Livelihoods</v>
      </c>
      <c r="C285" s="227" t="str">
        <f t="shared" si="231"/>
        <v>Food Security</v>
      </c>
      <c r="D285" s="228" t="str">
        <f t="shared" si="231"/>
        <v>Grazing/Farm Land</v>
      </c>
      <c r="E285" s="178"/>
      <c r="F285" s="228" t="str">
        <f>F265</f>
        <v>Crops</v>
      </c>
      <c r="G285" s="178"/>
      <c r="H285" s="228" t="str">
        <f>H265</f>
        <v>Livestock</v>
      </c>
      <c r="I285" s="69"/>
      <c r="J285" s="178"/>
      <c r="K285" s="228" t="str">
        <f>K265</f>
        <v>Fishstock</v>
      </c>
      <c r="L285" s="69"/>
      <c r="M285" s="178"/>
      <c r="N285" s="228" t="str">
        <f>N265</f>
        <v>Local commerce</v>
      </c>
      <c r="O285" s="69"/>
      <c r="P285" s="69"/>
      <c r="Q285" s="178"/>
      <c r="R285" s="228" t="str">
        <f t="shared" ref="R285:R287" si="234">R265</f>
        <v>Gender </v>
      </c>
      <c r="S285" s="69"/>
      <c r="T285" s="178"/>
      <c r="U285" s="228" t="str">
        <f>U265</f>
        <v>Conviviality </v>
      </c>
      <c r="V285" s="69"/>
      <c r="W285" s="178"/>
      <c r="X285" s="227" t="str">
        <f t="shared" ref="X285:AA285" si="232">X265</f>
        <v>Education </v>
      </c>
      <c r="Y285" s="227" t="str">
        <f t="shared" si="232"/>
        <v>WFI/WFDU</v>
      </c>
      <c r="Z285" s="227" t="str">
        <f t="shared" si="232"/>
        <v>ATF/I</v>
      </c>
      <c r="AA285" s="227" t="str">
        <f t="shared" si="232"/>
        <v>Disaster Events</v>
      </c>
      <c r="AB285" s="1"/>
      <c r="AC285" s="1"/>
      <c r="AD285" s="1"/>
      <c r="AE285" s="1"/>
      <c r="AF285" s="1"/>
      <c r="AG285" s="1"/>
      <c r="AH285" s="1"/>
      <c r="AI285" s="1"/>
      <c r="AJ285" s="1"/>
      <c r="AK285" s="1"/>
      <c r="AL285" s="1"/>
      <c r="AM285" s="1"/>
    </row>
    <row r="286" ht="14.25" customHeight="1">
      <c r="A286" s="264"/>
      <c r="B286" s="226" t="str">
        <f t="shared" ref="B286:D286" si="233">B266</f>
        <v>Health &amp; Safety</v>
      </c>
      <c r="C286" s="226" t="str">
        <f t="shared" si="233"/>
        <v>Borne Diseases</v>
      </c>
      <c r="D286" s="229" t="str">
        <f t="shared" si="233"/>
        <v>SLUP&amp;C</v>
      </c>
      <c r="E286" s="69"/>
      <c r="F286" s="178"/>
      <c r="G286" s="229" t="str">
        <f>G266</f>
        <v>SWM</v>
      </c>
      <c r="H286" s="69"/>
      <c r="I286" s="69"/>
      <c r="J286" s="69"/>
      <c r="K286" s="178"/>
      <c r="L286" s="229" t="str">
        <f>L266</f>
        <v>LWM</v>
      </c>
      <c r="M286" s="69"/>
      <c r="N286" s="69"/>
      <c r="O286" s="69"/>
      <c r="P286" s="69"/>
      <c r="Q286" s="178"/>
      <c r="R286" s="229" t="str">
        <f t="shared" si="234"/>
        <v>ATHS</v>
      </c>
      <c r="S286" s="69"/>
      <c r="T286" s="69"/>
      <c r="U286" s="69"/>
      <c r="V286" s="69"/>
      <c r="W286" s="69"/>
      <c r="X286" s="178"/>
      <c r="Y286" s="229" t="str">
        <f>Y266</f>
        <v>ATHE</v>
      </c>
      <c r="Z286" s="69"/>
      <c r="AA286" s="178"/>
      <c r="AB286" s="1"/>
      <c r="AC286" s="1"/>
      <c r="AD286" s="1"/>
      <c r="AE286" s="1"/>
      <c r="AF286" s="1"/>
      <c r="AG286" s="1"/>
      <c r="AH286" s="1"/>
      <c r="AI286" s="1"/>
      <c r="AJ286" s="1"/>
      <c r="AK286" s="1"/>
      <c r="AL286" s="1"/>
      <c r="AM286" s="1"/>
    </row>
    <row r="287" ht="14.25" customHeight="1">
      <c r="A287" s="264"/>
      <c r="B287" s="226" t="str">
        <f t="shared" ref="B287:D287" si="235">B267</f>
        <v>Assets and Utilities</v>
      </c>
      <c r="C287" s="227" t="str">
        <f t="shared" si="235"/>
        <v>Housing</v>
      </c>
      <c r="D287" s="228" t="str">
        <f t="shared" si="235"/>
        <v>Public facilities </v>
      </c>
      <c r="E287" s="178"/>
      <c r="F287" s="228" t="str">
        <f>F267</f>
        <v>SWD</v>
      </c>
      <c r="G287" s="178"/>
      <c r="H287" s="228" t="str">
        <f>H267</f>
        <v>Sanitary facilities </v>
      </c>
      <c r="I287" s="69"/>
      <c r="J287" s="178"/>
      <c r="K287" s="228" t="str">
        <f>K267</f>
        <v>Sewer lines </v>
      </c>
      <c r="L287" s="69"/>
      <c r="M287" s="178"/>
      <c r="N287" s="228" t="str">
        <f>N267</f>
        <v>Power lines/supply</v>
      </c>
      <c r="O287" s="69"/>
      <c r="P287" s="69"/>
      <c r="Q287" s="178"/>
      <c r="R287" s="228" t="str">
        <f t="shared" si="234"/>
        <v>Energy for HH use </v>
      </c>
      <c r="S287" s="69"/>
      <c r="T287" s="178"/>
      <c r="U287" s="228" t="str">
        <f>U267</f>
        <v>Water pipes </v>
      </c>
      <c r="V287" s="69"/>
      <c r="W287" s="178"/>
      <c r="X287" s="227" t="str">
        <f t="shared" ref="X287:AA287" si="236">X267</f>
        <v>PWT</v>
      </c>
      <c r="Y287" s="227" t="str">
        <f t="shared" si="236"/>
        <v>Water Storage</v>
      </c>
      <c r="Z287" s="227" t="str">
        <f t="shared" si="236"/>
        <v>R &amp; T</v>
      </c>
      <c r="AA287" s="227" t="str">
        <f t="shared" si="236"/>
        <v>Communication </v>
      </c>
      <c r="AB287" s="1"/>
      <c r="AC287" s="1"/>
      <c r="AD287" s="1"/>
      <c r="AE287" s="1"/>
      <c r="AF287" s="1"/>
      <c r="AG287" s="1"/>
      <c r="AH287" s="1"/>
      <c r="AI287" s="1"/>
      <c r="AJ287" s="1"/>
      <c r="AK287" s="1"/>
      <c r="AL287" s="1"/>
      <c r="AM287" s="1"/>
    </row>
    <row r="288" ht="14.25" customHeight="1">
      <c r="A288" s="264"/>
      <c r="B288" s="226" t="str">
        <f t="shared" ref="B288:C288" si="237">B268</f>
        <v>Potable water </v>
      </c>
      <c r="C288" s="229" t="str">
        <f t="shared" si="237"/>
        <v>Access</v>
      </c>
      <c r="D288" s="69"/>
      <c r="E288" s="69"/>
      <c r="F288" s="69"/>
      <c r="G288" s="69"/>
      <c r="H288" s="69"/>
      <c r="I288" s="178"/>
      <c r="J288" s="229" t="str">
        <f t="shared" ref="J288:J289" si="239">J268</f>
        <v>Scarcities </v>
      </c>
      <c r="K288" s="69"/>
      <c r="L288" s="69"/>
      <c r="M288" s="69"/>
      <c r="N288" s="69"/>
      <c r="O288" s="69"/>
      <c r="P288" s="69"/>
      <c r="Q288" s="69"/>
      <c r="R288" s="69"/>
      <c r="S288" s="69"/>
      <c r="T288" s="69"/>
      <c r="U288" s="69"/>
      <c r="V288" s="69"/>
      <c r="W288" s="178"/>
      <c r="X288" s="229" t="str">
        <f t="shared" ref="X288:X289" si="240">X268</f>
        <v>Quality</v>
      </c>
      <c r="Y288" s="69"/>
      <c r="Z288" s="69"/>
      <c r="AA288" s="178"/>
      <c r="AB288" s="1"/>
      <c r="AC288" s="1"/>
      <c r="AD288" s="1"/>
      <c r="AE288" s="1"/>
      <c r="AF288" s="1"/>
      <c r="AG288" s="1"/>
      <c r="AH288" s="1"/>
      <c r="AI288" s="1"/>
      <c r="AJ288" s="1"/>
      <c r="AK288" s="1"/>
      <c r="AL288" s="1"/>
      <c r="AM288" s="1"/>
    </row>
    <row r="289" ht="14.25" customHeight="1">
      <c r="A289" s="264"/>
      <c r="B289" s="226" t="str">
        <f t="shared" ref="B289:D289" si="238">B269</f>
        <v>EBS</v>
      </c>
      <c r="C289" s="227" t="str">
        <f t="shared" si="238"/>
        <v>Soil </v>
      </c>
      <c r="D289" s="229" t="str">
        <f t="shared" si="238"/>
        <v>LC &amp; P</v>
      </c>
      <c r="E289" s="69"/>
      <c r="F289" s="178"/>
      <c r="G289" s="229" t="str">
        <f t="shared" ref="G289:G290" si="243">G269</f>
        <v>NV</v>
      </c>
      <c r="H289" s="69"/>
      <c r="I289" s="178"/>
      <c r="J289" s="229" t="str">
        <f t="shared" si="239"/>
        <v>Wetland </v>
      </c>
      <c r="K289" s="69"/>
      <c r="L289" s="178"/>
      <c r="M289" s="229" t="str">
        <f>M269</f>
        <v>Biodiversity</v>
      </c>
      <c r="N289" s="69"/>
      <c r="O289" s="69"/>
      <c r="P289" s="69"/>
      <c r="Q289" s="178"/>
      <c r="R289" s="229" t="str">
        <f>R269</f>
        <v>NWB</v>
      </c>
      <c r="S289" s="69"/>
      <c r="T289" s="69"/>
      <c r="U289" s="69"/>
      <c r="V289" s="69"/>
      <c r="W289" s="178"/>
      <c r="X289" s="227" t="str">
        <f t="shared" si="240"/>
        <v>Sea</v>
      </c>
      <c r="Y289" s="227" t="str">
        <f t="shared" ref="Y289:AA289" si="241">Y269</f>
        <v>EF</v>
      </c>
      <c r="Z289" s="227" t="str">
        <f t="shared" si="241"/>
        <v>Land use </v>
      </c>
      <c r="AA289" s="227" t="str">
        <f t="shared" si="241"/>
        <v>Topography</v>
      </c>
      <c r="AB289" s="1"/>
      <c r="AC289" s="1"/>
      <c r="AD289" s="1"/>
      <c r="AE289" s="1"/>
      <c r="AF289" s="1"/>
      <c r="AG289" s="1"/>
      <c r="AH289" s="1"/>
      <c r="AI289" s="1"/>
      <c r="AJ289" s="1"/>
      <c r="AK289" s="1"/>
      <c r="AL289" s="1"/>
      <c r="AM289" s="1"/>
    </row>
    <row r="290" ht="14.25" customHeight="1">
      <c r="A290" s="264"/>
      <c r="B290" s="226" t="str">
        <f t="shared" ref="B290:D290" si="242">B270</f>
        <v>Institutions</v>
      </c>
      <c r="C290" s="227" t="str">
        <f t="shared" si="242"/>
        <v>EWS</v>
      </c>
      <c r="D290" s="228" t="str">
        <f t="shared" si="242"/>
        <v>A &amp; I</v>
      </c>
      <c r="E290" s="69"/>
      <c r="F290" s="178"/>
      <c r="G290" s="228" t="str">
        <f t="shared" si="243"/>
        <v>EC</v>
      </c>
      <c r="H290" s="69"/>
      <c r="I290" s="69"/>
      <c r="J290" s="178"/>
      <c r="K290" s="229" t="str">
        <f>K270</f>
        <v>R/RP</v>
      </c>
      <c r="L290" s="69"/>
      <c r="M290" s="69"/>
      <c r="N290" s="178"/>
      <c r="O290" s="229" t="str">
        <f>O270</f>
        <v>HFO</v>
      </c>
      <c r="P290" s="69"/>
      <c r="Q290" s="69"/>
      <c r="R290" s="69"/>
      <c r="S290" s="69"/>
      <c r="T290" s="69"/>
      <c r="U290" s="178"/>
      <c r="V290" s="229" t="str">
        <f>V270</f>
        <v>DP</v>
      </c>
      <c r="W290" s="69"/>
      <c r="X290" s="178"/>
      <c r="Y290" s="233" t="str">
        <f t="shared" ref="Y290:AA290" si="244">Y270</f>
        <v>DR</v>
      </c>
      <c r="Z290" s="227" t="str">
        <f t="shared" si="244"/>
        <v>PFR</v>
      </c>
      <c r="AA290" s="227" t="str">
        <f t="shared" si="244"/>
        <v>PFM</v>
      </c>
      <c r="AB290" s="1"/>
      <c r="AC290" s="1"/>
      <c r="AD290" s="1"/>
      <c r="AE290" s="1"/>
      <c r="AF290" s="1"/>
      <c r="AG290" s="1"/>
      <c r="AH290" s="1"/>
      <c r="AI290" s="1"/>
      <c r="AJ290" s="1"/>
      <c r="AK290" s="1"/>
      <c r="AL290" s="1"/>
      <c r="AM290" s="1"/>
    </row>
    <row r="291" ht="14.25" customHeight="1">
      <c r="A291" s="264"/>
      <c r="B291" s="236"/>
      <c r="C291" s="236"/>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c r="AA291" s="236"/>
      <c r="AB291" s="1"/>
      <c r="AC291" s="1"/>
      <c r="AD291" s="1"/>
      <c r="AE291" s="1"/>
      <c r="AF291" s="1"/>
      <c r="AG291" s="1"/>
      <c r="AH291" s="1"/>
      <c r="AI291" s="1"/>
      <c r="AJ291" s="1"/>
      <c r="AK291" s="1"/>
      <c r="AL291" s="1"/>
      <c r="AM291" s="1"/>
    </row>
    <row r="292" ht="14.25" customHeight="1">
      <c r="A292" s="264"/>
      <c r="B292" s="226" t="str">
        <f t="shared" ref="B292:B297" si="245">B285</f>
        <v>Livelihoods</v>
      </c>
      <c r="C292" s="227" t="str">
        <f>$AX$206</f>
        <v>Low</v>
      </c>
      <c r="D292" s="228" t="str">
        <f>$AX$207</f>
        <v>Low</v>
      </c>
      <c r="E292" s="178"/>
      <c r="F292" s="228" t="str">
        <f>$AX$208</f>
        <v>Low</v>
      </c>
      <c r="G292" s="178"/>
      <c r="H292" s="228" t="str">
        <f>$AX$209</f>
        <v>Low</v>
      </c>
      <c r="I292" s="69"/>
      <c r="J292" s="178"/>
      <c r="K292" s="228" t="str">
        <f>$AX$210</f>
        <v>Low</v>
      </c>
      <c r="L292" s="69"/>
      <c r="M292" s="178"/>
      <c r="N292" s="228" t="str">
        <f>$AX$211</f>
        <v>Low</v>
      </c>
      <c r="O292" s="69"/>
      <c r="P292" s="69"/>
      <c r="Q292" s="178"/>
      <c r="R292" s="228" t="str">
        <f>$AX$212</f>
        <v>Low</v>
      </c>
      <c r="S292" s="69"/>
      <c r="T292" s="178"/>
      <c r="U292" s="228" t="str">
        <f>$AX$213</f>
        <v>Low</v>
      </c>
      <c r="V292" s="69"/>
      <c r="W292" s="178"/>
      <c r="X292" s="227" t="str">
        <f>$AX$214</f>
        <v>Low</v>
      </c>
      <c r="Y292" s="227" t="str">
        <f>$AX$215</f>
        <v>Low</v>
      </c>
      <c r="Z292" s="227" t="str">
        <f>$AX$216</f>
        <v>Low</v>
      </c>
      <c r="AA292" s="227" t="str">
        <f>$AX$217</f>
        <v>Low</v>
      </c>
      <c r="AB292" s="1"/>
      <c r="AC292" s="1"/>
      <c r="AD292" s="1"/>
      <c r="AE292" s="1"/>
      <c r="AF292" s="1"/>
      <c r="AG292" s="1"/>
      <c r="AH292" s="1"/>
      <c r="AI292" s="1"/>
      <c r="AJ292" s="1"/>
      <c r="AK292" s="1"/>
      <c r="AL292" s="1"/>
      <c r="AM292" s="1"/>
    </row>
    <row r="293" ht="14.25" customHeight="1">
      <c r="A293" s="264"/>
      <c r="B293" s="226" t="str">
        <f t="shared" si="245"/>
        <v>Health &amp; Safety</v>
      </c>
      <c r="C293" s="226" t="str">
        <f>$AX$219</f>
        <v>Low</v>
      </c>
      <c r="D293" s="229" t="str">
        <f>$AX$220</f>
        <v>Low</v>
      </c>
      <c r="E293" s="69"/>
      <c r="F293" s="178"/>
      <c r="G293" s="229" t="str">
        <f>$AX$221</f>
        <v>Low</v>
      </c>
      <c r="H293" s="69"/>
      <c r="I293" s="69"/>
      <c r="J293" s="69"/>
      <c r="K293" s="178"/>
      <c r="L293" s="229" t="str">
        <f>$AX$222</f>
        <v>Low</v>
      </c>
      <c r="M293" s="69"/>
      <c r="N293" s="69"/>
      <c r="O293" s="69"/>
      <c r="P293" s="69"/>
      <c r="Q293" s="178"/>
      <c r="R293" s="229" t="str">
        <f>$AX$223</f>
        <v>Low</v>
      </c>
      <c r="S293" s="69"/>
      <c r="T293" s="69"/>
      <c r="U293" s="69"/>
      <c r="V293" s="69"/>
      <c r="W293" s="69"/>
      <c r="X293" s="178"/>
      <c r="Y293" s="229" t="str">
        <f>$AX$224</f>
        <v>Low</v>
      </c>
      <c r="Z293" s="69"/>
      <c r="AA293" s="178"/>
      <c r="AB293" s="1"/>
      <c r="AC293" s="1"/>
      <c r="AD293" s="1"/>
      <c r="AE293" s="1"/>
      <c r="AF293" s="1"/>
      <c r="AG293" s="1"/>
      <c r="AH293" s="1"/>
      <c r="AI293" s="1"/>
      <c r="AJ293" s="1"/>
      <c r="AK293" s="1"/>
      <c r="AL293" s="1"/>
      <c r="AM293" s="1"/>
    </row>
    <row r="294" ht="14.25" customHeight="1">
      <c r="A294" s="264"/>
      <c r="B294" s="226" t="str">
        <f t="shared" si="245"/>
        <v>Assets and Utilities</v>
      </c>
      <c r="C294" s="227" t="str">
        <f>$AX$226</f>
        <v>Low</v>
      </c>
      <c r="D294" s="228" t="str">
        <f>$AX$227</f>
        <v>Low</v>
      </c>
      <c r="E294" s="178"/>
      <c r="F294" s="228" t="str">
        <f>$AX$228</f>
        <v>Low</v>
      </c>
      <c r="G294" s="178"/>
      <c r="H294" s="228" t="str">
        <f>$AX$229</f>
        <v>Low</v>
      </c>
      <c r="I294" s="69"/>
      <c r="J294" s="178"/>
      <c r="K294" s="228" t="str">
        <f>$AX$230</f>
        <v>Low</v>
      </c>
      <c r="L294" s="69"/>
      <c r="M294" s="178"/>
      <c r="N294" s="228" t="str">
        <f>$AX$231</f>
        <v>Low</v>
      </c>
      <c r="O294" s="69"/>
      <c r="P294" s="69"/>
      <c r="Q294" s="178"/>
      <c r="R294" s="228" t="str">
        <f>$AX$232</f>
        <v>Low</v>
      </c>
      <c r="S294" s="69"/>
      <c r="T294" s="178"/>
      <c r="U294" s="228" t="str">
        <f>$AX$233</f>
        <v>Low</v>
      </c>
      <c r="V294" s="69"/>
      <c r="W294" s="178"/>
      <c r="X294" s="227" t="str">
        <f>$AX$234</f>
        <v>Low</v>
      </c>
      <c r="Y294" s="227" t="str">
        <f>$AX$235</f>
        <v>Low</v>
      </c>
      <c r="Z294" s="227" t="str">
        <f>$AX$236</f>
        <v>Low</v>
      </c>
      <c r="AA294" s="227" t="str">
        <f>$AX$237</f>
        <v>Low</v>
      </c>
      <c r="AB294" s="1"/>
      <c r="AC294" s="1"/>
      <c r="AD294" s="1"/>
      <c r="AE294" s="1"/>
      <c r="AF294" s="1"/>
      <c r="AG294" s="1"/>
      <c r="AH294" s="1"/>
      <c r="AI294" s="1"/>
      <c r="AJ294" s="1"/>
      <c r="AK294" s="1"/>
      <c r="AL294" s="1"/>
      <c r="AM294" s="1"/>
    </row>
    <row r="295" ht="14.25" customHeight="1">
      <c r="A295" s="264"/>
      <c r="B295" s="226" t="str">
        <f t="shared" si="245"/>
        <v>Potable water </v>
      </c>
      <c r="C295" s="229" t="str">
        <f>$AX$239</f>
        <v>Low</v>
      </c>
      <c r="D295" s="69"/>
      <c r="E295" s="69"/>
      <c r="F295" s="69"/>
      <c r="G295" s="69"/>
      <c r="H295" s="69"/>
      <c r="I295" s="178"/>
      <c r="J295" s="229" t="str">
        <f>$AX$240</f>
        <v>Low</v>
      </c>
      <c r="K295" s="69"/>
      <c r="L295" s="69"/>
      <c r="M295" s="69"/>
      <c r="N295" s="69"/>
      <c r="O295" s="69"/>
      <c r="P295" s="69"/>
      <c r="Q295" s="69"/>
      <c r="R295" s="69"/>
      <c r="S295" s="69"/>
      <c r="T295" s="69"/>
      <c r="U295" s="69"/>
      <c r="V295" s="69"/>
      <c r="W295" s="178"/>
      <c r="X295" s="229" t="str">
        <f>$AX$241</f>
        <v>Low</v>
      </c>
      <c r="Y295" s="69"/>
      <c r="Z295" s="69"/>
      <c r="AA295" s="178"/>
      <c r="AB295" s="1"/>
      <c r="AC295" s="1"/>
      <c r="AD295" s="1"/>
      <c r="AE295" s="1"/>
      <c r="AF295" s="1"/>
      <c r="AG295" s="1"/>
      <c r="AH295" s="1"/>
      <c r="AI295" s="1"/>
      <c r="AJ295" s="1"/>
      <c r="AK295" s="1"/>
      <c r="AL295" s="1"/>
      <c r="AM295" s="1"/>
    </row>
    <row r="296" ht="14.25" customHeight="1">
      <c r="A296" s="264"/>
      <c r="B296" s="226" t="str">
        <f t="shared" si="245"/>
        <v>EBS</v>
      </c>
      <c r="C296" s="227" t="str">
        <f>$AX$243</f>
        <v>Low</v>
      </c>
      <c r="D296" s="229" t="str">
        <f>$AX$244</f>
        <v>Low</v>
      </c>
      <c r="E296" s="69"/>
      <c r="F296" s="178"/>
      <c r="G296" s="229" t="str">
        <f>$AX$245</f>
        <v>Low</v>
      </c>
      <c r="H296" s="69"/>
      <c r="I296" s="178"/>
      <c r="J296" s="229" t="str">
        <f>$AX$246</f>
        <v>Low</v>
      </c>
      <c r="K296" s="69"/>
      <c r="L296" s="178"/>
      <c r="M296" s="229" t="str">
        <f>$AX$247</f>
        <v>Low</v>
      </c>
      <c r="N296" s="69"/>
      <c r="O296" s="69"/>
      <c r="P296" s="69"/>
      <c r="Q296" s="178"/>
      <c r="R296" s="229" t="str">
        <f>$AX$248</f>
        <v>Low</v>
      </c>
      <c r="S296" s="69"/>
      <c r="T296" s="69"/>
      <c r="U296" s="69"/>
      <c r="V296" s="69"/>
      <c r="W296" s="178"/>
      <c r="X296" s="227" t="str">
        <f>$AX$249</f>
        <v>Low</v>
      </c>
      <c r="Y296" s="227" t="str">
        <f>$AX$250</f>
        <v>Low</v>
      </c>
      <c r="Z296" s="227" t="str">
        <f>$AX$251</f>
        <v>Low</v>
      </c>
      <c r="AA296" s="227" t="str">
        <f>$AX$252</f>
        <v>Low</v>
      </c>
      <c r="AB296" s="1"/>
      <c r="AC296" s="1"/>
      <c r="AD296" s="1"/>
      <c r="AE296" s="1"/>
      <c r="AF296" s="1"/>
      <c r="AG296" s="1"/>
      <c r="AH296" s="1"/>
      <c r="AI296" s="1"/>
      <c r="AJ296" s="1"/>
      <c r="AK296" s="1"/>
      <c r="AL296" s="1"/>
      <c r="AM296" s="1"/>
    </row>
    <row r="297" ht="14.25" customHeight="1">
      <c r="A297" s="264"/>
      <c r="B297" s="226" t="str">
        <f t="shared" si="245"/>
        <v>Institutions</v>
      </c>
      <c r="C297" s="227" t="str">
        <f>$AX$254</f>
        <v>Low</v>
      </c>
      <c r="D297" s="228" t="str">
        <f>$AX$255</f>
        <v>Low</v>
      </c>
      <c r="E297" s="69"/>
      <c r="F297" s="178"/>
      <c r="G297" s="228" t="str">
        <f>$AX$256</f>
        <v>Low</v>
      </c>
      <c r="H297" s="69"/>
      <c r="I297" s="69"/>
      <c r="J297" s="178"/>
      <c r="K297" s="229" t="str">
        <f>$AX$257</f>
        <v>Low</v>
      </c>
      <c r="L297" s="69"/>
      <c r="M297" s="69"/>
      <c r="N297" s="178"/>
      <c r="O297" s="229" t="str">
        <f>$AX$258</f>
        <v>Low</v>
      </c>
      <c r="P297" s="69"/>
      <c r="Q297" s="69"/>
      <c r="R297" s="69"/>
      <c r="S297" s="69"/>
      <c r="T297" s="69"/>
      <c r="U297" s="178"/>
      <c r="V297" s="229" t="str">
        <f>$AX$259</f>
        <v>Low</v>
      </c>
      <c r="W297" s="69"/>
      <c r="X297" s="178"/>
      <c r="Y297" s="233" t="str">
        <f>$AX$260</f>
        <v>Low</v>
      </c>
      <c r="Z297" s="227" t="str">
        <f>$AX$261</f>
        <v>Low</v>
      </c>
      <c r="AA297" s="227" t="str">
        <f>$AX$262</f>
        <v>Low</v>
      </c>
      <c r="AB297" s="1"/>
      <c r="AC297" s="1"/>
      <c r="AD297" s="1"/>
      <c r="AE297" s="1"/>
      <c r="AF297" s="1"/>
      <c r="AG297" s="1"/>
      <c r="AH297" s="1"/>
      <c r="AI297" s="1"/>
      <c r="AJ297" s="1"/>
      <c r="AK297" s="1"/>
      <c r="AL297" s="1"/>
      <c r="AM297" s="1"/>
    </row>
    <row r="298" ht="14.25" customHeight="1">
      <c r="A298" s="264"/>
      <c r="B298" s="264"/>
      <c r="C298" s="285"/>
      <c r="D298" s="265"/>
      <c r="H298" s="265"/>
      <c r="L298" s="265"/>
      <c r="P298" s="265"/>
      <c r="T298" s="265"/>
      <c r="Y298" s="1"/>
      <c r="Z298" s="1"/>
      <c r="AA298" s="1"/>
      <c r="AB298" s="1"/>
      <c r="AC298" s="1"/>
      <c r="AD298" s="1"/>
      <c r="AE298" s="1"/>
      <c r="AF298" s="1"/>
      <c r="AG298" s="1"/>
      <c r="AH298" s="1"/>
      <c r="AI298" s="1"/>
      <c r="AJ298" s="1"/>
      <c r="AK298" s="1"/>
      <c r="AL298" s="1"/>
      <c r="AM298" s="1"/>
    </row>
    <row r="299" ht="14.25" customHeight="1">
      <c r="A299" s="264"/>
      <c r="B299" s="264"/>
      <c r="C299" s="285"/>
      <c r="D299" s="265"/>
      <c r="G299" s="265"/>
      <c r="K299" s="265"/>
      <c r="N299" s="265"/>
      <c r="Q299" s="265"/>
      <c r="U299" s="265"/>
      <c r="Y299" s="1"/>
      <c r="Z299" s="1"/>
      <c r="AA299" s="1"/>
      <c r="AB299" s="1"/>
      <c r="AC299" s="1"/>
      <c r="AD299" s="1"/>
      <c r="AE299" s="1"/>
      <c r="AF299" s="1"/>
      <c r="AG299" s="1"/>
      <c r="AH299" s="1"/>
      <c r="AI299" s="1"/>
      <c r="AJ299" s="1"/>
      <c r="AK299" s="1"/>
      <c r="AL299" s="1"/>
      <c r="AM299" s="1"/>
    </row>
    <row r="300" ht="14.25" customHeight="1">
      <c r="A300" s="264"/>
      <c r="B300" s="286"/>
      <c r="Y300" s="1"/>
      <c r="Z300" s="1"/>
      <c r="AA300" s="1"/>
      <c r="AB300" s="1"/>
      <c r="AC300" s="1"/>
      <c r="AD300" s="1"/>
      <c r="AE300" s="1"/>
      <c r="AF300" s="1"/>
      <c r="AG300" s="1"/>
      <c r="AH300" s="1"/>
      <c r="AI300" s="1"/>
      <c r="AJ300" s="1"/>
      <c r="AK300" s="1"/>
      <c r="AL300" s="1"/>
      <c r="AM300" s="1"/>
    </row>
    <row r="301" ht="14.25" customHeight="1">
      <c r="A301" s="264"/>
      <c r="B301" s="264"/>
      <c r="C301" s="253"/>
      <c r="D301" s="287"/>
      <c r="E301" s="3"/>
      <c r="F301" s="3"/>
      <c r="G301" s="3"/>
      <c r="H301" s="3"/>
      <c r="I301" s="3"/>
      <c r="J301" s="4"/>
      <c r="K301" s="287"/>
      <c r="L301" s="3"/>
      <c r="M301" s="3"/>
      <c r="N301" s="3"/>
      <c r="O301" s="3"/>
      <c r="P301" s="4"/>
      <c r="Q301" s="287"/>
      <c r="R301" s="3"/>
      <c r="S301" s="3"/>
      <c r="T301" s="3"/>
      <c r="U301" s="3"/>
      <c r="V301" s="3"/>
      <c r="W301" s="4"/>
      <c r="X301" s="1"/>
      <c r="Y301" s="1"/>
      <c r="Z301" s="1"/>
      <c r="AA301" s="1"/>
      <c r="AB301" s="1"/>
      <c r="AC301" s="1"/>
      <c r="AD301" s="1"/>
      <c r="AE301" s="1"/>
      <c r="AF301" s="1"/>
      <c r="AG301" s="1"/>
      <c r="AH301" s="1"/>
      <c r="AI301" s="1"/>
      <c r="AJ301" s="1"/>
      <c r="AK301" s="1"/>
      <c r="AL301" s="1"/>
      <c r="AM301" s="1"/>
    </row>
    <row r="302" ht="14.25" customHeight="1">
      <c r="A302" s="264"/>
      <c r="B302" s="264"/>
      <c r="C302" s="253"/>
      <c r="D302" s="287"/>
      <c r="E302" s="3"/>
      <c r="F302" s="3"/>
      <c r="G302" s="3"/>
      <c r="H302" s="3"/>
      <c r="I302" s="3"/>
      <c r="J302" s="4"/>
      <c r="K302" s="287"/>
      <c r="L302" s="3"/>
      <c r="M302" s="3"/>
      <c r="N302" s="3"/>
      <c r="O302" s="3"/>
      <c r="P302" s="4"/>
      <c r="Q302" s="287"/>
      <c r="R302" s="3"/>
      <c r="S302" s="3"/>
      <c r="T302" s="3"/>
      <c r="U302" s="3"/>
      <c r="V302" s="3"/>
      <c r="W302" s="4"/>
      <c r="X302" s="1"/>
      <c r="Y302" s="1"/>
      <c r="Z302" s="1"/>
      <c r="AA302" s="1"/>
      <c r="AB302" s="1"/>
      <c r="AC302" s="1"/>
      <c r="AD302" s="1"/>
      <c r="AE302" s="1"/>
      <c r="AF302" s="1"/>
      <c r="AG302" s="1"/>
      <c r="AH302" s="1"/>
      <c r="AI302" s="1"/>
      <c r="AJ302" s="1"/>
      <c r="AK302" s="1"/>
      <c r="AL302" s="1"/>
      <c r="AM302" s="1"/>
    </row>
    <row r="303" ht="14.25" customHeight="1">
      <c r="A303" s="264"/>
      <c r="B303" s="264"/>
      <c r="C303" s="253"/>
      <c r="D303" s="287"/>
      <c r="E303" s="3"/>
      <c r="F303" s="3"/>
      <c r="G303" s="4"/>
      <c r="H303" s="287"/>
      <c r="I303" s="3"/>
      <c r="J303" s="3"/>
      <c r="K303" s="4"/>
      <c r="L303" s="287"/>
      <c r="M303" s="3"/>
      <c r="N303" s="3"/>
      <c r="O303" s="4"/>
      <c r="P303" s="287"/>
      <c r="Q303" s="3"/>
      <c r="R303" s="3"/>
      <c r="S303" s="4"/>
      <c r="T303" s="287"/>
      <c r="U303" s="3"/>
      <c r="V303" s="3"/>
      <c r="W303" s="4"/>
      <c r="X303" s="1"/>
      <c r="Y303" s="1"/>
      <c r="Z303" s="1"/>
      <c r="AA303" s="1"/>
      <c r="AB303" s="1"/>
      <c r="AC303" s="1"/>
      <c r="AD303" s="1"/>
      <c r="AE303" s="1"/>
      <c r="AF303" s="1"/>
      <c r="AG303" s="1"/>
      <c r="AH303" s="1"/>
      <c r="AI303" s="1"/>
      <c r="AJ303" s="1"/>
      <c r="AK303" s="1"/>
      <c r="AL303" s="1"/>
      <c r="AM303" s="1"/>
    </row>
    <row r="304" ht="14.25" customHeight="1">
      <c r="A304" s="264"/>
      <c r="B304" s="264"/>
      <c r="C304" s="253"/>
      <c r="D304" s="287"/>
      <c r="E304" s="3"/>
      <c r="F304" s="3"/>
      <c r="G304" s="4"/>
      <c r="H304" s="287"/>
      <c r="I304" s="3"/>
      <c r="J304" s="3"/>
      <c r="K304" s="4"/>
      <c r="L304" s="287"/>
      <c r="M304" s="3"/>
      <c r="N304" s="3"/>
      <c r="O304" s="4"/>
      <c r="P304" s="287"/>
      <c r="Q304" s="3"/>
      <c r="R304" s="3"/>
      <c r="S304" s="4"/>
      <c r="T304" s="287"/>
      <c r="U304" s="3"/>
      <c r="V304" s="3"/>
      <c r="W304" s="4"/>
      <c r="X304" s="1"/>
      <c r="Y304" s="1"/>
      <c r="Z304" s="1"/>
      <c r="AA304" s="1"/>
      <c r="AB304" s="1"/>
      <c r="AC304" s="1"/>
      <c r="AD304" s="1"/>
      <c r="AE304" s="1"/>
      <c r="AF304" s="1"/>
      <c r="AG304" s="1"/>
      <c r="AH304" s="1"/>
      <c r="AI304" s="1"/>
      <c r="AJ304" s="1"/>
      <c r="AK304" s="1"/>
      <c r="AL304" s="1"/>
      <c r="AM304" s="1"/>
    </row>
    <row r="305" ht="14.25" customHeight="1">
      <c r="A305" s="264"/>
      <c r="B305" s="264"/>
      <c r="C305" s="253"/>
      <c r="D305" s="287"/>
      <c r="E305" s="3"/>
      <c r="F305" s="4"/>
      <c r="G305" s="287"/>
      <c r="H305" s="3"/>
      <c r="I305" s="3"/>
      <c r="J305" s="4"/>
      <c r="K305" s="287"/>
      <c r="L305" s="3"/>
      <c r="M305" s="4"/>
      <c r="N305" s="287"/>
      <c r="O305" s="3"/>
      <c r="P305" s="4"/>
      <c r="Q305" s="287"/>
      <c r="R305" s="3"/>
      <c r="S305" s="3"/>
      <c r="T305" s="4"/>
      <c r="U305" s="287"/>
      <c r="V305" s="3"/>
      <c r="W305" s="4"/>
      <c r="X305" s="1"/>
      <c r="Y305" s="1"/>
      <c r="Z305" s="1"/>
      <c r="AA305" s="1"/>
      <c r="AB305" s="1"/>
      <c r="AC305" s="1"/>
      <c r="AD305" s="1"/>
      <c r="AE305" s="1"/>
      <c r="AF305" s="1"/>
      <c r="AG305" s="1"/>
      <c r="AH305" s="1"/>
      <c r="AI305" s="1"/>
      <c r="AJ305" s="1"/>
      <c r="AK305" s="1"/>
      <c r="AL305" s="1"/>
      <c r="AM305" s="1"/>
    </row>
    <row r="306" ht="14.25" customHeight="1">
      <c r="A306" s="264"/>
      <c r="B306" s="264"/>
      <c r="C306" s="253"/>
      <c r="D306" s="288"/>
      <c r="E306" s="288"/>
      <c r="F306" s="288"/>
      <c r="G306" s="288"/>
      <c r="H306" s="288"/>
      <c r="I306" s="288"/>
      <c r="J306" s="288"/>
      <c r="K306" s="288"/>
      <c r="L306" s="288"/>
      <c r="M306" s="288"/>
      <c r="N306" s="288"/>
      <c r="O306" s="288"/>
      <c r="P306" s="288"/>
      <c r="Q306" s="288"/>
      <c r="R306" s="288"/>
      <c r="S306" s="288"/>
      <c r="T306" s="288"/>
      <c r="U306" s="288"/>
      <c r="V306" s="288"/>
      <c r="W306" s="288"/>
      <c r="X306" s="1"/>
      <c r="Y306" s="1"/>
      <c r="Z306" s="1"/>
      <c r="AA306" s="1"/>
      <c r="AB306" s="1"/>
      <c r="AC306" s="1"/>
      <c r="AD306" s="1"/>
      <c r="AE306" s="1"/>
      <c r="AF306" s="1"/>
      <c r="AG306" s="1"/>
      <c r="AH306" s="1"/>
      <c r="AI306" s="1"/>
      <c r="AJ306" s="1"/>
      <c r="AK306" s="1"/>
      <c r="AL306" s="1"/>
      <c r="AM306" s="1"/>
    </row>
    <row r="307" ht="14.25" customHeight="1">
      <c r="A307" s="264"/>
      <c r="B307" s="289"/>
      <c r="C307" s="253"/>
      <c r="D307" s="288"/>
      <c r="E307" s="288"/>
      <c r="F307" s="288"/>
      <c r="G307" s="288"/>
      <c r="H307" s="288"/>
      <c r="I307" s="288"/>
      <c r="J307" s="288"/>
      <c r="K307" s="288"/>
      <c r="L307" s="288"/>
      <c r="M307" s="288"/>
      <c r="N307" s="288"/>
      <c r="O307" s="288"/>
      <c r="P307" s="288"/>
      <c r="Q307" s="288"/>
      <c r="R307" s="288"/>
      <c r="S307" s="288"/>
      <c r="T307" s="288"/>
      <c r="U307" s="288"/>
      <c r="V307" s="288"/>
      <c r="W307" s="288"/>
      <c r="X307" s="1"/>
      <c r="Y307" s="1"/>
      <c r="Z307" s="1"/>
      <c r="AA307" s="1"/>
      <c r="AB307" s="1"/>
      <c r="AC307" s="1"/>
      <c r="AD307" s="1"/>
      <c r="AE307" s="1"/>
      <c r="AF307" s="1"/>
      <c r="AG307" s="1"/>
      <c r="AH307" s="1"/>
      <c r="AI307" s="1"/>
      <c r="AJ307" s="1"/>
      <c r="AK307" s="1"/>
      <c r="AL307" s="1"/>
      <c r="AM307" s="1"/>
    </row>
    <row r="308" ht="14.25" customHeight="1">
      <c r="A308" s="264"/>
      <c r="B308" s="264"/>
      <c r="C308" s="253"/>
      <c r="D308" s="254"/>
      <c r="H308" s="254"/>
      <c r="L308" s="254"/>
      <c r="P308" s="254"/>
      <c r="T308" s="254"/>
      <c r="X308" s="1"/>
      <c r="Y308" s="1"/>
      <c r="Z308" s="1"/>
      <c r="AA308" s="1"/>
      <c r="AB308" s="1"/>
      <c r="AC308" s="1"/>
      <c r="AD308" s="1"/>
      <c r="AE308" s="1"/>
      <c r="AF308" s="1"/>
      <c r="AG308" s="1"/>
      <c r="AH308" s="1"/>
      <c r="AI308" s="1"/>
      <c r="AJ308" s="1"/>
      <c r="AK308" s="1"/>
      <c r="AL308" s="1"/>
      <c r="AM308" s="1"/>
    </row>
    <row r="309" ht="14.25" customHeight="1">
      <c r="A309" s="264"/>
      <c r="B309" s="210"/>
      <c r="C309" s="253"/>
      <c r="D309" s="288"/>
      <c r="E309" s="288"/>
      <c r="F309" s="288"/>
      <c r="G309" s="288"/>
      <c r="H309" s="288"/>
      <c r="I309" s="288"/>
      <c r="J309" s="288"/>
      <c r="K309" s="288"/>
      <c r="L309" s="288"/>
      <c r="M309" s="288"/>
      <c r="N309" s="288"/>
      <c r="O309" s="288"/>
      <c r="P309" s="288"/>
      <c r="Q309" s="288"/>
      <c r="R309" s="288"/>
      <c r="S309" s="288"/>
      <c r="T309" s="288"/>
      <c r="U309" s="288"/>
      <c r="V309" s="288"/>
      <c r="W309" s="288"/>
      <c r="X309" s="1"/>
      <c r="Y309" s="1"/>
      <c r="Z309" s="1"/>
      <c r="AA309" s="1"/>
      <c r="AB309" s="1"/>
      <c r="AC309" s="1"/>
      <c r="AD309" s="1"/>
      <c r="AE309" s="1"/>
      <c r="AF309" s="1"/>
      <c r="AG309" s="1"/>
      <c r="AH309" s="1"/>
      <c r="AI309" s="1"/>
      <c r="AJ309" s="1"/>
      <c r="AK309" s="1"/>
      <c r="AL309" s="1"/>
      <c r="AM309" s="1"/>
    </row>
    <row r="310" ht="14.25" customHeight="1">
      <c r="A310" s="264"/>
      <c r="B310" s="264"/>
      <c r="C310" s="253"/>
      <c r="D310" s="265"/>
      <c r="H310" s="265"/>
      <c r="L310" s="265"/>
      <c r="P310" s="265"/>
      <c r="T310" s="265"/>
      <c r="X310" s="1"/>
      <c r="Y310" s="1"/>
      <c r="Z310" s="1"/>
      <c r="AA310" s="1"/>
      <c r="AB310" s="1"/>
      <c r="AC310" s="1"/>
      <c r="AD310" s="1"/>
      <c r="AE310" s="1"/>
      <c r="AF310" s="1"/>
      <c r="AG310" s="1"/>
      <c r="AH310" s="1"/>
      <c r="AI310" s="1"/>
      <c r="AJ310" s="1"/>
      <c r="AK310" s="1"/>
      <c r="AL310" s="1"/>
      <c r="AM310" s="1"/>
    </row>
    <row r="311" ht="14.25" customHeight="1">
      <c r="A311" s="264"/>
      <c r="B311" s="210"/>
      <c r="C311" s="253"/>
      <c r="D311" s="288"/>
      <c r="E311" s="288"/>
      <c r="F311" s="288"/>
      <c r="G311" s="288"/>
      <c r="H311" s="288"/>
      <c r="I311" s="288"/>
      <c r="J311" s="288"/>
      <c r="K311" s="288"/>
      <c r="L311" s="288"/>
      <c r="M311" s="288"/>
      <c r="N311" s="288"/>
      <c r="O311" s="288"/>
      <c r="P311" s="288"/>
      <c r="Q311" s="288"/>
      <c r="R311" s="288"/>
      <c r="S311" s="288"/>
      <c r="T311" s="288"/>
      <c r="U311" s="288"/>
      <c r="V311" s="288"/>
      <c r="W311" s="288"/>
      <c r="X311" s="1"/>
      <c r="Y311" s="1"/>
      <c r="Z311" s="1"/>
      <c r="AA311" s="1"/>
      <c r="AB311" s="1"/>
      <c r="AC311" s="1"/>
      <c r="AD311" s="1"/>
      <c r="AE311" s="1"/>
      <c r="AF311" s="1"/>
      <c r="AG311" s="1"/>
      <c r="AH311" s="1"/>
      <c r="AI311" s="1"/>
      <c r="AJ311" s="1"/>
      <c r="AK311" s="1"/>
      <c r="AL311" s="1"/>
      <c r="AM311" s="1"/>
    </row>
    <row r="312" ht="14.25" customHeight="1">
      <c r="A312" s="264"/>
      <c r="B312" s="264"/>
      <c r="C312" s="253"/>
      <c r="D312" s="265"/>
      <c r="H312" s="265"/>
      <c r="L312" s="265"/>
      <c r="P312" s="265"/>
      <c r="T312" s="265"/>
      <c r="X312" s="1"/>
      <c r="Y312" s="1"/>
      <c r="Z312" s="1"/>
      <c r="AA312" s="1"/>
      <c r="AB312" s="1"/>
      <c r="AC312" s="1"/>
      <c r="AD312" s="1"/>
      <c r="AE312" s="1"/>
      <c r="AF312" s="1"/>
      <c r="AG312" s="1"/>
      <c r="AH312" s="1"/>
      <c r="AI312" s="1"/>
      <c r="AJ312" s="1"/>
      <c r="AK312" s="1"/>
      <c r="AL312" s="1"/>
      <c r="AM312" s="1"/>
    </row>
    <row r="313" ht="14.25" customHeight="1">
      <c r="A313" s="264"/>
      <c r="B313" s="289"/>
      <c r="C313" s="253"/>
      <c r="D313" s="288"/>
      <c r="E313" s="288"/>
      <c r="F313" s="288"/>
      <c r="G313" s="288"/>
      <c r="H313" s="288"/>
      <c r="I313" s="288"/>
      <c r="J313" s="288"/>
      <c r="K313" s="288"/>
      <c r="L313" s="288"/>
      <c r="M313" s="288"/>
      <c r="N313" s="288"/>
      <c r="O313" s="288"/>
      <c r="P313" s="288"/>
      <c r="Q313" s="288"/>
      <c r="R313" s="288"/>
      <c r="S313" s="288"/>
      <c r="T313" s="288"/>
      <c r="U313" s="288"/>
      <c r="V313" s="288"/>
      <c r="W313" s="288"/>
      <c r="X313" s="1"/>
      <c r="Y313" s="1"/>
      <c r="Z313" s="1"/>
      <c r="AA313" s="1"/>
      <c r="AB313" s="1"/>
      <c r="AC313" s="1"/>
      <c r="AD313" s="1"/>
      <c r="AE313" s="1"/>
      <c r="AF313" s="1"/>
      <c r="AG313" s="1"/>
      <c r="AH313" s="1"/>
      <c r="AI313" s="1"/>
      <c r="AJ313" s="1"/>
      <c r="AK313" s="1"/>
      <c r="AL313" s="1"/>
      <c r="AM313" s="1"/>
    </row>
    <row r="314" ht="14.25" customHeight="1">
      <c r="A314" s="264"/>
      <c r="B314" s="289"/>
      <c r="C314" s="253"/>
      <c r="D314" s="288"/>
      <c r="E314" s="288"/>
      <c r="F314" s="288"/>
      <c r="G314" s="288"/>
      <c r="H314" s="288"/>
      <c r="I314" s="288"/>
      <c r="J314" s="288"/>
      <c r="K314" s="288"/>
      <c r="L314" s="288"/>
      <c r="M314" s="288"/>
      <c r="N314" s="288"/>
      <c r="O314" s="288"/>
      <c r="P314" s="288"/>
      <c r="Q314" s="288"/>
      <c r="R314" s="288"/>
      <c r="S314" s="288"/>
      <c r="T314" s="288"/>
      <c r="U314" s="288"/>
      <c r="V314" s="288"/>
      <c r="W314" s="288"/>
      <c r="X314" s="1"/>
      <c r="Y314" s="1"/>
      <c r="Z314" s="1"/>
      <c r="AA314" s="1"/>
      <c r="AB314" s="1"/>
      <c r="AC314" s="1"/>
      <c r="AD314" s="1"/>
      <c r="AE314" s="1"/>
      <c r="AF314" s="1"/>
      <c r="AG314" s="1"/>
      <c r="AH314" s="1"/>
      <c r="AI314" s="1"/>
      <c r="AJ314" s="1"/>
      <c r="AK314" s="1"/>
      <c r="AL314" s="1"/>
      <c r="AM314" s="1"/>
    </row>
    <row r="315" ht="14.25" customHeight="1">
      <c r="A315" s="264"/>
      <c r="B315" s="264"/>
      <c r="C315" s="253"/>
      <c r="D315" s="254"/>
      <c r="K315" s="254"/>
      <c r="Q315" s="254"/>
      <c r="X315" s="1"/>
      <c r="Y315" s="1"/>
      <c r="Z315" s="1"/>
      <c r="AA315" s="1"/>
      <c r="AB315" s="1"/>
      <c r="AC315" s="1"/>
      <c r="AD315" s="1"/>
      <c r="AE315" s="1"/>
      <c r="AF315" s="1"/>
      <c r="AG315" s="1"/>
      <c r="AH315" s="1"/>
      <c r="AI315" s="1"/>
      <c r="AJ315" s="1"/>
      <c r="AK315" s="1"/>
      <c r="AL315" s="1"/>
      <c r="AM315" s="1"/>
    </row>
    <row r="316" ht="14.25" customHeight="1">
      <c r="A316" s="264"/>
      <c r="B316" s="264"/>
      <c r="C316" s="253"/>
      <c r="D316" s="254"/>
      <c r="K316" s="254"/>
      <c r="Q316" s="254"/>
      <c r="X316" s="1"/>
      <c r="Y316" s="1"/>
      <c r="Z316" s="1"/>
      <c r="AA316" s="1"/>
      <c r="AB316" s="1"/>
      <c r="AC316" s="1"/>
      <c r="AD316" s="1"/>
      <c r="AE316" s="1"/>
      <c r="AF316" s="1"/>
      <c r="AG316" s="1"/>
      <c r="AH316" s="1"/>
      <c r="AI316" s="1"/>
      <c r="AJ316" s="1"/>
      <c r="AK316" s="1"/>
      <c r="AL316" s="1"/>
      <c r="AM316" s="1"/>
    </row>
    <row r="317" ht="14.25" customHeight="1">
      <c r="A317" s="264"/>
      <c r="B317" s="264"/>
      <c r="C317" s="253"/>
      <c r="D317" s="254"/>
      <c r="H317" s="254"/>
      <c r="L317" s="254"/>
      <c r="P317" s="254"/>
      <c r="T317" s="254"/>
      <c r="X317" s="1"/>
      <c r="Y317" s="1"/>
      <c r="Z317" s="1"/>
      <c r="AA317" s="1"/>
      <c r="AB317" s="1"/>
      <c r="AC317" s="1"/>
      <c r="AD317" s="1"/>
      <c r="AE317" s="1"/>
      <c r="AF317" s="1"/>
      <c r="AG317" s="1"/>
      <c r="AH317" s="1"/>
      <c r="AI317" s="1"/>
      <c r="AJ317" s="1"/>
      <c r="AK317" s="1"/>
      <c r="AL317" s="1"/>
      <c r="AM317" s="1"/>
    </row>
    <row r="318" ht="14.25" customHeight="1">
      <c r="A318" s="264"/>
      <c r="B318" s="264"/>
      <c r="C318" s="253"/>
      <c r="D318" s="254"/>
      <c r="H318" s="254"/>
      <c r="L318" s="254"/>
      <c r="P318" s="254"/>
      <c r="T318" s="254"/>
      <c r="X318" s="1"/>
      <c r="Y318" s="1"/>
      <c r="Z318" s="1"/>
      <c r="AA318" s="1"/>
      <c r="AB318" s="1"/>
      <c r="AC318" s="1"/>
      <c r="AD318" s="1"/>
      <c r="AE318" s="1"/>
      <c r="AF318" s="1"/>
      <c r="AG318" s="1"/>
      <c r="AH318" s="1"/>
      <c r="AI318" s="1"/>
      <c r="AJ318" s="1"/>
      <c r="AK318" s="1"/>
      <c r="AL318" s="1"/>
      <c r="AM318" s="1"/>
    </row>
    <row r="319" ht="14.25" customHeight="1">
      <c r="A319" s="264"/>
      <c r="B319" s="264"/>
      <c r="C319" s="253"/>
      <c r="D319" s="254"/>
      <c r="G319" s="254"/>
      <c r="K319" s="254"/>
      <c r="N319" s="254"/>
      <c r="Q319" s="254"/>
      <c r="U319" s="254"/>
      <c r="X319" s="1"/>
      <c r="Y319" s="1"/>
      <c r="Z319" s="1"/>
      <c r="AA319" s="1"/>
      <c r="AB319" s="1"/>
      <c r="AC319" s="1"/>
      <c r="AD319" s="1"/>
      <c r="AE319" s="1"/>
      <c r="AF319" s="1"/>
      <c r="AG319" s="1"/>
      <c r="AH319" s="1"/>
      <c r="AI319" s="1"/>
      <c r="AJ319" s="1"/>
      <c r="AK319" s="1"/>
      <c r="AL319" s="1"/>
      <c r="AM319" s="1"/>
    </row>
    <row r="320" ht="14.25" customHeight="1">
      <c r="A320" s="264"/>
      <c r="B320" s="21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4.25" customHeight="1">
      <c r="A321" s="264"/>
      <c r="B321" s="264"/>
      <c r="C321" s="253"/>
      <c r="D321" s="287"/>
      <c r="E321" s="3"/>
      <c r="F321" s="3"/>
      <c r="G321" s="3"/>
      <c r="H321" s="3"/>
      <c r="I321" s="3"/>
      <c r="J321" s="4"/>
      <c r="K321" s="287"/>
      <c r="L321" s="3"/>
      <c r="M321" s="3"/>
      <c r="N321" s="3"/>
      <c r="O321" s="3"/>
      <c r="P321" s="4"/>
      <c r="Q321" s="287"/>
      <c r="R321" s="3"/>
      <c r="S321" s="3"/>
      <c r="T321" s="3"/>
      <c r="U321" s="3"/>
      <c r="V321" s="3"/>
      <c r="W321" s="4"/>
      <c r="X321" s="1"/>
      <c r="Y321" s="1"/>
      <c r="Z321" s="1"/>
      <c r="AA321" s="1"/>
      <c r="AB321" s="1"/>
      <c r="AC321" s="1"/>
      <c r="AD321" s="1"/>
      <c r="AE321" s="1"/>
      <c r="AF321" s="1"/>
      <c r="AG321" s="1"/>
      <c r="AH321" s="1"/>
      <c r="AI321" s="1"/>
      <c r="AJ321" s="1"/>
      <c r="AK321" s="1"/>
      <c r="AL321" s="1"/>
      <c r="AM321" s="1"/>
    </row>
    <row r="322" ht="14.25" customHeight="1">
      <c r="A322" s="264"/>
      <c r="B322" s="264"/>
      <c r="C322" s="253"/>
      <c r="D322" s="287"/>
      <c r="E322" s="3"/>
      <c r="F322" s="3"/>
      <c r="G322" s="3"/>
      <c r="H322" s="3"/>
      <c r="I322" s="3"/>
      <c r="J322" s="4"/>
      <c r="K322" s="287"/>
      <c r="L322" s="3"/>
      <c r="M322" s="3"/>
      <c r="N322" s="3"/>
      <c r="O322" s="3"/>
      <c r="P322" s="4"/>
      <c r="Q322" s="287"/>
      <c r="R322" s="3"/>
      <c r="S322" s="3"/>
      <c r="T322" s="3"/>
      <c r="U322" s="3"/>
      <c r="V322" s="3"/>
      <c r="W322" s="4"/>
      <c r="X322" s="1"/>
      <c r="Y322" s="1"/>
      <c r="Z322" s="1"/>
      <c r="AA322" s="1"/>
      <c r="AB322" s="1"/>
      <c r="AC322" s="1"/>
      <c r="AD322" s="1"/>
      <c r="AE322" s="1"/>
      <c r="AF322" s="1"/>
      <c r="AG322" s="1"/>
      <c r="AH322" s="1"/>
      <c r="AI322" s="1"/>
      <c r="AJ322" s="1"/>
      <c r="AK322" s="1"/>
      <c r="AL322" s="1"/>
      <c r="AM322" s="1"/>
    </row>
    <row r="323" ht="14.25" customHeight="1">
      <c r="A323" s="264"/>
      <c r="B323" s="264"/>
      <c r="C323" s="253"/>
      <c r="D323" s="287"/>
      <c r="E323" s="3"/>
      <c r="F323" s="3"/>
      <c r="G323" s="4"/>
      <c r="H323" s="287"/>
      <c r="I323" s="3"/>
      <c r="J323" s="3"/>
      <c r="K323" s="4"/>
      <c r="L323" s="287"/>
      <c r="M323" s="3"/>
      <c r="N323" s="3"/>
      <c r="O323" s="4"/>
      <c r="P323" s="287"/>
      <c r="Q323" s="3"/>
      <c r="R323" s="3"/>
      <c r="S323" s="4"/>
      <c r="T323" s="287"/>
      <c r="U323" s="3"/>
      <c r="V323" s="3"/>
      <c r="W323" s="4"/>
      <c r="X323" s="1"/>
      <c r="Y323" s="1"/>
      <c r="Z323" s="1"/>
      <c r="AA323" s="1"/>
      <c r="AB323" s="1"/>
      <c r="AC323" s="1"/>
      <c r="AD323" s="1"/>
      <c r="AE323" s="1"/>
      <c r="AF323" s="1"/>
      <c r="AG323" s="1"/>
      <c r="AH323" s="1"/>
      <c r="AI323" s="1"/>
      <c r="AJ323" s="1"/>
      <c r="AK323" s="1"/>
      <c r="AL323" s="1"/>
      <c r="AM323" s="1"/>
    </row>
    <row r="324" ht="14.25" customHeight="1">
      <c r="A324" s="264"/>
      <c r="B324" s="264"/>
      <c r="C324" s="253"/>
      <c r="D324" s="287"/>
      <c r="E324" s="3"/>
      <c r="F324" s="3"/>
      <c r="G324" s="4"/>
      <c r="H324" s="287"/>
      <c r="I324" s="3"/>
      <c r="J324" s="3"/>
      <c r="K324" s="4"/>
      <c r="L324" s="287"/>
      <c r="M324" s="3"/>
      <c r="N324" s="3"/>
      <c r="O324" s="4"/>
      <c r="P324" s="287"/>
      <c r="Q324" s="3"/>
      <c r="R324" s="3"/>
      <c r="S324" s="4"/>
      <c r="T324" s="287"/>
      <c r="U324" s="3"/>
      <c r="V324" s="3"/>
      <c r="W324" s="4"/>
      <c r="X324" s="1"/>
      <c r="Y324" s="1"/>
      <c r="Z324" s="1"/>
      <c r="AA324" s="1"/>
      <c r="AB324" s="1"/>
      <c r="AC324" s="1"/>
      <c r="AD324" s="1"/>
      <c r="AE324" s="1"/>
      <c r="AF324" s="1"/>
      <c r="AG324" s="1"/>
      <c r="AH324" s="1"/>
      <c r="AI324" s="1"/>
      <c r="AJ324" s="1"/>
      <c r="AK324" s="1"/>
      <c r="AL324" s="1"/>
      <c r="AM324" s="1"/>
    </row>
    <row r="325" ht="14.25" customHeight="1">
      <c r="A325" s="264"/>
      <c r="B325" s="264"/>
      <c r="C325" s="253"/>
      <c r="D325" s="287"/>
      <c r="E325" s="3"/>
      <c r="F325" s="4"/>
      <c r="G325" s="287"/>
      <c r="H325" s="3"/>
      <c r="I325" s="3"/>
      <c r="J325" s="4"/>
      <c r="K325" s="287"/>
      <c r="L325" s="3"/>
      <c r="M325" s="4"/>
      <c r="N325" s="287"/>
      <c r="O325" s="3"/>
      <c r="P325" s="4"/>
      <c r="Q325" s="287"/>
      <c r="R325" s="3"/>
      <c r="S325" s="3"/>
      <c r="T325" s="4"/>
      <c r="U325" s="287"/>
      <c r="V325" s="3"/>
      <c r="W325" s="4"/>
      <c r="X325" s="1"/>
      <c r="Y325" s="1"/>
      <c r="Z325" s="1"/>
      <c r="AA325" s="1"/>
      <c r="AB325" s="1"/>
      <c r="AC325" s="1"/>
      <c r="AD325" s="1"/>
      <c r="AE325" s="1"/>
      <c r="AF325" s="1"/>
      <c r="AG325" s="1"/>
      <c r="AH325" s="1"/>
      <c r="AI325" s="1"/>
      <c r="AJ325" s="1"/>
      <c r="AK325" s="1"/>
      <c r="AL325" s="1"/>
      <c r="AM325" s="1"/>
    </row>
    <row r="326" ht="14.25" customHeight="1">
      <c r="A326" s="264"/>
      <c r="B326" s="210"/>
      <c r="C326" s="253"/>
      <c r="D326" s="288"/>
      <c r="E326" s="288"/>
      <c r="F326" s="288"/>
      <c r="G326" s="288"/>
      <c r="H326" s="288"/>
      <c r="I326" s="288"/>
      <c r="J326" s="288"/>
      <c r="K326" s="288"/>
      <c r="L326" s="288"/>
      <c r="M326" s="288"/>
      <c r="N326" s="288"/>
      <c r="O326" s="288"/>
      <c r="P326" s="288"/>
      <c r="Q326" s="288"/>
      <c r="R326" s="288"/>
      <c r="S326" s="288"/>
      <c r="T326" s="288"/>
      <c r="U326" s="288"/>
      <c r="V326" s="288"/>
      <c r="W326" s="288"/>
      <c r="X326" s="1"/>
      <c r="Y326" s="1"/>
      <c r="Z326" s="1"/>
      <c r="AA326" s="1"/>
      <c r="AB326" s="1"/>
      <c r="AC326" s="1"/>
      <c r="AD326" s="1"/>
      <c r="AE326" s="1"/>
      <c r="AF326" s="1"/>
      <c r="AG326" s="1"/>
      <c r="AH326" s="1"/>
      <c r="AI326" s="1"/>
      <c r="AJ326" s="1"/>
      <c r="AK326" s="1"/>
      <c r="AL326" s="1"/>
      <c r="AM326" s="1"/>
    </row>
    <row r="327" ht="14.25" customHeight="1">
      <c r="A327" s="264"/>
      <c r="B327" s="264"/>
      <c r="C327" s="253"/>
      <c r="D327" s="287"/>
      <c r="E327" s="3"/>
      <c r="F327" s="3"/>
      <c r="G327" s="3"/>
      <c r="H327" s="3"/>
      <c r="I327" s="3"/>
      <c r="J327" s="4"/>
      <c r="K327" s="287"/>
      <c r="L327" s="3"/>
      <c r="M327" s="3"/>
      <c r="N327" s="3"/>
      <c r="O327" s="3"/>
      <c r="P327" s="4"/>
      <c r="Q327" s="287"/>
      <c r="R327" s="3"/>
      <c r="S327" s="3"/>
      <c r="T327" s="3"/>
      <c r="U327" s="3"/>
      <c r="V327" s="3"/>
      <c r="W327" s="4"/>
      <c r="X327" s="1"/>
      <c r="Y327" s="1"/>
      <c r="Z327" s="1"/>
      <c r="AA327" s="1"/>
      <c r="AB327" s="1"/>
      <c r="AC327" s="1"/>
      <c r="AD327" s="1"/>
      <c r="AE327" s="1"/>
      <c r="AF327" s="1"/>
      <c r="AG327" s="1"/>
      <c r="AH327" s="1"/>
      <c r="AI327" s="1"/>
      <c r="AJ327" s="1"/>
      <c r="AK327" s="1"/>
      <c r="AL327" s="1"/>
      <c r="AM327" s="1"/>
    </row>
    <row r="328" ht="14.25" customHeight="1">
      <c r="A328" s="264"/>
      <c r="B328" s="264"/>
      <c r="C328" s="253"/>
      <c r="D328" s="287"/>
      <c r="E328" s="3"/>
      <c r="F328" s="3"/>
      <c r="G328" s="3"/>
      <c r="H328" s="3"/>
      <c r="I328" s="3"/>
      <c r="J328" s="4"/>
      <c r="K328" s="287"/>
      <c r="L328" s="3"/>
      <c r="M328" s="3"/>
      <c r="N328" s="3"/>
      <c r="O328" s="3"/>
      <c r="P328" s="4"/>
      <c r="Q328" s="287"/>
      <c r="R328" s="3"/>
      <c r="S328" s="3"/>
      <c r="T328" s="3"/>
      <c r="U328" s="3"/>
      <c r="V328" s="3"/>
      <c r="W328" s="4"/>
      <c r="X328" s="1"/>
      <c r="Y328" s="1"/>
      <c r="Z328" s="1"/>
      <c r="AA328" s="1"/>
      <c r="AB328" s="1"/>
      <c r="AC328" s="1"/>
      <c r="AD328" s="1"/>
      <c r="AE328" s="1"/>
      <c r="AF328" s="1"/>
      <c r="AG328" s="1"/>
      <c r="AH328" s="1"/>
      <c r="AI328" s="1"/>
      <c r="AJ328" s="1"/>
      <c r="AK328" s="1"/>
      <c r="AL328" s="1"/>
      <c r="AM328" s="1"/>
    </row>
    <row r="329" ht="14.25" customHeight="1">
      <c r="A329" s="264"/>
      <c r="B329" s="264"/>
      <c r="C329" s="253"/>
      <c r="D329" s="287"/>
      <c r="E329" s="3"/>
      <c r="F329" s="3"/>
      <c r="G329" s="4"/>
      <c r="H329" s="287"/>
      <c r="I329" s="3"/>
      <c r="J329" s="3"/>
      <c r="K329" s="4"/>
      <c r="L329" s="287"/>
      <c r="M329" s="3"/>
      <c r="N329" s="3"/>
      <c r="O329" s="4"/>
      <c r="P329" s="287"/>
      <c r="Q329" s="3"/>
      <c r="R329" s="3"/>
      <c r="S329" s="4"/>
      <c r="T329" s="287"/>
      <c r="U329" s="3"/>
      <c r="V329" s="3"/>
      <c r="W329" s="4"/>
      <c r="X329" s="1"/>
      <c r="Y329" s="1"/>
      <c r="Z329" s="1"/>
      <c r="AA329" s="1"/>
      <c r="AB329" s="1"/>
      <c r="AC329" s="1"/>
      <c r="AD329" s="1"/>
      <c r="AE329" s="1"/>
      <c r="AF329" s="1"/>
      <c r="AG329" s="1"/>
      <c r="AH329" s="1"/>
      <c r="AI329" s="1"/>
      <c r="AJ329" s="1"/>
      <c r="AK329" s="1"/>
      <c r="AL329" s="1"/>
      <c r="AM329" s="1"/>
    </row>
    <row r="330" ht="14.25" customHeight="1">
      <c r="A330" s="264"/>
      <c r="B330" s="264"/>
      <c r="C330" s="253"/>
      <c r="D330" s="287"/>
      <c r="E330" s="3"/>
      <c r="F330" s="3"/>
      <c r="G330" s="4"/>
      <c r="H330" s="287"/>
      <c r="I330" s="3"/>
      <c r="J330" s="3"/>
      <c r="K330" s="4"/>
      <c r="L330" s="287"/>
      <c r="M330" s="3"/>
      <c r="N330" s="3"/>
      <c r="O330" s="4"/>
      <c r="P330" s="287"/>
      <c r="Q330" s="3"/>
      <c r="R330" s="3"/>
      <c r="S330" s="4"/>
      <c r="T330" s="287"/>
      <c r="U330" s="3"/>
      <c r="V330" s="3"/>
      <c r="W330" s="4"/>
      <c r="X330" s="1"/>
      <c r="Y330" s="1"/>
      <c r="Z330" s="1"/>
      <c r="AA330" s="1"/>
      <c r="AB330" s="1"/>
      <c r="AC330" s="1"/>
      <c r="AD330" s="1"/>
      <c r="AE330" s="1"/>
      <c r="AF330" s="1"/>
      <c r="AG330" s="1"/>
      <c r="AH330" s="1"/>
      <c r="AI330" s="1"/>
      <c r="AJ330" s="1"/>
      <c r="AK330" s="1"/>
      <c r="AL330" s="1"/>
      <c r="AM330" s="1"/>
    </row>
    <row r="331" ht="14.25" customHeight="1">
      <c r="A331" s="264"/>
      <c r="B331" s="264"/>
      <c r="C331" s="253"/>
      <c r="D331" s="287"/>
      <c r="E331" s="3"/>
      <c r="F331" s="4"/>
      <c r="G331" s="287"/>
      <c r="H331" s="3"/>
      <c r="I331" s="3"/>
      <c r="J331" s="4"/>
      <c r="K331" s="287"/>
      <c r="L331" s="3"/>
      <c r="M331" s="4"/>
      <c r="N331" s="287"/>
      <c r="O331" s="3"/>
      <c r="P331" s="4"/>
      <c r="Q331" s="287"/>
      <c r="R331" s="3"/>
      <c r="S331" s="3"/>
      <c r="T331" s="4"/>
      <c r="U331" s="287"/>
      <c r="V331" s="3"/>
      <c r="W331" s="4"/>
      <c r="X331" s="1"/>
      <c r="Y331" s="1"/>
      <c r="Z331" s="1"/>
      <c r="AA331" s="1"/>
      <c r="AB331" s="1"/>
      <c r="AC331" s="1"/>
      <c r="AD331" s="1"/>
      <c r="AE331" s="1"/>
      <c r="AF331" s="1"/>
      <c r="AG331" s="1"/>
      <c r="AH331" s="1"/>
      <c r="AI331" s="1"/>
      <c r="AJ331" s="1"/>
      <c r="AK331" s="1"/>
      <c r="AL331" s="1"/>
      <c r="AM331" s="1"/>
    </row>
    <row r="332" ht="14.25" customHeight="1">
      <c r="A332" s="264"/>
      <c r="B332" s="264"/>
      <c r="C332" s="253"/>
      <c r="D332" s="288"/>
      <c r="E332" s="288"/>
      <c r="F332" s="288"/>
      <c r="G332" s="288"/>
      <c r="H332" s="288"/>
      <c r="I332" s="288"/>
      <c r="J332" s="288"/>
      <c r="K332" s="288"/>
      <c r="L332" s="288"/>
      <c r="M332" s="288"/>
      <c r="N332" s="288"/>
      <c r="O332" s="288"/>
      <c r="P332" s="288"/>
      <c r="Q332" s="288"/>
      <c r="R332" s="288"/>
      <c r="S332" s="288"/>
      <c r="T332" s="288"/>
      <c r="U332" s="288"/>
      <c r="V332" s="288"/>
      <c r="W332" s="288"/>
      <c r="X332" s="1"/>
      <c r="Y332" s="1"/>
      <c r="Z332" s="1"/>
      <c r="AA332" s="1"/>
      <c r="AB332" s="1"/>
      <c r="AC332" s="1"/>
      <c r="AD332" s="1"/>
      <c r="AE332" s="1"/>
      <c r="AF332" s="1"/>
      <c r="AG332" s="1"/>
      <c r="AH332" s="1"/>
      <c r="AI332" s="1"/>
      <c r="AJ332" s="1"/>
      <c r="AK332" s="1"/>
      <c r="AL332" s="1"/>
      <c r="AM332" s="1"/>
    </row>
    <row r="333" ht="14.25" customHeight="1">
      <c r="A333" s="290"/>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290"/>
      <c r="AH333" s="290"/>
      <c r="AI333" s="290"/>
      <c r="AJ333" s="290"/>
      <c r="AK333" s="290"/>
      <c r="AL333" s="290"/>
      <c r="AM333" s="290"/>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4.25" customHeight="1">
      <c r="A335" s="1"/>
      <c r="B335" s="1"/>
      <c r="C335" s="1" t="s">
        <v>619</v>
      </c>
      <c r="D335" s="1"/>
      <c r="E335" s="1"/>
      <c r="F335" s="1"/>
      <c r="G335" s="1"/>
      <c r="H335" s="1"/>
      <c r="I335" s="1"/>
      <c r="J335" s="1"/>
      <c r="K335" s="1"/>
      <c r="L335" s="1"/>
      <c r="M335" s="1"/>
      <c r="N335" s="1"/>
      <c r="O335" s="1"/>
      <c r="P335" s="1"/>
      <c r="Q335" s="1"/>
      <c r="R335" s="1"/>
      <c r="S335" s="1"/>
      <c r="T335" s="1"/>
      <c r="U335" s="1"/>
      <c r="V335" s="1"/>
      <c r="W335" s="291" t="s">
        <v>28</v>
      </c>
      <c r="X335" s="292"/>
      <c r="Y335" s="292"/>
      <c r="Z335" s="292"/>
      <c r="AA335" s="292"/>
      <c r="AB335" s="293"/>
      <c r="AC335" s="291" t="s">
        <v>171</v>
      </c>
      <c r="AD335" s="292"/>
      <c r="AE335" s="292"/>
      <c r="AF335" s="292"/>
      <c r="AG335" s="292"/>
      <c r="AH335" s="293"/>
      <c r="AI335" s="291" t="s">
        <v>365</v>
      </c>
      <c r="AJ335" s="292"/>
      <c r="AK335" s="292"/>
      <c r="AL335" s="292"/>
      <c r="AM335" s="292"/>
      <c r="AP335" s="291" t="s">
        <v>474</v>
      </c>
      <c r="AQ335" s="292"/>
      <c r="AR335" s="292"/>
      <c r="AS335" s="292"/>
      <c r="AT335" s="292"/>
      <c r="AU335" s="291" t="s">
        <v>620</v>
      </c>
      <c r="AV335" s="294"/>
      <c r="AW335" s="292"/>
      <c r="AX335" s="292"/>
      <c r="AY335" s="292"/>
      <c r="AZ335" s="293"/>
      <c r="BA335" s="295"/>
      <c r="BB335" s="295"/>
      <c r="BC335" s="295"/>
      <c r="BD335" s="295"/>
      <c r="BE335" s="296"/>
      <c r="BF335" s="297" t="s">
        <v>621</v>
      </c>
      <c r="BG335" s="298"/>
      <c r="BH335" s="295"/>
      <c r="BI335" s="295"/>
      <c r="BJ335" s="296"/>
      <c r="BL335" s="299" t="s">
        <v>578</v>
      </c>
    </row>
    <row r="336" ht="14.25" customHeight="1">
      <c r="A336" s="1"/>
      <c r="B336" s="1"/>
      <c r="C336" s="300" t="s">
        <v>622</v>
      </c>
      <c r="D336" s="301"/>
      <c r="E336" s="302"/>
      <c r="F336" s="1"/>
      <c r="G336" s="1"/>
      <c r="H336" s="1"/>
      <c r="I336" s="1"/>
      <c r="J336" s="303"/>
      <c r="K336" s="69"/>
      <c r="L336" s="178"/>
      <c r="M336" s="1"/>
      <c r="N336" s="1"/>
      <c r="O336" s="1"/>
      <c r="P336" s="1"/>
      <c r="Q336" s="1"/>
      <c r="R336" s="1"/>
      <c r="S336" s="1"/>
      <c r="T336" s="1"/>
      <c r="U336" s="1"/>
      <c r="V336" s="1"/>
      <c r="W336" s="60"/>
      <c r="X336" s="60"/>
      <c r="Y336" s="60"/>
      <c r="Z336" s="60"/>
      <c r="AA336" s="60"/>
      <c r="AB336" s="1"/>
      <c r="AC336" s="60"/>
      <c r="AD336" s="60"/>
      <c r="AE336" s="60"/>
      <c r="AF336" s="60"/>
      <c r="AG336" s="60"/>
      <c r="AH336" s="1"/>
      <c r="AI336" s="60"/>
      <c r="AJ336" s="60"/>
      <c r="AK336" s="60"/>
      <c r="AL336" s="60"/>
      <c r="AM336" s="60"/>
      <c r="AU336" s="60"/>
      <c r="AV336" s="97"/>
      <c r="AW336" s="60"/>
      <c r="AX336" s="60"/>
      <c r="AY336" s="60"/>
      <c r="AZ336" s="1"/>
      <c r="BF336" s="304"/>
      <c r="BG336" s="305"/>
      <c r="BH336" s="306"/>
      <c r="BI336" s="307"/>
      <c r="BL336" s="299" t="s">
        <v>603</v>
      </c>
    </row>
    <row r="337" ht="14.25" customHeight="1">
      <c r="A337" s="1"/>
      <c r="B337" s="1"/>
      <c r="C337" s="308"/>
      <c r="D337" s="309"/>
      <c r="E337" s="309" t="s">
        <v>623</v>
      </c>
      <c r="F337" s="1"/>
      <c r="G337" s="1"/>
      <c r="H337" s="1"/>
      <c r="I337" s="1"/>
      <c r="J337" s="308"/>
      <c r="K337" s="309"/>
      <c r="L337" s="309"/>
      <c r="M337" s="1"/>
      <c r="N337" s="1"/>
      <c r="O337" s="1"/>
      <c r="P337" s="1"/>
      <c r="Q337" s="1"/>
      <c r="R337" s="1"/>
      <c r="S337" s="1"/>
      <c r="T337" s="1"/>
      <c r="U337" s="1"/>
      <c r="V337" s="1"/>
      <c r="W337" s="180" t="s">
        <v>31</v>
      </c>
      <c r="X337" s="181"/>
      <c r="Y337" s="181"/>
      <c r="Z337" s="310" t="str">
        <f>Hazard!$I$10</f>
        <v>Rating?</v>
      </c>
      <c r="AA337" s="71" t="s">
        <v>624</v>
      </c>
      <c r="AB337" s="211"/>
      <c r="AC337" s="68" t="s">
        <v>173</v>
      </c>
      <c r="AD337" s="69"/>
      <c r="AE337" s="178"/>
      <c r="AF337" s="184" t="str">
        <f>$Z$337</f>
        <v>Rating?</v>
      </c>
      <c r="AG337" s="71" t="s">
        <v>624</v>
      </c>
      <c r="AH337" s="211"/>
      <c r="AI337" s="68" t="s">
        <v>366</v>
      </c>
      <c r="AJ337" s="69"/>
      <c r="AK337" s="178"/>
      <c r="AL337" s="184" t="str">
        <f>$Z$337</f>
        <v>Rating?</v>
      </c>
      <c r="AM337" s="71" t="s">
        <v>624</v>
      </c>
      <c r="AN337" s="311"/>
      <c r="AO337" s="312" t="s">
        <v>475</v>
      </c>
      <c r="AP337" s="178"/>
      <c r="AQ337" s="184" t="str">
        <f>$Z$337</f>
        <v>Rating?</v>
      </c>
      <c r="AR337" s="71" t="s">
        <v>624</v>
      </c>
      <c r="AT337" s="217" t="s">
        <v>625</v>
      </c>
      <c r="AU337" s="68" t="s">
        <v>626</v>
      </c>
      <c r="AV337" s="69"/>
      <c r="AW337" s="70"/>
      <c r="AX337" s="184" t="str">
        <f>$Z$337</f>
        <v>Rating?</v>
      </c>
      <c r="AY337" s="71" t="s">
        <v>624</v>
      </c>
      <c r="AZ337" s="211"/>
      <c r="BA337" s="313" t="s">
        <v>31</v>
      </c>
      <c r="BB337" s="313" t="s">
        <v>173</v>
      </c>
      <c r="BC337" s="313" t="s">
        <v>627</v>
      </c>
      <c r="BD337" s="313" t="s">
        <v>628</v>
      </c>
      <c r="BE337" s="313" t="s">
        <v>624</v>
      </c>
      <c r="BF337" s="314"/>
      <c r="BG337" s="68" t="s">
        <v>629</v>
      </c>
      <c r="BH337" s="69"/>
      <c r="BI337" s="70"/>
    </row>
    <row r="338" ht="14.25" customHeight="1">
      <c r="A338" s="1"/>
      <c r="B338" s="1"/>
      <c r="C338" s="308" t="s">
        <v>582</v>
      </c>
      <c r="D338" s="315">
        <v>1.0</v>
      </c>
      <c r="E338" s="316">
        <v>1.0</v>
      </c>
      <c r="F338" s="1"/>
      <c r="G338" s="1"/>
      <c r="H338" s="1"/>
      <c r="I338" s="1"/>
      <c r="J338" s="308"/>
      <c r="K338" s="316"/>
      <c r="L338" s="316"/>
      <c r="M338" s="1"/>
      <c r="N338" s="1"/>
      <c r="O338" s="1"/>
      <c r="P338" s="1"/>
      <c r="Q338" s="1"/>
      <c r="R338" s="1"/>
      <c r="S338" s="1"/>
      <c r="T338" s="1"/>
      <c r="U338" s="1"/>
      <c r="V338" s="1"/>
      <c r="W338" s="189">
        <v>1.0</v>
      </c>
      <c r="X338" s="190" t="str">
        <f>Hazard!C11</f>
        <v>Temperature</v>
      </c>
      <c r="Y338" s="191" t="str">
        <f>Hazard!D11</f>
        <v>App or Freq</v>
      </c>
      <c r="Z338" s="317">
        <f>Hazard!I11</f>
        <v>3</v>
      </c>
      <c r="AA338" s="318">
        <f>AVERAGE(Z338:Z340)</f>
        <v>1.666666667</v>
      </c>
      <c r="AB338" s="194" t="str">
        <f t="shared" ref="AB338:AB340" si="247">IF(Z338&lt;=$D$338,$C$338,IF(Z338=$D$339,$C$339,$C$340))</f>
        <v>High</v>
      </c>
      <c r="AC338" s="189">
        <v>1.0</v>
      </c>
      <c r="AD338" s="319" t="str">
        <f>Exposure!C11</f>
        <v>Livelihoods</v>
      </c>
      <c r="AE338" s="191" t="str">
        <f>Exposure!D11</f>
        <v>Food Security</v>
      </c>
      <c r="AF338" s="317">
        <f>Exposure!I11</f>
        <v>1</v>
      </c>
      <c r="AG338" s="320">
        <f>AVERAGE(AF338:AF349)</f>
        <v>1</v>
      </c>
      <c r="AH338" s="194" t="str">
        <f t="shared" ref="AH338:AH349" si="248">IF(AF338&lt;=$D$338,$C$338,IF(AF338=$D$339,$C$339,$C$340))</f>
        <v>Low</v>
      </c>
      <c r="AI338" s="189">
        <v>1.0</v>
      </c>
      <c r="AJ338" s="319" t="str">
        <f>Sensitivity!C11</f>
        <v>Livelihoods</v>
      </c>
      <c r="AK338" s="191" t="str">
        <f>Sensitivity!D11</f>
        <v>Food Security</v>
      </c>
      <c r="AL338" s="317">
        <f>Sensitivity!I11</f>
        <v>1</v>
      </c>
      <c r="AM338" s="318">
        <f>AVERAGE(AL338:AL349)</f>
        <v>1</v>
      </c>
      <c r="AN338" s="194" t="str">
        <f t="shared" ref="AN338:AN349" si="249">IF(AL338&lt;=$D$338,$C$338,IF(AL338=$D$339,$C$339,$C$340))</f>
        <v>Low</v>
      </c>
      <c r="AO338" s="189">
        <v>1.0</v>
      </c>
      <c r="AP338" s="319" t="str">
        <f>'Adaptive Capacity'!C11</f>
        <v>Livelihoods</v>
      </c>
      <c r="AQ338" s="191" t="str">
        <f>'Adaptive Capacity'!D11</f>
        <v>Food Security</v>
      </c>
      <c r="AR338" s="317">
        <f>'Adaptive Capacity'!I11</f>
        <v>3</v>
      </c>
      <c r="AS338" s="318">
        <f>AVERAGE(AR338:AR349)</f>
        <v>3</v>
      </c>
      <c r="AT338" s="194" t="str">
        <f t="shared" ref="AT338:AT349" si="250">IF(AR338&lt;=$D$345,$C$345,IF(AR338=$D$346,$C$346,$C$347))</f>
        <v>Good</v>
      </c>
      <c r="AU338" s="189">
        <f t="shared" ref="AU338:AW338" si="246">AC338</f>
        <v>1</v>
      </c>
      <c r="AV338" s="321" t="str">
        <f t="shared" si="246"/>
        <v>Livelihoods</v>
      </c>
      <c r="AW338" s="189" t="str">
        <f t="shared" si="246"/>
        <v>Food Security</v>
      </c>
      <c r="AX338" s="322">
        <f>AVERAGE(AL338,AL339,AL340,AL341,AL342,AL347,AL356,AL367,AL368,AL369,AL372,AL375,AL382,AL376,AL384,AL386,AL387,AL388,AL391)-AVERAGE(AR338,AR339,AR340,AR341,AR342,AR347,AR356,AR367,AR368,AR369,AR372,AR375,AR382,AR376,AR384,AR386,AR387,AR388,AR392)</f>
        <v>-2</v>
      </c>
      <c r="AY338" s="318">
        <f>AVERAGE(AX338:AX349)</f>
        <v>-2</v>
      </c>
      <c r="AZ338" s="194" t="str">
        <f t="shared" ref="AZ338:AZ349" si="251">IF(AX338&lt;=$E$352,$C$352,IF(AX338&gt;=$D$354,$C$354,$C$353))</f>
        <v>Low</v>
      </c>
      <c r="BA338" s="322">
        <f>AVERAGE(Z338,Z339,Z340,Z342,Z343,Z344,Z346,Z347,Z348,Z349,Z351,Z352,Z353,Z354,Z355,Z357,Z358,Z359,Z360,Z361,Z363,Z364,Z365,Z367,Z368,Z369,Z373,Z372,Z375,Z379,Z380,Z381,Z382)</f>
        <v>1.060606061</v>
      </c>
      <c r="BB338" s="322">
        <f t="shared" ref="BB338:BB349" si="252">AF338</f>
        <v>1</v>
      </c>
      <c r="BC338" s="322">
        <f t="shared" ref="BC338:BC349" si="253">(AX338+3)/2</f>
        <v>0.5</v>
      </c>
      <c r="BD338" s="322">
        <f t="shared" ref="BD338:BD349" si="254">BA338+((BB338*BC338)/3)</f>
        <v>1.227272727</v>
      </c>
      <c r="BE338" s="318">
        <f>AVERAGE(BD338:BD349)</f>
        <v>1.247632906</v>
      </c>
      <c r="BF338" s="194" t="str">
        <f t="shared" ref="BF338:BF349" si="255">IF(BD338&lt;=$E$360,$C$360,IF(BD338&gt;=$D$362,$C$362,$C$361))</f>
        <v>Low</v>
      </c>
      <c r="BG338" s="314"/>
      <c r="BH338" s="323" t="str">
        <f>$AV$338</f>
        <v>Livelihoods</v>
      </c>
      <c r="BI338" s="324">
        <f>$AY$338</f>
        <v>-2</v>
      </c>
      <c r="BJ338" s="325" t="str">
        <f t="shared" ref="BJ338:BJ343" si="256">IF(BI338&lt;=$E$352,$C$352,IF(BI338&gt;=$D$354,$C$354,$C$353))</f>
        <v>Low</v>
      </c>
    </row>
    <row r="339" ht="14.25" customHeight="1">
      <c r="A339" s="1"/>
      <c r="B339" s="1"/>
      <c r="C339" s="308" t="s">
        <v>613</v>
      </c>
      <c r="D339" s="315">
        <v>2.0</v>
      </c>
      <c r="E339" s="316">
        <v>2.0</v>
      </c>
      <c r="F339" s="1"/>
      <c r="G339" s="1"/>
      <c r="H339" s="1"/>
      <c r="I339" s="1"/>
      <c r="J339" s="308"/>
      <c r="K339" s="316"/>
      <c r="L339" s="316"/>
      <c r="M339" s="1"/>
      <c r="N339" s="1"/>
      <c r="O339" s="1"/>
      <c r="P339" s="1"/>
      <c r="Q339" s="1"/>
      <c r="R339" s="1"/>
      <c r="S339" s="1"/>
      <c r="T339" s="1"/>
      <c r="U339" s="1"/>
      <c r="V339" s="1"/>
      <c r="W339" s="200"/>
      <c r="X339" s="245"/>
      <c r="Y339" s="191" t="str">
        <f>Hazard!D12</f>
        <v>Intensity</v>
      </c>
      <c r="Z339" s="317">
        <f>Hazard!I12</f>
        <v>1</v>
      </c>
      <c r="AA339" s="326"/>
      <c r="AB339" s="194" t="str">
        <f t="shared" si="247"/>
        <v>Low</v>
      </c>
      <c r="AC339" s="200"/>
      <c r="AD339" s="327"/>
      <c r="AE339" s="191" t="str">
        <f>Exposure!D12</f>
        <v>Grazing/Farm Land</v>
      </c>
      <c r="AF339" s="317">
        <f>Exposure!I12</f>
        <v>1</v>
      </c>
      <c r="AG339" s="326"/>
      <c r="AH339" s="194" t="str">
        <f t="shared" si="248"/>
        <v>Low</v>
      </c>
      <c r="AI339" s="200"/>
      <c r="AJ339" s="328"/>
      <c r="AK339" s="191" t="str">
        <f>Sensitivity!D12</f>
        <v>Grazing/Farm Land</v>
      </c>
      <c r="AL339" s="317">
        <f>Sensitivity!I12</f>
        <v>1</v>
      </c>
      <c r="AM339" s="326"/>
      <c r="AN339" s="194" t="str">
        <f t="shared" si="249"/>
        <v>Low</v>
      </c>
      <c r="AO339" s="200"/>
      <c r="AP339" s="328"/>
      <c r="AQ339" s="191" t="str">
        <f>'Adaptive Capacity'!D12</f>
        <v>Grazing/Farm Land</v>
      </c>
      <c r="AR339" s="317">
        <f>'Adaptive Capacity'!I12</f>
        <v>3</v>
      </c>
      <c r="AS339" s="326"/>
      <c r="AT339" s="194" t="str">
        <f t="shared" si="250"/>
        <v>Good</v>
      </c>
      <c r="AU339" s="200"/>
      <c r="AV339" s="329"/>
      <c r="AW339" s="189" t="str">
        <f t="shared" ref="AW339:AW349" si="257">AE339</f>
        <v>Grazing/Farm Land</v>
      </c>
      <c r="AX339" s="317">
        <f>AVERAGE(AL339,AL340,AL341,AL345,AL375,AL376,AL379,AL380,AL382,AL384,AL386,AL387,AL388,AL391)-AVERAGE(AR339,AR340,AR341,AR345,AR375,AR376,AR379,AR380,AR382,AR384,AR386,AR387,AR388,AR392)</f>
        <v>-2</v>
      </c>
      <c r="AY339" s="326"/>
      <c r="AZ339" s="194" t="str">
        <f t="shared" si="251"/>
        <v>Low</v>
      </c>
      <c r="BA339" s="322">
        <f>AVERAGE(Z338,Z339,Z340,Z346,Z348,Z349,Z353,Z355,Z357,Z367,Z368,Z369,Z371,Z372,Z375,Z380,Z382)</f>
        <v>1.117647059</v>
      </c>
      <c r="BB339" s="322">
        <f t="shared" si="252"/>
        <v>1</v>
      </c>
      <c r="BC339" s="322">
        <f t="shared" si="253"/>
        <v>0.5</v>
      </c>
      <c r="BD339" s="322">
        <f t="shared" si="254"/>
        <v>1.284313725</v>
      </c>
      <c r="BE339" s="326"/>
      <c r="BF339" s="194" t="str">
        <f t="shared" si="255"/>
        <v>Low</v>
      </c>
      <c r="BG339" s="314"/>
      <c r="BH339" s="323" t="str">
        <f>$AV$351</f>
        <v>Health &amp; Safety</v>
      </c>
      <c r="BI339" s="330">
        <f>$AY$351</f>
        <v>-1.979166667</v>
      </c>
      <c r="BJ339" s="325" t="str">
        <f t="shared" si="256"/>
        <v>Low</v>
      </c>
    </row>
    <row r="340" ht="15.0" customHeight="1">
      <c r="A340" s="1"/>
      <c r="B340" s="1"/>
      <c r="C340" s="308" t="s">
        <v>584</v>
      </c>
      <c r="D340" s="315">
        <v>3.0</v>
      </c>
      <c r="E340" s="316"/>
      <c r="F340" s="1"/>
      <c r="G340" s="1"/>
      <c r="H340" s="1"/>
      <c r="I340" s="1"/>
      <c r="J340" s="308"/>
      <c r="K340" s="316"/>
      <c r="L340" s="316"/>
      <c r="M340" s="1"/>
      <c r="N340" s="1"/>
      <c r="O340" s="1"/>
      <c r="P340" s="1"/>
      <c r="Q340" s="1"/>
      <c r="R340" s="1"/>
      <c r="S340" s="1"/>
      <c r="T340" s="1"/>
      <c r="U340" s="1"/>
      <c r="V340" s="1"/>
      <c r="W340" s="201"/>
      <c r="X340" s="221"/>
      <c r="Y340" s="191" t="str">
        <f>Hazard!D13</f>
        <v>Impact</v>
      </c>
      <c r="Z340" s="317">
        <f>Hazard!I13</f>
        <v>1</v>
      </c>
      <c r="AA340" s="331"/>
      <c r="AB340" s="194" t="str">
        <f t="shared" si="247"/>
        <v>Low</v>
      </c>
      <c r="AC340" s="200"/>
      <c r="AD340" s="327"/>
      <c r="AE340" s="191" t="str">
        <f>Exposure!D13</f>
        <v>Crops</v>
      </c>
      <c r="AF340" s="317">
        <f>Exposure!I13</f>
        <v>1</v>
      </c>
      <c r="AG340" s="326"/>
      <c r="AH340" s="194" t="str">
        <f t="shared" si="248"/>
        <v>Low</v>
      </c>
      <c r="AI340" s="200"/>
      <c r="AJ340" s="328"/>
      <c r="AK340" s="191" t="str">
        <f>Sensitivity!D13</f>
        <v>Crops</v>
      </c>
      <c r="AL340" s="317">
        <f>Sensitivity!I13</f>
        <v>1</v>
      </c>
      <c r="AM340" s="326"/>
      <c r="AN340" s="194" t="str">
        <f t="shared" si="249"/>
        <v>Low</v>
      </c>
      <c r="AO340" s="200"/>
      <c r="AP340" s="328"/>
      <c r="AQ340" s="191" t="str">
        <f>'Adaptive Capacity'!D13</f>
        <v>Crops</v>
      </c>
      <c r="AR340" s="317">
        <f>'Adaptive Capacity'!I13</f>
        <v>3</v>
      </c>
      <c r="AS340" s="326"/>
      <c r="AT340" s="194" t="str">
        <f t="shared" si="250"/>
        <v>Good</v>
      </c>
      <c r="AU340" s="200"/>
      <c r="AV340" s="329"/>
      <c r="AW340" s="189" t="str">
        <f t="shared" si="257"/>
        <v>Crops</v>
      </c>
      <c r="AX340" s="317">
        <f>AVERAGE(AL338,AL340,AL347,AL354,AL356,AL360,AL367,AL372,AL375,AL376,AL380,AL382,AL384,AL386,AL387,AL391)-AVERAGE(AR338,AR340,AR347,AR354,AR356,AR360,AR367,AR372,AR375,AR376,AR380,AR382,AR384,AR386,AR387,AR392)</f>
        <v>-2</v>
      </c>
      <c r="AY340" s="326"/>
      <c r="AZ340" s="194" t="str">
        <f t="shared" si="251"/>
        <v>Low</v>
      </c>
      <c r="BA340" s="322">
        <f>AVERAGE(Z338,Z339,Z340,Z342,Z343,Z344,Z346,Z347,Z348,Z349,Z351,Z352,Z353,Z354,Z355,Z357,Z358,Z359,Z360,Z361,Z363,Z364,Z365,Z367,Z368,Z369,Z372,Z373,Z375,Z379,Z380,Z381,Z382)</f>
        <v>1.060606061</v>
      </c>
      <c r="BB340" s="322">
        <f t="shared" si="252"/>
        <v>1</v>
      </c>
      <c r="BC340" s="322">
        <f t="shared" si="253"/>
        <v>0.5</v>
      </c>
      <c r="BD340" s="322">
        <f t="shared" si="254"/>
        <v>1.227272727</v>
      </c>
      <c r="BE340" s="326"/>
      <c r="BF340" s="194" t="str">
        <f t="shared" si="255"/>
        <v>Low</v>
      </c>
      <c r="BG340" s="332"/>
      <c r="BH340" s="333" t="str">
        <f>$AV$358</f>
        <v>Assets and Utilities</v>
      </c>
      <c r="BI340" s="334">
        <f>$AY$358</f>
        <v>-2</v>
      </c>
      <c r="BJ340" s="325" t="str">
        <f t="shared" si="256"/>
        <v>Low</v>
      </c>
    </row>
    <row r="341" ht="14.25" customHeight="1">
      <c r="A341" s="1"/>
      <c r="B341" s="1"/>
      <c r="C341" s="1"/>
      <c r="D341" s="1"/>
      <c r="E341" s="1"/>
      <c r="F341" s="1"/>
      <c r="G341" s="1"/>
      <c r="H341" s="1"/>
      <c r="I341" s="1"/>
      <c r="J341" s="308"/>
      <c r="K341" s="316"/>
      <c r="L341" s="316"/>
      <c r="M341" s="1"/>
      <c r="N341" s="1"/>
      <c r="O341" s="1"/>
      <c r="P341" s="1"/>
      <c r="Q341" s="1"/>
      <c r="R341" s="1"/>
      <c r="S341" s="1"/>
      <c r="T341" s="1"/>
      <c r="U341" s="1"/>
      <c r="V341" s="1"/>
      <c r="W341" s="209" t="str">
        <f t="shared" ref="W341:Y341" si="258">" "</f>
        <v> </v>
      </c>
      <c r="X341" s="209" t="str">
        <f t="shared" si="258"/>
        <v> </v>
      </c>
      <c r="Y341" s="1" t="str">
        <f t="shared" si="258"/>
        <v> </v>
      </c>
      <c r="Z341" s="335"/>
      <c r="AA341" s="336"/>
      <c r="AB341" s="194"/>
      <c r="AC341" s="200"/>
      <c r="AD341" s="327"/>
      <c r="AE341" s="191" t="str">
        <f>Exposure!D14</f>
        <v>Livestock</v>
      </c>
      <c r="AF341" s="317">
        <f>Exposure!I14</f>
        <v>1</v>
      </c>
      <c r="AG341" s="326"/>
      <c r="AH341" s="194" t="str">
        <f t="shared" si="248"/>
        <v>Low</v>
      </c>
      <c r="AI341" s="200"/>
      <c r="AJ341" s="328"/>
      <c r="AK341" s="191" t="str">
        <f>Sensitivity!D14</f>
        <v>Livestock</v>
      </c>
      <c r="AL341" s="317">
        <f>Sensitivity!I14</f>
        <v>1</v>
      </c>
      <c r="AM341" s="326"/>
      <c r="AN341" s="194" t="str">
        <f t="shared" si="249"/>
        <v>Low</v>
      </c>
      <c r="AO341" s="200"/>
      <c r="AP341" s="328"/>
      <c r="AQ341" s="191" t="str">
        <f>'Adaptive Capacity'!D14</f>
        <v>Livestock</v>
      </c>
      <c r="AR341" s="317">
        <f>'Adaptive Capacity'!I14</f>
        <v>3</v>
      </c>
      <c r="AS341" s="326"/>
      <c r="AT341" s="194" t="str">
        <f t="shared" si="250"/>
        <v>Good</v>
      </c>
      <c r="AU341" s="200"/>
      <c r="AV341" s="329"/>
      <c r="AW341" s="189" t="str">
        <f t="shared" si="257"/>
        <v>Livestock</v>
      </c>
      <c r="AX341" s="317">
        <f>AVERAGE(AL338,AL341,AL339,AL356,AL367,AL372,AL376,AL380,AL384,AL386,AL387,AL388,AL391)-AVERAGE(AR338,AR339,AR341,AR356,AR367,AR372,AR376,AR380,AR384,AR386,AR387,AR388,AR392)</f>
        <v>-2</v>
      </c>
      <c r="AY341" s="326"/>
      <c r="AZ341" s="194" t="str">
        <f t="shared" si="251"/>
        <v>Low</v>
      </c>
      <c r="BA341" s="322">
        <f>AVERAGE(Z338,Z339,Z340,Z343,Z344,Z346,Z348,Z349,Z351,Z353,Z354,Z355,Z357,Z359,Z360,Z361,Z352,Z358,Z347,Z363,Z364,Z365,Z367,Z368,Z369,Z371,Z375,Z376,Z377,Z378,Z379,Z380,Z382)</f>
        <v>1.060606061</v>
      </c>
      <c r="BB341" s="322">
        <f t="shared" si="252"/>
        <v>1</v>
      </c>
      <c r="BC341" s="322">
        <f t="shared" si="253"/>
        <v>0.5</v>
      </c>
      <c r="BD341" s="322">
        <f t="shared" si="254"/>
        <v>1.227272727</v>
      </c>
      <c r="BE341" s="326"/>
      <c r="BF341" s="194" t="str">
        <f t="shared" si="255"/>
        <v>Low</v>
      </c>
      <c r="BG341" s="337"/>
      <c r="BH341" s="333" t="str">
        <f>$AV$371</f>
        <v>Potable water </v>
      </c>
      <c r="BI341" s="334">
        <f t="shared" ref="BI341:BI342" si="259">$AY$371</f>
        <v>-2</v>
      </c>
      <c r="BJ341" s="325" t="str">
        <f t="shared" si="256"/>
        <v>Low</v>
      </c>
    </row>
    <row r="342" ht="14.25" customHeight="1">
      <c r="A342" s="1"/>
      <c r="B342" s="1"/>
      <c r="C342" s="1" t="s">
        <v>630</v>
      </c>
      <c r="D342" s="1"/>
      <c r="E342" s="1"/>
      <c r="F342" s="1"/>
      <c r="G342" s="1"/>
      <c r="H342" s="1"/>
      <c r="I342" s="1"/>
      <c r="J342" s="308"/>
      <c r="K342" s="316"/>
      <c r="L342" s="316"/>
      <c r="M342" s="1"/>
      <c r="N342" s="1"/>
      <c r="O342" s="1"/>
      <c r="P342" s="1"/>
      <c r="Q342" s="1"/>
      <c r="R342" s="1"/>
      <c r="S342" s="1"/>
      <c r="T342" s="1"/>
      <c r="U342" s="1"/>
      <c r="V342" s="1"/>
      <c r="W342" s="189">
        <v>2.0</v>
      </c>
      <c r="X342" s="189" t="str">
        <f>Hazard!C15</f>
        <v>Intense Precipitation </v>
      </c>
      <c r="Y342" s="338" t="str">
        <f>Hazard!D15</f>
        <v>App or Freq</v>
      </c>
      <c r="Z342" s="317">
        <f>Hazard!I15</f>
        <v>1</v>
      </c>
      <c r="AA342" s="318">
        <f>AVERAGE(Z342:Z344)</f>
        <v>1</v>
      </c>
      <c r="AB342" s="194" t="str">
        <f t="shared" ref="AB342:AB344" si="260">IF(Z342&lt;=$D$338,$C$338,IF(Z342=$D$339,$C$339,$C$340))</f>
        <v>Low</v>
      </c>
      <c r="AC342" s="200"/>
      <c r="AD342" s="327"/>
      <c r="AE342" s="191" t="str">
        <f>Exposure!D15</f>
        <v>Fishstock</v>
      </c>
      <c r="AF342" s="317">
        <f>Exposure!I15</f>
        <v>1</v>
      </c>
      <c r="AG342" s="326"/>
      <c r="AH342" s="194" t="str">
        <f t="shared" si="248"/>
        <v>Low</v>
      </c>
      <c r="AI342" s="200"/>
      <c r="AJ342" s="328"/>
      <c r="AK342" s="191" t="str">
        <f>Sensitivity!D15</f>
        <v>Fishstock</v>
      </c>
      <c r="AL342" s="317">
        <f>Sensitivity!I15</f>
        <v>1</v>
      </c>
      <c r="AM342" s="326"/>
      <c r="AN342" s="194" t="str">
        <f t="shared" si="249"/>
        <v>Low</v>
      </c>
      <c r="AO342" s="200"/>
      <c r="AP342" s="328"/>
      <c r="AQ342" s="191" t="str">
        <f>'Adaptive Capacity'!D15</f>
        <v>Fishstock</v>
      </c>
      <c r="AR342" s="317">
        <f>'Adaptive Capacity'!I15</f>
        <v>3</v>
      </c>
      <c r="AS342" s="326"/>
      <c r="AT342" s="194" t="str">
        <f t="shared" si="250"/>
        <v>Good</v>
      </c>
      <c r="AU342" s="200"/>
      <c r="AV342" s="329"/>
      <c r="AW342" s="189" t="str">
        <f t="shared" si="257"/>
        <v>Fishstock</v>
      </c>
      <c r="AX342" s="317">
        <f>AVERAGE(AL338,AL342,AL343,AL348,AL353,AL354,AL356,AL378,AL380,AL381,AL382)-AVERAGE(AR338,AR342,AR343,AR348,AR353,AR354,AR356,AR378,AR380,AR381,AR382)</f>
        <v>-2</v>
      </c>
      <c r="AY342" s="326"/>
      <c r="AZ342" s="194" t="str">
        <f t="shared" si="251"/>
        <v>Low</v>
      </c>
      <c r="BA342" s="322">
        <f>AVERAGE(Z338,Z339,Z340,Z342,Z343,Z344,Z346,Z348,Z349,Z351,Z353,Z354,Z355,Z357,Z359,Z360,Z361,Z367,Z368,Z369,Z371,Z372,Z373,Z381,Z382)</f>
        <v>1.08</v>
      </c>
      <c r="BB342" s="322">
        <f t="shared" si="252"/>
        <v>1</v>
      </c>
      <c r="BC342" s="322">
        <f t="shared" si="253"/>
        <v>0.5</v>
      </c>
      <c r="BD342" s="322">
        <f t="shared" si="254"/>
        <v>1.246666667</v>
      </c>
      <c r="BE342" s="326"/>
      <c r="BF342" s="194" t="str">
        <f t="shared" si="255"/>
        <v>Low</v>
      </c>
      <c r="BG342" s="332"/>
      <c r="BH342" s="333" t="str">
        <f>$AV$375</f>
        <v>EBS</v>
      </c>
      <c r="BI342" s="334">
        <f t="shared" si="259"/>
        <v>-2</v>
      </c>
      <c r="BJ342" s="325" t="str">
        <f t="shared" si="256"/>
        <v>Low</v>
      </c>
    </row>
    <row r="343" ht="14.25" customHeight="1">
      <c r="A343" s="1"/>
      <c r="B343" s="1"/>
      <c r="C343" s="300" t="s">
        <v>475</v>
      </c>
      <c r="D343" s="301"/>
      <c r="E343" s="302"/>
      <c r="F343" s="1"/>
      <c r="G343" s="1"/>
      <c r="H343" s="1"/>
      <c r="I343" s="1"/>
      <c r="J343" s="308"/>
      <c r="K343" s="316"/>
      <c r="L343" s="316"/>
      <c r="M343" s="1"/>
      <c r="N343" s="1"/>
      <c r="O343" s="1"/>
      <c r="P343" s="1"/>
      <c r="Q343" s="1"/>
      <c r="R343" s="1"/>
      <c r="S343" s="1"/>
      <c r="T343" s="1"/>
      <c r="U343" s="1"/>
      <c r="V343" s="1"/>
      <c r="W343" s="200"/>
      <c r="X343" s="200"/>
      <c r="Y343" s="191" t="str">
        <f>Hazard!D16</f>
        <v>Intensity</v>
      </c>
      <c r="Z343" s="317">
        <f>Hazard!I16</f>
        <v>1</v>
      </c>
      <c r="AA343" s="326"/>
      <c r="AB343" s="194" t="str">
        <f t="shared" si="260"/>
        <v>Low</v>
      </c>
      <c r="AC343" s="200"/>
      <c r="AD343" s="327"/>
      <c r="AE343" s="191" t="str">
        <f>Exposure!D16</f>
        <v>Local commerce</v>
      </c>
      <c r="AF343" s="317">
        <f>Exposure!I16</f>
        <v>1</v>
      </c>
      <c r="AG343" s="326"/>
      <c r="AH343" s="194" t="str">
        <f t="shared" si="248"/>
        <v>Low</v>
      </c>
      <c r="AI343" s="200"/>
      <c r="AJ343" s="328"/>
      <c r="AK343" s="191" t="str">
        <f>Sensitivity!D16</f>
        <v>Local commerce</v>
      </c>
      <c r="AL343" s="317">
        <f>Sensitivity!I16</f>
        <v>1</v>
      </c>
      <c r="AM343" s="326"/>
      <c r="AN343" s="194" t="str">
        <f t="shared" si="249"/>
        <v>Low</v>
      </c>
      <c r="AO343" s="200"/>
      <c r="AP343" s="328"/>
      <c r="AQ343" s="191" t="str">
        <f>'Adaptive Capacity'!D16</f>
        <v>Local commerce</v>
      </c>
      <c r="AR343" s="317">
        <f>'Adaptive Capacity'!I16</f>
        <v>3</v>
      </c>
      <c r="AS343" s="326"/>
      <c r="AT343" s="194" t="str">
        <f t="shared" si="250"/>
        <v>Good</v>
      </c>
      <c r="AU343" s="200"/>
      <c r="AV343" s="329"/>
      <c r="AW343" s="189" t="str">
        <f t="shared" si="257"/>
        <v>Local commerce</v>
      </c>
      <c r="AX343" s="317">
        <f>AVERAGE(AL344,AL346,AL348,AL349,AL352,AL353,AL360,AL363,AL367,AL369,AL368,AL371,AL373,AL386,AL387,AL388,AL391,AL393,AL394)-AVERAGE(AR344,AR346,AR348,AR349,AR352,AR353,AR360,AR363,AR367,AR368,AR369,AR371,AR373,AR386,AR387,AR388,AR392,AR393,AR394)</f>
        <v>-2</v>
      </c>
      <c r="AY343" s="326"/>
      <c r="AZ343" s="194" t="str">
        <f t="shared" si="251"/>
        <v>Low</v>
      </c>
      <c r="BA343" s="322">
        <f>AVERAGE(Z338,Z339,Z340,Z342,Z343,Z344,Z346,Z348,Z349,Z351,Z353,Z354,Z355,Z357,Z359,Z360,Z361,Z364,Z367,Z368,Z369,Z371,Z372,Z375,Z376,Z378,Z379)</f>
        <v>1.074074074</v>
      </c>
      <c r="BB343" s="322">
        <f t="shared" si="252"/>
        <v>1</v>
      </c>
      <c r="BC343" s="322">
        <f t="shared" si="253"/>
        <v>0.5</v>
      </c>
      <c r="BD343" s="322">
        <f t="shared" si="254"/>
        <v>1.240740741</v>
      </c>
      <c r="BE343" s="326"/>
      <c r="BF343" s="194" t="str">
        <f t="shared" si="255"/>
        <v>Low</v>
      </c>
      <c r="BG343" s="314"/>
      <c r="BH343" s="321" t="str">
        <f>$AV$386</f>
        <v>Institutions</v>
      </c>
      <c r="BI343" s="334">
        <f>$AY$386</f>
        <v>-2</v>
      </c>
      <c r="BJ343" s="325" t="str">
        <f t="shared" si="256"/>
        <v>Low</v>
      </c>
    </row>
    <row r="344" ht="14.25" customHeight="1">
      <c r="A344" s="1"/>
      <c r="B344" s="1"/>
      <c r="C344" s="308"/>
      <c r="D344" s="309" t="s">
        <v>631</v>
      </c>
      <c r="E344" s="309"/>
      <c r="F344" s="1"/>
      <c r="G344" s="1"/>
      <c r="H344" s="1"/>
      <c r="I344" s="1"/>
      <c r="J344" s="308"/>
      <c r="K344" s="316"/>
      <c r="L344" s="316"/>
      <c r="M344" s="1"/>
      <c r="N344" s="1"/>
      <c r="O344" s="1"/>
      <c r="P344" s="1"/>
      <c r="Q344" s="1"/>
      <c r="R344" s="1"/>
      <c r="S344" s="1"/>
      <c r="T344" s="1"/>
      <c r="U344" s="1"/>
      <c r="V344" s="1"/>
      <c r="W344" s="201"/>
      <c r="X344" s="201"/>
      <c r="Y344" s="191" t="str">
        <f>Hazard!D17</f>
        <v>Impact</v>
      </c>
      <c r="Z344" s="317">
        <f>Hazard!I17</f>
        <v>1</v>
      </c>
      <c r="AA344" s="331"/>
      <c r="AB344" s="194" t="str">
        <f t="shared" si="260"/>
        <v>Low</v>
      </c>
      <c r="AC344" s="200"/>
      <c r="AD344" s="327"/>
      <c r="AE344" s="191" t="str">
        <f>Exposure!D17</f>
        <v>Gender </v>
      </c>
      <c r="AF344" s="317">
        <f>Exposure!I17</f>
        <v>1</v>
      </c>
      <c r="AG344" s="326"/>
      <c r="AH344" s="194" t="str">
        <f t="shared" si="248"/>
        <v>Low</v>
      </c>
      <c r="AI344" s="200"/>
      <c r="AJ344" s="328"/>
      <c r="AK344" s="191" t="str">
        <f>Sensitivity!D17</f>
        <v>Gender </v>
      </c>
      <c r="AL344" s="317">
        <f>Sensitivity!I17</f>
        <v>1</v>
      </c>
      <c r="AM344" s="326"/>
      <c r="AN344" s="194" t="str">
        <f t="shared" si="249"/>
        <v>Low</v>
      </c>
      <c r="AO344" s="200"/>
      <c r="AP344" s="328"/>
      <c r="AQ344" s="191" t="str">
        <f>'Adaptive Capacity'!D17</f>
        <v>Gender </v>
      </c>
      <c r="AR344" s="317">
        <f>'Adaptive Capacity'!I17</f>
        <v>3</v>
      </c>
      <c r="AS344" s="326"/>
      <c r="AT344" s="194" t="str">
        <f t="shared" si="250"/>
        <v>Good</v>
      </c>
      <c r="AU344" s="200"/>
      <c r="AV344" s="329"/>
      <c r="AW344" s="189" t="str">
        <f t="shared" si="257"/>
        <v>Gender </v>
      </c>
      <c r="AX344" s="317">
        <f>AVERAGE(AL338,AL344,AL345,AL346,AL347,AL348,AL355,AL356,AL351,AL358,AL359,AL367,AL368,AL369,AL371,AL372,AL373,AL386,AL388,AL390,AL391,AL392,AL361,AL364)-AVERAGE(AR338,AR344,AR345,AR347,AR348,AR351,AR355,AR356,AR358,AR359,AR361,AR364,AR367,AR368,AR369,AR371,AR372,AR373,AR386,AR388,AR390,AR391,AR392)</f>
        <v>-2</v>
      </c>
      <c r="AY344" s="326"/>
      <c r="AZ344" s="194" t="str">
        <f t="shared" si="251"/>
        <v>Low</v>
      </c>
      <c r="BA344" s="322">
        <f>AVERAGE(Z338,Z339,Z340,Z342,Z343,Z344,Z346,Z347,Z348,Z349,Z351,Z352,Z353,Z354,Z355,Z357,Z358,Z359,Z360,Z361,Z363,Z364,Z365,Z367,Z368,Z369,Z371,Z373,Z375,Z376,Z378,Z379)</f>
        <v>1.0625</v>
      </c>
      <c r="BB344" s="322">
        <f t="shared" si="252"/>
        <v>1</v>
      </c>
      <c r="BC344" s="322">
        <f t="shared" si="253"/>
        <v>0.5</v>
      </c>
      <c r="BD344" s="322">
        <f t="shared" si="254"/>
        <v>1.229166667</v>
      </c>
      <c r="BE344" s="326"/>
      <c r="BF344" s="194" t="str">
        <f t="shared" si="255"/>
        <v>Low</v>
      </c>
      <c r="BG344" s="203"/>
      <c r="BH344" s="203"/>
      <c r="BI344" s="339"/>
      <c r="BJ344" s="325"/>
    </row>
    <row r="345" ht="16.5" customHeight="1">
      <c r="A345" s="1"/>
      <c r="B345" s="1"/>
      <c r="C345" s="308" t="s">
        <v>596</v>
      </c>
      <c r="D345" s="316">
        <v>1.0</v>
      </c>
      <c r="E345" s="316"/>
      <c r="F345" s="1"/>
      <c r="G345" s="1"/>
      <c r="H345" s="1"/>
      <c r="I345" s="1"/>
      <c r="J345" s="308"/>
      <c r="K345" s="316"/>
      <c r="L345" s="316"/>
      <c r="M345" s="1"/>
      <c r="N345" s="1"/>
      <c r="O345" s="1"/>
      <c r="P345" s="1"/>
      <c r="Q345" s="1"/>
      <c r="R345" s="1"/>
      <c r="S345" s="1"/>
      <c r="T345" s="1"/>
      <c r="U345" s="1"/>
      <c r="V345" s="1"/>
      <c r="W345" s="209" t="str">
        <f t="shared" ref="W345:Y345" si="261">" "</f>
        <v> </v>
      </c>
      <c r="X345" s="209" t="str">
        <f t="shared" si="261"/>
        <v> </v>
      </c>
      <c r="Y345" s="1" t="str">
        <f t="shared" si="261"/>
        <v> </v>
      </c>
      <c r="Z345" s="335"/>
      <c r="AA345" s="336"/>
      <c r="AB345" s="194"/>
      <c r="AC345" s="200"/>
      <c r="AD345" s="327"/>
      <c r="AE345" s="191" t="str">
        <f>Exposure!D18</f>
        <v>Conviviality </v>
      </c>
      <c r="AF345" s="317">
        <f>Exposure!I18</f>
        <v>1</v>
      </c>
      <c r="AG345" s="326"/>
      <c r="AH345" s="194" t="str">
        <f t="shared" si="248"/>
        <v>Low</v>
      </c>
      <c r="AI345" s="200"/>
      <c r="AJ345" s="328"/>
      <c r="AK345" s="191" t="str">
        <f>Sensitivity!D18</f>
        <v>Conviviality </v>
      </c>
      <c r="AL345" s="317">
        <f>Sensitivity!I18</f>
        <v>1</v>
      </c>
      <c r="AM345" s="326"/>
      <c r="AN345" s="194" t="str">
        <f t="shared" si="249"/>
        <v>Low</v>
      </c>
      <c r="AO345" s="200"/>
      <c r="AP345" s="328"/>
      <c r="AQ345" s="191" t="str">
        <f>'Adaptive Capacity'!D18</f>
        <v>Conviviality </v>
      </c>
      <c r="AR345" s="317">
        <f>'Adaptive Capacity'!I18</f>
        <v>3</v>
      </c>
      <c r="AS345" s="326"/>
      <c r="AT345" s="194" t="str">
        <f t="shared" si="250"/>
        <v>Good</v>
      </c>
      <c r="AU345" s="200"/>
      <c r="AV345" s="329"/>
      <c r="AW345" s="189" t="str">
        <f t="shared" si="257"/>
        <v>Conviviality </v>
      </c>
      <c r="AX345" s="317">
        <f>AVERAGE(AL338,AL339,AL344,AL343,AL346,AL345,AL348,AL358,AL359,AL368,AL369,AL371,AL372,AL387)-AVERAGE(AR338,AR339,AR343,AR344,AR345,AR346,AR348,AR358,AR359,AR368,AR369,AR371,AR372,AR387)</f>
        <v>-2</v>
      </c>
      <c r="AY345" s="326"/>
      <c r="AZ345" s="194" t="str">
        <f t="shared" si="251"/>
        <v>Low</v>
      </c>
      <c r="BA345" s="322">
        <f>AVERAGE(Z338,Z339,Z342,Z343,Z346,Z348,Z351,Z353,Z355,Z357,Z359,Z361,Z364,Z367,Z368)</f>
        <v>1.133333333</v>
      </c>
      <c r="BB345" s="322">
        <f t="shared" si="252"/>
        <v>1</v>
      </c>
      <c r="BC345" s="322">
        <f t="shared" si="253"/>
        <v>0.5</v>
      </c>
      <c r="BD345" s="322">
        <f t="shared" si="254"/>
        <v>1.3</v>
      </c>
      <c r="BE345" s="326"/>
      <c r="BF345" s="194" t="str">
        <f t="shared" si="255"/>
        <v>Low</v>
      </c>
      <c r="BG345" s="297" t="s">
        <v>632</v>
      </c>
      <c r="BH345" s="298"/>
      <c r="BI345" s="298"/>
      <c r="BJ345" s="325"/>
    </row>
    <row r="346" ht="14.25" customHeight="1">
      <c r="A346" s="1"/>
      <c r="B346" s="1"/>
      <c r="C346" s="308" t="s">
        <v>595</v>
      </c>
      <c r="D346" s="316">
        <v>2.0</v>
      </c>
      <c r="E346" s="316"/>
      <c r="F346" s="1"/>
      <c r="G346" s="1"/>
      <c r="H346" s="1"/>
      <c r="I346" s="1"/>
      <c r="J346" s="308"/>
      <c r="K346" s="316"/>
      <c r="L346" s="316"/>
      <c r="M346" s="1"/>
      <c r="N346" s="1"/>
      <c r="O346" s="1"/>
      <c r="P346" s="1"/>
      <c r="Q346" s="1"/>
      <c r="R346" s="1"/>
      <c r="S346" s="1"/>
      <c r="T346" s="1"/>
      <c r="U346" s="1"/>
      <c r="V346" s="1"/>
      <c r="W346" s="189">
        <v>3.0</v>
      </c>
      <c r="X346" s="190" t="str">
        <f>Hazard!C19</f>
        <v>Droughts</v>
      </c>
      <c r="Y346" s="338" t="str">
        <f>Hazard!D19</f>
        <v>App or Freq</v>
      </c>
      <c r="Z346" s="317">
        <f>Hazard!I19</f>
        <v>1</v>
      </c>
      <c r="AA346" s="318">
        <f>AVERAGE(Z346:Z349)</f>
        <v>1</v>
      </c>
      <c r="AB346" s="194" t="str">
        <f t="shared" ref="AB346:AB349" si="262">IF(Z346&lt;=$D$338,$C$338,IF(Z346=$D$339,$C$339,$C$340))</f>
        <v>Low</v>
      </c>
      <c r="AC346" s="200"/>
      <c r="AD346" s="327"/>
      <c r="AE346" s="191" t="str">
        <f>Exposure!D19</f>
        <v>Education </v>
      </c>
      <c r="AF346" s="317">
        <f>Exposure!I19</f>
        <v>1</v>
      </c>
      <c r="AG346" s="326"/>
      <c r="AH346" s="194" t="str">
        <f t="shared" si="248"/>
        <v>Low</v>
      </c>
      <c r="AI346" s="200"/>
      <c r="AJ346" s="328"/>
      <c r="AK346" s="191" t="str">
        <f>Sensitivity!D19</f>
        <v>Education </v>
      </c>
      <c r="AL346" s="317">
        <f>Sensitivity!I19</f>
        <v>1</v>
      </c>
      <c r="AM346" s="326"/>
      <c r="AN346" s="194" t="str">
        <f t="shared" si="249"/>
        <v>Low</v>
      </c>
      <c r="AO346" s="200"/>
      <c r="AP346" s="328"/>
      <c r="AQ346" s="191" t="str">
        <f>'Adaptive Capacity'!D19</f>
        <v>Education </v>
      </c>
      <c r="AR346" s="317">
        <f>'Adaptive Capacity'!I19</f>
        <v>3</v>
      </c>
      <c r="AS346" s="326"/>
      <c r="AT346" s="194" t="str">
        <f t="shared" si="250"/>
        <v>Good</v>
      </c>
      <c r="AU346" s="200"/>
      <c r="AV346" s="329"/>
      <c r="AW346" s="189" t="str">
        <f t="shared" si="257"/>
        <v>Education </v>
      </c>
      <c r="AX346" s="317">
        <f>AVERAGE(AL338,AL344,AL346,AL348,AL349,AL352,AL361,AL363,AL368,AL369,AL371,AL386,AL389,AL391,AL393,AL394)-AVERAGE(AR338,AR344,AR346,AR348,AR349,AR352,AR361,AR363,AR368,AR369,AR371,AR386,AR389,AR392,AR393,AR394)</f>
        <v>-2</v>
      </c>
      <c r="AY346" s="326"/>
      <c r="AZ346" s="194" t="str">
        <f t="shared" si="251"/>
        <v>Low</v>
      </c>
      <c r="BA346" s="322">
        <f>AVERAGE(Z338,Z339,Z342,Z343,Z346,Z348,Z349,Z351,Z353,Z355,Z357,Z359,Z361,Z363,Z364,Z367,Z368,Z372,Z375,Z379)</f>
        <v>1.1</v>
      </c>
      <c r="BB346" s="322">
        <f t="shared" si="252"/>
        <v>1</v>
      </c>
      <c r="BC346" s="322">
        <f t="shared" si="253"/>
        <v>0.5</v>
      </c>
      <c r="BD346" s="322">
        <f t="shared" si="254"/>
        <v>1.266666667</v>
      </c>
      <c r="BE346" s="326"/>
      <c r="BF346" s="194" t="str">
        <f t="shared" si="255"/>
        <v>Low</v>
      </c>
      <c r="BG346" s="321"/>
      <c r="BH346" s="196" t="str">
        <f>$AK$191</f>
        <v>Livelihoods</v>
      </c>
      <c r="BI346" s="340">
        <f>AM338-AS338</f>
        <v>-2</v>
      </c>
      <c r="BJ346" s="325" t="str">
        <f t="shared" ref="BJ346:BJ351" si="263">IF(BI346&lt;=$E$352,$C$352,IF(BI346&gt;=$D$354,$C$354,$C$353))</f>
        <v>Low</v>
      </c>
    </row>
    <row r="347" ht="14.25" customHeight="1">
      <c r="A347" s="1"/>
      <c r="B347" s="1"/>
      <c r="C347" s="308" t="s">
        <v>594</v>
      </c>
      <c r="D347" s="316">
        <v>3.0</v>
      </c>
      <c r="E347" s="316"/>
      <c r="F347" s="1"/>
      <c r="G347" s="1"/>
      <c r="H347" s="1"/>
      <c r="I347" s="1"/>
      <c r="J347" s="308"/>
      <c r="K347" s="316"/>
      <c r="L347" s="316"/>
      <c r="M347" s="1"/>
      <c r="N347" s="1"/>
      <c r="O347" s="1"/>
      <c r="P347" s="1"/>
      <c r="Q347" s="1"/>
      <c r="R347" s="1"/>
      <c r="S347" s="1"/>
      <c r="T347" s="1"/>
      <c r="U347" s="1"/>
      <c r="V347" s="1"/>
      <c r="W347" s="200"/>
      <c r="X347" s="245"/>
      <c r="Y347" s="191" t="str">
        <f>Hazard!D20</f>
        <v>Timing</v>
      </c>
      <c r="Z347" s="317">
        <f>Hazard!I20</f>
        <v>1</v>
      </c>
      <c r="AA347" s="326"/>
      <c r="AB347" s="194" t="str">
        <f t="shared" si="262"/>
        <v>Low</v>
      </c>
      <c r="AC347" s="200"/>
      <c r="AD347" s="327"/>
      <c r="AE347" s="191" t="str">
        <f>Exposure!D20</f>
        <v>WFI/WFDU</v>
      </c>
      <c r="AF347" s="317">
        <f>Exposure!I20</f>
        <v>1</v>
      </c>
      <c r="AG347" s="326"/>
      <c r="AH347" s="194" t="str">
        <f t="shared" si="248"/>
        <v>Low</v>
      </c>
      <c r="AI347" s="200"/>
      <c r="AJ347" s="328"/>
      <c r="AK347" s="191" t="str">
        <f>Sensitivity!D20</f>
        <v>WFI/WFDU</v>
      </c>
      <c r="AL347" s="317">
        <f>Sensitivity!I20</f>
        <v>1</v>
      </c>
      <c r="AM347" s="326"/>
      <c r="AN347" s="194" t="str">
        <f t="shared" si="249"/>
        <v>Low</v>
      </c>
      <c r="AO347" s="200"/>
      <c r="AP347" s="328"/>
      <c r="AQ347" s="191" t="str">
        <f>'Adaptive Capacity'!D20</f>
        <v>WFI/WFDU</v>
      </c>
      <c r="AR347" s="317">
        <f>'Adaptive Capacity'!I20</f>
        <v>3</v>
      </c>
      <c r="AS347" s="326"/>
      <c r="AT347" s="194" t="str">
        <f t="shared" si="250"/>
        <v>Good</v>
      </c>
      <c r="AU347" s="200"/>
      <c r="AV347" s="329"/>
      <c r="AW347" s="189" t="str">
        <f t="shared" si="257"/>
        <v>WFI/WFDU</v>
      </c>
      <c r="AX347" s="317">
        <f>AVERAGE(AL347,AL349,AL367,AL372,AL380,AL391,AL386,AL389,AL382)-AVERAGE(AR347,AR349,AR367,AR372,AR380,AR382,AR386,AR389,AR392)</f>
        <v>-2</v>
      </c>
      <c r="AY347" s="326"/>
      <c r="AZ347" s="194" t="str">
        <f t="shared" si="251"/>
        <v>Low</v>
      </c>
      <c r="BA347" s="322">
        <f>AVERAGE(Z338,Z339,Z346,Z348,Z352,Z358,Z367,Z368,Z369,Y381)</f>
        <v>1.222222222</v>
      </c>
      <c r="BB347" s="322">
        <f t="shared" si="252"/>
        <v>1</v>
      </c>
      <c r="BC347" s="322">
        <f t="shared" si="253"/>
        <v>0.5</v>
      </c>
      <c r="BD347" s="322">
        <f t="shared" si="254"/>
        <v>1.388888889</v>
      </c>
      <c r="BE347" s="326"/>
      <c r="BF347" s="194" t="str">
        <f t="shared" si="255"/>
        <v>Low</v>
      </c>
      <c r="BG347" s="314"/>
      <c r="BH347" s="196" t="str">
        <f>$AK$204</f>
        <v>Health &amp; Safety</v>
      </c>
      <c r="BI347" s="340">
        <f>AM351-AS351</f>
        <v>-2</v>
      </c>
      <c r="BJ347" s="325" t="str">
        <f t="shared" si="263"/>
        <v>Low</v>
      </c>
    </row>
    <row r="348" ht="14.25" customHeight="1">
      <c r="A348" s="1"/>
      <c r="B348" s="1"/>
      <c r="C348" s="1"/>
      <c r="D348" s="1"/>
      <c r="E348" s="1"/>
      <c r="F348" s="1"/>
      <c r="G348" s="1"/>
      <c r="H348" s="1"/>
      <c r="I348" s="1"/>
      <c r="J348" s="308"/>
      <c r="K348" s="316"/>
      <c r="L348" s="316"/>
      <c r="M348" s="1"/>
      <c r="N348" s="1"/>
      <c r="O348" s="1"/>
      <c r="P348" s="1"/>
      <c r="Q348" s="1"/>
      <c r="R348" s="1"/>
      <c r="S348" s="1"/>
      <c r="T348" s="1"/>
      <c r="U348" s="1"/>
      <c r="V348" s="1"/>
      <c r="W348" s="200"/>
      <c r="X348" s="245"/>
      <c r="Y348" s="191" t="str">
        <f>Hazard!D21</f>
        <v>Intensity</v>
      </c>
      <c r="Z348" s="317">
        <f>Hazard!I21</f>
        <v>1</v>
      </c>
      <c r="AA348" s="326"/>
      <c r="AB348" s="194" t="str">
        <f t="shared" si="262"/>
        <v>Low</v>
      </c>
      <c r="AC348" s="200"/>
      <c r="AD348" s="327"/>
      <c r="AE348" s="191" t="str">
        <f>Exposure!D21</f>
        <v>ATF/I</v>
      </c>
      <c r="AF348" s="317">
        <f>Exposure!I21</f>
        <v>1</v>
      </c>
      <c r="AG348" s="326"/>
      <c r="AH348" s="194" t="str">
        <f t="shared" si="248"/>
        <v>Low</v>
      </c>
      <c r="AI348" s="200"/>
      <c r="AJ348" s="328"/>
      <c r="AK348" s="191" t="str">
        <f>Sensitivity!D21</f>
        <v>ATF/I</v>
      </c>
      <c r="AL348" s="317">
        <f>Sensitivity!I21</f>
        <v>1</v>
      </c>
      <c r="AM348" s="326"/>
      <c r="AN348" s="194" t="str">
        <f t="shared" si="249"/>
        <v>Low</v>
      </c>
      <c r="AO348" s="200"/>
      <c r="AP348" s="328"/>
      <c r="AQ348" s="191" t="str">
        <f>'Adaptive Capacity'!D21</f>
        <v>ATF/I</v>
      </c>
      <c r="AR348" s="317">
        <f>'Adaptive Capacity'!I21</f>
        <v>3</v>
      </c>
      <c r="AS348" s="326"/>
      <c r="AT348" s="194" t="str">
        <f t="shared" si="250"/>
        <v>Good</v>
      </c>
      <c r="AU348" s="200"/>
      <c r="AV348" s="329"/>
      <c r="AW348" s="189" t="str">
        <f t="shared" si="257"/>
        <v>ATF/I</v>
      </c>
      <c r="AX348" s="317">
        <f>AVERAGE(AL348,AL386,AL389,AL388,AL391,AL393)-AVERAGE(AR348,AR386,AR388,AR389,AR391,AR393)</f>
        <v>-2</v>
      </c>
      <c r="AY348" s="326"/>
      <c r="AZ348" s="194" t="str">
        <f t="shared" si="251"/>
        <v>Low</v>
      </c>
      <c r="BA348" s="322">
        <f>AVERAGE(Z371)</f>
        <v>1</v>
      </c>
      <c r="BB348" s="322">
        <f t="shared" si="252"/>
        <v>1</v>
      </c>
      <c r="BC348" s="322">
        <f t="shared" si="253"/>
        <v>0.5</v>
      </c>
      <c r="BD348" s="322">
        <f t="shared" si="254"/>
        <v>1.166666667</v>
      </c>
      <c r="BE348" s="326"/>
      <c r="BF348" s="194" t="str">
        <f t="shared" si="255"/>
        <v>Low</v>
      </c>
      <c r="BG348" s="314"/>
      <c r="BH348" s="196" t="str">
        <f>$AK$211</f>
        <v>Assets and Utilities</v>
      </c>
      <c r="BI348" s="340">
        <f>AM351-AS351</f>
        <v>-2</v>
      </c>
      <c r="BJ348" s="325" t="str">
        <f t="shared" si="263"/>
        <v>Low</v>
      </c>
      <c r="BK348" s="296"/>
    </row>
    <row r="349" ht="14.25" customHeight="1">
      <c r="A349" s="1"/>
      <c r="B349" s="1"/>
      <c r="C349" s="1" t="s">
        <v>633</v>
      </c>
      <c r="D349" s="1"/>
      <c r="E349" s="1"/>
      <c r="F349" s="1"/>
      <c r="G349" s="1"/>
      <c r="H349" s="1"/>
      <c r="I349" s="1"/>
      <c r="J349" s="308"/>
      <c r="K349" s="316"/>
      <c r="L349" s="316"/>
      <c r="M349" s="1"/>
      <c r="N349" s="1"/>
      <c r="O349" s="1"/>
      <c r="P349" s="1"/>
      <c r="Q349" s="1"/>
      <c r="R349" s="1"/>
      <c r="S349" s="1"/>
      <c r="T349" s="1"/>
      <c r="U349" s="1"/>
      <c r="V349" s="1"/>
      <c r="W349" s="201"/>
      <c r="X349" s="221"/>
      <c r="Y349" s="191" t="str">
        <f>Hazard!D22</f>
        <v>Impact</v>
      </c>
      <c r="Z349" s="317">
        <f>Hazard!I22</f>
        <v>1</v>
      </c>
      <c r="AA349" s="331"/>
      <c r="AB349" s="194" t="str">
        <f t="shared" si="262"/>
        <v>Low</v>
      </c>
      <c r="AC349" s="201"/>
      <c r="AD349" s="221"/>
      <c r="AE349" s="191" t="str">
        <f>Exposure!D22</f>
        <v>Disaster Events</v>
      </c>
      <c r="AF349" s="317">
        <f>Exposure!I22</f>
        <v>1</v>
      </c>
      <c r="AG349" s="331"/>
      <c r="AH349" s="194" t="str">
        <f t="shared" si="248"/>
        <v>Low</v>
      </c>
      <c r="AI349" s="201"/>
      <c r="AJ349" s="328"/>
      <c r="AK349" s="191" t="str">
        <f>Sensitivity!D22</f>
        <v>Disaster Events</v>
      </c>
      <c r="AL349" s="317">
        <f>Sensitivity!I22</f>
        <v>1</v>
      </c>
      <c r="AM349" s="331"/>
      <c r="AN349" s="194" t="str">
        <f t="shared" si="249"/>
        <v>Low</v>
      </c>
      <c r="AO349" s="201"/>
      <c r="AP349" s="328"/>
      <c r="AQ349" s="191" t="str">
        <f>'Adaptive Capacity'!D22</f>
        <v>Disaster Events</v>
      </c>
      <c r="AR349" s="317">
        <f>'Adaptive Capacity'!I22</f>
        <v>3</v>
      </c>
      <c r="AS349" s="331"/>
      <c r="AT349" s="194" t="str">
        <f t="shared" si="250"/>
        <v>Good</v>
      </c>
      <c r="AU349" s="201"/>
      <c r="AV349" s="341"/>
      <c r="AW349" s="189" t="str">
        <f t="shared" si="257"/>
        <v>Disaster Events</v>
      </c>
      <c r="AX349" s="317">
        <f>AVERAGE(AL349,AL352,AL353,AL354,AL360,AL376,AL382,AL383,AL386,AL387)-AVERAGE(AR349,AR352,AR353,AR354,AR360,AR376,AR382,AR383,AR386,AR387)</f>
        <v>-2</v>
      </c>
      <c r="AY349" s="331"/>
      <c r="AZ349" s="194" t="str">
        <f t="shared" si="251"/>
        <v>Low</v>
      </c>
      <c r="BA349" s="322">
        <f>AVERAGE(Z339,Z343,Z348,Z353,Z354,Z359,Z360,Z367,Z368,Z369,Z375,Z376,Z379,Z380,Z382)</f>
        <v>1</v>
      </c>
      <c r="BB349" s="322">
        <f t="shared" si="252"/>
        <v>1</v>
      </c>
      <c r="BC349" s="322">
        <f t="shared" si="253"/>
        <v>0.5</v>
      </c>
      <c r="BD349" s="322">
        <f t="shared" si="254"/>
        <v>1.166666667</v>
      </c>
      <c r="BE349" s="331"/>
      <c r="BF349" s="194" t="str">
        <f t="shared" si="255"/>
        <v>Low</v>
      </c>
      <c r="BG349" s="314"/>
      <c r="BH349" s="196" t="str">
        <f>$AK$224</f>
        <v>Potable water </v>
      </c>
      <c r="BI349" s="340">
        <f>AM371-AS371</f>
        <v>-2</v>
      </c>
      <c r="BJ349" s="325" t="str">
        <f t="shared" si="263"/>
        <v>Low</v>
      </c>
      <c r="BK349" s="342" t="s">
        <v>584</v>
      </c>
    </row>
    <row r="350" ht="14.25" customHeight="1">
      <c r="A350" s="1"/>
      <c r="B350" s="1"/>
      <c r="C350" s="343" t="s">
        <v>625</v>
      </c>
      <c r="D350" s="344"/>
      <c r="E350" s="345"/>
      <c r="F350" s="1"/>
      <c r="G350" s="1"/>
      <c r="H350" s="1"/>
      <c r="I350" s="1"/>
      <c r="J350" s="308"/>
      <c r="K350" s="316"/>
      <c r="L350" s="316"/>
      <c r="M350" s="1"/>
      <c r="N350" s="1"/>
      <c r="O350" s="1"/>
      <c r="P350" s="1"/>
      <c r="Q350" s="1"/>
      <c r="R350" s="1"/>
      <c r="S350" s="1"/>
      <c r="T350" s="1"/>
      <c r="U350" s="1"/>
      <c r="V350" s="1"/>
      <c r="W350" s="209" t="str">
        <f t="shared" ref="W350:Y350" si="264">" "</f>
        <v> </v>
      </c>
      <c r="X350" s="209" t="str">
        <f t="shared" si="264"/>
        <v> </v>
      </c>
      <c r="Y350" s="1" t="str">
        <f t="shared" si="264"/>
        <v> </v>
      </c>
      <c r="Z350" s="335"/>
      <c r="AA350" s="336"/>
      <c r="AB350" s="194"/>
      <c r="AC350" s="209" t="str">
        <f t="shared" ref="AC350:AE350" si="265">" "</f>
        <v> </v>
      </c>
      <c r="AD350" s="209" t="str">
        <f t="shared" si="265"/>
        <v> </v>
      </c>
      <c r="AE350" s="1" t="str">
        <f t="shared" si="265"/>
        <v> </v>
      </c>
      <c r="AF350" s="1"/>
      <c r="AG350" s="60"/>
      <c r="AH350" s="1"/>
      <c r="AI350" s="209" t="str">
        <f>" "</f>
        <v> </v>
      </c>
      <c r="AJ350" s="346"/>
      <c r="AK350" s="204"/>
      <c r="AL350" s="335"/>
      <c r="AM350" s="336"/>
      <c r="AN350" s="194"/>
      <c r="AO350" s="209" t="str">
        <f>" "</f>
        <v> </v>
      </c>
      <c r="AP350" s="346"/>
      <c r="AQ350" s="204"/>
      <c r="AR350" s="317" t="str">
        <f>'Adaptive Capacity'!I23</f>
        <v/>
      </c>
      <c r="AS350" s="336"/>
      <c r="AT350" s="194"/>
      <c r="AU350" s="209" t="str">
        <f t="shared" ref="AU350:AW350" si="266">" "</f>
        <v> </v>
      </c>
      <c r="AV350" s="238" t="str">
        <f t="shared" si="266"/>
        <v> </v>
      </c>
      <c r="AW350" s="1" t="str">
        <f t="shared" si="266"/>
        <v> </v>
      </c>
      <c r="AX350" s="1"/>
      <c r="AY350" s="60"/>
      <c r="AZ350" s="194"/>
      <c r="BA350" s="347"/>
      <c r="BB350" s="322"/>
      <c r="BC350" s="322"/>
      <c r="BD350" s="322"/>
      <c r="BE350" s="336"/>
      <c r="BF350" s="194"/>
      <c r="BG350" s="323"/>
      <c r="BH350" s="196" t="str">
        <f>$AK$228</f>
        <v>EBS</v>
      </c>
      <c r="BI350" s="340">
        <f>AM375-AS375</f>
        <v>-2</v>
      </c>
      <c r="BJ350" s="325" t="str">
        <f t="shared" si="263"/>
        <v>Low</v>
      </c>
      <c r="BK350" s="342" t="s">
        <v>613</v>
      </c>
    </row>
    <row r="351" ht="14.25" customHeight="1">
      <c r="A351" s="1"/>
      <c r="B351" s="1"/>
      <c r="C351" s="308"/>
      <c r="D351" s="309" t="s">
        <v>631</v>
      </c>
      <c r="E351" s="309" t="s">
        <v>634</v>
      </c>
      <c r="F351" s="1"/>
      <c r="G351" s="1"/>
      <c r="H351" s="1"/>
      <c r="I351" s="1"/>
      <c r="J351" s="308"/>
      <c r="K351" s="316"/>
      <c r="L351" s="316"/>
      <c r="M351" s="1"/>
      <c r="N351" s="1"/>
      <c r="O351" s="1"/>
      <c r="P351" s="1"/>
      <c r="Q351" s="1"/>
      <c r="R351" s="1"/>
      <c r="S351" s="1"/>
      <c r="T351" s="1"/>
      <c r="U351" s="1"/>
      <c r="V351" s="1"/>
      <c r="W351" s="189">
        <v>4.0</v>
      </c>
      <c r="X351" s="189" t="str">
        <f>Hazard!C24</f>
        <v>Flooding</v>
      </c>
      <c r="Y351" s="338" t="str">
        <f>Hazard!D24</f>
        <v>App or Freq</v>
      </c>
      <c r="Z351" s="317">
        <f>Hazard!I24</f>
        <v>1</v>
      </c>
      <c r="AA351" s="318">
        <f>AVERAGE(Z351:Z355)</f>
        <v>1</v>
      </c>
      <c r="AB351" s="194" t="str">
        <f t="shared" ref="AB351:AB355" si="268">IF(Z351&lt;=$D$338,$C$338,IF(Z351=$D$339,$C$339,$C$340))</f>
        <v>Low</v>
      </c>
      <c r="AC351" s="189">
        <v>2.0</v>
      </c>
      <c r="AD351" s="319" t="str">
        <f>Exposure!C24</f>
        <v>Health &amp; Safety</v>
      </c>
      <c r="AE351" s="191" t="str">
        <f>Exposure!D24</f>
        <v>Borne Diseases</v>
      </c>
      <c r="AF351" s="317">
        <f>Exposure!I24</f>
        <v>1</v>
      </c>
      <c r="AG351" s="318">
        <f>AVERAGE(AF351:AF356)</f>
        <v>1</v>
      </c>
      <c r="AH351" s="194" t="str">
        <f t="shared" ref="AH351:AH356" si="269">IF(AF351&lt;=$D$338,$C$338,IF(AF351=$D$339,$C$339,$C$340))</f>
        <v>Low</v>
      </c>
      <c r="AI351" s="189">
        <v>2.0</v>
      </c>
      <c r="AJ351" s="319" t="str">
        <f>Sensitivity!C24</f>
        <v>Health &amp; Safety</v>
      </c>
      <c r="AK351" s="191" t="str">
        <f>Sensitivity!D24</f>
        <v>Borne Diseases</v>
      </c>
      <c r="AL351" s="317">
        <f>Sensitivity!I24</f>
        <v>1</v>
      </c>
      <c r="AM351" s="318">
        <f>AVERAGE(AL351:AL356)</f>
        <v>1</v>
      </c>
      <c r="AN351" s="194" t="str">
        <f t="shared" ref="AN351:AN356" si="270">IF(AL351&lt;=$D$338,$C$338,IF(AL351=$D$339,$C$339,$C$340))</f>
        <v>Low</v>
      </c>
      <c r="AO351" s="189">
        <v>2.0</v>
      </c>
      <c r="AP351" s="319" t="str">
        <f>'Adaptive Capacity'!C24</f>
        <v>Health &amp; Safety</v>
      </c>
      <c r="AQ351" s="191" t="str">
        <f>'Adaptive Capacity'!D24</f>
        <v>Borne Diseases</v>
      </c>
      <c r="AR351" s="317">
        <f>'Adaptive Capacity'!I24</f>
        <v>3</v>
      </c>
      <c r="AS351" s="318">
        <f>AVERAGE(AR351:AR356)</f>
        <v>3</v>
      </c>
      <c r="AT351" s="194" t="str">
        <f t="shared" ref="AT351:AT356" si="271">IF(AR351&lt;=$D$345,$C$345,IF(AR351=$D$346,$C$346,$C$347))</f>
        <v>Good</v>
      </c>
      <c r="AU351" s="189">
        <f t="shared" ref="AU351:AW351" si="267">AC351</f>
        <v>2</v>
      </c>
      <c r="AV351" s="321" t="str">
        <f t="shared" si="267"/>
        <v>Health &amp; Safety</v>
      </c>
      <c r="AW351" s="189" t="str">
        <f t="shared" si="267"/>
        <v>Borne Diseases</v>
      </c>
      <c r="AX351" s="317">
        <f>AVERAGE(AL351,AL353,AL354,AL356,AL355,AL360,AL361,AL366,AL372,AL373,AL387,AL390,AL392)-AVERAGE(AR351,AR353,AR354,AR355,AR356,AR360,AR361,AR366,AR372,AR373,AR387,AR390,AR392)</f>
        <v>-2</v>
      </c>
      <c r="AY351" s="318">
        <f>AVERAGE(AX351:AX356)</f>
        <v>-1.979166667</v>
      </c>
      <c r="AZ351" s="194" t="str">
        <f t="shared" ref="AZ351:AZ356" si="272">IF(AX351&lt;=$E$352,$C$352,IF(AX351&gt;=$D$354,$C$354,$C$353))</f>
        <v>Low</v>
      </c>
      <c r="BA351" s="322">
        <f>AVERAGE(Z339,Z340,Z343,Z344,Z348,Z349,Z353,Z354,Z355,Z361,Z360,Z359,Z364,Z365,Z367,Z368,Z369,Z372,Z373,Z375,Z381,Z382)</f>
        <v>1</v>
      </c>
      <c r="BB351" s="322">
        <f t="shared" ref="BB351:BB356" si="273">AF351</f>
        <v>1</v>
      </c>
      <c r="BC351" s="322">
        <f t="shared" ref="BC351:BC356" si="274">(AX351+3)/2</f>
        <v>0.5</v>
      </c>
      <c r="BD351" s="322">
        <f t="shared" ref="BD351:BD356" si="275">BA351+((BB351*BC351)/3)</f>
        <v>1.166666667</v>
      </c>
      <c r="BE351" s="318">
        <f>AVERAGE(BD351:BD356)</f>
        <v>1.213323774</v>
      </c>
      <c r="BF351" s="194" t="str">
        <f t="shared" ref="BF351:BF356" si="276">IF(BD351&lt;=$E$360,$C$360,IF(BD351&gt;=$D$362,$C$362,$C$361))</f>
        <v>Low</v>
      </c>
      <c r="BH351" s="196" t="str">
        <f>$AK$239</f>
        <v>Institutions</v>
      </c>
      <c r="BI351" s="340">
        <f>AM386-AS386</f>
        <v>-2</v>
      </c>
      <c r="BJ351" s="325" t="str">
        <f t="shared" si="263"/>
        <v>Low</v>
      </c>
      <c r="BK351" s="342" t="s">
        <v>582</v>
      </c>
      <c r="BM351" s="299"/>
    </row>
    <row r="352" ht="14.25" customHeight="1">
      <c r="A352" s="1"/>
      <c r="B352" s="1"/>
      <c r="C352" s="308" t="s">
        <v>582</v>
      </c>
      <c r="D352" s="348">
        <v>-2.0</v>
      </c>
      <c r="E352" s="348">
        <v>-0.6</v>
      </c>
      <c r="F352" s="1"/>
      <c r="G352" s="349">
        <v>-2.0</v>
      </c>
      <c r="H352" s="1"/>
      <c r="I352" s="1"/>
      <c r="J352" s="308"/>
      <c r="K352" s="316"/>
      <c r="L352" s="316"/>
      <c r="M352" s="1"/>
      <c r="N352" s="1"/>
      <c r="O352" s="1"/>
      <c r="P352" s="1"/>
      <c r="Q352" s="1"/>
      <c r="R352" s="1"/>
      <c r="S352" s="1"/>
      <c r="T352" s="1"/>
      <c r="U352" s="1"/>
      <c r="V352" s="1"/>
      <c r="W352" s="200"/>
      <c r="X352" s="200"/>
      <c r="Y352" s="191" t="str">
        <f>Hazard!D25</f>
        <v>Timing</v>
      </c>
      <c r="Z352" s="317">
        <f>Hazard!I25</f>
        <v>1</v>
      </c>
      <c r="AA352" s="326"/>
      <c r="AB352" s="194" t="str">
        <f t="shared" si="268"/>
        <v>Low</v>
      </c>
      <c r="AC352" s="200"/>
      <c r="AD352" s="200"/>
      <c r="AE352" s="191" t="str">
        <f>Exposure!D25</f>
        <v>SLUP&amp;C</v>
      </c>
      <c r="AF352" s="317">
        <f>Exposure!I25</f>
        <v>1</v>
      </c>
      <c r="AG352" s="326"/>
      <c r="AH352" s="194" t="str">
        <f t="shared" si="269"/>
        <v>Low</v>
      </c>
      <c r="AI352" s="200"/>
      <c r="AJ352" s="328"/>
      <c r="AK352" s="191" t="str">
        <f>Sensitivity!D25</f>
        <v>SLUP&amp;C</v>
      </c>
      <c r="AL352" s="317">
        <f>Sensitivity!I25</f>
        <v>1</v>
      </c>
      <c r="AM352" s="326"/>
      <c r="AN352" s="194" t="str">
        <f t="shared" si="270"/>
        <v>Low</v>
      </c>
      <c r="AO352" s="200"/>
      <c r="AP352" s="328"/>
      <c r="AQ352" s="191" t="str">
        <f>'Adaptive Capacity'!D25</f>
        <v>SLUP&amp;C</v>
      </c>
      <c r="AR352" s="317">
        <f>'Adaptive Capacity'!I25</f>
        <v>3</v>
      </c>
      <c r="AS352" s="326"/>
      <c r="AT352" s="194" t="str">
        <f t="shared" si="271"/>
        <v>Good</v>
      </c>
      <c r="AU352" s="200"/>
      <c r="AV352" s="314"/>
      <c r="AW352" s="189" t="str">
        <f t="shared" ref="AW352:AW356" si="277">AE352</f>
        <v>SLUP&amp;C</v>
      </c>
      <c r="AX352" s="317">
        <f>AVERAGE(AL349,AL352,AL360,AL375,AL376,AL377,AL383+AL386,AL391)-AVERAGE(AR349,AR352,AR360,AR375,AR376,AR377,AR383,AR386,AR392)</f>
        <v>-1.875</v>
      </c>
      <c r="AY352" s="326"/>
      <c r="AZ352" s="194" t="str">
        <f t="shared" si="272"/>
        <v>Low</v>
      </c>
      <c r="BA352" s="322">
        <f>AVERAGE(Z338,Z339,Z340,Z342,Z343,Z344,Z348,Z349,Z353,Z354,Z355,Z359,Z360,Z361,Z364,Z365,Z368,Z371,Z372,Z373,Z375,Z376,Z379,Z380,Z381,Z382)</f>
        <v>1.076923077</v>
      </c>
      <c r="BB352" s="322">
        <f t="shared" si="273"/>
        <v>1</v>
      </c>
      <c r="BC352" s="322">
        <f t="shared" si="274"/>
        <v>0.5625</v>
      </c>
      <c r="BD352" s="322">
        <f t="shared" si="275"/>
        <v>1.264423077</v>
      </c>
      <c r="BE352" s="326"/>
      <c r="BF352" s="194" t="str">
        <f t="shared" si="276"/>
        <v>Low</v>
      </c>
      <c r="BH352" s="96"/>
      <c r="BI352" s="350"/>
      <c r="BJ352" s="325"/>
      <c r="BM352" s="299"/>
    </row>
    <row r="353" ht="14.25" customHeight="1">
      <c r="A353" s="1"/>
      <c r="B353" s="1"/>
      <c r="C353" s="308" t="s">
        <v>613</v>
      </c>
      <c r="D353" s="348">
        <f>E352</f>
        <v>-0.6</v>
      </c>
      <c r="E353" s="348">
        <f>D354</f>
        <v>0.6</v>
      </c>
      <c r="F353" s="1"/>
      <c r="G353" s="349">
        <v>2.0</v>
      </c>
      <c r="H353" s="1"/>
      <c r="I353" s="1"/>
      <c r="J353" s="308"/>
      <c r="K353" s="316"/>
      <c r="L353" s="316"/>
      <c r="M353" s="1"/>
      <c r="N353" s="1"/>
      <c r="O353" s="1"/>
      <c r="P353" s="1"/>
      <c r="Q353" s="1"/>
      <c r="R353" s="1"/>
      <c r="S353" s="1"/>
      <c r="T353" s="1"/>
      <c r="U353" s="1"/>
      <c r="V353" s="1"/>
      <c r="W353" s="200"/>
      <c r="X353" s="200"/>
      <c r="Y353" s="191" t="str">
        <f>Hazard!D26</f>
        <v>Intensity</v>
      </c>
      <c r="Z353" s="317">
        <f>Hazard!I26</f>
        <v>1</v>
      </c>
      <c r="AA353" s="326"/>
      <c r="AB353" s="194" t="str">
        <f t="shared" si="268"/>
        <v>Low</v>
      </c>
      <c r="AC353" s="200"/>
      <c r="AD353" s="200"/>
      <c r="AE353" s="191" t="str">
        <f>Exposure!D26</f>
        <v>SWM</v>
      </c>
      <c r="AF353" s="317">
        <f>Exposure!I26</f>
        <v>1</v>
      </c>
      <c r="AG353" s="326"/>
      <c r="AH353" s="194" t="str">
        <f t="shared" si="269"/>
        <v>Low</v>
      </c>
      <c r="AI353" s="200"/>
      <c r="AJ353" s="328"/>
      <c r="AK353" s="191" t="str">
        <f>Sensitivity!D26</f>
        <v>SWM</v>
      </c>
      <c r="AL353" s="317">
        <f>Sensitivity!I26</f>
        <v>1</v>
      </c>
      <c r="AM353" s="326"/>
      <c r="AN353" s="194" t="str">
        <f t="shared" si="270"/>
        <v>Low</v>
      </c>
      <c r="AO353" s="200"/>
      <c r="AP353" s="328"/>
      <c r="AQ353" s="191" t="str">
        <f>'Adaptive Capacity'!D26</f>
        <v>SWM</v>
      </c>
      <c r="AR353" s="317">
        <f>'Adaptive Capacity'!I26</f>
        <v>3</v>
      </c>
      <c r="AS353" s="326"/>
      <c r="AT353" s="194" t="str">
        <f t="shared" si="271"/>
        <v>Good</v>
      </c>
      <c r="AU353" s="200"/>
      <c r="AV353" s="314"/>
      <c r="AW353" s="189" t="str">
        <f t="shared" si="277"/>
        <v>SWM</v>
      </c>
      <c r="AX353" s="317">
        <f>AVERAGE(AL353,AL352,AL368,AL387,AL393,AL394,AL388)-AVERAGE(AR352,AR353,AR368,AR387,AR388,AR393,AR394)</f>
        <v>-2</v>
      </c>
      <c r="AY353" s="326"/>
      <c r="AZ353" s="194" t="str">
        <f t="shared" si="272"/>
        <v>Low</v>
      </c>
      <c r="BA353" s="322">
        <f>AVERAGE(Z338,Z339,Z342,Z343,Z344,Z346,Z348,Z351,Z353,Z354,Z355,Z357,Z359,Z360,Z361,Z364,Z365,Z367,Z368,Z369,Z371,Z372,Z373,Z375,Z379,Z382)</f>
        <v>1.076923077</v>
      </c>
      <c r="BB353" s="322">
        <f t="shared" si="273"/>
        <v>1</v>
      </c>
      <c r="BC353" s="322">
        <f t="shared" si="274"/>
        <v>0.5</v>
      </c>
      <c r="BD353" s="322">
        <f t="shared" si="275"/>
        <v>1.243589744</v>
      </c>
      <c r="BE353" s="326"/>
      <c r="BF353" s="194" t="str">
        <f t="shared" si="276"/>
        <v>Low</v>
      </c>
      <c r="BG353" s="68" t="s">
        <v>611</v>
      </c>
      <c r="BH353" s="69"/>
      <c r="BI353" s="70"/>
    </row>
    <row r="354" ht="14.25" customHeight="1">
      <c r="A354" s="1"/>
      <c r="B354" s="1"/>
      <c r="C354" s="308" t="s">
        <v>584</v>
      </c>
      <c r="D354" s="348">
        <v>0.6</v>
      </c>
      <c r="E354" s="348">
        <v>2.0</v>
      </c>
      <c r="F354" s="1"/>
      <c r="G354" s="349">
        <f>(G353-G352)/3</f>
        <v>1.333333333</v>
      </c>
      <c r="H354" s="1"/>
      <c r="I354" s="1"/>
      <c r="J354" s="308"/>
      <c r="K354" s="316"/>
      <c r="L354" s="316"/>
      <c r="M354" s="1"/>
      <c r="N354" s="1"/>
      <c r="O354" s="1"/>
      <c r="P354" s="1"/>
      <c r="Q354" s="1"/>
      <c r="R354" s="1"/>
      <c r="S354" s="1"/>
      <c r="T354" s="1"/>
      <c r="U354" s="1"/>
      <c r="V354" s="1"/>
      <c r="W354" s="200"/>
      <c r="X354" s="200"/>
      <c r="Y354" s="191" t="str">
        <f>Hazard!D27</f>
        <v>Extent</v>
      </c>
      <c r="Z354" s="317">
        <f>Hazard!I27</f>
        <v>1</v>
      </c>
      <c r="AA354" s="326"/>
      <c r="AB354" s="194" t="str">
        <f t="shared" si="268"/>
        <v>Low</v>
      </c>
      <c r="AC354" s="200"/>
      <c r="AD354" s="200"/>
      <c r="AE354" s="191" t="str">
        <f>Exposure!D27</f>
        <v>LWM</v>
      </c>
      <c r="AF354" s="317">
        <f>Exposure!I27</f>
        <v>1</v>
      </c>
      <c r="AG354" s="326"/>
      <c r="AH354" s="194" t="str">
        <f t="shared" si="269"/>
        <v>Low</v>
      </c>
      <c r="AI354" s="200"/>
      <c r="AJ354" s="328"/>
      <c r="AK354" s="191" t="str">
        <f>Sensitivity!D27</f>
        <v>LWM</v>
      </c>
      <c r="AL354" s="317">
        <f>Sensitivity!I27</f>
        <v>1</v>
      </c>
      <c r="AM354" s="326"/>
      <c r="AN354" s="194" t="str">
        <f t="shared" si="270"/>
        <v>Low</v>
      </c>
      <c r="AO354" s="200"/>
      <c r="AP354" s="328"/>
      <c r="AQ354" s="191" t="str">
        <f>'Adaptive Capacity'!D27</f>
        <v>LWM</v>
      </c>
      <c r="AR354" s="317">
        <f>'Adaptive Capacity'!I27</f>
        <v>3</v>
      </c>
      <c r="AS354" s="326"/>
      <c r="AT354" s="194" t="str">
        <f t="shared" si="271"/>
        <v>Good</v>
      </c>
      <c r="AU354" s="200"/>
      <c r="AV354" s="314"/>
      <c r="AW354" s="189" t="str">
        <f t="shared" si="277"/>
        <v>LWM</v>
      </c>
      <c r="AX354" s="317">
        <f>AVERAGE(AL354,AL362,AL380,AL363,AL361,AL367,AL384,AL389,AL394)-AVERAGE(AR354,AR361,AR362,AR363,AR367,AR380,AR384,AR389,AR394)</f>
        <v>-2</v>
      </c>
      <c r="AY354" s="326"/>
      <c r="AZ354" s="194" t="str">
        <f t="shared" si="272"/>
        <v>Low</v>
      </c>
      <c r="BA354" s="322">
        <f>AVERAGE(Z338,Z339,Z342,Z343,Z344,Z346,Z348,Z353,Z354,Z359,Z360,Z367,Z368,Z369,Z371,Z372,Z373,Z380,Z382)</f>
        <v>1.105263158</v>
      </c>
      <c r="BB354" s="322">
        <f t="shared" si="273"/>
        <v>1</v>
      </c>
      <c r="BC354" s="322">
        <f t="shared" si="274"/>
        <v>0.5</v>
      </c>
      <c r="BD354" s="322">
        <f t="shared" si="275"/>
        <v>1.271929825</v>
      </c>
      <c r="BE354" s="326"/>
      <c r="BF354" s="194" t="str">
        <f t="shared" si="276"/>
        <v>Low</v>
      </c>
      <c r="BG354" s="314"/>
      <c r="BH354" s="323" t="str">
        <f>$AV$338</f>
        <v>Livelihoods</v>
      </c>
      <c r="BI354" s="324">
        <f>$BE$338</f>
        <v>1.247632906</v>
      </c>
      <c r="BJ354" s="325" t="str">
        <f t="shared" ref="BJ354:BJ359" si="278">IF(BI354&lt;=$E$360,$C$360,IF(BI354&gt;=$D$362,$C$362,$C$361))</f>
        <v>Low</v>
      </c>
    </row>
    <row r="355" ht="14.25" customHeight="1">
      <c r="A355" s="1"/>
      <c r="B355" s="1"/>
      <c r="C355" s="1"/>
      <c r="D355" s="1"/>
      <c r="E355" s="1"/>
      <c r="F355" s="1"/>
      <c r="G355" s="1"/>
      <c r="H355" s="1"/>
      <c r="I355" s="1"/>
      <c r="J355" s="308"/>
      <c r="K355" s="316"/>
      <c r="L355" s="316"/>
      <c r="M355" s="1"/>
      <c r="N355" s="1"/>
      <c r="O355" s="1"/>
      <c r="P355" s="1"/>
      <c r="Q355" s="1"/>
      <c r="R355" s="1"/>
      <c r="S355" s="1"/>
      <c r="T355" s="1"/>
      <c r="U355" s="1"/>
      <c r="V355" s="1"/>
      <c r="W355" s="221"/>
      <c r="X355" s="221"/>
      <c r="Y355" s="191" t="str">
        <f>Hazard!D28</f>
        <v>Impact</v>
      </c>
      <c r="Z355" s="317">
        <f>Hazard!I28</f>
        <v>1</v>
      </c>
      <c r="AA355" s="331"/>
      <c r="AB355" s="194" t="str">
        <f t="shared" si="268"/>
        <v>Low</v>
      </c>
      <c r="AC355" s="200"/>
      <c r="AD355" s="200"/>
      <c r="AE355" s="191" t="str">
        <f>Exposure!D28</f>
        <v>ATHS</v>
      </c>
      <c r="AF355" s="317">
        <f>Exposure!I28</f>
        <v>1</v>
      </c>
      <c r="AG355" s="326"/>
      <c r="AH355" s="194" t="str">
        <f t="shared" si="269"/>
        <v>Low</v>
      </c>
      <c r="AI355" s="200"/>
      <c r="AJ355" s="328"/>
      <c r="AK355" s="191" t="str">
        <f>Sensitivity!D28</f>
        <v>ATHS</v>
      </c>
      <c r="AL355" s="317">
        <f>Sensitivity!I28</f>
        <v>1</v>
      </c>
      <c r="AM355" s="326"/>
      <c r="AN355" s="194" t="str">
        <f t="shared" si="270"/>
        <v>Low</v>
      </c>
      <c r="AO355" s="200"/>
      <c r="AP355" s="328"/>
      <c r="AQ355" s="191" t="str">
        <f>'Adaptive Capacity'!D28</f>
        <v>ATHS</v>
      </c>
      <c r="AR355" s="317">
        <f>'Adaptive Capacity'!I28</f>
        <v>3</v>
      </c>
      <c r="AS355" s="326"/>
      <c r="AT355" s="194" t="str">
        <f t="shared" si="271"/>
        <v>Good</v>
      </c>
      <c r="AU355" s="200"/>
      <c r="AV355" s="314"/>
      <c r="AW355" s="189" t="str">
        <f t="shared" si="277"/>
        <v>ATHS</v>
      </c>
      <c r="AX355" s="317">
        <f>AVERAGE(AL348,AL355,AL359,AL368,AL369,AL351,AL367,AL361,AL363,AL346,AL388,AL389,AL390,AL391,AL393,AL394,AL344)-AVERAGE(AR344,AR346,AR348,AR351,AR355,AR359,AR361,AR363,AR367,AR368,AR369,AR388,AR389,AR390,AR392,AR393,AR394)</f>
        <v>-2</v>
      </c>
      <c r="AY355" s="326"/>
      <c r="AZ355" s="194" t="str">
        <f t="shared" si="272"/>
        <v>Low</v>
      </c>
      <c r="BA355" s="322">
        <f>AVERAGE(Z339,Z340,Z343,Z344,Z348,Z349,Z353,Z354,Z355,Z359,Z360,Z361,Z364,Z365,Z369,Z371,Z372,Z375,Z376,Z377,Z378,Z379,Z380,Z381,Z382)</f>
        <v>1</v>
      </c>
      <c r="BB355" s="322">
        <f t="shared" si="273"/>
        <v>1</v>
      </c>
      <c r="BC355" s="322">
        <f t="shared" si="274"/>
        <v>0.5</v>
      </c>
      <c r="BD355" s="322">
        <f t="shared" si="275"/>
        <v>1.166666667</v>
      </c>
      <c r="BE355" s="326"/>
      <c r="BF355" s="194" t="str">
        <f t="shared" si="276"/>
        <v>Low</v>
      </c>
      <c r="BG355" s="314"/>
      <c r="BH355" s="323" t="str">
        <f>$AV$351</f>
        <v>Health &amp; Safety</v>
      </c>
      <c r="BI355" s="330">
        <f>$BE$351</f>
        <v>1.213323774</v>
      </c>
      <c r="BJ355" s="325" t="str">
        <f t="shared" si="278"/>
        <v>Low</v>
      </c>
    </row>
    <row r="356" ht="15.75" customHeight="1">
      <c r="A356" s="1"/>
      <c r="B356" s="1"/>
      <c r="C356" s="1"/>
      <c r="D356" s="1"/>
      <c r="E356" s="1"/>
      <c r="F356" s="1"/>
      <c r="G356" s="1"/>
      <c r="H356" s="1"/>
      <c r="I356" s="1"/>
      <c r="J356" s="308"/>
      <c r="K356" s="316"/>
      <c r="L356" s="316"/>
      <c r="M356" s="1"/>
      <c r="N356" s="1"/>
      <c r="O356" s="1"/>
      <c r="P356" s="1"/>
      <c r="Q356" s="1"/>
      <c r="R356" s="1"/>
      <c r="S356" s="1"/>
      <c r="T356" s="1"/>
      <c r="U356" s="1"/>
      <c r="V356" s="1"/>
      <c r="W356" s="209" t="str">
        <f>" "</f>
        <v> </v>
      </c>
      <c r="X356" s="209"/>
      <c r="Y356" s="204"/>
      <c r="Z356" s="202"/>
      <c r="AA356" s="209"/>
      <c r="AB356" s="194"/>
      <c r="AC356" s="201"/>
      <c r="AD356" s="201"/>
      <c r="AE356" s="191" t="str">
        <f>Exposure!D29</f>
        <v>ATHE</v>
      </c>
      <c r="AF356" s="317">
        <f>Exposure!I29</f>
        <v>1</v>
      </c>
      <c r="AG356" s="331"/>
      <c r="AH356" s="194" t="str">
        <f t="shared" si="269"/>
        <v>Low</v>
      </c>
      <c r="AI356" s="201"/>
      <c r="AJ356" s="351"/>
      <c r="AK356" s="191" t="str">
        <f>Sensitivity!D29</f>
        <v>ATHE</v>
      </c>
      <c r="AL356" s="317">
        <f>Sensitivity!I29</f>
        <v>1</v>
      </c>
      <c r="AM356" s="331"/>
      <c r="AN356" s="194" t="str">
        <f t="shared" si="270"/>
        <v>Low</v>
      </c>
      <c r="AO356" s="201"/>
      <c r="AP356" s="351"/>
      <c r="AQ356" s="191" t="str">
        <f>'Adaptive Capacity'!D29</f>
        <v>ATHE</v>
      </c>
      <c r="AR356" s="317">
        <f>'Adaptive Capacity'!I29</f>
        <v>3</v>
      </c>
      <c r="AS356" s="331"/>
      <c r="AT356" s="194" t="str">
        <f t="shared" si="271"/>
        <v>Good</v>
      </c>
      <c r="AU356" s="201"/>
      <c r="AV356" s="323"/>
      <c r="AW356" s="189" t="str">
        <f t="shared" si="277"/>
        <v>ATHE</v>
      </c>
      <c r="AX356" s="317">
        <f>AVERAGE(AL356,AL346,AL352,AL353,AL354,AL361,AL358,AL362,AL371,AL366,AL377,AL376,AL378,AL379,AL382,AL388,AL394)-AVERAGE(AR346,AR352,AR353,AR354,AR356,AR358,AR361,AR362,AR366,AR371,AR376,AR377,AR378,AR379,AR382,AR388,AR394)</f>
        <v>-2</v>
      </c>
      <c r="AY356" s="331"/>
      <c r="AZ356" s="194" t="str">
        <f t="shared" si="272"/>
        <v>Low</v>
      </c>
      <c r="BA356" s="322">
        <f>AVERAGE(Z339,Z340,Z343,Z344,Z348,Z349,Z353,Z354,Z355,Z359,Z360,Z361,Z364,Z365,Z367,Z368,Z369,Z371,Z373,Z375,Z377,Z379,Z380,Z381,Z382)</f>
        <v>1</v>
      </c>
      <c r="BB356" s="322">
        <f t="shared" si="273"/>
        <v>1</v>
      </c>
      <c r="BC356" s="322">
        <f t="shared" si="274"/>
        <v>0.5</v>
      </c>
      <c r="BD356" s="322">
        <f t="shared" si="275"/>
        <v>1.166666667</v>
      </c>
      <c r="BE356" s="331"/>
      <c r="BF356" s="194" t="str">
        <f t="shared" si="276"/>
        <v>Low</v>
      </c>
      <c r="BG356" s="332"/>
      <c r="BH356" s="333" t="str">
        <f>$AV$358</f>
        <v>Assets and Utilities</v>
      </c>
      <c r="BI356" s="334">
        <f>$BE$358</f>
        <v>1.199845693</v>
      </c>
      <c r="BJ356" s="325" t="str">
        <f t="shared" si="278"/>
        <v>Low</v>
      </c>
    </row>
    <row r="357" ht="14.25" customHeight="1">
      <c r="A357" s="1"/>
      <c r="B357" s="1"/>
      <c r="C357" s="1" t="s">
        <v>635</v>
      </c>
      <c r="D357" s="1"/>
      <c r="E357" s="1"/>
      <c r="F357" s="1"/>
      <c r="G357" s="1"/>
      <c r="H357" s="1"/>
      <c r="I357" s="1"/>
      <c r="J357" s="308"/>
      <c r="K357" s="316"/>
      <c r="L357" s="316"/>
      <c r="M357" s="1"/>
      <c r="N357" s="1"/>
      <c r="O357" s="1"/>
      <c r="P357" s="1"/>
      <c r="Q357" s="1"/>
      <c r="R357" s="1"/>
      <c r="S357" s="1"/>
      <c r="T357" s="1"/>
      <c r="U357" s="1"/>
      <c r="V357" s="1"/>
      <c r="W357" s="189">
        <v>5.0</v>
      </c>
      <c r="X357" s="189" t="str">
        <f>Hazard!C30</f>
        <v>Flash Floods</v>
      </c>
      <c r="Y357" s="191" t="str">
        <f>Hazard!D30</f>
        <v>App or Freq</v>
      </c>
      <c r="Z357" s="317">
        <f>Hazard!I30</f>
        <v>1</v>
      </c>
      <c r="AA357" s="318">
        <f>AVERAGE(Z357:Z361)</f>
        <v>1</v>
      </c>
      <c r="AB357" s="194" t="str">
        <f t="shared" ref="AB357:AB361" si="281">IF(Z357&lt;=$D$338,$C$338,IF(Z357=$D$339,$C$339,$C$340))</f>
        <v>Low</v>
      </c>
      <c r="AC357" s="209" t="str">
        <f t="shared" ref="AC357:AE357" si="279">" "</f>
        <v> </v>
      </c>
      <c r="AD357" s="209" t="str">
        <f t="shared" si="279"/>
        <v> </v>
      </c>
      <c r="AE357" s="1" t="str">
        <f t="shared" si="279"/>
        <v> </v>
      </c>
      <c r="AF357" s="1"/>
      <c r="AG357" s="60"/>
      <c r="AI357" s="209" t="str">
        <f>" "</f>
        <v> </v>
      </c>
      <c r="AJ357" s="346"/>
      <c r="AK357" s="204"/>
      <c r="AL357" s="335"/>
      <c r="AM357" s="336"/>
      <c r="AN357" s="194"/>
      <c r="AO357" s="209" t="str">
        <f>" "</f>
        <v> </v>
      </c>
      <c r="AP357" s="346"/>
      <c r="AQ357" s="204"/>
      <c r="AR357" s="317" t="str">
        <f>'Adaptive Capacity'!I30</f>
        <v/>
      </c>
      <c r="AS357" s="336"/>
      <c r="AT357" s="194"/>
      <c r="AU357" s="209" t="str">
        <f t="shared" ref="AU357:AW357" si="280">" "</f>
        <v> </v>
      </c>
      <c r="AV357" s="238" t="str">
        <f t="shared" si="280"/>
        <v> </v>
      </c>
      <c r="AW357" s="1" t="str">
        <f t="shared" si="280"/>
        <v> </v>
      </c>
      <c r="AX357" s="1"/>
      <c r="AY357" s="60"/>
      <c r="AZ357" s="194"/>
      <c r="BA357" s="347"/>
      <c r="BB357" s="322"/>
      <c r="BC357" s="322"/>
      <c r="BD357" s="322"/>
      <c r="BE357" s="336"/>
      <c r="BF357" s="194"/>
      <c r="BG357" s="337"/>
      <c r="BH357" s="333" t="str">
        <f>$AV$371</f>
        <v>Potable water </v>
      </c>
      <c r="BI357" s="334">
        <f t="shared" ref="BI357:BI358" si="283">$BE$371</f>
        <v>1.166666667</v>
      </c>
      <c r="BJ357" s="325" t="str">
        <f t="shared" si="278"/>
        <v>Low</v>
      </c>
    </row>
    <row r="358" ht="14.25" customHeight="1">
      <c r="A358" s="1"/>
      <c r="B358" s="1"/>
      <c r="C358" s="352" t="s">
        <v>628</v>
      </c>
      <c r="D358" s="69"/>
      <c r="E358" s="178"/>
      <c r="F358" s="1"/>
      <c r="G358" s="1"/>
      <c r="H358" s="1"/>
      <c r="I358" s="1"/>
      <c r="J358" s="308"/>
      <c r="K358" s="316"/>
      <c r="L358" s="316"/>
      <c r="M358" s="1"/>
      <c r="N358" s="1"/>
      <c r="O358" s="1"/>
      <c r="P358" s="1"/>
      <c r="Q358" s="1"/>
      <c r="R358" s="1"/>
      <c r="S358" s="1"/>
      <c r="T358" s="1"/>
      <c r="U358" s="1"/>
      <c r="V358" s="1"/>
      <c r="W358" s="200"/>
      <c r="X358" s="200"/>
      <c r="Y358" s="191" t="str">
        <f>Hazard!D31</f>
        <v>Timing</v>
      </c>
      <c r="Z358" s="317">
        <f>Hazard!I31</f>
        <v>1</v>
      </c>
      <c r="AA358" s="326"/>
      <c r="AB358" s="194" t="str">
        <f t="shared" si="281"/>
        <v>Low</v>
      </c>
      <c r="AC358" s="189">
        <v>3.0</v>
      </c>
      <c r="AD358" s="189" t="str">
        <f>Exposure!C31</f>
        <v>Assets and Utilities</v>
      </c>
      <c r="AE358" s="191" t="str">
        <f>Exposure!D31</f>
        <v>Housing</v>
      </c>
      <c r="AF358" s="353">
        <f>Exposure!I31</f>
        <v>1</v>
      </c>
      <c r="AG358" s="318">
        <f>AVERAGE(AF358:AF369)</f>
        <v>1</v>
      </c>
      <c r="AH358" s="194" t="str">
        <f t="shared" ref="AH358:AH369" si="284">IF(AF358&lt;=$D$338,$C$338,IF(AF358=$D$339,$C$339,$C$340))</f>
        <v>Low</v>
      </c>
      <c r="AI358" s="189">
        <v>3.0</v>
      </c>
      <c r="AJ358" s="319" t="str">
        <f>Sensitivity!C31</f>
        <v>Assets and Utilities</v>
      </c>
      <c r="AK358" s="191" t="str">
        <f>Sensitivity!D31</f>
        <v>Housing</v>
      </c>
      <c r="AL358" s="317">
        <f>Sensitivity!I31</f>
        <v>1</v>
      </c>
      <c r="AM358" s="318">
        <f>AVERAGE(AL358:AL369)</f>
        <v>1</v>
      </c>
      <c r="AN358" s="194" t="str">
        <f t="shared" ref="AN358:AN369" si="285">IF(AL358&lt;=$D$338,$C$338,IF(AL358=$D$339,$C$339,$C$340))</f>
        <v>Low</v>
      </c>
      <c r="AO358" s="189">
        <v>3.0</v>
      </c>
      <c r="AP358" s="319" t="str">
        <f>'Adaptive Capacity'!C31</f>
        <v>Assets and Utilities</v>
      </c>
      <c r="AQ358" s="191" t="str">
        <f>'Adaptive Capacity'!D31</f>
        <v>Housing</v>
      </c>
      <c r="AR358" s="317">
        <f>'Adaptive Capacity'!I31</f>
        <v>3</v>
      </c>
      <c r="AS358" s="318">
        <f>AVERAGE(AR358:AR369)</f>
        <v>3</v>
      </c>
      <c r="AT358" s="194" t="str">
        <f t="shared" ref="AT358:AT369" si="286">IF(AR358&lt;=$D$345,$C$345,IF(AR358=$D$346,$C$346,$C$347))</f>
        <v>Good</v>
      </c>
      <c r="AU358" s="189">
        <f t="shared" ref="AU358:AW358" si="282">AC358</f>
        <v>3</v>
      </c>
      <c r="AV358" s="321" t="str">
        <f t="shared" si="282"/>
        <v>Assets and Utilities</v>
      </c>
      <c r="AW358" s="189" t="str">
        <f t="shared" si="282"/>
        <v>Housing</v>
      </c>
      <c r="AX358" s="353">
        <f>AVERAGE(AL358,AL348,AL349,AL352,AL360,AL361,AL375,AL376,AL383,AL384,AL386,AL387,AL391)-AVERAGE(AR348,AR349,AR352,AR358,AR360,AR361,AR375,AR376,AR383,AR384,AR386,AR387,AR391)</f>
        <v>-2</v>
      </c>
      <c r="AY358" s="318">
        <f>AVERAGE(AX358:AX369)</f>
        <v>-2</v>
      </c>
      <c r="AZ358" s="194" t="str">
        <f t="shared" ref="AZ358:AZ369" si="287">IF(AX358&lt;=$E$352,$C$352,IF(AX358&gt;=$D$354,$C$354,$C$353))</f>
        <v>Low</v>
      </c>
      <c r="BA358" s="322">
        <f>AVERAGE(Z340,Z343,Z344,Z348,Z349,Z353,Z354,Z355,Z359,Z360,Z361,Z364,Z365,Z367,Z368,Z369,Z371,Z372,Z375,Z376,Z377,Z378,Z379,Z380,Z381,Z382)</f>
        <v>1</v>
      </c>
      <c r="BB358" s="322">
        <f t="shared" ref="BB358:BB369" si="288">AF358</f>
        <v>1</v>
      </c>
      <c r="BC358" s="322">
        <f t="shared" ref="BC358:BC369" si="289">(AX358+3)/2</f>
        <v>0.5</v>
      </c>
      <c r="BD358" s="322">
        <f t="shared" ref="BD358:BD369" si="290">BA358+((BB358*BC358)/3)</f>
        <v>1.166666667</v>
      </c>
      <c r="BE358" s="318">
        <f>AVERAGE(BD358:BD369)</f>
        <v>1.199845693</v>
      </c>
      <c r="BF358" s="194" t="str">
        <f t="shared" ref="BF358:BF373" si="291">IF(BD358&lt;=$E$360,$C$360,IF(BD358&gt;=$D$362,$C$362,$C$361))</f>
        <v>Low</v>
      </c>
      <c r="BG358" s="332"/>
      <c r="BH358" s="333" t="str">
        <f>$AV$375</f>
        <v>EBS</v>
      </c>
      <c r="BI358" s="334">
        <f t="shared" si="283"/>
        <v>1.166666667</v>
      </c>
      <c r="BJ358" s="325" t="str">
        <f t="shared" si="278"/>
        <v>Low</v>
      </c>
    </row>
    <row r="359" ht="14.25" customHeight="1">
      <c r="A359" s="1"/>
      <c r="B359" s="1"/>
      <c r="C359" s="308"/>
      <c r="D359" s="309" t="s">
        <v>631</v>
      </c>
      <c r="E359" s="309" t="s">
        <v>634</v>
      </c>
      <c r="F359" s="1"/>
      <c r="G359" s="1"/>
      <c r="H359" s="1"/>
      <c r="I359" s="1"/>
      <c r="J359" s="308"/>
      <c r="K359" s="316"/>
      <c r="L359" s="316"/>
      <c r="M359" s="1"/>
      <c r="N359" s="1"/>
      <c r="O359" s="1"/>
      <c r="P359" s="1"/>
      <c r="Q359" s="1"/>
      <c r="R359" s="1"/>
      <c r="S359" s="1"/>
      <c r="T359" s="1"/>
      <c r="U359" s="1"/>
      <c r="V359" s="1"/>
      <c r="W359" s="200"/>
      <c r="X359" s="200"/>
      <c r="Y359" s="191" t="str">
        <f>Hazard!D32</f>
        <v>Intensity</v>
      </c>
      <c r="Z359" s="317">
        <f>Hazard!I32</f>
        <v>1</v>
      </c>
      <c r="AA359" s="326"/>
      <c r="AB359" s="194" t="str">
        <f t="shared" si="281"/>
        <v>Low</v>
      </c>
      <c r="AC359" s="200"/>
      <c r="AD359" s="200"/>
      <c r="AE359" s="191" t="str">
        <f>Exposure!D32</f>
        <v>Public facilities </v>
      </c>
      <c r="AF359" s="353">
        <f>Exposure!I32</f>
        <v>1</v>
      </c>
      <c r="AG359" s="326"/>
      <c r="AH359" s="194" t="str">
        <f t="shared" si="284"/>
        <v>Low</v>
      </c>
      <c r="AI359" s="200"/>
      <c r="AJ359" s="328"/>
      <c r="AK359" s="191" t="str">
        <f>Sensitivity!D32</f>
        <v>Public facilities </v>
      </c>
      <c r="AL359" s="317">
        <f>Sensitivity!I32</f>
        <v>1</v>
      </c>
      <c r="AM359" s="326"/>
      <c r="AN359" s="194" t="str">
        <f t="shared" si="285"/>
        <v>Low</v>
      </c>
      <c r="AO359" s="200"/>
      <c r="AP359" s="328"/>
      <c r="AQ359" s="191" t="str">
        <f>'Adaptive Capacity'!D32</f>
        <v>Public facilities </v>
      </c>
      <c r="AR359" s="317">
        <f>'Adaptive Capacity'!I32</f>
        <v>3</v>
      </c>
      <c r="AS359" s="326"/>
      <c r="AT359" s="194" t="str">
        <f t="shared" si="286"/>
        <v>Good</v>
      </c>
      <c r="AU359" s="200"/>
      <c r="AV359" s="314"/>
      <c r="AW359" s="189" t="str">
        <f t="shared" ref="AW359:AW369" si="292">AE359</f>
        <v>Public facilities </v>
      </c>
      <c r="AX359" s="353">
        <f>AVERAGE(AL359,AL349,AL352,AL355,AL360,AL361,AL363,AL367,AL368,AL369,AL371,AL375,AL384,AL386,AL389,AL388,AL390,AL391,AL392,AL393,AL394)-AVERAGE(AR349,AR352,AR355,AR359,AR360,AR361,AR363,AR367,AR368,AR369,AR371,AR375,AR384,AR386,AR388,AR389,AR390,AR391,AR392,AR393,AR394)</f>
        <v>-2</v>
      </c>
      <c r="AY359" s="326"/>
      <c r="AZ359" s="194" t="str">
        <f t="shared" si="287"/>
        <v>Low</v>
      </c>
      <c r="BA359" s="322">
        <f>AVERAGE(Z339,Z340,Z343,Z344,Z348,Z349,Z353,Z354,Z355,Z359,Z360,Z361,Z364,Z365,Z367,Z368,Z369,Z371,Z372,Z375,Z376,Z377,Z378,Z379,Z380,Z381,Z382)</f>
        <v>1</v>
      </c>
      <c r="BB359" s="322">
        <f t="shared" si="288"/>
        <v>1</v>
      </c>
      <c r="BC359" s="322">
        <f t="shared" si="289"/>
        <v>0.5</v>
      </c>
      <c r="BD359" s="322">
        <f t="shared" si="290"/>
        <v>1.166666667</v>
      </c>
      <c r="BE359" s="326"/>
      <c r="BF359" s="194" t="str">
        <f t="shared" si="291"/>
        <v>Low</v>
      </c>
      <c r="BG359" s="314"/>
      <c r="BH359" s="321" t="str">
        <f>$AV$386</f>
        <v>Institutions</v>
      </c>
      <c r="BI359" s="334">
        <f>$BE$386</f>
        <v>1.219034052</v>
      </c>
      <c r="BJ359" s="325" t="str">
        <f t="shared" si="278"/>
        <v>Low</v>
      </c>
    </row>
    <row r="360" ht="14.25" customHeight="1">
      <c r="A360" s="1"/>
      <c r="B360" s="1"/>
      <c r="C360" s="308" t="s">
        <v>582</v>
      </c>
      <c r="D360" s="354">
        <v>0.5</v>
      </c>
      <c r="E360" s="354">
        <f>D360+F362</f>
        <v>2.166666667</v>
      </c>
      <c r="F360" s="349"/>
      <c r="G360" s="349">
        <f>$D$360</f>
        <v>0.5</v>
      </c>
      <c r="H360" s="349">
        <v>0.0</v>
      </c>
      <c r="I360" s="1"/>
      <c r="J360" s="308"/>
      <c r="K360" s="316"/>
      <c r="L360" s="316"/>
      <c r="M360" s="1"/>
      <c r="N360" s="1"/>
      <c r="O360" s="1"/>
      <c r="P360" s="1"/>
      <c r="Q360" s="1"/>
      <c r="R360" s="1"/>
      <c r="S360" s="1"/>
      <c r="T360" s="1"/>
      <c r="U360" s="1"/>
      <c r="V360" s="1"/>
      <c r="W360" s="200"/>
      <c r="X360" s="200"/>
      <c r="Y360" s="191" t="str">
        <f>Hazard!D33</f>
        <v>Extent</v>
      </c>
      <c r="Z360" s="317">
        <f>Hazard!I33</f>
        <v>1</v>
      </c>
      <c r="AA360" s="326"/>
      <c r="AB360" s="194" t="str">
        <f t="shared" si="281"/>
        <v>Low</v>
      </c>
      <c r="AC360" s="200"/>
      <c r="AD360" s="200"/>
      <c r="AE360" s="191" t="str">
        <f>Exposure!D33</f>
        <v>SWD</v>
      </c>
      <c r="AF360" s="353">
        <f>Exposure!I33</f>
        <v>1</v>
      </c>
      <c r="AG360" s="326"/>
      <c r="AH360" s="194" t="str">
        <f t="shared" si="284"/>
        <v>Low</v>
      </c>
      <c r="AI360" s="200"/>
      <c r="AJ360" s="328"/>
      <c r="AK360" s="191" t="str">
        <f>Sensitivity!D33</f>
        <v>SWD</v>
      </c>
      <c r="AL360" s="317">
        <f>Sensitivity!I33</f>
        <v>1</v>
      </c>
      <c r="AM360" s="326"/>
      <c r="AN360" s="194" t="str">
        <f t="shared" si="285"/>
        <v>Low</v>
      </c>
      <c r="AO360" s="200"/>
      <c r="AP360" s="328"/>
      <c r="AQ360" s="191" t="str">
        <f>'Adaptive Capacity'!D33</f>
        <v>SWD</v>
      </c>
      <c r="AR360" s="317">
        <f>'Adaptive Capacity'!I33</f>
        <v>3</v>
      </c>
      <c r="AS360" s="326"/>
      <c r="AT360" s="194" t="str">
        <f t="shared" si="286"/>
        <v>Good</v>
      </c>
      <c r="AU360" s="200"/>
      <c r="AV360" s="314"/>
      <c r="AW360" s="189" t="str">
        <f t="shared" si="292"/>
        <v>SWD</v>
      </c>
      <c r="AX360" s="353">
        <f>AVERAGE(AL360,AL353,AL354,AL375,AL376,AL377,AL378,AL380,AL382,AL383,AL394)-AVERAGE(AR353,AR354,AR355,AR360,AR375,AR376,AR377,AR378,AR380,AR382,AR383,AR394)</f>
        <v>-2</v>
      </c>
      <c r="AY360" s="326"/>
      <c r="AZ360" s="194" t="str">
        <f t="shared" si="287"/>
        <v>Low</v>
      </c>
      <c r="BA360" s="322">
        <f>AVERAGE(Z343,Z353,Z354,Z359,Z360,Z367,Z368,Z369,Z371,Z373,Z377,Z378,Z381,Z380,Z382)</f>
        <v>1</v>
      </c>
      <c r="BB360" s="322">
        <f t="shared" si="288"/>
        <v>1</v>
      </c>
      <c r="BC360" s="322">
        <f t="shared" si="289"/>
        <v>0.5</v>
      </c>
      <c r="BD360" s="322">
        <f t="shared" si="290"/>
        <v>1.166666667</v>
      </c>
      <c r="BE360" s="326"/>
      <c r="BF360" s="194" t="str">
        <f t="shared" si="291"/>
        <v>Low</v>
      </c>
      <c r="BH360" s="96"/>
      <c r="BI360" s="350"/>
      <c r="BJ360" s="325"/>
    </row>
    <row r="361" ht="14.25" customHeight="1">
      <c r="A361" s="1"/>
      <c r="B361" s="1"/>
      <c r="C361" s="308" t="s">
        <v>613</v>
      </c>
      <c r="D361" s="354">
        <f>E360</f>
        <v>2.166666667</v>
      </c>
      <c r="E361" s="354">
        <f>D362</f>
        <v>3.833333333</v>
      </c>
      <c r="F361" s="349"/>
      <c r="G361" s="349">
        <f>$E$362</f>
        <v>5.5</v>
      </c>
      <c r="H361" s="349">
        <v>20.0</v>
      </c>
      <c r="I361" s="1"/>
      <c r="J361" s="308"/>
      <c r="K361" s="316"/>
      <c r="L361" s="316"/>
      <c r="M361" s="1"/>
      <c r="N361" s="1"/>
      <c r="O361" s="1"/>
      <c r="P361" s="1"/>
      <c r="Q361" s="1"/>
      <c r="R361" s="1"/>
      <c r="S361" s="1"/>
      <c r="T361" s="1"/>
      <c r="U361" s="1"/>
      <c r="V361" s="1"/>
      <c r="W361" s="200"/>
      <c r="X361" s="200"/>
      <c r="Y361" s="191" t="str">
        <f>Hazard!D34</f>
        <v>Impact</v>
      </c>
      <c r="Z361" s="317">
        <f>Hazard!I34</f>
        <v>1</v>
      </c>
      <c r="AA361" s="331"/>
      <c r="AB361" s="194" t="str">
        <f t="shared" si="281"/>
        <v>Low</v>
      </c>
      <c r="AC361" s="200"/>
      <c r="AD361" s="200"/>
      <c r="AE361" s="191" t="str">
        <f>Exposure!D34</f>
        <v>Sanitary facilities </v>
      </c>
      <c r="AF361" s="353">
        <f>Exposure!I34</f>
        <v>1</v>
      </c>
      <c r="AG361" s="326"/>
      <c r="AH361" s="194" t="str">
        <f t="shared" si="284"/>
        <v>Low</v>
      </c>
      <c r="AI361" s="200"/>
      <c r="AJ361" s="328"/>
      <c r="AK361" s="191" t="str">
        <f>Sensitivity!D34</f>
        <v>Sanitary facilities </v>
      </c>
      <c r="AL361" s="317">
        <f>Sensitivity!I34</f>
        <v>1</v>
      </c>
      <c r="AM361" s="326"/>
      <c r="AN361" s="194" t="str">
        <f t="shared" si="285"/>
        <v>Low</v>
      </c>
      <c r="AO361" s="200"/>
      <c r="AP361" s="328"/>
      <c r="AQ361" s="191" t="str">
        <f>'Adaptive Capacity'!D34</f>
        <v>Sanitary facilities </v>
      </c>
      <c r="AR361" s="317">
        <f>'Adaptive Capacity'!I34</f>
        <v>3</v>
      </c>
      <c r="AS361" s="326"/>
      <c r="AT361" s="194" t="str">
        <f t="shared" si="286"/>
        <v>Good</v>
      </c>
      <c r="AU361" s="200"/>
      <c r="AV361" s="314"/>
      <c r="AW361" s="189" t="str">
        <f t="shared" si="292"/>
        <v>Sanitary facilities </v>
      </c>
      <c r="AX361" s="353">
        <f>AVERAGE(AL361,AL344,AL347,AL349,AL351,AL354,AL353,AL356,AL362,AL365,AL366,AL367,AL368,AL371,AL372,AL378,AL384,AL391,AL394,AL388)-AVERAGE(AR344,AR347,AR349,AR351,AR353,AR354,AR356,AR361,AR362,AR365,AR366,AR367,AR368,AR371,AR372,AR378,AR384,AR388,AR391,AR394)</f>
        <v>-2</v>
      </c>
      <c r="AY361" s="326"/>
      <c r="AZ361" s="194" t="str">
        <f t="shared" si="287"/>
        <v>Low</v>
      </c>
      <c r="BA361" s="322">
        <f>AVERAGE(Z339,Z343,Z348,Z353,Z354,Z355,Z359,Z360,Z361,Z364,Z367,Z368,Z369,Z371,Z372,Z373,Z375,Z376,Z377,Z378,Z379,Z380,Z381,Z382)</f>
        <v>1</v>
      </c>
      <c r="BB361" s="322">
        <f t="shared" si="288"/>
        <v>1</v>
      </c>
      <c r="BC361" s="322">
        <f t="shared" si="289"/>
        <v>0.5</v>
      </c>
      <c r="BD361" s="322">
        <f t="shared" si="290"/>
        <v>1.166666667</v>
      </c>
      <c r="BE361" s="326"/>
      <c r="BF361" s="194" t="str">
        <f t="shared" si="291"/>
        <v>Low</v>
      </c>
      <c r="BH361" s="96"/>
      <c r="BI361" s="350"/>
      <c r="BJ361" s="325"/>
    </row>
    <row r="362" ht="14.25" customHeight="1">
      <c r="A362" s="1"/>
      <c r="B362" s="1"/>
      <c r="C362" s="308" t="s">
        <v>584</v>
      </c>
      <c r="D362" s="354">
        <f>E362-F362</f>
        <v>3.833333333</v>
      </c>
      <c r="E362" s="354">
        <v>5.5</v>
      </c>
      <c r="F362" s="349">
        <f>G362</f>
        <v>1.666666667</v>
      </c>
      <c r="G362" s="349">
        <f>(G361-G360)/3</f>
        <v>1.666666667</v>
      </c>
      <c r="H362" s="349">
        <v>6.666666666666667</v>
      </c>
      <c r="I362" s="1"/>
      <c r="J362" s="308"/>
      <c r="K362" s="316"/>
      <c r="L362" s="316"/>
      <c r="M362" s="1"/>
      <c r="N362" s="1"/>
      <c r="O362" s="1"/>
      <c r="P362" s="1"/>
      <c r="Q362" s="1"/>
      <c r="R362" s="1"/>
      <c r="S362" s="1"/>
      <c r="T362" s="1"/>
      <c r="U362" s="1"/>
      <c r="V362" s="1"/>
      <c r="W362" s="60"/>
      <c r="X362" s="60"/>
      <c r="Y362" s="60"/>
      <c r="Z362" s="1"/>
      <c r="AA362" s="1"/>
      <c r="AB362" s="194"/>
      <c r="AC362" s="200"/>
      <c r="AD362" s="200"/>
      <c r="AE362" s="191" t="str">
        <f>Exposure!D35</f>
        <v>Sewer lines </v>
      </c>
      <c r="AF362" s="353">
        <f>Exposure!I35</f>
        <v>1</v>
      </c>
      <c r="AG362" s="326"/>
      <c r="AH362" s="194" t="str">
        <f t="shared" si="284"/>
        <v>Low</v>
      </c>
      <c r="AI362" s="200"/>
      <c r="AJ362" s="328"/>
      <c r="AK362" s="191" t="str">
        <f>Sensitivity!D35</f>
        <v>Sewer lines </v>
      </c>
      <c r="AL362" s="317">
        <f>Sensitivity!I35</f>
        <v>1</v>
      </c>
      <c r="AM362" s="326"/>
      <c r="AN362" s="194" t="str">
        <f t="shared" si="285"/>
        <v>Low</v>
      </c>
      <c r="AO362" s="200"/>
      <c r="AP362" s="328"/>
      <c r="AQ362" s="191" t="str">
        <f>'Adaptive Capacity'!D35</f>
        <v>Sewer lines </v>
      </c>
      <c r="AR362" s="317">
        <f>'Adaptive Capacity'!I35</f>
        <v>3</v>
      </c>
      <c r="AS362" s="326"/>
      <c r="AT362" s="194" t="str">
        <f t="shared" si="286"/>
        <v>Good</v>
      </c>
      <c r="AU362" s="200"/>
      <c r="AV362" s="314"/>
      <c r="AW362" s="189" t="str">
        <f t="shared" si="292"/>
        <v>Sewer lines </v>
      </c>
      <c r="AX362" s="353">
        <f>AVERAGE(AL347,AL362,AL363,AL372,AL375,AL384,AL393,AL394)-AVERAGE(AR347,AR362,AR363,AR372,AR375,AR384,AR393,AR394)</f>
        <v>-2</v>
      </c>
      <c r="AY362" s="326"/>
      <c r="AZ362" s="194" t="str">
        <f t="shared" si="287"/>
        <v>Low</v>
      </c>
      <c r="BA362" s="322">
        <f>AVERAGE(Z339,Z343,Z346,Z348,Z353,Z354,Z355,Z359,Z360,Z361,Z365,Z367,Z368,Z369,Z371,Z373,Z377,Z378,Z379,Z380,Z382)</f>
        <v>1</v>
      </c>
      <c r="BB362" s="322">
        <f t="shared" si="288"/>
        <v>1</v>
      </c>
      <c r="BC362" s="322">
        <f t="shared" si="289"/>
        <v>0.5</v>
      </c>
      <c r="BD362" s="322">
        <f t="shared" si="290"/>
        <v>1.166666667</v>
      </c>
      <c r="BE362" s="326"/>
      <c r="BF362" s="194" t="str">
        <f t="shared" si="291"/>
        <v>Low</v>
      </c>
      <c r="BH362" s="96"/>
      <c r="BI362" s="350"/>
      <c r="BJ362" s="325"/>
    </row>
    <row r="363" ht="14.25" customHeight="1">
      <c r="A363" s="1"/>
      <c r="B363" s="1"/>
      <c r="C363" s="1"/>
      <c r="D363" s="1"/>
      <c r="E363" s="1"/>
      <c r="F363" s="1"/>
      <c r="G363" s="1"/>
      <c r="H363" s="1"/>
      <c r="I363" s="1"/>
      <c r="J363" s="308"/>
      <c r="K363" s="316"/>
      <c r="L363" s="316"/>
      <c r="M363" s="1"/>
      <c r="N363" s="1"/>
      <c r="O363" s="1"/>
      <c r="P363" s="1"/>
      <c r="Q363" s="1"/>
      <c r="R363" s="1"/>
      <c r="S363" s="1"/>
      <c r="T363" s="1"/>
      <c r="U363" s="1"/>
      <c r="V363" s="1"/>
      <c r="W363" s="189">
        <v>6.0</v>
      </c>
      <c r="X363" s="189" t="str">
        <f>Hazard!C36</f>
        <v>Storms &amp; Upper Winds</v>
      </c>
      <c r="Y363" s="191" t="str">
        <f>Hazard!D36</f>
        <v>App or Freq</v>
      </c>
      <c r="Z363" s="317">
        <f>Hazard!I36</f>
        <v>1</v>
      </c>
      <c r="AA363" s="318">
        <f>AVERAGE(Z363:Z365)</f>
        <v>1</v>
      </c>
      <c r="AB363" s="194" t="str">
        <f t="shared" ref="AB363:AB365" si="293">IF(Z363&lt;=$D$338,$C$338,IF(Z363=$D$339,$C$339,$C$340))</f>
        <v>Low</v>
      </c>
      <c r="AC363" s="200"/>
      <c r="AD363" s="200"/>
      <c r="AE363" s="191" t="str">
        <f>Exposure!D36</f>
        <v>Power lines/supply</v>
      </c>
      <c r="AF363" s="353">
        <f>Exposure!I36</f>
        <v>1</v>
      </c>
      <c r="AG363" s="326"/>
      <c r="AH363" s="194" t="str">
        <f t="shared" si="284"/>
        <v>Low</v>
      </c>
      <c r="AI363" s="200"/>
      <c r="AJ363" s="328"/>
      <c r="AK363" s="191" t="str">
        <f>Sensitivity!D36</f>
        <v>Power lines/supply</v>
      </c>
      <c r="AL363" s="317">
        <f>Sensitivity!I36</f>
        <v>1</v>
      </c>
      <c r="AM363" s="326"/>
      <c r="AN363" s="194" t="str">
        <f t="shared" si="285"/>
        <v>Low</v>
      </c>
      <c r="AO363" s="200"/>
      <c r="AP363" s="328"/>
      <c r="AQ363" s="191" t="str">
        <f>'Adaptive Capacity'!D36</f>
        <v>Power lines/supply</v>
      </c>
      <c r="AR363" s="317">
        <f>'Adaptive Capacity'!I36</f>
        <v>3</v>
      </c>
      <c r="AS363" s="326"/>
      <c r="AT363" s="194" t="str">
        <f t="shared" si="286"/>
        <v>Good</v>
      </c>
      <c r="AU363" s="200"/>
      <c r="AV363" s="314"/>
      <c r="AW363" s="189" t="str">
        <f t="shared" si="292"/>
        <v>Power lines/supply</v>
      </c>
      <c r="AX363" s="353">
        <f>AVERAGE(AL349,AL363,AL352,AL375,AL391,AL392,AL393,AL394)-AVERAGE(AR349,AR352,AR363,AR375,AR391,AR392,AR393,AR394)</f>
        <v>-2</v>
      </c>
      <c r="AY363" s="326"/>
      <c r="AZ363" s="194" t="str">
        <f t="shared" si="287"/>
        <v>Low</v>
      </c>
      <c r="BA363" s="322">
        <f>AVERAGE(Z338,Z339,Z342,Z343,Z346,Z348,Z351,Z353,Z357,Z359,Z364,Z365,Z371,Z372,Z375,Z376,Z377,Z378,Z379,Z380,Z382)</f>
        <v>1.095238095</v>
      </c>
      <c r="BB363" s="322">
        <f t="shared" si="288"/>
        <v>1</v>
      </c>
      <c r="BC363" s="322">
        <f t="shared" si="289"/>
        <v>0.5</v>
      </c>
      <c r="BD363" s="322">
        <f t="shared" si="290"/>
        <v>1.261904762</v>
      </c>
      <c r="BE363" s="326"/>
      <c r="BF363" s="194" t="str">
        <f t="shared" si="291"/>
        <v>Low</v>
      </c>
      <c r="BH363" s="96"/>
      <c r="BI363" s="350"/>
      <c r="BJ363" s="325"/>
    </row>
    <row r="364" ht="14.25" customHeight="1">
      <c r="A364" s="1"/>
      <c r="B364" s="1"/>
      <c r="C364" s="1" t="s">
        <v>635</v>
      </c>
      <c r="D364" s="1"/>
      <c r="E364" s="1"/>
      <c r="F364" s="1"/>
      <c r="G364" s="1"/>
      <c r="H364" s="1"/>
      <c r="I364" s="1"/>
      <c r="J364" s="308"/>
      <c r="K364" s="316"/>
      <c r="L364" s="316"/>
      <c r="M364" s="1"/>
      <c r="N364" s="1"/>
      <c r="O364" s="1"/>
      <c r="P364" s="1"/>
      <c r="Q364" s="1"/>
      <c r="R364" s="1"/>
      <c r="S364" s="1"/>
      <c r="T364" s="1"/>
      <c r="U364" s="1"/>
      <c r="V364" s="1"/>
      <c r="W364" s="200"/>
      <c r="X364" s="200"/>
      <c r="Y364" s="191" t="str">
        <f>Hazard!D37</f>
        <v>Intensity</v>
      </c>
      <c r="Z364" s="317">
        <f>Hazard!I37</f>
        <v>1</v>
      </c>
      <c r="AA364" s="326"/>
      <c r="AB364" s="194" t="str">
        <f t="shared" si="293"/>
        <v>Low</v>
      </c>
      <c r="AC364" s="200"/>
      <c r="AD364" s="200"/>
      <c r="AE364" s="191" t="str">
        <f>Exposure!D37</f>
        <v>Energy for HH use </v>
      </c>
      <c r="AF364" s="353">
        <f>Exposure!I37</f>
        <v>1</v>
      </c>
      <c r="AG364" s="326"/>
      <c r="AH364" s="194" t="str">
        <f t="shared" si="284"/>
        <v>Low</v>
      </c>
      <c r="AI364" s="200"/>
      <c r="AJ364" s="328"/>
      <c r="AK364" s="191" t="str">
        <f>Sensitivity!D37</f>
        <v>Energy for HH use </v>
      </c>
      <c r="AL364" s="317">
        <f>Sensitivity!I37</f>
        <v>1</v>
      </c>
      <c r="AM364" s="326"/>
      <c r="AN364" s="194" t="str">
        <f t="shared" si="285"/>
        <v>Low</v>
      </c>
      <c r="AO364" s="200"/>
      <c r="AP364" s="328"/>
      <c r="AQ364" s="191" t="str">
        <f>'Adaptive Capacity'!D37</f>
        <v>Energy for HH use </v>
      </c>
      <c r="AR364" s="317">
        <f>'Adaptive Capacity'!I37</f>
        <v>3</v>
      </c>
      <c r="AS364" s="326"/>
      <c r="AT364" s="194" t="str">
        <f t="shared" si="286"/>
        <v>Good</v>
      </c>
      <c r="AU364" s="200"/>
      <c r="AV364" s="314"/>
      <c r="AW364" s="189" t="str">
        <f t="shared" si="292"/>
        <v>Energy for HH use </v>
      </c>
      <c r="AX364" s="353">
        <f>AVERAGE(AL348,AL364,AL363,AL391,AL392,AL393,AL394)-AVERAGE(AR348,AR363,AR364,AR391,AR392,AR393,AR394)</f>
        <v>-2</v>
      </c>
      <c r="AY364" s="326"/>
      <c r="AZ364" s="194" t="str">
        <f t="shared" si="287"/>
        <v>Low</v>
      </c>
      <c r="BA364" s="322">
        <f>AVERAGE(Z339,Z343,Z348,Z353,Z359,Z364,Z367,Z368,Z369,Z375,Z376,Z377,Z379,Z381,Z382)</f>
        <v>1</v>
      </c>
      <c r="BB364" s="322">
        <f t="shared" si="288"/>
        <v>1</v>
      </c>
      <c r="BC364" s="322">
        <f t="shared" si="289"/>
        <v>0.5</v>
      </c>
      <c r="BD364" s="322">
        <f t="shared" si="290"/>
        <v>1.166666667</v>
      </c>
      <c r="BE364" s="326"/>
      <c r="BF364" s="194" t="str">
        <f t="shared" si="291"/>
        <v>Low</v>
      </c>
      <c r="BH364" s="96"/>
      <c r="BI364" s="350"/>
      <c r="BJ364" s="325"/>
    </row>
    <row r="365" ht="14.25" customHeight="1">
      <c r="A365" s="1"/>
      <c r="B365" s="1"/>
      <c r="C365" s="352" t="s">
        <v>628</v>
      </c>
      <c r="D365" s="69"/>
      <c r="E365" s="178"/>
      <c r="F365" s="1"/>
      <c r="G365" s="1"/>
      <c r="H365" s="1"/>
      <c r="I365" s="1"/>
      <c r="J365" s="308"/>
      <c r="K365" s="316"/>
      <c r="L365" s="316"/>
      <c r="M365" s="1"/>
      <c r="N365" s="1"/>
      <c r="O365" s="1"/>
      <c r="P365" s="1"/>
      <c r="Q365" s="1"/>
      <c r="R365" s="1"/>
      <c r="S365" s="1"/>
      <c r="T365" s="1"/>
      <c r="U365" s="1"/>
      <c r="V365" s="1"/>
      <c r="W365" s="200"/>
      <c r="X365" s="200"/>
      <c r="Y365" s="191" t="str">
        <f>Hazard!D38</f>
        <v>Impact</v>
      </c>
      <c r="Z365" s="317">
        <f>Hazard!I38</f>
        <v>1</v>
      </c>
      <c r="AA365" s="331"/>
      <c r="AB365" s="194" t="str">
        <f t="shared" si="293"/>
        <v>Low</v>
      </c>
      <c r="AC365" s="200"/>
      <c r="AD365" s="200"/>
      <c r="AE365" s="191" t="str">
        <f>Exposure!D38</f>
        <v>Water pipes </v>
      </c>
      <c r="AF365" s="353">
        <f>Exposure!I38</f>
        <v>1</v>
      </c>
      <c r="AG365" s="326"/>
      <c r="AH365" s="194" t="str">
        <f t="shared" si="284"/>
        <v>Low</v>
      </c>
      <c r="AI365" s="200"/>
      <c r="AJ365" s="328"/>
      <c r="AK365" s="191" t="str">
        <f>Sensitivity!D38</f>
        <v>Water pipes </v>
      </c>
      <c r="AL365" s="317">
        <f>Sensitivity!I38</f>
        <v>1</v>
      </c>
      <c r="AM365" s="326"/>
      <c r="AN365" s="194" t="str">
        <f t="shared" si="285"/>
        <v>Low</v>
      </c>
      <c r="AO365" s="200"/>
      <c r="AP365" s="328"/>
      <c r="AQ365" s="191" t="str">
        <f>'Adaptive Capacity'!D38</f>
        <v>Water pipes </v>
      </c>
      <c r="AR365" s="317">
        <f>'Adaptive Capacity'!I38</f>
        <v>3</v>
      </c>
      <c r="AS365" s="326"/>
      <c r="AT365" s="194" t="str">
        <f t="shared" si="286"/>
        <v>Good</v>
      </c>
      <c r="AU365" s="200"/>
      <c r="AV365" s="314"/>
      <c r="AW365" s="189" t="str">
        <f t="shared" si="292"/>
        <v>Water pipes </v>
      </c>
      <c r="AX365" s="353">
        <f>AVERAGE(AL349,AL366,AL363,AL371,AL373,AL380,AL384,AL389,AL391,AL392,AL393,AL394)-AVERAGE(AR349,AR363,AR366,AR371,AR373,AR380,AR384,AR389,AR391,AR392,AR393,AR394)</f>
        <v>-2</v>
      </c>
      <c r="AY365" s="326"/>
      <c r="AZ365" s="194" t="str">
        <f t="shared" si="287"/>
        <v>Low</v>
      </c>
      <c r="BA365" s="322">
        <f>AVERAGE(Z339,Z348,Z353,Z343,Z346,Z354,Z355,Z359,Z360,Z361,Z365,Z367,Z368,Z369,Z371,Z372,Z373,Z377,Z378,Z379,Z380,Z382)</f>
        <v>1</v>
      </c>
      <c r="BB365" s="322">
        <f t="shared" si="288"/>
        <v>1</v>
      </c>
      <c r="BC365" s="322">
        <f t="shared" si="289"/>
        <v>0.5</v>
      </c>
      <c r="BD365" s="322">
        <f t="shared" si="290"/>
        <v>1.166666667</v>
      </c>
      <c r="BE365" s="326"/>
      <c r="BF365" s="194" t="str">
        <f t="shared" si="291"/>
        <v>Low</v>
      </c>
      <c r="BH365" s="96"/>
      <c r="BJ365" s="206"/>
      <c r="BK365" s="342" t="str">
        <f>" "</f>
        <v> </v>
      </c>
    </row>
    <row r="366" ht="14.25" customHeight="1">
      <c r="A366" s="1"/>
      <c r="B366" s="1"/>
      <c r="C366" s="308"/>
      <c r="D366" s="309" t="s">
        <v>631</v>
      </c>
      <c r="E366" s="309" t="s">
        <v>634</v>
      </c>
      <c r="F366" s="1"/>
      <c r="G366" s="1"/>
      <c r="H366" s="1"/>
      <c r="I366" s="1"/>
      <c r="J366" s="308"/>
      <c r="K366" s="316"/>
      <c r="L366" s="316"/>
      <c r="M366" s="1"/>
      <c r="N366" s="1"/>
      <c r="O366" s="1"/>
      <c r="P366" s="1"/>
      <c r="Q366" s="1"/>
      <c r="R366" s="1"/>
      <c r="S366" s="1"/>
      <c r="T366" s="1"/>
      <c r="U366" s="1"/>
      <c r="W366" s="96"/>
      <c r="X366" s="96"/>
      <c r="Y366" s="96"/>
      <c r="Z366" s="96"/>
      <c r="AA366" s="355"/>
      <c r="AB366" s="194"/>
      <c r="AC366" s="200"/>
      <c r="AD366" s="200"/>
      <c r="AE366" s="191" t="str">
        <f>Exposure!D39</f>
        <v>PWT</v>
      </c>
      <c r="AF366" s="353">
        <f>Exposure!I39</f>
        <v>1</v>
      </c>
      <c r="AG366" s="326"/>
      <c r="AH366" s="194" t="str">
        <f t="shared" si="284"/>
        <v>Low</v>
      </c>
      <c r="AI366" s="200"/>
      <c r="AJ366" s="328"/>
      <c r="AK366" s="191" t="str">
        <f>Sensitivity!D39</f>
        <v>PWT</v>
      </c>
      <c r="AL366" s="317">
        <f>Sensitivity!I39</f>
        <v>1</v>
      </c>
      <c r="AM366" s="326"/>
      <c r="AN366" s="194" t="str">
        <f t="shared" si="285"/>
        <v>Low</v>
      </c>
      <c r="AO366" s="200"/>
      <c r="AP366" s="328"/>
      <c r="AQ366" s="191" t="str">
        <f>'Adaptive Capacity'!D39</f>
        <v>PWT</v>
      </c>
      <c r="AR366" s="317">
        <f>'Adaptive Capacity'!I39</f>
        <v>3</v>
      </c>
      <c r="AS366" s="326"/>
      <c r="AT366" s="194" t="str">
        <f t="shared" si="286"/>
        <v>Good</v>
      </c>
      <c r="AU366" s="200"/>
      <c r="AV366" s="314"/>
      <c r="AW366" s="189" t="str">
        <f t="shared" si="292"/>
        <v>PWT</v>
      </c>
      <c r="AX366" s="353">
        <f>AVERAGE(AL366,AL363,AL372,AL380,AL382,AL391,AL392,AL393,AL394)-AVERAGE(AR363,AR366,AR372,AR380,AR382,AR391,AR392,AR393,AR394)</f>
        <v>-2</v>
      </c>
      <c r="AY366" s="326"/>
      <c r="AZ366" s="194" t="str">
        <f t="shared" si="287"/>
        <v>Low</v>
      </c>
      <c r="BA366" s="322">
        <f>AVERAGE(Z339,Z343,Z348,Z351,Z354,Z357,Z360,Z367,Z368,Z369,Z371,Z379,Z382)</f>
        <v>1</v>
      </c>
      <c r="BB366" s="322">
        <f t="shared" si="288"/>
        <v>1</v>
      </c>
      <c r="BC366" s="322">
        <f t="shared" si="289"/>
        <v>0.5</v>
      </c>
      <c r="BD366" s="322">
        <f t="shared" si="290"/>
        <v>1.166666667</v>
      </c>
      <c r="BE366" s="326"/>
      <c r="BF366" s="194" t="str">
        <f t="shared" si="291"/>
        <v>Low</v>
      </c>
      <c r="BG366" s="356" t="s">
        <v>611</v>
      </c>
      <c r="BI366" s="357" t="s">
        <v>636</v>
      </c>
      <c r="BJ366" s="357" t="s">
        <v>584</v>
      </c>
      <c r="BK366" s="357" t="s">
        <v>637</v>
      </c>
      <c r="BM366" s="299" t="s">
        <v>578</v>
      </c>
    </row>
    <row r="367" ht="14.25" customHeight="1">
      <c r="A367" s="1"/>
      <c r="B367" s="1"/>
      <c r="C367" s="308" t="s">
        <v>582</v>
      </c>
      <c r="D367" s="354">
        <v>0.05</v>
      </c>
      <c r="E367" s="354">
        <f>D367+G369</f>
        <v>0.05</v>
      </c>
      <c r="F367" s="1"/>
      <c r="G367" s="1"/>
      <c r="H367" s="1"/>
      <c r="I367" s="1"/>
      <c r="J367" s="308"/>
      <c r="K367" s="316"/>
      <c r="L367" s="316"/>
      <c r="M367" s="1"/>
      <c r="N367" s="1"/>
      <c r="O367" s="1"/>
      <c r="P367" s="1"/>
      <c r="Q367" s="1"/>
      <c r="R367" s="1"/>
      <c r="S367" s="1"/>
      <c r="T367" s="1"/>
      <c r="U367" s="1"/>
      <c r="W367" s="189">
        <v>7.0</v>
      </c>
      <c r="X367" s="189" t="str">
        <f>Hazard!C40</f>
        <v>Pollution</v>
      </c>
      <c r="Y367" s="191" t="str">
        <f>Hazard!D40</f>
        <v>App or Freq</v>
      </c>
      <c r="Z367" s="317">
        <f>Hazard!I40</f>
        <v>1</v>
      </c>
      <c r="AA367" s="318">
        <f>AVERAGE(Z367:Z369)</f>
        <v>1</v>
      </c>
      <c r="AB367" s="194" t="str">
        <f t="shared" ref="AB367:AB369" si="294">IF(Z367&lt;=$D$338,$C$338,IF(Z367=$D$339,$C$339,$C$340))</f>
        <v>Low</v>
      </c>
      <c r="AC367" s="200"/>
      <c r="AD367" s="200"/>
      <c r="AE367" s="191" t="str">
        <f>Exposure!D40</f>
        <v>Water Storage</v>
      </c>
      <c r="AF367" s="353">
        <f>Exposure!I40</f>
        <v>1</v>
      </c>
      <c r="AG367" s="326"/>
      <c r="AH367" s="194" t="str">
        <f t="shared" si="284"/>
        <v>Low</v>
      </c>
      <c r="AI367" s="200"/>
      <c r="AJ367" s="328"/>
      <c r="AK367" s="191" t="str">
        <f>Sensitivity!D40</f>
        <v>Water Storage</v>
      </c>
      <c r="AL367" s="317">
        <f>Sensitivity!I40</f>
        <v>1</v>
      </c>
      <c r="AM367" s="326"/>
      <c r="AN367" s="194" t="str">
        <f t="shared" si="285"/>
        <v>Low</v>
      </c>
      <c r="AO367" s="200"/>
      <c r="AP367" s="328"/>
      <c r="AQ367" s="191" t="str">
        <f>'Adaptive Capacity'!D40</f>
        <v>Water Storage</v>
      </c>
      <c r="AR367" s="317">
        <f>'Adaptive Capacity'!I40</f>
        <v>3</v>
      </c>
      <c r="AS367" s="326"/>
      <c r="AT367" s="194" t="str">
        <f t="shared" si="286"/>
        <v>Good</v>
      </c>
      <c r="AU367" s="200"/>
      <c r="AV367" s="314"/>
      <c r="AW367" s="189" t="str">
        <f t="shared" si="292"/>
        <v>Water Storage</v>
      </c>
      <c r="AX367" s="353">
        <f>AVERAGE(AL367,AL348,AL352,AL365,AL368,AL371,AL372,AL373,AL382,AL386,AL387,AL389,AL391,AL393)-AVERAGE(AR348,AR352,AR365,AR367,AR368,AR371,AR372,AR373,AR382,AR386,AR387,AR389,AR391,AR393)</f>
        <v>-2</v>
      </c>
      <c r="AY367" s="326"/>
      <c r="AZ367" s="194" t="str">
        <f t="shared" si="287"/>
        <v>Low</v>
      </c>
      <c r="BA367" s="322">
        <f>AVERAGE(Z338,Z339,Z340,Z343,Z344,Z346,Z348,Z355,Z361,Z364,Z365,Z367,Z368,Z369,Z376,Z381,Z382)</f>
        <v>1.117647059</v>
      </c>
      <c r="BB367" s="322">
        <f t="shared" si="288"/>
        <v>1</v>
      </c>
      <c r="BC367" s="322">
        <f t="shared" si="289"/>
        <v>0.5</v>
      </c>
      <c r="BD367" s="322">
        <f t="shared" si="290"/>
        <v>1.284313725</v>
      </c>
      <c r="BE367" s="326"/>
      <c r="BF367" s="194" t="str">
        <f t="shared" si="291"/>
        <v>Low</v>
      </c>
      <c r="BG367" s="356"/>
      <c r="BH367" s="208" t="str">
        <f t="shared" ref="BH367:BH372" si="295">BH346</f>
        <v>Livelihoods</v>
      </c>
      <c r="BI367" s="254">
        <f t="shared" ref="BI367:BI372" si="296">$D$360+($F$362/2)</f>
        <v>1.333333333</v>
      </c>
      <c r="BJ367" s="254">
        <f t="shared" ref="BJ367:BJ372" si="297">$E$362-($F$362/2)</f>
        <v>4.666666667</v>
      </c>
      <c r="BK367" s="254">
        <f t="shared" ref="BK367:BK372" si="298">BI367+$F$362</f>
        <v>3</v>
      </c>
      <c r="BL367" s="358">
        <f t="shared" ref="BL367:BL372" si="299">BI354</f>
        <v>1.247632906</v>
      </c>
      <c r="BM367" s="299" t="s">
        <v>638</v>
      </c>
    </row>
    <row r="368" ht="14.25" customHeight="1">
      <c r="A368" s="1"/>
      <c r="B368" s="1"/>
      <c r="C368" s="308" t="s">
        <v>613</v>
      </c>
      <c r="D368" s="354">
        <f>E367</f>
        <v>0.05</v>
      </c>
      <c r="E368" s="354">
        <f>D369</f>
        <v>20.7</v>
      </c>
      <c r="F368" s="1"/>
      <c r="G368" s="1"/>
      <c r="H368" s="1"/>
      <c r="I368" s="1"/>
      <c r="J368" s="1"/>
      <c r="K368" s="1"/>
      <c r="L368" s="1"/>
      <c r="M368" s="1"/>
      <c r="N368" s="1"/>
      <c r="O368" s="1"/>
      <c r="P368" s="1"/>
      <c r="Q368" s="1"/>
      <c r="R368" s="1"/>
      <c r="S368" s="1"/>
      <c r="T368" s="1"/>
      <c r="U368" s="1"/>
      <c r="W368" s="200"/>
      <c r="X368" s="200"/>
      <c r="Y368" s="191" t="str">
        <f>Hazard!D41</f>
        <v>Intensity</v>
      </c>
      <c r="Z368" s="317">
        <f>Hazard!I41</f>
        <v>1</v>
      </c>
      <c r="AA368" s="326"/>
      <c r="AB368" s="194" t="str">
        <f t="shared" si="294"/>
        <v>Low</v>
      </c>
      <c r="AC368" s="200"/>
      <c r="AD368" s="200"/>
      <c r="AE368" s="191" t="str">
        <f>Exposure!D41</f>
        <v>R &amp; T</v>
      </c>
      <c r="AF368" s="353">
        <f>Exposure!I41</f>
        <v>1</v>
      </c>
      <c r="AG368" s="326"/>
      <c r="AH368" s="194" t="str">
        <f t="shared" si="284"/>
        <v>Low</v>
      </c>
      <c r="AI368" s="200"/>
      <c r="AJ368" s="328"/>
      <c r="AK368" s="191" t="str">
        <f>Sensitivity!D41</f>
        <v>R &amp; T</v>
      </c>
      <c r="AL368" s="317">
        <f>Sensitivity!I41</f>
        <v>1</v>
      </c>
      <c r="AM368" s="326"/>
      <c r="AN368" s="194" t="str">
        <f t="shared" si="285"/>
        <v>Low</v>
      </c>
      <c r="AO368" s="200"/>
      <c r="AP368" s="328"/>
      <c r="AQ368" s="191" t="str">
        <f>'Adaptive Capacity'!D41</f>
        <v>R &amp; T</v>
      </c>
      <c r="AR368" s="317">
        <f>'Adaptive Capacity'!I41</f>
        <v>3</v>
      </c>
      <c r="AS368" s="326"/>
      <c r="AT368" s="194" t="str">
        <f t="shared" si="286"/>
        <v>Good</v>
      </c>
      <c r="AU368" s="200"/>
      <c r="AV368" s="314"/>
      <c r="AW368" s="189" t="str">
        <f t="shared" si="292"/>
        <v>R &amp; T</v>
      </c>
      <c r="AX368" s="353">
        <f>AVERAGE(AL368,AL348,AL349,AL352,AL384,AL391,AL392,AL393,AL394)-AVERAGE(AR348,AR349,AR352,AR368,AR384,AR391,AR392,AR393,AR394)</f>
        <v>-2</v>
      </c>
      <c r="AY368" s="326"/>
      <c r="AZ368" s="194" t="str">
        <f t="shared" si="287"/>
        <v>Low</v>
      </c>
      <c r="BA368" s="322">
        <f>AVERAGE(Z338,Z339,Z342,Z343,Z346,Z349,Z351,Z353,Z354,Z355,Z357,Z359,Z360,Z361,Z364,Z365,Z367,Z368,Z369,Z371,Z375,Z376,Z377,Z378,Z380)</f>
        <v>1.08</v>
      </c>
      <c r="BB368" s="322">
        <f t="shared" si="288"/>
        <v>1</v>
      </c>
      <c r="BC368" s="322">
        <f t="shared" si="289"/>
        <v>0.5</v>
      </c>
      <c r="BD368" s="322">
        <f t="shared" si="290"/>
        <v>1.246666667</v>
      </c>
      <c r="BE368" s="326"/>
      <c r="BF368" s="194" t="str">
        <f t="shared" si="291"/>
        <v>Low</v>
      </c>
      <c r="BG368" s="356"/>
      <c r="BH368" s="208" t="str">
        <f t="shared" si="295"/>
        <v>Health &amp; Safety</v>
      </c>
      <c r="BI368" s="254">
        <f t="shared" si="296"/>
        <v>1.333333333</v>
      </c>
      <c r="BJ368" s="254">
        <f t="shared" si="297"/>
        <v>4.666666667</v>
      </c>
      <c r="BK368" s="254">
        <f t="shared" si="298"/>
        <v>3</v>
      </c>
      <c r="BL368" s="358">
        <f t="shared" si="299"/>
        <v>1.213323774</v>
      </c>
    </row>
    <row r="369" ht="14.25" customHeight="1">
      <c r="A369" s="1"/>
      <c r="B369" s="1"/>
      <c r="C369" s="308" t="s">
        <v>584</v>
      </c>
      <c r="D369" s="354">
        <f>E369-G369</f>
        <v>20.7</v>
      </c>
      <c r="E369" s="354">
        <v>20.7</v>
      </c>
      <c r="F369" s="1"/>
      <c r="G369" s="1"/>
      <c r="H369" s="1"/>
      <c r="I369" s="1"/>
      <c r="J369" s="1"/>
      <c r="K369" s="1"/>
      <c r="L369" s="1"/>
      <c r="M369" s="1"/>
      <c r="N369" s="1"/>
      <c r="O369" s="1"/>
      <c r="P369" s="1"/>
      <c r="Q369" s="1"/>
      <c r="R369" s="1"/>
      <c r="S369" s="1"/>
      <c r="T369" s="1"/>
      <c r="U369" s="1"/>
      <c r="W369" s="200"/>
      <c r="X369" s="200"/>
      <c r="Y369" s="191" t="str">
        <f>Hazard!D42</f>
        <v>Impact</v>
      </c>
      <c r="Z369" s="317">
        <f>Hazard!I42</f>
        <v>1</v>
      </c>
      <c r="AA369" s="331"/>
      <c r="AB369" s="194" t="str">
        <f t="shared" si="294"/>
        <v>Low</v>
      </c>
      <c r="AC369" s="201"/>
      <c r="AD369" s="201"/>
      <c r="AE369" s="191" t="str">
        <f>Exposure!D42</f>
        <v>Communication </v>
      </c>
      <c r="AF369" s="353">
        <f>Exposure!I42</f>
        <v>1</v>
      </c>
      <c r="AG369" s="359"/>
      <c r="AH369" s="194" t="str">
        <f t="shared" si="284"/>
        <v>Low</v>
      </c>
      <c r="AI369" s="201"/>
      <c r="AJ369" s="328"/>
      <c r="AK369" s="191" t="str">
        <f>Sensitivity!D42</f>
        <v>Communication </v>
      </c>
      <c r="AL369" s="317">
        <f>Sensitivity!I42</f>
        <v>1</v>
      </c>
      <c r="AM369" s="359"/>
      <c r="AN369" s="194" t="str">
        <f t="shared" si="285"/>
        <v>Low</v>
      </c>
      <c r="AO369" s="201"/>
      <c r="AP369" s="328"/>
      <c r="AQ369" s="191" t="str">
        <f>'Adaptive Capacity'!D42</f>
        <v>Communication </v>
      </c>
      <c r="AR369" s="317">
        <f>'Adaptive Capacity'!I42</f>
        <v>3</v>
      </c>
      <c r="AS369" s="359"/>
      <c r="AT369" s="194" t="str">
        <f t="shared" si="286"/>
        <v>Good</v>
      </c>
      <c r="AU369" s="201"/>
      <c r="AV369" s="323"/>
      <c r="AW369" s="189" t="str">
        <f t="shared" si="292"/>
        <v>Communication </v>
      </c>
      <c r="AX369" s="353">
        <f>AVERAGE(AL369,AL349,AL352,AL363,AL364,AL375,AL391,AL392,AL393,AL394)-AVERAGE(AR349,AR352,AR363,AR364,AR369,AR375,AR391,AR392,AR393,AR394)</f>
        <v>-2</v>
      </c>
      <c r="AY369" s="359"/>
      <c r="AZ369" s="194" t="str">
        <f t="shared" si="287"/>
        <v>Low</v>
      </c>
      <c r="BA369" s="322">
        <f>AVERAGE(Z338,Z339,Z342,Z343,Z351,Z353,Z357,Z359,Z364,Z365,Z371,Z372,Z375,Z376,Z377,Z378,Z379,Z380,Z382)</f>
        <v>1.105263158</v>
      </c>
      <c r="BB369" s="322">
        <f t="shared" si="288"/>
        <v>1</v>
      </c>
      <c r="BC369" s="322">
        <f t="shared" si="289"/>
        <v>0.5</v>
      </c>
      <c r="BD369" s="322">
        <f t="shared" si="290"/>
        <v>1.271929825</v>
      </c>
      <c r="BE369" s="359"/>
      <c r="BF369" s="194" t="str">
        <f t="shared" si="291"/>
        <v>Low</v>
      </c>
      <c r="BG369" s="356"/>
      <c r="BH369" s="208" t="str">
        <f t="shared" si="295"/>
        <v>Assets and Utilities</v>
      </c>
      <c r="BI369" s="254">
        <f t="shared" si="296"/>
        <v>1.333333333</v>
      </c>
      <c r="BJ369" s="254">
        <f t="shared" si="297"/>
        <v>4.666666667</v>
      </c>
      <c r="BK369" s="254">
        <f t="shared" si="298"/>
        <v>3</v>
      </c>
      <c r="BL369" s="358">
        <f t="shared" si="299"/>
        <v>1.199845693</v>
      </c>
    </row>
    <row r="370" ht="14.25" customHeight="1">
      <c r="A370" s="1"/>
      <c r="B370" s="1"/>
      <c r="C370" s="1"/>
      <c r="D370" s="1"/>
      <c r="E370" s="1"/>
      <c r="F370" s="1"/>
      <c r="G370" s="1"/>
      <c r="H370" s="1"/>
      <c r="I370" s="1"/>
      <c r="J370" s="1"/>
      <c r="K370" s="1"/>
      <c r="L370" s="1"/>
      <c r="M370" s="1"/>
      <c r="N370" s="1"/>
      <c r="O370" s="1"/>
      <c r="P370" s="1"/>
      <c r="Q370" s="1"/>
      <c r="R370" s="1"/>
      <c r="S370" s="1"/>
      <c r="T370" s="1"/>
      <c r="U370" s="1"/>
      <c r="W370" s="238"/>
      <c r="X370" s="238"/>
      <c r="AA370" s="97"/>
      <c r="AB370" s="194"/>
      <c r="AC370" s="209" t="str">
        <f t="shared" ref="AC370:AE370" si="300">" "</f>
        <v> </v>
      </c>
      <c r="AD370" s="209" t="str">
        <f t="shared" si="300"/>
        <v> </v>
      </c>
      <c r="AE370" s="1" t="str">
        <f t="shared" si="300"/>
        <v> </v>
      </c>
      <c r="AF370" s="1"/>
      <c r="AG370" s="60"/>
      <c r="AI370" s="209" t="str">
        <f>" "</f>
        <v> </v>
      </c>
      <c r="AJ370" s="346"/>
      <c r="AK370" s="204"/>
      <c r="AL370" s="335"/>
      <c r="AM370" s="336"/>
      <c r="AN370" s="194"/>
      <c r="AO370" s="209" t="str">
        <f>" "</f>
        <v> </v>
      </c>
      <c r="AP370" s="346"/>
      <c r="AQ370" s="204"/>
      <c r="AR370" s="317" t="str">
        <f>'Adaptive Capacity'!I43</f>
        <v/>
      </c>
      <c r="AS370" s="336"/>
      <c r="AT370" s="194"/>
      <c r="AU370" s="209" t="str">
        <f t="shared" ref="AU370:AV370" si="301">" "</f>
        <v> </v>
      </c>
      <c r="AV370" s="238" t="str">
        <f t="shared" si="301"/>
        <v> </v>
      </c>
      <c r="AW370" s="1"/>
      <c r="AX370" s="1"/>
      <c r="AY370" s="60"/>
      <c r="AZ370" s="194"/>
      <c r="BA370" s="347"/>
      <c r="BB370" s="322"/>
      <c r="BC370" s="322"/>
      <c r="BD370" s="322"/>
      <c r="BE370" s="60"/>
      <c r="BF370" s="194" t="str">
        <f t="shared" si="291"/>
        <v>Low</v>
      </c>
      <c r="BG370" s="356"/>
      <c r="BH370" s="208" t="str">
        <f t="shared" si="295"/>
        <v>Potable water </v>
      </c>
      <c r="BI370" s="254">
        <f t="shared" si="296"/>
        <v>1.333333333</v>
      </c>
      <c r="BJ370" s="254">
        <f t="shared" si="297"/>
        <v>4.666666667</v>
      </c>
      <c r="BK370" s="254">
        <f t="shared" si="298"/>
        <v>3</v>
      </c>
      <c r="BL370" s="358">
        <f t="shared" si="299"/>
        <v>1.166666667</v>
      </c>
    </row>
    <row r="371" ht="14.25" customHeight="1">
      <c r="A371" s="1"/>
      <c r="B371" s="1"/>
      <c r="C371" s="1"/>
      <c r="D371" s="1"/>
      <c r="E371" s="1"/>
      <c r="F371" s="1"/>
      <c r="G371" s="1"/>
      <c r="H371" s="1"/>
      <c r="I371" s="1"/>
      <c r="J371" s="1"/>
      <c r="K371" s="1"/>
      <c r="L371" s="1"/>
      <c r="M371" s="1"/>
      <c r="N371" s="1"/>
      <c r="O371" s="1"/>
      <c r="P371" s="1"/>
      <c r="Q371" s="1"/>
      <c r="R371" s="1"/>
      <c r="S371" s="1"/>
      <c r="T371" s="1"/>
      <c r="U371" s="1"/>
      <c r="W371" s="189">
        <v>8.0</v>
      </c>
      <c r="X371" s="189" t="str">
        <f>Hazard!C44</f>
        <v>LUI</v>
      </c>
      <c r="Y371" s="191" t="str">
        <f>Hazard!D44</f>
        <v>Applicability</v>
      </c>
      <c r="Z371" s="317">
        <f>Hazard!I44</f>
        <v>1</v>
      </c>
      <c r="AA371" s="318">
        <f>AVERAGE(Z371:Z373)</f>
        <v>1</v>
      </c>
      <c r="AB371" s="194" t="str">
        <f t="shared" ref="AB371:AB373" si="303">IF(Z371&lt;=$D$338,$C$338,IF(Z371=$D$339,$C$339,$C$340))</f>
        <v>Low</v>
      </c>
      <c r="AC371" s="189">
        <v>4.0</v>
      </c>
      <c r="AD371" s="189" t="str">
        <f>Exposure!C44</f>
        <v>Potable water </v>
      </c>
      <c r="AE371" s="191" t="str">
        <f>Exposure!D44</f>
        <v>Access</v>
      </c>
      <c r="AF371" s="317">
        <f>Exposure!I44</f>
        <v>1</v>
      </c>
      <c r="AG371" s="318">
        <f>AVERAGE(AF371:AF373)</f>
        <v>1</v>
      </c>
      <c r="AH371" s="194" t="str">
        <f t="shared" ref="AH371:AH373" si="304">IF(AF371&lt;=$D$338,$C$338,IF(AF371=$D$339,$C$339,$C$340))</f>
        <v>Low</v>
      </c>
      <c r="AI371" s="189">
        <v>4.0</v>
      </c>
      <c r="AJ371" s="319" t="str">
        <f>Sensitivity!C44</f>
        <v>Potable water </v>
      </c>
      <c r="AK371" s="191" t="str">
        <f>Sensitivity!D44</f>
        <v>Access</v>
      </c>
      <c r="AL371" s="317">
        <f>Sensitivity!I44</f>
        <v>1</v>
      </c>
      <c r="AM371" s="318">
        <f>AVERAGE(AL371:AL373)</f>
        <v>1</v>
      </c>
      <c r="AN371" s="194" t="str">
        <f t="shared" ref="AN371:AN373" si="305">IF(AL371&lt;=$D$338,$C$338,IF(AL371=$D$339,$C$339,$C$340))</f>
        <v>Low</v>
      </c>
      <c r="AO371" s="189">
        <v>4.0</v>
      </c>
      <c r="AP371" s="319" t="str">
        <f>'Adaptive Capacity'!C44</f>
        <v>Potable water </v>
      </c>
      <c r="AQ371" s="191" t="str">
        <f>'Adaptive Capacity'!D44</f>
        <v>Access</v>
      </c>
      <c r="AR371" s="317">
        <f>'Adaptive Capacity'!I44</f>
        <v>3</v>
      </c>
      <c r="AS371" s="318">
        <f>AVERAGE(AR371:AR373)</f>
        <v>3</v>
      </c>
      <c r="AT371" s="194" t="str">
        <f t="shared" ref="AT371:AT373" si="306">IF(AR371&lt;=$D$345,$C$345,IF(AR371=$D$346,$C$346,$C$347))</f>
        <v>Good</v>
      </c>
      <c r="AU371" s="189">
        <f t="shared" ref="AU371:AW371" si="302">AC371</f>
        <v>4</v>
      </c>
      <c r="AV371" s="321" t="str">
        <f t="shared" si="302"/>
        <v>Potable water </v>
      </c>
      <c r="AW371" s="189" t="str">
        <f t="shared" si="302"/>
        <v>Access</v>
      </c>
      <c r="AX371" s="317">
        <f>AVERAGE(AL348,AL349,AL356,AL363,AL365,AL366,AL367,AL372,AL368,AL380,AL376,AL375,AL382,AL389,AL391,AL392,AL393,AL394,AL371)-AVERAGE(AR348,AR349,AR356,AR363,AR365,AR366,AR367,AR368,AR372,AR375,AR376,AR380,AR382,AR389,AR391,AR392,AR393,AR394,AR371)</f>
        <v>-2</v>
      </c>
      <c r="AY371" s="318">
        <f>AVERAGE(AX371:AX373)</f>
        <v>-2</v>
      </c>
      <c r="AZ371" s="194" t="str">
        <f t="shared" ref="AZ371:AZ373" si="307">IF(AX371&lt;=$E$352,$C$352,IF(AX371&gt;=$D$354,$C$354,$C$353))</f>
        <v>Low</v>
      </c>
      <c r="BA371" s="322">
        <f>AVERAGE(Z339,Z343,Z346,Z348,Z353,Z354,Z355,Z359,Z360,Z361,Z365,Z367,Z368,Z369,Z371,Z373,Z372,Z377,Z378,Z379,Z380,Z382)</f>
        <v>1</v>
      </c>
      <c r="BB371" s="322">
        <f t="shared" ref="BB371:BB373" si="308">AF371</f>
        <v>1</v>
      </c>
      <c r="BC371" s="322">
        <f t="shared" ref="BC371:BC373" si="309">(AX371+3)/2</f>
        <v>0.5</v>
      </c>
      <c r="BD371" s="322">
        <f t="shared" ref="BD371:BD373" si="310">BA371+((BB371*BC371)/3)</f>
        <v>1.166666667</v>
      </c>
      <c r="BE371" s="318">
        <f>AVERAGE(BD371:BD373)</f>
        <v>1.166666667</v>
      </c>
      <c r="BF371" s="194" t="str">
        <f t="shared" si="291"/>
        <v>Low</v>
      </c>
      <c r="BG371" s="356"/>
      <c r="BH371" s="214" t="str">
        <f t="shared" si="295"/>
        <v>EBS</v>
      </c>
      <c r="BI371" s="254">
        <f t="shared" si="296"/>
        <v>1.333333333</v>
      </c>
      <c r="BJ371" s="254">
        <f t="shared" si="297"/>
        <v>4.666666667</v>
      </c>
      <c r="BK371" s="254">
        <f t="shared" si="298"/>
        <v>3</v>
      </c>
      <c r="BL371" s="358">
        <f t="shared" si="299"/>
        <v>1.166666667</v>
      </c>
    </row>
    <row r="372" ht="14.25" customHeight="1">
      <c r="A372" s="1"/>
      <c r="B372" s="1"/>
      <c r="C372" s="1"/>
      <c r="D372" s="1"/>
      <c r="E372" s="1"/>
      <c r="F372" s="1"/>
      <c r="G372" s="1"/>
      <c r="H372" s="1"/>
      <c r="I372" s="1"/>
      <c r="J372" s="1"/>
      <c r="K372" s="1"/>
      <c r="L372" s="1"/>
      <c r="M372" s="1"/>
      <c r="N372" s="1"/>
      <c r="O372" s="1"/>
      <c r="P372" s="1"/>
      <c r="Q372" s="1"/>
      <c r="R372" s="1"/>
      <c r="S372" s="1"/>
      <c r="T372" s="1"/>
      <c r="U372" s="1"/>
      <c r="W372" s="200"/>
      <c r="X372" s="200"/>
      <c r="Y372" s="191" t="str">
        <f>Hazard!D45</f>
        <v>Impact</v>
      </c>
      <c r="Z372" s="317">
        <f>Hazard!I45</f>
        <v>1</v>
      </c>
      <c r="AA372" s="326"/>
      <c r="AB372" s="194" t="str">
        <f t="shared" si="303"/>
        <v>Low</v>
      </c>
      <c r="AC372" s="200"/>
      <c r="AD372" s="200"/>
      <c r="AE372" s="191" t="str">
        <f>Exposure!D45</f>
        <v>Scarcities </v>
      </c>
      <c r="AF372" s="317">
        <f>Exposure!I45</f>
        <v>1</v>
      </c>
      <c r="AG372" s="326"/>
      <c r="AH372" s="194" t="str">
        <f t="shared" si="304"/>
        <v>Low</v>
      </c>
      <c r="AI372" s="200"/>
      <c r="AJ372" s="328"/>
      <c r="AK372" s="191" t="str">
        <f>Sensitivity!D45</f>
        <v>Scarcities </v>
      </c>
      <c r="AL372" s="317">
        <f>Sensitivity!I45</f>
        <v>1</v>
      </c>
      <c r="AM372" s="326"/>
      <c r="AN372" s="194" t="str">
        <f t="shared" si="305"/>
        <v>Low</v>
      </c>
      <c r="AO372" s="200"/>
      <c r="AP372" s="328"/>
      <c r="AQ372" s="191" t="str">
        <f>'Adaptive Capacity'!D45</f>
        <v>Scarcities </v>
      </c>
      <c r="AR372" s="317">
        <f>'Adaptive Capacity'!I45</f>
        <v>3</v>
      </c>
      <c r="AS372" s="326"/>
      <c r="AT372" s="194" t="str">
        <f t="shared" si="306"/>
        <v>Good</v>
      </c>
      <c r="AU372" s="200"/>
      <c r="AV372" s="314"/>
      <c r="AW372" s="189" t="str">
        <f t="shared" ref="AW372:AW373" si="311">AE372</f>
        <v>Scarcities </v>
      </c>
      <c r="AX372" s="317">
        <f>AVERAGE(AL372,AL371,AL349,AL356,AL363,AL366,AL365,AL367,AL368,AL380,AL384,AL382,AL389,AL391,AL392,AL393,AL394)-AVERAGE(AR349,AR356,AR363,AR365,AR366,AR367,AR368,AR371,AR372,AR380,AR382,AR384,AR389,AR391,AR392,AR393,AR394)</f>
        <v>-2</v>
      </c>
      <c r="AY372" s="326"/>
      <c r="AZ372" s="194" t="str">
        <f t="shared" si="307"/>
        <v>Low</v>
      </c>
      <c r="BA372" s="322">
        <f>AVERAGE(Z339,Z346,Z348,Z363,Z364,Z365,Z381,Z382)</f>
        <v>1</v>
      </c>
      <c r="BB372" s="322">
        <f t="shared" si="308"/>
        <v>1</v>
      </c>
      <c r="BC372" s="322">
        <f t="shared" si="309"/>
        <v>0.5</v>
      </c>
      <c r="BD372" s="322">
        <f t="shared" si="310"/>
        <v>1.166666667</v>
      </c>
      <c r="BE372" s="326"/>
      <c r="BF372" s="194" t="str">
        <f t="shared" si="291"/>
        <v>Low</v>
      </c>
      <c r="BG372" s="356"/>
      <c r="BH372" s="214" t="str">
        <f t="shared" si="295"/>
        <v>Institutions</v>
      </c>
      <c r="BI372" s="254">
        <f t="shared" si="296"/>
        <v>1.333333333</v>
      </c>
      <c r="BJ372" s="254">
        <f t="shared" si="297"/>
        <v>4.666666667</v>
      </c>
      <c r="BK372" s="254">
        <f t="shared" si="298"/>
        <v>3</v>
      </c>
      <c r="BL372" s="358">
        <f t="shared" si="299"/>
        <v>1.219034052</v>
      </c>
    </row>
    <row r="373" ht="14.25" customHeight="1">
      <c r="A373" s="1"/>
      <c r="B373" s="1"/>
      <c r="C373" s="1"/>
      <c r="D373" s="1"/>
      <c r="E373" s="1"/>
      <c r="F373" s="1"/>
      <c r="G373" s="1"/>
      <c r="H373" s="1"/>
      <c r="I373" s="1"/>
      <c r="J373" s="1"/>
      <c r="K373" s="1"/>
      <c r="L373" s="1"/>
      <c r="M373" s="1"/>
      <c r="N373" s="1"/>
      <c r="O373" s="1"/>
      <c r="P373" s="1"/>
      <c r="Q373" s="1"/>
      <c r="R373" s="1"/>
      <c r="S373" s="1"/>
      <c r="T373" s="1"/>
      <c r="U373" s="1"/>
      <c r="W373" s="200"/>
      <c r="X373" s="200"/>
      <c r="Y373" s="191" t="str">
        <f>Hazard!D46</f>
        <v>Sensitization</v>
      </c>
      <c r="Z373" s="317">
        <f>Hazard!I46</f>
        <v>1</v>
      </c>
      <c r="AA373" s="331"/>
      <c r="AB373" s="194" t="str">
        <f t="shared" si="303"/>
        <v>Low</v>
      </c>
      <c r="AC373" s="201"/>
      <c r="AD373" s="201"/>
      <c r="AE373" s="191" t="str">
        <f>Exposure!D46</f>
        <v>Quality</v>
      </c>
      <c r="AF373" s="317">
        <f>Exposure!I46</f>
        <v>1</v>
      </c>
      <c r="AG373" s="359"/>
      <c r="AH373" s="194" t="str">
        <f t="shared" si="304"/>
        <v>Low</v>
      </c>
      <c r="AI373" s="201"/>
      <c r="AJ373" s="328"/>
      <c r="AK373" s="191" t="str">
        <f>Sensitivity!D46</f>
        <v>Quality</v>
      </c>
      <c r="AL373" s="317">
        <f>Sensitivity!I46</f>
        <v>1</v>
      </c>
      <c r="AM373" s="359"/>
      <c r="AN373" s="194" t="str">
        <f t="shared" si="305"/>
        <v>Low</v>
      </c>
      <c r="AO373" s="201"/>
      <c r="AP373" s="328"/>
      <c r="AQ373" s="191" t="str">
        <f>'Adaptive Capacity'!D46</f>
        <v>Quality</v>
      </c>
      <c r="AR373" s="317">
        <f>'Adaptive Capacity'!I46</f>
        <v>3</v>
      </c>
      <c r="AS373" s="359"/>
      <c r="AT373" s="194" t="str">
        <f t="shared" si="306"/>
        <v>Good</v>
      </c>
      <c r="AU373" s="201"/>
      <c r="AV373" s="323"/>
      <c r="AW373" s="191" t="str">
        <f t="shared" si="311"/>
        <v>Quality</v>
      </c>
      <c r="AX373" s="317">
        <f>AVERAGE(AL373,AL349,AL353,AL354,AL356,AL363,AL366,AL365,AL376,AL377,AL382,AL380,AL389,AL391,AL392,AL393,AL394)-AVERAGE(AR349,AR353,AR354,AR356,AR363,AR365,AR366,AR373,AR376,AR377,AR380,AR382,AR389,AR391,AR392,AR393,AR394)</f>
        <v>-2</v>
      </c>
      <c r="AY373" s="359"/>
      <c r="AZ373" s="194" t="str">
        <f t="shared" si="307"/>
        <v>Low</v>
      </c>
      <c r="BA373" s="322">
        <f>AVERAGE(Z343,Z351,Z354,Z357,Z360,Z367,Z368,Z369,Z371,Z372,Z381,Z380,Z382,Z375,Z379)</f>
        <v>1</v>
      </c>
      <c r="BB373" s="322">
        <f t="shared" si="308"/>
        <v>1</v>
      </c>
      <c r="BC373" s="322">
        <f t="shared" si="309"/>
        <v>0.5</v>
      </c>
      <c r="BD373" s="322">
        <f t="shared" si="310"/>
        <v>1.166666667</v>
      </c>
      <c r="BE373" s="359"/>
      <c r="BF373" s="194" t="str">
        <f t="shared" si="291"/>
        <v>Low</v>
      </c>
      <c r="BG373" s="356"/>
      <c r="BI373" s="254"/>
    </row>
    <row r="374" ht="14.25" customHeight="1">
      <c r="A374" s="1"/>
      <c r="B374" s="1"/>
      <c r="C374" s="1"/>
      <c r="D374" s="1"/>
      <c r="E374" s="1"/>
      <c r="F374" s="1"/>
      <c r="G374" s="1"/>
      <c r="H374" s="1"/>
      <c r="I374" s="1"/>
      <c r="J374" s="1"/>
      <c r="K374" s="1"/>
      <c r="L374" s="1"/>
      <c r="M374" s="1"/>
      <c r="N374" s="1"/>
      <c r="O374" s="1"/>
      <c r="P374" s="1"/>
      <c r="Q374" s="1"/>
      <c r="R374" s="1"/>
      <c r="S374" s="1"/>
      <c r="T374" s="1"/>
      <c r="U374" s="1"/>
      <c r="W374" s="96"/>
      <c r="X374" s="96"/>
      <c r="Y374" s="96"/>
      <c r="Z374" s="96"/>
      <c r="AA374" s="96"/>
      <c r="AB374" s="194"/>
      <c r="AC374" s="209" t="str">
        <f t="shared" ref="AC374:AE374" si="312">" "</f>
        <v> </v>
      </c>
      <c r="AD374" s="209" t="str">
        <f t="shared" si="312"/>
        <v> </v>
      </c>
      <c r="AE374" s="1" t="str">
        <f t="shared" si="312"/>
        <v> </v>
      </c>
      <c r="AF374" s="1"/>
      <c r="AG374" s="93"/>
      <c r="AI374" s="209" t="str">
        <f>" "</f>
        <v> </v>
      </c>
      <c r="AJ374" s="346"/>
      <c r="AK374" s="204"/>
      <c r="AL374" s="335"/>
      <c r="AM374" s="335"/>
      <c r="AN374" s="194"/>
      <c r="AO374" s="209" t="str">
        <f>" "</f>
        <v> </v>
      </c>
      <c r="AP374" s="346"/>
      <c r="AQ374" s="204"/>
      <c r="AR374" s="317" t="str">
        <f>'Adaptive Capacity'!I47</f>
        <v/>
      </c>
      <c r="AS374" s="335"/>
      <c r="AT374" s="194"/>
      <c r="AU374" s="209" t="str">
        <f t="shared" ref="AU374:AV374" si="313">" "</f>
        <v> </v>
      </c>
      <c r="AV374" s="238" t="str">
        <f t="shared" si="313"/>
        <v> </v>
      </c>
      <c r="AW374" s="1"/>
      <c r="AX374" s="1"/>
      <c r="AY374" s="93"/>
      <c r="AZ374" s="194"/>
      <c r="BA374" s="347"/>
      <c r="BB374" s="322"/>
      <c r="BC374" s="322"/>
      <c r="BD374" s="322"/>
      <c r="BE374" s="335"/>
      <c r="BF374" s="194"/>
      <c r="BG374" s="356"/>
      <c r="BI374" s="254"/>
    </row>
    <row r="375" ht="14.25" customHeight="1">
      <c r="A375" s="1"/>
      <c r="B375" s="1"/>
      <c r="C375" s="1"/>
      <c r="D375" s="1"/>
      <c r="E375" s="1"/>
      <c r="F375" s="1"/>
      <c r="G375" s="1"/>
      <c r="H375" s="1"/>
      <c r="I375" s="1"/>
      <c r="J375" s="1"/>
      <c r="K375" s="1"/>
      <c r="L375" s="1"/>
      <c r="M375" s="1"/>
      <c r="N375" s="1"/>
      <c r="O375" s="1"/>
      <c r="P375" s="1"/>
      <c r="Q375" s="1"/>
      <c r="R375" s="1"/>
      <c r="S375" s="1"/>
      <c r="T375" s="1"/>
      <c r="U375" s="1"/>
      <c r="W375" s="189">
        <v>9.0</v>
      </c>
      <c r="X375" s="189" t="str">
        <f>Hazard!C48</f>
        <v>Other Factors</v>
      </c>
      <c r="Y375" s="191" t="str">
        <f>Hazard!D48</f>
        <v>Fire/wildfires </v>
      </c>
      <c r="Z375" s="317">
        <f>Hazard!I48</f>
        <v>1</v>
      </c>
      <c r="AA375" s="318">
        <f>AVERAGE(Z375:Z382)</f>
        <v>1</v>
      </c>
      <c r="AB375" s="194" t="str">
        <f t="shared" ref="AB375:AB382" si="315">IF(Z375&lt;=$D$338,$C$338,IF(Z375=$D$339,$C$339,$C$340))</f>
        <v>Low</v>
      </c>
      <c r="AC375" s="189">
        <v>5.0</v>
      </c>
      <c r="AD375" s="189" t="str">
        <f>Exposure!C48</f>
        <v>EBS</v>
      </c>
      <c r="AE375" s="191" t="str">
        <f>Exposure!D48</f>
        <v>Soil </v>
      </c>
      <c r="AF375" s="317">
        <f>Exposure!I48</f>
        <v>1</v>
      </c>
      <c r="AG375" s="318">
        <f>AVERAGE(AF375:AF384)</f>
        <v>1</v>
      </c>
      <c r="AH375" s="194" t="str">
        <f t="shared" ref="AH375:AH384" si="316">IF(AF375&lt;=$D$338,$C$338,IF(AF375=$D$339,$C$339,$C$340))</f>
        <v>Low</v>
      </c>
      <c r="AI375" s="189">
        <v>5.0</v>
      </c>
      <c r="AJ375" s="319" t="str">
        <f>Sensitivity!C48</f>
        <v>EBS</v>
      </c>
      <c r="AK375" s="191" t="str">
        <f>Sensitivity!D48</f>
        <v>Soil </v>
      </c>
      <c r="AL375" s="317">
        <f>Sensitivity!I48</f>
        <v>1</v>
      </c>
      <c r="AM375" s="318">
        <f>AVERAGE(AL375:AL384)</f>
        <v>1</v>
      </c>
      <c r="AN375" s="194" t="str">
        <f t="shared" ref="AN375:AN384" si="317">IF(AL375&lt;=$D$338,$C$338,IF(AL375=$D$339,$C$339,$C$340))</f>
        <v>Low</v>
      </c>
      <c r="AO375" s="189">
        <v>5.0</v>
      </c>
      <c r="AP375" s="319" t="str">
        <f>'Adaptive Capacity'!C48</f>
        <v>EBS</v>
      </c>
      <c r="AQ375" s="191" t="str">
        <f>'Adaptive Capacity'!D48</f>
        <v>Soil </v>
      </c>
      <c r="AR375" s="317">
        <f>'Adaptive Capacity'!I48</f>
        <v>3</v>
      </c>
      <c r="AS375" s="318">
        <f>AVERAGE(AR375:AR384)</f>
        <v>3</v>
      </c>
      <c r="AT375" s="194" t="str">
        <f t="shared" ref="AT375:AT384" si="318">IF(AR375&lt;=$D$345,$C$345,IF(AR375=$D$346,$C$346,$C$347))</f>
        <v>Good</v>
      </c>
      <c r="AU375" s="189">
        <f t="shared" ref="AU375:AW375" si="314">AC375</f>
        <v>5</v>
      </c>
      <c r="AV375" s="321" t="str">
        <f t="shared" si="314"/>
        <v>EBS</v>
      </c>
      <c r="AW375" s="189" t="str">
        <f t="shared" si="314"/>
        <v>Soil </v>
      </c>
      <c r="AX375" s="317">
        <f>AVERAGE(AL375,AL349,AL341,AL340,AL352,AL353,AL354,AL356,AL360,AL361,AL376,AL377,AL382,AL383,AL384,AL387)-AVERAGE(AR340,AR341,AR349,AR352,AR353,AR354,AR356,AR360,AR361,AR375,AR376,AR377,AR382,AR383,AR384,AR387)</f>
        <v>-2</v>
      </c>
      <c r="AY375" s="318">
        <f>AVERAGE(AX375:AX384)</f>
        <v>-2</v>
      </c>
      <c r="AZ375" s="194" t="str">
        <f t="shared" ref="AZ375:AZ384" si="319">IF(AX375&lt;=$E$352,$C$352,IF(AX375&gt;=$D$354,$C$354,$C$353))</f>
        <v>Low</v>
      </c>
      <c r="BA375" s="322">
        <f>AVERAGE(Z339,Z343,Z344,Z346,Z348,Z351,Z354,Z355,Z357,Z360,Z361,Z364,Z367,Z368,Z369,Z371,Z373,Z375,Z380,Z381,Z382,Z379)</f>
        <v>1</v>
      </c>
      <c r="BB375" s="322">
        <f t="shared" ref="BB375:BB384" si="320">AF375</f>
        <v>1</v>
      </c>
      <c r="BC375" s="322">
        <f t="shared" ref="BC375:BC384" si="321">(AX375+3)/2</f>
        <v>0.5</v>
      </c>
      <c r="BD375" s="322">
        <f t="shared" ref="BD375:BD384" si="322">BA375+((BB375*BC375)/3)</f>
        <v>1.166666667</v>
      </c>
      <c r="BE375" s="318">
        <f>AVERAGE(BD375:BD384)</f>
        <v>1.177192982</v>
      </c>
      <c r="BF375" s="194" t="str">
        <f t="shared" ref="BF375:BF384" si="323">IF(BD375&lt;=$E$360,$C$360,IF(BD375&gt;=$D$362,$C$362,$C$361))</f>
        <v>Low</v>
      </c>
      <c r="BG375" s="356"/>
      <c r="BI375" s="254"/>
      <c r="BK375" s="254"/>
      <c r="BL375" s="358"/>
    </row>
    <row r="376" ht="14.25" customHeight="1">
      <c r="A376" s="1"/>
      <c r="B376" s="1"/>
      <c r="C376" s="1"/>
      <c r="D376" s="1"/>
      <c r="E376" s="1"/>
      <c r="F376" s="1"/>
      <c r="G376" s="1"/>
      <c r="H376" s="1"/>
      <c r="I376" s="1"/>
      <c r="J376" s="1"/>
      <c r="K376" s="1"/>
      <c r="L376" s="1"/>
      <c r="M376" s="1"/>
      <c r="N376" s="1"/>
      <c r="O376" s="1"/>
      <c r="P376" s="1"/>
      <c r="Q376" s="1"/>
      <c r="R376" s="1"/>
      <c r="S376" s="1"/>
      <c r="T376" s="1"/>
      <c r="U376" s="1"/>
      <c r="W376" s="200"/>
      <c r="X376" s="200"/>
      <c r="Y376" s="191" t="str">
        <f>Hazard!D49</f>
        <v>Lightning </v>
      </c>
      <c r="Z376" s="317">
        <f>Hazard!I49</f>
        <v>1</v>
      </c>
      <c r="AA376" s="326"/>
      <c r="AB376" s="194" t="str">
        <f t="shared" si="315"/>
        <v>Low</v>
      </c>
      <c r="AC376" s="200"/>
      <c r="AD376" s="200"/>
      <c r="AE376" s="191" t="str">
        <f>Exposure!D49</f>
        <v>LC &amp; P</v>
      </c>
      <c r="AF376" s="317">
        <f>Exposure!I49</f>
        <v>1</v>
      </c>
      <c r="AG376" s="326"/>
      <c r="AH376" s="194" t="str">
        <f t="shared" si="316"/>
        <v>Low</v>
      </c>
      <c r="AI376" s="200"/>
      <c r="AJ376" s="328"/>
      <c r="AK376" s="191" t="str">
        <f>Sensitivity!D49</f>
        <v>LC &amp; P</v>
      </c>
      <c r="AL376" s="317">
        <f>Sensitivity!I49</f>
        <v>1</v>
      </c>
      <c r="AM376" s="326"/>
      <c r="AN376" s="194" t="str">
        <f t="shared" si="317"/>
        <v>Low</v>
      </c>
      <c r="AO376" s="200"/>
      <c r="AP376" s="328"/>
      <c r="AQ376" s="191" t="str">
        <f>'Adaptive Capacity'!D49</f>
        <v>LC &amp; P</v>
      </c>
      <c r="AR376" s="317">
        <f>'Adaptive Capacity'!I49</f>
        <v>3</v>
      </c>
      <c r="AS376" s="326"/>
      <c r="AT376" s="194" t="str">
        <f t="shared" si="318"/>
        <v>Good</v>
      </c>
      <c r="AU376" s="200"/>
      <c r="AV376" s="314"/>
      <c r="AW376" s="189" t="str">
        <f t="shared" ref="AW376:AW384" si="324">AE376</f>
        <v>LC &amp; P</v>
      </c>
      <c r="AX376" s="317">
        <f>AVERAGE(AL376,AL339,AL352,AL353,AL354,AL360,AL375,AL377,AL382,AL383,AL394)-AVERAGE(AR339,AR352,AR353,AR354,AR360,AR375,AR376,AR377,AR382,AR383,AR394)</f>
        <v>-2</v>
      </c>
      <c r="AY376" s="326"/>
      <c r="AZ376" s="194" t="str">
        <f t="shared" si="319"/>
        <v>Low</v>
      </c>
      <c r="BA376" s="322">
        <f>AVERAGE(Z339,Z342,Z343,Z346,Z348,Z351,Z353,Z357,Z359,Z363,Z364,Z367,Z368,Z369,Z372,Z375,Z376,Z377,Z378,Z379,Z380,Z381,Z382)</f>
        <v>1</v>
      </c>
      <c r="BB376" s="322">
        <f t="shared" si="320"/>
        <v>1</v>
      </c>
      <c r="BC376" s="322">
        <f t="shared" si="321"/>
        <v>0.5</v>
      </c>
      <c r="BD376" s="322">
        <f t="shared" si="322"/>
        <v>1.166666667</v>
      </c>
      <c r="BE376" s="326"/>
      <c r="BF376" s="194" t="str">
        <f t="shared" si="323"/>
        <v>Low</v>
      </c>
      <c r="BG376" s="356"/>
      <c r="BI376" s="254"/>
      <c r="BJ376" s="254"/>
      <c r="BK376" s="254"/>
      <c r="BL376" s="358"/>
    </row>
    <row r="377" ht="14.25" customHeight="1">
      <c r="A377" s="1"/>
      <c r="B377" s="1"/>
      <c r="C377" s="1"/>
      <c r="D377" s="1"/>
      <c r="E377" s="1"/>
      <c r="F377" s="1"/>
      <c r="G377" s="1"/>
      <c r="H377" s="1"/>
      <c r="I377" s="1"/>
      <c r="J377" s="1"/>
      <c r="K377" s="1"/>
      <c r="L377" s="1"/>
      <c r="M377" s="1"/>
      <c r="N377" s="1"/>
      <c r="O377" s="1"/>
      <c r="P377" s="1"/>
      <c r="Q377" s="1"/>
      <c r="R377" s="1"/>
      <c r="S377" s="1"/>
      <c r="T377" s="1"/>
      <c r="U377" s="1"/>
      <c r="W377" s="200"/>
      <c r="X377" s="200"/>
      <c r="Y377" s="191" t="str">
        <f>Hazard!D50</f>
        <v>Snow</v>
      </c>
      <c r="Z377" s="317">
        <f>Hazard!I50</f>
        <v>1</v>
      </c>
      <c r="AA377" s="326"/>
      <c r="AB377" s="194" t="str">
        <f t="shared" si="315"/>
        <v>Low</v>
      </c>
      <c r="AC377" s="200"/>
      <c r="AD377" s="200"/>
      <c r="AE377" s="191" t="str">
        <f>Exposure!D50</f>
        <v>NV</v>
      </c>
      <c r="AF377" s="317">
        <f>Exposure!I50</f>
        <v>1</v>
      </c>
      <c r="AG377" s="326"/>
      <c r="AH377" s="194" t="str">
        <f t="shared" si="316"/>
        <v>Low</v>
      </c>
      <c r="AI377" s="200"/>
      <c r="AJ377" s="328"/>
      <c r="AK377" s="191" t="str">
        <f>Sensitivity!D50</f>
        <v>NV</v>
      </c>
      <c r="AL377" s="317">
        <f>Sensitivity!I50</f>
        <v>1</v>
      </c>
      <c r="AM377" s="326"/>
      <c r="AN377" s="194" t="str">
        <f t="shared" si="317"/>
        <v>Low</v>
      </c>
      <c r="AO377" s="200"/>
      <c r="AP377" s="328"/>
      <c r="AQ377" s="191" t="str">
        <f>'Adaptive Capacity'!D50</f>
        <v>NV</v>
      </c>
      <c r="AR377" s="317">
        <f>'Adaptive Capacity'!I50</f>
        <v>3</v>
      </c>
      <c r="AS377" s="326"/>
      <c r="AT377" s="194" t="str">
        <f t="shared" si="318"/>
        <v>Good</v>
      </c>
      <c r="AU377" s="200"/>
      <c r="AV377" s="314"/>
      <c r="AW377" s="189" t="str">
        <f t="shared" si="324"/>
        <v>NV</v>
      </c>
      <c r="AX377" s="317">
        <f>AVERAGE(AL377,AL339,AL341,AL352,AL356,AL375,AL376,AL379,AL383,AL387)-AVERAGE(AR339,AR341,AR352,AR356,AR375,AR376,AR377,AR379,AR383,AR387)</f>
        <v>-2</v>
      </c>
      <c r="AY377" s="326"/>
      <c r="AZ377" s="194" t="str">
        <f t="shared" si="319"/>
        <v>Low</v>
      </c>
      <c r="BA377" s="322">
        <f>AVERAGE(Z339,Z342,Z343,Z346,Z348,Z351,Z353,Z357,Z359,Z363,Z364,Z367,Z368,Z369,Z372,Z375,Z376,Z377,Z378,Z379,Z380,Z381,Z382)</f>
        <v>1</v>
      </c>
      <c r="BB377" s="322">
        <f t="shared" si="320"/>
        <v>1</v>
      </c>
      <c r="BC377" s="322">
        <f t="shared" si="321"/>
        <v>0.5</v>
      </c>
      <c r="BD377" s="322">
        <f t="shared" si="322"/>
        <v>1.166666667</v>
      </c>
      <c r="BE377" s="326"/>
      <c r="BF377" s="194" t="str">
        <f t="shared" si="323"/>
        <v>Low</v>
      </c>
      <c r="BG377" s="356"/>
      <c r="BI377" s="254"/>
      <c r="BJ377" s="254"/>
      <c r="BK377" s="254"/>
      <c r="BL377" s="358"/>
    </row>
    <row r="378" ht="14.25" customHeight="1">
      <c r="A378" s="1"/>
      <c r="B378" s="1"/>
      <c r="C378" s="1"/>
      <c r="D378" s="1"/>
      <c r="E378" s="1"/>
      <c r="F378" s="1"/>
      <c r="G378" s="1"/>
      <c r="H378" s="1"/>
      <c r="I378" s="1"/>
      <c r="J378" s="1"/>
      <c r="K378" s="1"/>
      <c r="L378" s="1"/>
      <c r="M378" s="1"/>
      <c r="N378" s="1"/>
      <c r="O378" s="1"/>
      <c r="P378" s="1"/>
      <c r="Q378" s="1"/>
      <c r="R378" s="1"/>
      <c r="S378" s="1"/>
      <c r="T378" s="1"/>
      <c r="U378" s="1"/>
      <c r="W378" s="200"/>
      <c r="X378" s="200"/>
      <c r="Y378" s="191" t="str">
        <f>Hazard!D51</f>
        <v>Hail</v>
      </c>
      <c r="Z378" s="317">
        <f>Hazard!I51</f>
        <v>1</v>
      </c>
      <c r="AA378" s="326"/>
      <c r="AB378" s="194" t="str">
        <f t="shared" si="315"/>
        <v>Low</v>
      </c>
      <c r="AC378" s="200"/>
      <c r="AD378" s="200"/>
      <c r="AE378" s="191" t="str">
        <f>Exposure!D51</f>
        <v>Wetland </v>
      </c>
      <c r="AF378" s="317">
        <f>Exposure!I51</f>
        <v>1</v>
      </c>
      <c r="AG378" s="326"/>
      <c r="AH378" s="194" t="str">
        <f t="shared" si="316"/>
        <v>Low</v>
      </c>
      <c r="AI378" s="200"/>
      <c r="AJ378" s="328"/>
      <c r="AK378" s="191" t="str">
        <f>Sensitivity!D51</f>
        <v>Wetland </v>
      </c>
      <c r="AL378" s="317">
        <f>Sensitivity!I51</f>
        <v>1</v>
      </c>
      <c r="AM378" s="326"/>
      <c r="AN378" s="194" t="str">
        <f t="shared" si="317"/>
        <v>Low</v>
      </c>
      <c r="AO378" s="200"/>
      <c r="AP378" s="328"/>
      <c r="AQ378" s="191" t="str">
        <f>'Adaptive Capacity'!D51</f>
        <v>Wetland </v>
      </c>
      <c r="AR378" s="317">
        <f>'Adaptive Capacity'!I51</f>
        <v>3</v>
      </c>
      <c r="AS378" s="326"/>
      <c r="AT378" s="194" t="str">
        <f t="shared" si="318"/>
        <v>Good</v>
      </c>
      <c r="AU378" s="200"/>
      <c r="AV378" s="314"/>
      <c r="AW378" s="189" t="str">
        <f t="shared" si="324"/>
        <v>Wetland </v>
      </c>
      <c r="AX378" s="317">
        <f>AVERAGE(AL378,AL352,AL353,AL354,AL356,AL380,AL382,AL383,AL387)-AVERAGE(AR352,AR353,AR354,AR356,AR378,AR380,AR382,AR383,AR387)</f>
        <v>-2</v>
      </c>
      <c r="AY378" s="326"/>
      <c r="AZ378" s="194" t="str">
        <f t="shared" si="319"/>
        <v>Low</v>
      </c>
      <c r="BA378" s="322">
        <f>AVERAGE(Z338,Z339,Z342,Z343,Z346,Z348,Z351,Z353,Z357,Z359,Z364,Z367,Z368,Z369,Z371,Z375,Z380,Z381,Z382)</f>
        <v>1.105263158</v>
      </c>
      <c r="BB378" s="322">
        <f t="shared" si="320"/>
        <v>1</v>
      </c>
      <c r="BC378" s="322">
        <f t="shared" si="321"/>
        <v>0.5</v>
      </c>
      <c r="BD378" s="322">
        <f t="shared" si="322"/>
        <v>1.271929825</v>
      </c>
      <c r="BE378" s="326"/>
      <c r="BF378" s="194" t="str">
        <f t="shared" si="323"/>
        <v>Low</v>
      </c>
      <c r="BG378" s="356" t="s">
        <v>639</v>
      </c>
      <c r="BI378" s="357" t="s">
        <v>636</v>
      </c>
      <c r="BJ378" s="357" t="s">
        <v>584</v>
      </c>
      <c r="BK378" s="357" t="s">
        <v>637</v>
      </c>
      <c r="BL378" s="358"/>
    </row>
    <row r="379" ht="19.5" customHeight="1">
      <c r="A379" s="1"/>
      <c r="B379" s="1"/>
      <c r="C379" s="1"/>
      <c r="D379" s="1"/>
      <c r="E379" s="1"/>
      <c r="F379" s="1"/>
      <c r="G379" s="1"/>
      <c r="H379" s="1"/>
      <c r="I379" s="1"/>
      <c r="J379" s="1"/>
      <c r="K379" s="1"/>
      <c r="L379" s="1"/>
      <c r="M379" s="1"/>
      <c r="N379" s="1"/>
      <c r="O379" s="1"/>
      <c r="P379" s="1"/>
      <c r="Q379" s="1"/>
      <c r="R379" s="1"/>
      <c r="S379" s="1"/>
      <c r="T379" s="1"/>
      <c r="U379" s="1"/>
      <c r="W379" s="200"/>
      <c r="X379" s="200"/>
      <c r="Y379" s="191" t="str">
        <f>Hazard!D52</f>
        <v>EA or VA</v>
      </c>
      <c r="Z379" s="317">
        <f>Hazard!I52</f>
        <v>1</v>
      </c>
      <c r="AA379" s="326"/>
      <c r="AB379" s="194" t="str">
        <f t="shared" si="315"/>
        <v>Low</v>
      </c>
      <c r="AC379" s="200"/>
      <c r="AD379" s="200"/>
      <c r="AE379" s="191" t="str">
        <f>Exposure!D52</f>
        <v>Biodiversity</v>
      </c>
      <c r="AF379" s="317">
        <f>Exposure!I52</f>
        <v>1</v>
      </c>
      <c r="AG379" s="326"/>
      <c r="AH379" s="194" t="str">
        <f t="shared" si="316"/>
        <v>Low</v>
      </c>
      <c r="AI379" s="200"/>
      <c r="AJ379" s="328"/>
      <c r="AK379" s="191" t="str">
        <f>Sensitivity!D52</f>
        <v>Biodiversity</v>
      </c>
      <c r="AL379" s="317">
        <f>Sensitivity!I52</f>
        <v>1</v>
      </c>
      <c r="AM379" s="326"/>
      <c r="AN379" s="194" t="str">
        <f t="shared" si="317"/>
        <v>Low</v>
      </c>
      <c r="AO379" s="200"/>
      <c r="AP379" s="328"/>
      <c r="AQ379" s="191" t="str">
        <f>'Adaptive Capacity'!D52</f>
        <v>Biodiversity</v>
      </c>
      <c r="AR379" s="317">
        <f>'Adaptive Capacity'!I52</f>
        <v>3</v>
      </c>
      <c r="AS379" s="326"/>
      <c r="AT379" s="194" t="str">
        <f t="shared" si="318"/>
        <v>Good</v>
      </c>
      <c r="AU379" s="200"/>
      <c r="AV379" s="314"/>
      <c r="AW379" s="189" t="str">
        <f t="shared" si="324"/>
        <v>Biodiversity</v>
      </c>
      <c r="AX379" s="317">
        <f>AVERAGE(AL379,AL352,AL353,AL354,AL356,AL375,AL376,AL378,AL377,AL380,AL382,AL383,AL387,AL389)-AVERAGE(AR352,AR353,AR354,AR356,AR375,AR376,AR377,AR378,AR379,AR380,AR382,AR383,AR387,AR389)</f>
        <v>-2</v>
      </c>
      <c r="AY379" s="326"/>
      <c r="AZ379" s="194" t="str">
        <f t="shared" si="319"/>
        <v>Low</v>
      </c>
      <c r="BA379" s="322">
        <f>AVERAGE(Z339,Z340,Z343,Z344,Z346,Z348,Z349,Z353,Z354,Z355,Z359,Z360,Z361,Z364,Z365,Z367,Z368,Z369,Z371,Z375,Z376,Z377,Z378,Z379,Z380,Z381,Z382)</f>
        <v>1</v>
      </c>
      <c r="BB379" s="322">
        <f t="shared" si="320"/>
        <v>1</v>
      </c>
      <c r="BC379" s="322">
        <f t="shared" si="321"/>
        <v>0.5</v>
      </c>
      <c r="BD379" s="322">
        <f t="shared" si="322"/>
        <v>1.166666667</v>
      </c>
      <c r="BE379" s="326"/>
      <c r="BF379" s="194" t="str">
        <f t="shared" si="323"/>
        <v>Low</v>
      </c>
      <c r="BG379" s="356"/>
      <c r="BH379" s="360" t="str">
        <f t="shared" ref="BH379:BH384" si="325">BH338</f>
        <v>Livelihoods</v>
      </c>
      <c r="BI379" s="254">
        <v>-1.33</v>
      </c>
      <c r="BJ379" s="254">
        <v>1.33</v>
      </c>
      <c r="BK379" s="254">
        <v>0.0</v>
      </c>
      <c r="BL379" s="358">
        <f t="shared" ref="BL379:BL384" si="326">BI338</f>
        <v>-2</v>
      </c>
    </row>
    <row r="380" ht="14.25" customHeight="1">
      <c r="A380" s="1"/>
      <c r="B380" s="1"/>
      <c r="C380" s="1"/>
      <c r="D380" s="1"/>
      <c r="E380" s="1"/>
      <c r="F380" s="1"/>
      <c r="G380" s="1"/>
      <c r="H380" s="1"/>
      <c r="I380" s="1"/>
      <c r="J380" s="1"/>
      <c r="K380" s="1"/>
      <c r="L380" s="1"/>
      <c r="M380" s="1"/>
      <c r="N380" s="1"/>
      <c r="O380" s="1"/>
      <c r="P380" s="1"/>
      <c r="Q380" s="1"/>
      <c r="R380" s="1"/>
      <c r="S380" s="1"/>
      <c r="T380" s="1"/>
      <c r="U380" s="1"/>
      <c r="W380" s="200"/>
      <c r="X380" s="200"/>
      <c r="Y380" s="191" t="str">
        <f>Hazard!D53</f>
        <v>Soil Extraction</v>
      </c>
      <c r="Z380" s="317">
        <f>Hazard!I53</f>
        <v>1</v>
      </c>
      <c r="AA380" s="326"/>
      <c r="AB380" s="194" t="str">
        <f t="shared" si="315"/>
        <v>Low</v>
      </c>
      <c r="AC380" s="200"/>
      <c r="AD380" s="200"/>
      <c r="AE380" s="191" t="str">
        <f>Exposure!D53</f>
        <v>NWB</v>
      </c>
      <c r="AF380" s="317">
        <f>Exposure!I53</f>
        <v>1</v>
      </c>
      <c r="AG380" s="326"/>
      <c r="AH380" s="194" t="str">
        <f t="shared" si="316"/>
        <v>Low</v>
      </c>
      <c r="AI380" s="200"/>
      <c r="AJ380" s="328"/>
      <c r="AK380" s="191" t="str">
        <f>Sensitivity!D53</f>
        <v>NWB</v>
      </c>
      <c r="AL380" s="317">
        <f>Sensitivity!I53</f>
        <v>1</v>
      </c>
      <c r="AM380" s="326"/>
      <c r="AN380" s="194" t="str">
        <f t="shared" si="317"/>
        <v>Low</v>
      </c>
      <c r="AO380" s="200"/>
      <c r="AP380" s="328"/>
      <c r="AQ380" s="191" t="str">
        <f>'Adaptive Capacity'!D53</f>
        <v>NWB</v>
      </c>
      <c r="AR380" s="317">
        <f>'Adaptive Capacity'!I53</f>
        <v>3</v>
      </c>
      <c r="AS380" s="326"/>
      <c r="AT380" s="194" t="str">
        <f t="shared" si="318"/>
        <v>Good</v>
      </c>
      <c r="AU380" s="200"/>
      <c r="AV380" s="314"/>
      <c r="AW380" s="189" t="str">
        <f t="shared" si="324"/>
        <v>NWB</v>
      </c>
      <c r="AX380" s="317">
        <f>AVERAGE(AL380,AL384,AL356,AL360,AL361,AL376,AL382,AL383,AL377,AL387)-AVERAGE(AR356,AR360,AR361,AR376,AR377,AR380,AR382,AR383,AR384,AR387)</f>
        <v>-2</v>
      </c>
      <c r="AY380" s="326"/>
      <c r="AZ380" s="194" t="str">
        <f t="shared" si="319"/>
        <v>Low</v>
      </c>
      <c r="BA380" s="322">
        <f>AVERAGE(Z339,Z343,Z348,Z346,Z353,Z359,Z365,Z367,Z368,Z369,Z371,Z372,Z380,Z381,Z382,Z375,Z379)</f>
        <v>1</v>
      </c>
      <c r="BB380" s="322">
        <f t="shared" si="320"/>
        <v>1</v>
      </c>
      <c r="BC380" s="322">
        <f t="shared" si="321"/>
        <v>0.5</v>
      </c>
      <c r="BD380" s="322">
        <f t="shared" si="322"/>
        <v>1.166666667</v>
      </c>
      <c r="BE380" s="326"/>
      <c r="BF380" s="194" t="str">
        <f t="shared" si="323"/>
        <v>Low</v>
      </c>
      <c r="BG380" s="356"/>
      <c r="BH380" s="360" t="str">
        <f t="shared" si="325"/>
        <v>Health &amp; Safety</v>
      </c>
      <c r="BI380" s="254">
        <v>-1.33</v>
      </c>
      <c r="BJ380" s="254">
        <v>1.33</v>
      </c>
      <c r="BK380" s="254">
        <v>0.0</v>
      </c>
      <c r="BL380" s="358">
        <f t="shared" si="326"/>
        <v>-1.979166667</v>
      </c>
    </row>
    <row r="381" ht="14.25" customHeight="1">
      <c r="A381" s="1"/>
      <c r="B381" s="1"/>
      <c r="C381" s="1"/>
      <c r="D381" s="1"/>
      <c r="E381" s="1"/>
      <c r="F381" s="1"/>
      <c r="G381" s="1"/>
      <c r="H381" s="1"/>
      <c r="I381" s="1"/>
      <c r="J381" s="1"/>
      <c r="K381" s="1"/>
      <c r="L381" s="1"/>
      <c r="M381" s="1"/>
      <c r="N381" s="1"/>
      <c r="O381" s="1"/>
      <c r="P381" s="1"/>
      <c r="Q381" s="1"/>
      <c r="R381" s="1"/>
      <c r="S381" s="1"/>
      <c r="T381" s="1"/>
      <c r="U381" s="1"/>
      <c r="W381" s="245"/>
      <c r="X381" s="245"/>
      <c r="Y381" s="191" t="str">
        <f>Hazard!D54</f>
        <v>Deforestation</v>
      </c>
      <c r="Z381" s="317">
        <f>Hazard!I54</f>
        <v>1</v>
      </c>
      <c r="AA381" s="332"/>
      <c r="AB381" s="194" t="str">
        <f t="shared" si="315"/>
        <v>Low</v>
      </c>
      <c r="AC381" s="200"/>
      <c r="AD381" s="200"/>
      <c r="AE381" s="191" t="str">
        <f>Exposure!D54</f>
        <v>Sea</v>
      </c>
      <c r="AF381" s="317">
        <f>Exposure!I54</f>
        <v>1</v>
      </c>
      <c r="AG381" s="326"/>
      <c r="AH381" s="194" t="str">
        <f t="shared" si="316"/>
        <v>Low</v>
      </c>
      <c r="AI381" s="200"/>
      <c r="AJ381" s="328"/>
      <c r="AK381" s="191" t="str">
        <f>Sensitivity!D54</f>
        <v>Sea</v>
      </c>
      <c r="AL381" s="317">
        <f>Sensitivity!I54</f>
        <v>1</v>
      </c>
      <c r="AM381" s="326"/>
      <c r="AN381" s="194" t="str">
        <f t="shared" si="317"/>
        <v>Low</v>
      </c>
      <c r="AO381" s="200"/>
      <c r="AP381" s="328"/>
      <c r="AQ381" s="191" t="str">
        <f>'Adaptive Capacity'!D54</f>
        <v>Sea</v>
      </c>
      <c r="AR381" s="317">
        <f>'Adaptive Capacity'!I54</f>
        <v>3</v>
      </c>
      <c r="AS381" s="326"/>
      <c r="AT381" s="194" t="str">
        <f t="shared" si="318"/>
        <v>Good</v>
      </c>
      <c r="AU381" s="200"/>
      <c r="AV381" s="314"/>
      <c r="AW381" s="189" t="str">
        <f t="shared" si="324"/>
        <v>Sea</v>
      </c>
      <c r="AX381" s="317">
        <f>AVERAGE(AL381,AL349,AL352,AL384,AL383,AL376,AL378,AL386,AL391,AL393,AL394)-AVERAGE(AR349,AR352,AR376,AR378,AR381,AR383,AR384,AR386,AR391,AR393,AR394)</f>
        <v>-2</v>
      </c>
      <c r="AY381" s="326"/>
      <c r="AZ381" s="194" t="str">
        <f t="shared" si="319"/>
        <v>Low</v>
      </c>
      <c r="BA381" s="322">
        <f>AVERAGE(Z339,Z343,Z348,Z346,Z353,Z359,Z365,Z367,Z368,Z369,Z371,Z372,Z380,Z381,Z382,Z375,Z379)</f>
        <v>1</v>
      </c>
      <c r="BB381" s="322">
        <f t="shared" si="320"/>
        <v>1</v>
      </c>
      <c r="BC381" s="322">
        <f t="shared" si="321"/>
        <v>0.5</v>
      </c>
      <c r="BD381" s="322">
        <f t="shared" si="322"/>
        <v>1.166666667</v>
      </c>
      <c r="BE381" s="326"/>
      <c r="BF381" s="194" t="str">
        <f t="shared" si="323"/>
        <v>Low</v>
      </c>
      <c r="BG381" s="356"/>
      <c r="BH381" s="360" t="str">
        <f t="shared" si="325"/>
        <v>Assets and Utilities</v>
      </c>
      <c r="BI381" s="254">
        <v>-1.33</v>
      </c>
      <c r="BJ381" s="254">
        <v>1.33</v>
      </c>
      <c r="BK381" s="254">
        <v>0.0</v>
      </c>
      <c r="BL381" s="358">
        <f t="shared" si="326"/>
        <v>-2</v>
      </c>
      <c r="BM381" s="299"/>
    </row>
    <row r="382" ht="14.25" customHeight="1">
      <c r="A382" s="1"/>
      <c r="B382" s="1"/>
      <c r="C382" s="1"/>
      <c r="D382" s="1"/>
      <c r="E382" s="1"/>
      <c r="F382" s="1"/>
      <c r="G382" s="1"/>
      <c r="H382" s="1"/>
      <c r="I382" s="1"/>
      <c r="J382" s="1"/>
      <c r="K382" s="1"/>
      <c r="L382" s="1"/>
      <c r="M382" s="1"/>
      <c r="N382" s="1"/>
      <c r="O382" s="1"/>
      <c r="P382" s="1"/>
      <c r="Q382" s="1"/>
      <c r="R382" s="1"/>
      <c r="S382" s="1"/>
      <c r="T382" s="1"/>
      <c r="U382" s="1"/>
      <c r="W382" s="221"/>
      <c r="X382" s="221"/>
      <c r="Y382" s="191" t="str">
        <f>Hazard!D55</f>
        <v>Ubarnization</v>
      </c>
      <c r="Z382" s="317">
        <f>Hazard!I55</f>
        <v>1</v>
      </c>
      <c r="AA382" s="341"/>
      <c r="AB382" s="194" t="str">
        <f t="shared" si="315"/>
        <v>Low</v>
      </c>
      <c r="AC382" s="200"/>
      <c r="AD382" s="200"/>
      <c r="AE382" s="191" t="str">
        <f>Exposure!D55</f>
        <v>EF</v>
      </c>
      <c r="AF382" s="317">
        <f>Exposure!I55</f>
        <v>1</v>
      </c>
      <c r="AG382" s="326"/>
      <c r="AH382" s="194" t="str">
        <f t="shared" si="316"/>
        <v>Low</v>
      </c>
      <c r="AI382" s="200"/>
      <c r="AJ382" s="328"/>
      <c r="AK382" s="191" t="str">
        <f>Sensitivity!D55</f>
        <v>EF</v>
      </c>
      <c r="AL382" s="317">
        <f>Sensitivity!I55</f>
        <v>1</v>
      </c>
      <c r="AM382" s="326"/>
      <c r="AN382" s="194" t="str">
        <f t="shared" si="317"/>
        <v>Low</v>
      </c>
      <c r="AO382" s="200"/>
      <c r="AP382" s="328"/>
      <c r="AQ382" s="191" t="str">
        <f>'Adaptive Capacity'!D55</f>
        <v>EF</v>
      </c>
      <c r="AR382" s="317">
        <f>'Adaptive Capacity'!I55</f>
        <v>3</v>
      </c>
      <c r="AS382" s="326"/>
      <c r="AT382" s="194" t="str">
        <f t="shared" si="318"/>
        <v>Good</v>
      </c>
      <c r="AU382" s="200"/>
      <c r="AV382" s="314"/>
      <c r="AW382" s="189" t="str">
        <f t="shared" si="324"/>
        <v>EF</v>
      </c>
      <c r="AX382" s="317">
        <f>AVERAGE(AL339,AL352,AL382,AL353,AL354,AL356,AL376,AL377,AL378,AL379,AL380,AL383,AL387,AL388,AL394)-AVERAGE(AR339,AR352,AR353,AR354,AR356,AR376,AR377,AR378,AR379,AR380,AR382,AR383,AR387,AR388,AR394)</f>
        <v>-2</v>
      </c>
      <c r="AY382" s="326"/>
      <c r="AZ382" s="194" t="str">
        <f t="shared" si="319"/>
        <v>Low</v>
      </c>
      <c r="BA382" s="322">
        <f>AVERAGE(Z339,Z340,Z343,Z344,Z346,Z348,Z349,Z353,Z354,Z355,Z359,Z360,Z361,Z364,Z365,Z367,Z368,Z369,Z371,Z375,Z376,Z377,Z378,Z379,Z380,Z381,Z382)</f>
        <v>1</v>
      </c>
      <c r="BB382" s="322">
        <f t="shared" si="320"/>
        <v>1</v>
      </c>
      <c r="BC382" s="322">
        <f t="shared" si="321"/>
        <v>0.5</v>
      </c>
      <c r="BD382" s="322">
        <f t="shared" si="322"/>
        <v>1.166666667</v>
      </c>
      <c r="BE382" s="326"/>
      <c r="BF382" s="194" t="str">
        <f t="shared" si="323"/>
        <v>Low</v>
      </c>
      <c r="BG382" s="356"/>
      <c r="BH382" s="360" t="str">
        <f t="shared" si="325"/>
        <v>Potable water </v>
      </c>
      <c r="BI382" s="254">
        <v>-1.33</v>
      </c>
      <c r="BJ382" s="254">
        <v>1.33</v>
      </c>
      <c r="BK382" s="254">
        <v>0.0</v>
      </c>
      <c r="BL382" s="358">
        <f t="shared" si="326"/>
        <v>-2</v>
      </c>
      <c r="BM382" s="299"/>
    </row>
    <row r="383" ht="14.25" customHeight="1">
      <c r="A383" s="1"/>
      <c r="B383" s="1"/>
      <c r="C383" s="1"/>
      <c r="D383" s="1"/>
      <c r="E383" s="1"/>
      <c r="F383" s="1"/>
      <c r="G383" s="1"/>
      <c r="H383" s="1"/>
      <c r="I383" s="1"/>
      <c r="J383" s="1"/>
      <c r="K383" s="1"/>
      <c r="L383" s="1"/>
      <c r="M383" s="1"/>
      <c r="N383" s="1"/>
      <c r="O383" s="1"/>
      <c r="P383" s="1"/>
      <c r="Q383" s="1"/>
      <c r="R383" s="1"/>
      <c r="S383" s="1"/>
      <c r="T383" s="1"/>
      <c r="U383" s="1"/>
      <c r="W383" s="1"/>
      <c r="X383" s="1"/>
      <c r="Y383" s="1"/>
      <c r="Z383" s="1"/>
      <c r="AA383" s="1"/>
      <c r="AB383" s="325"/>
      <c r="AC383" s="200"/>
      <c r="AD383" s="200"/>
      <c r="AE383" s="191" t="str">
        <f>Exposure!D56</f>
        <v>Land use </v>
      </c>
      <c r="AF383" s="317">
        <f>Exposure!I56</f>
        <v>1</v>
      </c>
      <c r="AG383" s="331"/>
      <c r="AH383" s="194" t="str">
        <f t="shared" si="316"/>
        <v>Low</v>
      </c>
      <c r="AI383" s="200"/>
      <c r="AJ383" s="328"/>
      <c r="AK383" s="191" t="str">
        <f>Sensitivity!D56</f>
        <v>Land use </v>
      </c>
      <c r="AL383" s="317">
        <f>Sensitivity!I56</f>
        <v>1</v>
      </c>
      <c r="AM383" s="331"/>
      <c r="AN383" s="194" t="str">
        <f t="shared" si="317"/>
        <v>Low</v>
      </c>
      <c r="AO383" s="200"/>
      <c r="AP383" s="328"/>
      <c r="AQ383" s="191" t="str">
        <f>'Adaptive Capacity'!D56</f>
        <v>Land use </v>
      </c>
      <c r="AR383" s="317">
        <f>'Adaptive Capacity'!I56</f>
        <v>3</v>
      </c>
      <c r="AS383" s="331"/>
      <c r="AT383" s="194" t="str">
        <f t="shared" si="318"/>
        <v>Good</v>
      </c>
      <c r="AU383" s="200"/>
      <c r="AV383" s="314"/>
      <c r="AW383" s="189" t="str">
        <f t="shared" si="324"/>
        <v>Land use </v>
      </c>
      <c r="AX383" s="317">
        <f>AVERAGE(AL383,AL384,AL382,AL394,AL387,AL388)-AVERAGE(AR382,AR383,AR384,AR387,AR388,AR394)</f>
        <v>-2</v>
      </c>
      <c r="AY383" s="331"/>
      <c r="AZ383" s="194" t="str">
        <f t="shared" si="319"/>
        <v>Low</v>
      </c>
      <c r="BA383" s="322">
        <f>AVERAGE(Z339,Z343,Z344,Z346,Z348,Z351,Z354,Z355,Z357,Z360,Z361,Z364,Z367,Z368,Z369,Z371,Z372,Z375,Z380,Z381,Z379,Z382)</f>
        <v>1</v>
      </c>
      <c r="BB383" s="322">
        <f t="shared" si="320"/>
        <v>1</v>
      </c>
      <c r="BC383" s="322">
        <f t="shared" si="321"/>
        <v>0.5</v>
      </c>
      <c r="BD383" s="322">
        <f t="shared" si="322"/>
        <v>1.166666667</v>
      </c>
      <c r="BE383" s="331"/>
      <c r="BF383" s="194" t="str">
        <f t="shared" si="323"/>
        <v>Low</v>
      </c>
      <c r="BG383" s="356"/>
      <c r="BH383" s="360" t="str">
        <f t="shared" si="325"/>
        <v>EBS</v>
      </c>
      <c r="BI383" s="254">
        <v>-1.33</v>
      </c>
      <c r="BJ383" s="254">
        <v>1.33</v>
      </c>
      <c r="BK383" s="254">
        <v>0.0</v>
      </c>
      <c r="BL383" s="358">
        <f t="shared" si="326"/>
        <v>-2</v>
      </c>
    </row>
    <row r="384" ht="14.25" customHeight="1">
      <c r="A384" s="1"/>
      <c r="B384" s="1"/>
      <c r="C384" s="1"/>
      <c r="D384" s="1"/>
      <c r="E384" s="1"/>
      <c r="F384" s="1"/>
      <c r="G384" s="1"/>
      <c r="H384" s="1"/>
      <c r="I384" s="1"/>
      <c r="J384" s="1"/>
      <c r="K384" s="1"/>
      <c r="L384" s="1"/>
      <c r="M384" s="1"/>
      <c r="N384" s="1"/>
      <c r="O384" s="1"/>
      <c r="P384" s="1"/>
      <c r="Q384" s="1"/>
      <c r="R384" s="1"/>
      <c r="S384" s="1"/>
      <c r="T384" s="1"/>
      <c r="U384" s="1"/>
      <c r="W384" s="1"/>
      <c r="X384" s="1"/>
      <c r="Y384" s="1"/>
      <c r="Z384" s="1"/>
      <c r="AA384" s="1"/>
      <c r="AB384" s="325"/>
      <c r="AC384" s="200"/>
      <c r="AD384" s="200"/>
      <c r="AE384" s="191" t="str">
        <f>Exposure!D57</f>
        <v>Topography</v>
      </c>
      <c r="AF384" s="317">
        <f>Exposure!I57</f>
        <v>1</v>
      </c>
      <c r="AG384" s="331"/>
      <c r="AH384" s="194" t="str">
        <f t="shared" si="316"/>
        <v>Low</v>
      </c>
      <c r="AI384" s="200"/>
      <c r="AJ384" s="351"/>
      <c r="AK384" s="191" t="str">
        <f>Sensitivity!D57</f>
        <v>Topography</v>
      </c>
      <c r="AL384" s="317">
        <f>Sensitivity!I57</f>
        <v>1</v>
      </c>
      <c r="AM384" s="331"/>
      <c r="AN384" s="194" t="str">
        <f t="shared" si="317"/>
        <v>Low</v>
      </c>
      <c r="AO384" s="200"/>
      <c r="AP384" s="351"/>
      <c r="AQ384" s="191" t="str">
        <f>'Adaptive Capacity'!D57</f>
        <v>Topography</v>
      </c>
      <c r="AR384" s="317">
        <f>'Adaptive Capacity'!I57</f>
        <v>3</v>
      </c>
      <c r="AS384" s="331"/>
      <c r="AT384" s="194" t="str">
        <f t="shared" si="318"/>
        <v>Good</v>
      </c>
      <c r="AU384" s="200"/>
      <c r="AV384" s="314"/>
      <c r="AW384" s="189" t="str">
        <f t="shared" si="324"/>
        <v>Topography</v>
      </c>
      <c r="AX384" s="317">
        <f>AVERAGE(AL384,AL352,AL375,AL376,AL377,AL383,AL380,AL378,AL386,AL387,AL388,AL391)-AVERAGE(AR352,AR375,AR376,AR377,AR378,AR380,AR383,AR384,AR386,AR387,AR388,AR391)</f>
        <v>-2</v>
      </c>
      <c r="AY384" s="331"/>
      <c r="AZ384" s="194" t="str">
        <f t="shared" si="319"/>
        <v>Low</v>
      </c>
      <c r="BA384" s="322">
        <f>AVERAGE(Z343,Z344,Z349,Z361,Z365,Z372,Z379,Z380,Z381,Z382)</f>
        <v>1</v>
      </c>
      <c r="BB384" s="322">
        <f t="shared" si="320"/>
        <v>1</v>
      </c>
      <c r="BC384" s="322">
        <f t="shared" si="321"/>
        <v>0.5</v>
      </c>
      <c r="BD384" s="322">
        <f t="shared" si="322"/>
        <v>1.166666667</v>
      </c>
      <c r="BE384" s="331"/>
      <c r="BF384" s="194" t="str">
        <f t="shared" si="323"/>
        <v>Low</v>
      </c>
      <c r="BG384" s="356"/>
      <c r="BH384" s="360" t="str">
        <f t="shared" si="325"/>
        <v>Institutions</v>
      </c>
      <c r="BI384" s="254">
        <v>-1.33</v>
      </c>
      <c r="BJ384" s="254">
        <v>1.33</v>
      </c>
      <c r="BK384" s="254">
        <v>0.0</v>
      </c>
      <c r="BL384" s="358">
        <f t="shared" si="326"/>
        <v>-2</v>
      </c>
    </row>
    <row r="385" ht="14.25" customHeight="1">
      <c r="A385" s="1"/>
      <c r="B385" s="1"/>
      <c r="C385" s="1"/>
      <c r="D385" s="1"/>
      <c r="E385" s="1"/>
      <c r="F385" s="1"/>
      <c r="G385" s="1"/>
      <c r="H385" s="1"/>
      <c r="I385" s="1"/>
      <c r="J385" s="1"/>
      <c r="K385" s="1"/>
      <c r="L385" s="1"/>
      <c r="M385" s="1"/>
      <c r="N385" s="1"/>
      <c r="O385" s="1"/>
      <c r="P385" s="1"/>
      <c r="Q385" s="1"/>
      <c r="R385" s="1"/>
      <c r="S385" s="1"/>
      <c r="T385" s="1"/>
      <c r="U385" s="1"/>
      <c r="W385" s="1"/>
      <c r="X385" s="1"/>
      <c r="Y385" s="1"/>
      <c r="Z385" s="1"/>
      <c r="AA385" s="1"/>
      <c r="AB385" s="325"/>
      <c r="AC385" s="1"/>
      <c r="AD385" s="1"/>
      <c r="AE385" s="1"/>
      <c r="AF385" s="1"/>
      <c r="AG385" s="1"/>
      <c r="AH385" s="97"/>
      <c r="AI385" s="1"/>
      <c r="AJ385" s="346"/>
      <c r="AK385" s="204"/>
      <c r="AL385" s="335"/>
      <c r="AM385" s="361"/>
      <c r="AN385" s="194"/>
      <c r="AO385" s="1"/>
      <c r="AP385" s="346"/>
      <c r="AQ385" s="204"/>
      <c r="AR385" s="317" t="str">
        <f>'Adaptive Capacity'!I58</f>
        <v/>
      </c>
      <c r="AS385" s="361"/>
      <c r="AT385" s="194"/>
      <c r="AU385" s="1"/>
      <c r="AW385" s="1"/>
      <c r="AX385" s="1"/>
      <c r="AY385" s="1"/>
      <c r="AZ385" s="194"/>
      <c r="BA385" s="347"/>
      <c r="BB385" s="322"/>
      <c r="BC385" s="322"/>
      <c r="BD385" s="322"/>
      <c r="BE385" s="361"/>
      <c r="BF385" s="194"/>
      <c r="BG385" s="356"/>
      <c r="BH385" s="97"/>
      <c r="BI385" s="97"/>
    </row>
    <row r="386" ht="14.25" customHeight="1">
      <c r="A386" s="1"/>
      <c r="B386" s="1"/>
      <c r="C386" s="1"/>
      <c r="D386" s="1"/>
      <c r="E386" s="1"/>
      <c r="F386" s="1"/>
      <c r="G386" s="1"/>
      <c r="H386" s="1"/>
      <c r="I386" s="1"/>
      <c r="J386" s="1"/>
      <c r="K386" s="1"/>
      <c r="L386" s="1"/>
      <c r="M386" s="1"/>
      <c r="N386" s="1"/>
      <c r="O386" s="1"/>
      <c r="P386" s="1"/>
      <c r="Q386" s="1"/>
      <c r="R386" s="1"/>
      <c r="S386" s="1"/>
      <c r="T386" s="1"/>
      <c r="U386" s="1"/>
      <c r="AB386" s="325"/>
      <c r="AC386" s="189">
        <v>6.0</v>
      </c>
      <c r="AD386" s="189" t="str">
        <f>Exposure!C59</f>
        <v>Institutions</v>
      </c>
      <c r="AE386" s="191" t="str">
        <f>Exposure!D59</f>
        <v>EWS</v>
      </c>
      <c r="AF386" s="317">
        <f>Exposure!I59</f>
        <v>1</v>
      </c>
      <c r="AG386" s="318">
        <f>AVERAGE(AF386:AF394)</f>
        <v>1</v>
      </c>
      <c r="AH386" s="194" t="str">
        <f t="shared" ref="AH386:AH394" si="328">IF(AF386&lt;=$D$338,$C$338,IF(AF386=$D$339,$C$339,$C$340))</f>
        <v>Low</v>
      </c>
      <c r="AI386" s="189">
        <v>6.0</v>
      </c>
      <c r="AJ386" s="319" t="str">
        <f>Sensitivity!C59</f>
        <v>Institutions</v>
      </c>
      <c r="AK386" s="191" t="str">
        <f>Sensitivity!D59</f>
        <v>EWS</v>
      </c>
      <c r="AL386" s="317">
        <f>Sensitivity!I59</f>
        <v>1</v>
      </c>
      <c r="AM386" s="318">
        <f>AVERAGE(AL386:AL394)</f>
        <v>1</v>
      </c>
      <c r="AN386" s="194" t="str">
        <f t="shared" ref="AN386:AN394" si="329">IF(AL386&lt;=$D$338,$C$338,IF(AL386=$D$339,$C$339,$C$340))</f>
        <v>Low</v>
      </c>
      <c r="AO386" s="189">
        <v>6.0</v>
      </c>
      <c r="AP386" s="319" t="str">
        <f>'Adaptive Capacity'!C59</f>
        <v>Institutions</v>
      </c>
      <c r="AQ386" s="191" t="str">
        <f>'Adaptive Capacity'!D59</f>
        <v>EWS</v>
      </c>
      <c r="AR386" s="317">
        <f>'Adaptive Capacity'!I59</f>
        <v>3</v>
      </c>
      <c r="AS386" s="318">
        <f>AVERAGE(AR386:AR394)</f>
        <v>3</v>
      </c>
      <c r="AT386" s="194" t="str">
        <f t="shared" ref="AT386:AT394" si="330">IF(AR386&lt;=$D$345,$C$345,IF(AR386=$D$346,$C$346,$C$347))</f>
        <v>Good</v>
      </c>
      <c r="AU386" s="189">
        <f t="shared" ref="AU386:AW386" si="327">AC386</f>
        <v>6</v>
      </c>
      <c r="AV386" s="321" t="str">
        <f t="shared" si="327"/>
        <v>Institutions</v>
      </c>
      <c r="AW386" s="189" t="str">
        <f t="shared" si="327"/>
        <v>EWS</v>
      </c>
      <c r="AX386" s="317">
        <f>AVERAGE(AL386,AL387,AL388,AL389,AL392)-AVERAGE(AR386,AR387,AR388,AR389,AR392)</f>
        <v>-2</v>
      </c>
      <c r="AY386" s="318">
        <f>AVERAGE(AX386:AX394)</f>
        <v>-2</v>
      </c>
      <c r="AZ386" s="194" t="str">
        <f t="shared" ref="AZ386:AZ394" si="331">IF(AX386&lt;=$E$352,$C$352,IF(AX386&gt;=$D$354,$C$354,$C$353))</f>
        <v>Low</v>
      </c>
      <c r="BA386" s="322">
        <f>AVERAGE(Z338,Z339,Z342,Z343,Z351,Z353,Z357,Z359,Z346,Z348,Z364,Z365,Z371,Z372,Z375,Z376,Z377,Z378,Z379,Z380,Z382)</f>
        <v>1.095238095</v>
      </c>
      <c r="BB386" s="322">
        <f t="shared" ref="BB386:BB394" si="332">AF386</f>
        <v>1</v>
      </c>
      <c r="BC386" s="322">
        <f t="shared" ref="BC386:BC394" si="333">(AX386+3)/2</f>
        <v>0.5</v>
      </c>
      <c r="BD386" s="322">
        <f t="shared" ref="BD386:BD394" si="334">BA386+((BB386*BC386)/3)</f>
        <v>1.261904762</v>
      </c>
      <c r="BE386" s="318">
        <f>AVERAGE(BD386:BD394)</f>
        <v>1.219034052</v>
      </c>
      <c r="BF386" s="194" t="str">
        <f t="shared" ref="BF386:BF394" si="335">IF(BD386&lt;=$E$360,$C$360,IF(BD386&gt;=$D$362,$C$362,$C$361))</f>
        <v>Low</v>
      </c>
      <c r="BH386" s="96"/>
      <c r="BI386" s="350"/>
    </row>
    <row r="387" ht="14.25" customHeight="1">
      <c r="A387" s="1"/>
      <c r="B387" s="1"/>
      <c r="C387" s="1"/>
      <c r="D387" s="1"/>
      <c r="E387" s="1"/>
      <c r="F387" s="1"/>
      <c r="G387" s="1"/>
      <c r="H387" s="1"/>
      <c r="I387" s="1"/>
      <c r="J387" s="1"/>
      <c r="K387" s="1"/>
      <c r="L387" s="1"/>
      <c r="M387" s="1"/>
      <c r="N387" s="1"/>
      <c r="O387" s="1"/>
      <c r="P387" s="1"/>
      <c r="Q387" s="1"/>
      <c r="R387" s="1"/>
      <c r="S387" s="1"/>
      <c r="T387" s="1"/>
      <c r="U387" s="1"/>
      <c r="AC387" s="200"/>
      <c r="AD387" s="200"/>
      <c r="AE387" s="191" t="str">
        <f>Exposure!D60</f>
        <v>A &amp; I</v>
      </c>
      <c r="AF387" s="317">
        <f>Exposure!I60</f>
        <v>1</v>
      </c>
      <c r="AG387" s="326"/>
      <c r="AH387" s="194" t="str">
        <f t="shared" si="328"/>
        <v>Low</v>
      </c>
      <c r="AI387" s="200"/>
      <c r="AJ387" s="328"/>
      <c r="AK387" s="191" t="str">
        <f>Sensitivity!D60</f>
        <v>A &amp; I</v>
      </c>
      <c r="AL387" s="317">
        <f>Sensitivity!I60</f>
        <v>1</v>
      </c>
      <c r="AM387" s="326"/>
      <c r="AN387" s="194" t="str">
        <f t="shared" si="329"/>
        <v>Low</v>
      </c>
      <c r="AO387" s="200"/>
      <c r="AP387" s="328"/>
      <c r="AQ387" s="191" t="str">
        <f>'Adaptive Capacity'!D60</f>
        <v>A &amp; I</v>
      </c>
      <c r="AR387" s="317">
        <f>'Adaptive Capacity'!I60</f>
        <v>3</v>
      </c>
      <c r="AS387" s="326"/>
      <c r="AT387" s="194" t="str">
        <f t="shared" si="330"/>
        <v>Good</v>
      </c>
      <c r="AU387" s="200"/>
      <c r="AV387" s="314"/>
      <c r="AW387" s="189" t="str">
        <f t="shared" ref="AW387:AW394" si="336">AE387</f>
        <v>A &amp; I</v>
      </c>
      <c r="AX387" s="317">
        <f>AVERAGE(AL387,AL388,AL389,AL345,AL344,AL348,AL356,AL338,AL368,AL369)-AVERAGE(AR338,AR344,AR345,AR348,AR356,AR368,AR369,AR387,AR388,AR389)</f>
        <v>-2</v>
      </c>
      <c r="AY387" s="326"/>
      <c r="AZ387" s="194" t="str">
        <f t="shared" si="331"/>
        <v>Low</v>
      </c>
      <c r="BA387" s="322">
        <f>AVERAGE(Z338,Z339,Z342,Z343,Z346,Z349,Z351,Z353,Z354,Z355,Z357,Z359,Z360,Z361,Z364,Z365,Z367,Z368,Z369,Z371,Z375,Z376,Z377,Z378,Z380,Z382)</f>
        <v>1.076923077</v>
      </c>
      <c r="BB387" s="322">
        <f t="shared" si="332"/>
        <v>1</v>
      </c>
      <c r="BC387" s="322">
        <f t="shared" si="333"/>
        <v>0.5</v>
      </c>
      <c r="BD387" s="322">
        <f t="shared" si="334"/>
        <v>1.243589744</v>
      </c>
      <c r="BE387" s="326"/>
      <c r="BF387" s="194" t="str">
        <f t="shared" si="335"/>
        <v>Low</v>
      </c>
      <c r="BH387" s="96"/>
      <c r="BI387" s="350"/>
      <c r="BK387" s="97"/>
    </row>
    <row r="388" ht="14.25" customHeight="1">
      <c r="A388" s="1"/>
      <c r="B388" s="1"/>
      <c r="C388" s="1"/>
      <c r="D388" s="1"/>
      <c r="E388" s="1"/>
      <c r="F388" s="1"/>
      <c r="G388" s="1"/>
      <c r="H388" s="1"/>
      <c r="I388" s="1"/>
      <c r="J388" s="1"/>
      <c r="K388" s="1"/>
      <c r="L388" s="1"/>
      <c r="M388" s="1"/>
      <c r="N388" s="1"/>
      <c r="O388" s="1"/>
      <c r="P388" s="1"/>
      <c r="Q388" s="1"/>
      <c r="R388" s="1"/>
      <c r="S388" s="1"/>
      <c r="T388" s="1"/>
      <c r="U388" s="1"/>
      <c r="AC388" s="200"/>
      <c r="AD388" s="200"/>
      <c r="AE388" s="191" t="str">
        <f>Exposure!D61</f>
        <v>EC</v>
      </c>
      <c r="AF388" s="317">
        <f>Exposure!I61</f>
        <v>1</v>
      </c>
      <c r="AG388" s="326"/>
      <c r="AH388" s="194" t="str">
        <f t="shared" si="328"/>
        <v>Low</v>
      </c>
      <c r="AI388" s="200"/>
      <c r="AJ388" s="328"/>
      <c r="AK388" s="191" t="str">
        <f>Sensitivity!D61</f>
        <v>EC</v>
      </c>
      <c r="AL388" s="317">
        <f>Sensitivity!I61</f>
        <v>1</v>
      </c>
      <c r="AM388" s="326"/>
      <c r="AN388" s="194" t="str">
        <f t="shared" si="329"/>
        <v>Low</v>
      </c>
      <c r="AO388" s="200"/>
      <c r="AP388" s="328"/>
      <c r="AQ388" s="191" t="str">
        <f>'Adaptive Capacity'!D61</f>
        <v>EC</v>
      </c>
      <c r="AR388" s="317">
        <f>'Adaptive Capacity'!I61</f>
        <v>3</v>
      </c>
      <c r="AS388" s="326"/>
      <c r="AT388" s="194" t="str">
        <f t="shared" si="330"/>
        <v>Good</v>
      </c>
      <c r="AU388" s="200"/>
      <c r="AV388" s="314"/>
      <c r="AW388" s="189" t="str">
        <f t="shared" si="336"/>
        <v>EC</v>
      </c>
      <c r="AX388" s="317">
        <f>AVERAGE(AL345,AL344,AL368,AL369,AL387,AL388,AL389,AL392,AL393,AL394)-AVERAGE(AR344,AR345,AR368,AR369,AR387,AR388,AR389,AR392,AR393,AR394)</f>
        <v>-2</v>
      </c>
      <c r="AY388" s="326"/>
      <c r="AZ388" s="194" t="str">
        <f t="shared" si="331"/>
        <v>Low</v>
      </c>
      <c r="BA388" s="322">
        <f>AVERAGE(Z339,Z343,Z348,Z353,Z359,Z364,Z365,Z371,Z375,Z376,Z377,Z378,Z380,Z382)</f>
        <v>1</v>
      </c>
      <c r="BB388" s="322">
        <f t="shared" si="332"/>
        <v>1</v>
      </c>
      <c r="BC388" s="322">
        <f t="shared" si="333"/>
        <v>0.5</v>
      </c>
      <c r="BD388" s="322">
        <f t="shared" si="334"/>
        <v>1.166666667</v>
      </c>
      <c r="BE388" s="326"/>
      <c r="BF388" s="194" t="str">
        <f t="shared" si="335"/>
        <v>Low</v>
      </c>
      <c r="BH388" s="96"/>
      <c r="BI388" s="350"/>
      <c r="BJ388" s="97"/>
    </row>
    <row r="389" ht="14.25" customHeight="1">
      <c r="A389" s="1"/>
      <c r="B389" s="1"/>
      <c r="C389" s="1"/>
      <c r="D389" s="1"/>
      <c r="E389" s="1"/>
      <c r="F389" s="1"/>
      <c r="G389" s="1"/>
      <c r="H389" s="1"/>
      <c r="I389" s="1"/>
      <c r="J389" s="1"/>
      <c r="K389" s="1"/>
      <c r="L389" s="1"/>
      <c r="M389" s="1"/>
      <c r="N389" s="1"/>
      <c r="O389" s="1"/>
      <c r="P389" s="1"/>
      <c r="Q389" s="1"/>
      <c r="R389" s="1"/>
      <c r="S389" s="1"/>
      <c r="T389" s="1"/>
      <c r="U389" s="1"/>
      <c r="AB389" s="1"/>
      <c r="AC389" s="200"/>
      <c r="AD389" s="200"/>
      <c r="AE389" s="191" t="str">
        <f>Exposure!D62</f>
        <v>R/RP</v>
      </c>
      <c r="AF389" s="317">
        <f>Exposure!I62</f>
        <v>1</v>
      </c>
      <c r="AG389" s="326"/>
      <c r="AH389" s="194" t="str">
        <f t="shared" si="328"/>
        <v>Low</v>
      </c>
      <c r="AI389" s="200"/>
      <c r="AJ389" s="328"/>
      <c r="AK389" s="191" t="str">
        <f>Sensitivity!D62</f>
        <v>R/RP</v>
      </c>
      <c r="AL389" s="317">
        <f>Sensitivity!I62</f>
        <v>1</v>
      </c>
      <c r="AM389" s="326"/>
      <c r="AN389" s="194" t="str">
        <f t="shared" si="329"/>
        <v>Low</v>
      </c>
      <c r="AO389" s="200"/>
      <c r="AP389" s="328"/>
      <c r="AQ389" s="191" t="str">
        <f>'Adaptive Capacity'!D62</f>
        <v>R/RP</v>
      </c>
      <c r="AR389" s="317">
        <f>'Adaptive Capacity'!I62</f>
        <v>3</v>
      </c>
      <c r="AS389" s="326"/>
      <c r="AT389" s="194" t="str">
        <f t="shared" si="330"/>
        <v>Good</v>
      </c>
      <c r="AU389" s="200"/>
      <c r="AV389" s="314"/>
      <c r="AW389" s="189" t="str">
        <f t="shared" si="336"/>
        <v>R/RP</v>
      </c>
      <c r="AX389" s="317">
        <f>AVERAGE(AL344,AL369,AL394,AL393,AL389,AL388,AL387)-AVERAGE(AR394,AR393,AR389,AR388,AR387,AR369,AR344)</f>
        <v>-2</v>
      </c>
      <c r="AY389" s="326"/>
      <c r="AZ389" s="194" t="str">
        <f t="shared" si="331"/>
        <v>Low</v>
      </c>
      <c r="BA389" s="322">
        <f>AVERAGE(Z338,Z340,Z342,Z344,Z346,Z349,Z351,Z355,Z357,Z361,Z363,Z365,Z367,Z369,Z371,Z373,Z379,Z382)</f>
        <v>1.111111111</v>
      </c>
      <c r="BB389" s="322">
        <f t="shared" si="332"/>
        <v>1</v>
      </c>
      <c r="BC389" s="322">
        <f t="shared" si="333"/>
        <v>0.5</v>
      </c>
      <c r="BD389" s="322">
        <f t="shared" si="334"/>
        <v>1.277777778</v>
      </c>
      <c r="BE389" s="326"/>
      <c r="BF389" s="194" t="str">
        <f t="shared" si="335"/>
        <v>Low</v>
      </c>
      <c r="BH389" s="96"/>
      <c r="BI389" s="350"/>
      <c r="BJ389" s="206"/>
    </row>
    <row r="390" ht="14.25" customHeight="1">
      <c r="A390" s="1"/>
      <c r="B390" s="1"/>
      <c r="C390" s="1"/>
      <c r="D390" s="1"/>
      <c r="E390" s="1"/>
      <c r="F390" s="1"/>
      <c r="G390" s="1"/>
      <c r="H390" s="1"/>
      <c r="I390" s="1"/>
      <c r="J390" s="1"/>
      <c r="K390" s="1"/>
      <c r="L390" s="1"/>
      <c r="M390" s="1"/>
      <c r="N390" s="1"/>
      <c r="O390" s="1"/>
      <c r="P390" s="1"/>
      <c r="Q390" s="1"/>
      <c r="R390" s="1"/>
      <c r="S390" s="1"/>
      <c r="T390" s="1"/>
      <c r="U390" s="1"/>
      <c r="AB390" s="1"/>
      <c r="AC390" s="200"/>
      <c r="AD390" s="200"/>
      <c r="AE390" s="191" t="str">
        <f>Exposure!D63</f>
        <v>HFO</v>
      </c>
      <c r="AF390" s="317">
        <f>Exposure!I63</f>
        <v>1</v>
      </c>
      <c r="AG390" s="326"/>
      <c r="AH390" s="194" t="str">
        <f t="shared" si="328"/>
        <v>Low</v>
      </c>
      <c r="AI390" s="200"/>
      <c r="AJ390" s="328"/>
      <c r="AK390" s="191" t="str">
        <f>Sensitivity!D63</f>
        <v>HFO</v>
      </c>
      <c r="AL390" s="317">
        <f>Sensitivity!I63</f>
        <v>1</v>
      </c>
      <c r="AM390" s="326"/>
      <c r="AN390" s="194" t="str">
        <f t="shared" si="329"/>
        <v>Low</v>
      </c>
      <c r="AO390" s="200"/>
      <c r="AP390" s="328"/>
      <c r="AQ390" s="191" t="str">
        <f>'Adaptive Capacity'!D63</f>
        <v>HFO</v>
      </c>
      <c r="AR390" s="317">
        <f>'Adaptive Capacity'!I63</f>
        <v>3</v>
      </c>
      <c r="AS390" s="326"/>
      <c r="AT390" s="194" t="str">
        <f t="shared" si="330"/>
        <v>Good</v>
      </c>
      <c r="AU390" s="200"/>
      <c r="AV390" s="314"/>
      <c r="AW390" s="189" t="str">
        <f t="shared" si="336"/>
        <v>HFO</v>
      </c>
      <c r="AX390" s="317">
        <f>AVERAGE(AL344,AL369,AL394,AL393,AL389,AL388,AL387)-AVERAGE(AR394,AR393,AR389,AR388,AR387,AR369,AR344)</f>
        <v>-2</v>
      </c>
      <c r="AY390" s="326"/>
      <c r="AZ390" s="194" t="str">
        <f t="shared" si="331"/>
        <v>Low</v>
      </c>
      <c r="BA390" s="322">
        <f>AVERAGE(Z339,Z340,Z343,Z344,Z348,Z349,Z353,Z355,Z359,Z361,Z364,Z365,Z368,Z369,Z371,Z375,Z376,Z377,Z378,Z379,Z380,Z382)</f>
        <v>1</v>
      </c>
      <c r="BB390" s="322">
        <f t="shared" si="332"/>
        <v>1</v>
      </c>
      <c r="BC390" s="322">
        <f t="shared" si="333"/>
        <v>0.5</v>
      </c>
      <c r="BD390" s="322">
        <f t="shared" si="334"/>
        <v>1.166666667</v>
      </c>
      <c r="BE390" s="326"/>
      <c r="BF390" s="194" t="str">
        <f t="shared" si="335"/>
        <v>Low</v>
      </c>
      <c r="BH390" s="96"/>
      <c r="BI390" s="350"/>
      <c r="BJ390" s="206"/>
    </row>
    <row r="391" ht="14.25" customHeight="1">
      <c r="A391" s="1"/>
      <c r="B391" s="1"/>
      <c r="C391" s="1"/>
      <c r="D391" s="1"/>
      <c r="E391" s="1"/>
      <c r="F391" s="1"/>
      <c r="G391" s="1"/>
      <c r="H391" s="1"/>
      <c r="I391" s="1"/>
      <c r="J391" s="1"/>
      <c r="K391" s="1"/>
      <c r="L391" s="1"/>
      <c r="M391" s="1"/>
      <c r="N391" s="1"/>
      <c r="O391" s="1"/>
      <c r="P391" s="1"/>
      <c r="Q391" s="1"/>
      <c r="R391" s="1"/>
      <c r="S391" s="1"/>
      <c r="T391" s="1"/>
      <c r="U391" s="1"/>
      <c r="AB391" s="1"/>
      <c r="AC391" s="200"/>
      <c r="AD391" s="200"/>
      <c r="AE391" s="191" t="str">
        <f>Exposure!D64</f>
        <v>DP</v>
      </c>
      <c r="AF391" s="317">
        <f>Exposure!I64</f>
        <v>1</v>
      </c>
      <c r="AG391" s="326"/>
      <c r="AH391" s="194" t="str">
        <f t="shared" si="328"/>
        <v>Low</v>
      </c>
      <c r="AI391" s="200"/>
      <c r="AJ391" s="328"/>
      <c r="AK391" s="191" t="str">
        <f>Sensitivity!D64</f>
        <v>DP</v>
      </c>
      <c r="AL391" s="317">
        <f>Sensitivity!I64</f>
        <v>1</v>
      </c>
      <c r="AM391" s="326"/>
      <c r="AN391" s="194" t="str">
        <f t="shared" si="329"/>
        <v>Low</v>
      </c>
      <c r="AO391" s="200"/>
      <c r="AP391" s="328"/>
      <c r="AQ391" s="191" t="str">
        <f>'Adaptive Capacity'!D64</f>
        <v>DP</v>
      </c>
      <c r="AR391" s="317">
        <f>'Adaptive Capacity'!I64</f>
        <v>3</v>
      </c>
      <c r="AS391" s="326"/>
      <c r="AT391" s="194" t="str">
        <f t="shared" si="330"/>
        <v>Good</v>
      </c>
      <c r="AU391" s="200"/>
      <c r="AV391" s="314"/>
      <c r="AW391" s="189" t="str">
        <f t="shared" si="336"/>
        <v>DP</v>
      </c>
      <c r="AX391" s="317">
        <f>AVERAGE(AL391,AL338,AL348,AL345,AL344,AL352,AL356,AL368,AL369,AL367,AL390,AL393,AL388)-AVERAGE(AR338,AR344,AR345,AR348,AR352,AR356,AR367,AR368,AR369,AR388,AR390,AR391,AR393)</f>
        <v>-2</v>
      </c>
      <c r="AY391" s="326"/>
      <c r="AZ391" s="194" t="str">
        <f t="shared" si="331"/>
        <v>Low</v>
      </c>
      <c r="BA391" s="322">
        <f>AVERAGE(Z338,Z340,Z342,Z344,Z346,Z349,Z351,Z355,Z357,Z361,Z363,Z365,Z367,Z369,Z371,Z373,Z379,Z382)</f>
        <v>1.111111111</v>
      </c>
      <c r="BB391" s="322">
        <f t="shared" si="332"/>
        <v>1</v>
      </c>
      <c r="BC391" s="322">
        <f t="shared" si="333"/>
        <v>0.5</v>
      </c>
      <c r="BD391" s="322">
        <f t="shared" si="334"/>
        <v>1.277777778</v>
      </c>
      <c r="BE391" s="326"/>
      <c r="BF391" s="194" t="str">
        <f t="shared" si="335"/>
        <v>Low</v>
      </c>
      <c r="BG391" s="362"/>
      <c r="BJ391" s="206"/>
    </row>
    <row r="392" ht="14.25" customHeight="1">
      <c r="A392" s="1"/>
      <c r="B392" s="1"/>
      <c r="C392" s="1"/>
      <c r="D392" s="1"/>
      <c r="E392" s="1"/>
      <c r="F392" s="1"/>
      <c r="G392" s="1"/>
      <c r="H392" s="1"/>
      <c r="I392" s="1"/>
      <c r="J392" s="1"/>
      <c r="K392" s="1"/>
      <c r="L392" s="1"/>
      <c r="M392" s="1"/>
      <c r="N392" s="1"/>
      <c r="O392" s="1"/>
      <c r="P392" s="1"/>
      <c r="Q392" s="1"/>
      <c r="R392" s="1"/>
      <c r="S392" s="1"/>
      <c r="T392" s="1"/>
      <c r="U392" s="1"/>
      <c r="AB392" s="1"/>
      <c r="AC392" s="200"/>
      <c r="AD392" s="200"/>
      <c r="AE392" s="191" t="str">
        <f>Exposure!D65</f>
        <v>DR</v>
      </c>
      <c r="AF392" s="317">
        <f>Exposure!I65</f>
        <v>1</v>
      </c>
      <c r="AG392" s="326"/>
      <c r="AH392" s="194" t="str">
        <f t="shared" si="328"/>
        <v>Low</v>
      </c>
      <c r="AI392" s="200"/>
      <c r="AJ392" s="328"/>
      <c r="AK392" s="191" t="str">
        <f>Sensitivity!D65</f>
        <v>DR</v>
      </c>
      <c r="AL392" s="317">
        <f>Sensitivity!I65</f>
        <v>1</v>
      </c>
      <c r="AM392" s="326"/>
      <c r="AN392" s="194" t="str">
        <f t="shared" si="329"/>
        <v>Low</v>
      </c>
      <c r="AO392" s="200"/>
      <c r="AP392" s="328"/>
      <c r="AQ392" s="191" t="str">
        <f>'Adaptive Capacity'!D65</f>
        <v>DR</v>
      </c>
      <c r="AR392" s="317">
        <f>'Adaptive Capacity'!I65</f>
        <v>3</v>
      </c>
      <c r="AS392" s="326"/>
      <c r="AT392" s="194" t="str">
        <f t="shared" si="330"/>
        <v>Good</v>
      </c>
      <c r="AU392" s="200"/>
      <c r="AV392" s="314"/>
      <c r="AW392" s="189" t="str">
        <f t="shared" si="336"/>
        <v>DR</v>
      </c>
      <c r="AX392" s="317">
        <f>AVERAGE(AL391,AL392,AL338,AL344,AL345,AL348,AL352,AL355,AL367,AL368,AL369,AL390,AL387,AL393,AL388,AL359)-AVERAGE(AR338,AR344,AR345,AR348,AR352,AR355,AR359,AR367,AR368,AR369,AR387,AR388,AR390,AR391,AR392,AR393)</f>
        <v>-2</v>
      </c>
      <c r="AY392" s="326"/>
      <c r="AZ392" s="194" t="str">
        <f t="shared" si="331"/>
        <v>Low</v>
      </c>
      <c r="BA392" s="322">
        <f>AVERAGE(Z339,Z340,Z343,Z344,Z348,Z349,Z353,Z355,Z359,Z361,Z364,Z365,Z368,Z369,Z371,Z373,Z379,Z382)</f>
        <v>1</v>
      </c>
      <c r="BB392" s="322">
        <f t="shared" si="332"/>
        <v>1</v>
      </c>
      <c r="BC392" s="322">
        <f t="shared" si="333"/>
        <v>0.5</v>
      </c>
      <c r="BD392" s="322">
        <f t="shared" si="334"/>
        <v>1.166666667</v>
      </c>
      <c r="BE392" s="326"/>
      <c r="BF392" s="194" t="str">
        <f t="shared" si="335"/>
        <v>Low</v>
      </c>
      <c r="BG392" s="96"/>
      <c r="BH392" s="96"/>
      <c r="BI392" s="350"/>
      <c r="BJ392" s="206"/>
    </row>
    <row r="393" ht="14.25" customHeight="1">
      <c r="A393" s="1"/>
      <c r="B393" s="1"/>
      <c r="C393" s="1"/>
      <c r="D393" s="1"/>
      <c r="E393" s="1"/>
      <c r="F393" s="1"/>
      <c r="G393" s="1"/>
      <c r="H393" s="1"/>
      <c r="I393" s="1"/>
      <c r="J393" s="1"/>
      <c r="K393" s="1"/>
      <c r="L393" s="1"/>
      <c r="M393" s="1"/>
      <c r="N393" s="1"/>
      <c r="O393" s="1"/>
      <c r="P393" s="1"/>
      <c r="Q393" s="1"/>
      <c r="R393" s="1"/>
      <c r="S393" s="1"/>
      <c r="T393" s="1"/>
      <c r="U393" s="1"/>
      <c r="AB393" s="1"/>
      <c r="AC393" s="200"/>
      <c r="AD393" s="200"/>
      <c r="AE393" s="191" t="str">
        <f>Exposure!D66</f>
        <v>PFR</v>
      </c>
      <c r="AF393" s="317">
        <f>Exposure!I66</f>
        <v>1</v>
      </c>
      <c r="AG393" s="326"/>
      <c r="AH393" s="194" t="str">
        <f t="shared" si="328"/>
        <v>Low</v>
      </c>
      <c r="AI393" s="200"/>
      <c r="AJ393" s="328"/>
      <c r="AK393" s="191" t="str">
        <f>Sensitivity!D66</f>
        <v>PFR</v>
      </c>
      <c r="AL393" s="317">
        <f>Sensitivity!I66</f>
        <v>1</v>
      </c>
      <c r="AM393" s="326"/>
      <c r="AN393" s="194" t="str">
        <f t="shared" si="329"/>
        <v>Low</v>
      </c>
      <c r="AO393" s="200"/>
      <c r="AP393" s="328"/>
      <c r="AQ393" s="191" t="str">
        <f>'Adaptive Capacity'!D66</f>
        <v>PFR</v>
      </c>
      <c r="AR393" s="317">
        <f>'Adaptive Capacity'!I66</f>
        <v>3</v>
      </c>
      <c r="AS393" s="326"/>
      <c r="AT393" s="194" t="str">
        <f t="shared" si="330"/>
        <v>Good</v>
      </c>
      <c r="AU393" s="200"/>
      <c r="AV393" s="314"/>
      <c r="AW393" s="189" t="str">
        <f t="shared" si="336"/>
        <v>PFR</v>
      </c>
      <c r="AX393" s="317">
        <f>AVERAGE(AL344,AL348,AL393,AL388,AL389,AL391,AL394)-AVERAGE(AR344,AR348,AR388,AR389,AR391,AR393,AR394)</f>
        <v>-2</v>
      </c>
      <c r="AY393" s="326"/>
      <c r="AZ393" s="194" t="str">
        <f t="shared" si="331"/>
        <v>Low</v>
      </c>
      <c r="BA393" s="322">
        <f>AVERAGE(Z338,Z339,Z340,Z342,Z343,Z344,Z346,Z348,Z349,Z351,Z353,Z355,Z357,Z359,Z361,Z363,Z364,Z365,Z367,Z368,Z369,Z371,Z372,Z373,Z379,Z382)</f>
        <v>1.076923077</v>
      </c>
      <c r="BB393" s="322">
        <f t="shared" si="332"/>
        <v>1</v>
      </c>
      <c r="BC393" s="322">
        <f t="shared" si="333"/>
        <v>0.5</v>
      </c>
      <c r="BD393" s="322">
        <f t="shared" si="334"/>
        <v>1.243589744</v>
      </c>
      <c r="BE393" s="326"/>
      <c r="BF393" s="194" t="str">
        <f t="shared" si="335"/>
        <v>Low</v>
      </c>
      <c r="BG393" s="96"/>
      <c r="BH393" s="96"/>
      <c r="BI393" s="350"/>
      <c r="BJ393" s="206"/>
    </row>
    <row r="394" ht="14.25" customHeight="1">
      <c r="A394" s="1"/>
      <c r="B394" s="1"/>
      <c r="C394" s="1"/>
      <c r="D394" s="1"/>
      <c r="E394" s="1"/>
      <c r="F394" s="1"/>
      <c r="G394" s="1"/>
      <c r="H394" s="1"/>
      <c r="I394" s="1"/>
      <c r="J394" s="1"/>
      <c r="K394" s="1"/>
      <c r="L394" s="1"/>
      <c r="M394" s="1"/>
      <c r="N394" s="1"/>
      <c r="O394" s="1"/>
      <c r="P394" s="1"/>
      <c r="Q394" s="1"/>
      <c r="R394" s="1"/>
      <c r="S394" s="1"/>
      <c r="T394" s="1"/>
      <c r="U394" s="1"/>
      <c r="AC394" s="200"/>
      <c r="AD394" s="200"/>
      <c r="AE394" s="191" t="str">
        <f>Exposure!D67</f>
        <v>PFM</v>
      </c>
      <c r="AF394" s="317">
        <f>Exposure!I67</f>
        <v>1</v>
      </c>
      <c r="AG394" s="331"/>
      <c r="AH394" s="194" t="str">
        <f t="shared" si="328"/>
        <v>Low</v>
      </c>
      <c r="AI394" s="200"/>
      <c r="AJ394" s="328"/>
      <c r="AK394" s="191" t="str">
        <f>Sensitivity!D67</f>
        <v>PFM</v>
      </c>
      <c r="AL394" s="317">
        <f>Sensitivity!I67</f>
        <v>1</v>
      </c>
      <c r="AM394" s="331"/>
      <c r="AN394" s="194" t="str">
        <f t="shared" si="329"/>
        <v>Low</v>
      </c>
      <c r="AO394" s="200"/>
      <c r="AP394" s="328"/>
      <c r="AQ394" s="191" t="str">
        <f>'Adaptive Capacity'!D67</f>
        <v>PFM</v>
      </c>
      <c r="AR394" s="317">
        <f>'Adaptive Capacity'!I67</f>
        <v>3</v>
      </c>
      <c r="AS394" s="331"/>
      <c r="AT394" s="194" t="str">
        <f t="shared" si="330"/>
        <v>Good</v>
      </c>
      <c r="AU394" s="200"/>
      <c r="AV394" s="314"/>
      <c r="AW394" s="189" t="str">
        <f t="shared" si="336"/>
        <v>PFM</v>
      </c>
      <c r="AX394" s="317">
        <f>AVERAGE(AL344,AL348,AL393,AL388,AL389,AL391,AL387,AL394)-AVERAGE(AR344,AR348,AR387,AR388,AR389,AR391,AR393,AR394)</f>
        <v>-2</v>
      </c>
      <c r="AY394" s="331"/>
      <c r="AZ394" s="194" t="str">
        <f t="shared" si="331"/>
        <v>Low</v>
      </c>
      <c r="BA394" s="322">
        <f>AVERAGE(Z340,Z349,Z355,Z361,Z365,Z369,Z372,Z379,Z382)</f>
        <v>1</v>
      </c>
      <c r="BB394" s="322">
        <f t="shared" si="332"/>
        <v>1</v>
      </c>
      <c r="BC394" s="322">
        <f t="shared" si="333"/>
        <v>0.5</v>
      </c>
      <c r="BD394" s="322">
        <f t="shared" si="334"/>
        <v>1.166666667</v>
      </c>
      <c r="BE394" s="331"/>
      <c r="BF394" s="194" t="str">
        <f t="shared" si="335"/>
        <v>Low</v>
      </c>
      <c r="BG394" s="96"/>
      <c r="BH394" s="96"/>
      <c r="BI394" s="350"/>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AC395" s="96"/>
      <c r="AD395" s="96"/>
      <c r="AE395" s="96"/>
      <c r="AF395" s="96"/>
      <c r="AG395" s="96"/>
      <c r="AI395" s="1"/>
      <c r="AJ395" s="1"/>
      <c r="AK395" s="1"/>
      <c r="AL395" s="1"/>
      <c r="AM395" s="194"/>
      <c r="AN395" s="1"/>
      <c r="AP395" s="1"/>
      <c r="AQ395" s="1"/>
      <c r="AR395" s="194"/>
      <c r="AW395" s="193"/>
      <c r="BF395" s="96"/>
      <c r="BG395" s="96"/>
      <c r="BH395" s="96"/>
      <c r="BI395" s="350"/>
      <c r="BJ395" s="206"/>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AC396" s="238"/>
      <c r="AD396" s="238"/>
      <c r="AG396" s="97"/>
      <c r="AH396" s="206"/>
      <c r="AI396" s="1"/>
      <c r="AJ396" s="363"/>
      <c r="AK396" s="364" t="s">
        <v>640</v>
      </c>
      <c r="AL396" s="365">
        <f>AVERAGE(AM338,AM351,AM358,AM371,AM375,AM386)</f>
        <v>1</v>
      </c>
      <c r="AM396" s="194"/>
      <c r="AN396" s="1"/>
      <c r="AP396" s="364" t="s">
        <v>640</v>
      </c>
      <c r="AQ396" s="365">
        <f>AVERAGE(AS338,AS351,AS358,AS371,AS375,AS386)</f>
        <v>3</v>
      </c>
      <c r="AR396" s="194"/>
      <c r="BF396" s="96"/>
      <c r="BG396" s="96"/>
      <c r="BH396" s="96"/>
      <c r="BI396" s="350"/>
      <c r="BJ396" s="206"/>
    </row>
    <row r="397" ht="14.25" customHeight="1">
      <c r="A397" s="1"/>
      <c r="B397" s="1"/>
      <c r="C397" s="1"/>
      <c r="D397" s="1"/>
      <c r="E397" s="1"/>
      <c r="F397" s="1"/>
      <c r="G397" s="1"/>
      <c r="H397" s="1"/>
      <c r="I397" s="1"/>
      <c r="M397" s="1"/>
      <c r="N397" s="1"/>
      <c r="O397" s="1"/>
      <c r="P397" s="1"/>
      <c r="Q397" s="1"/>
      <c r="R397" s="1"/>
      <c r="S397" s="1"/>
      <c r="T397" s="1"/>
      <c r="U397" s="1"/>
      <c r="V397" s="1"/>
      <c r="AC397" s="96"/>
      <c r="AD397" s="96"/>
      <c r="AE397" s="96"/>
      <c r="AF397" s="96"/>
      <c r="AG397" s="355"/>
      <c r="AH397" s="206"/>
      <c r="AI397" s="1"/>
      <c r="AJ397" s="1"/>
      <c r="AK397" s="1"/>
      <c r="AL397" s="366">
        <f>ROUND(AL396,0)</f>
        <v>1</v>
      </c>
      <c r="AM397" s="194" t="str">
        <f>IF(AL397&lt;=$D$338,$C$338,IF(AL397=$D$339,$C$339,$C$340))</f>
        <v>Low</v>
      </c>
      <c r="AN397" s="1"/>
      <c r="AP397" s="1"/>
      <c r="AQ397" s="366">
        <f>ROUND(AQ396,0)</f>
        <v>3</v>
      </c>
      <c r="AR397" s="194" t="str">
        <f>IF(AQ397&lt;=$D$345,$C$345,IF(AQ397=$D$346,$C$346,$C$347))</f>
        <v>Good</v>
      </c>
      <c r="BF397" s="96"/>
      <c r="BJ397" s="206"/>
    </row>
    <row r="398" ht="14.25" customHeight="1">
      <c r="A398" s="1"/>
      <c r="B398" s="1"/>
      <c r="C398" s="1"/>
      <c r="D398" s="1"/>
      <c r="E398" s="1"/>
      <c r="F398" s="1"/>
      <c r="G398" s="1"/>
      <c r="H398" s="1"/>
      <c r="I398" s="1"/>
      <c r="M398" s="1"/>
      <c r="N398" s="1"/>
      <c r="O398" s="1"/>
      <c r="P398" s="1"/>
      <c r="Q398" s="1"/>
      <c r="R398" s="1"/>
      <c r="S398" s="1"/>
      <c r="T398" s="1"/>
      <c r="U398" s="1"/>
      <c r="V398" s="1"/>
      <c r="AC398" s="96"/>
      <c r="AD398" s="96"/>
      <c r="AE398" s="96"/>
      <c r="AF398" s="96"/>
      <c r="AG398" s="96"/>
      <c r="AH398" s="206"/>
      <c r="AI398" s="1"/>
      <c r="AJ398" s="1"/>
      <c r="AK398" s="1"/>
      <c r="AL398" s="1"/>
      <c r="AM398" s="1"/>
      <c r="BF398" s="96"/>
      <c r="BG398" s="96"/>
      <c r="BH398" s="97"/>
      <c r="BI398" s="97"/>
      <c r="BJ398" s="206"/>
    </row>
    <row r="399" ht="14.25" customHeight="1">
      <c r="A399" s="1"/>
      <c r="B399" s="1"/>
      <c r="C399" s="1"/>
      <c r="D399" s="1"/>
      <c r="E399" s="1"/>
      <c r="F399" s="1"/>
      <c r="G399" s="1"/>
      <c r="H399" s="1"/>
      <c r="I399" s="1"/>
      <c r="M399" s="1"/>
      <c r="N399" s="1"/>
      <c r="O399" s="1"/>
      <c r="P399" s="1"/>
      <c r="Q399" s="1"/>
      <c r="R399" s="1"/>
      <c r="S399" s="1"/>
      <c r="T399" s="1"/>
      <c r="U399" s="1"/>
      <c r="V399" s="1"/>
      <c r="AC399" s="96"/>
      <c r="AD399" s="96"/>
      <c r="AE399" s="96"/>
      <c r="AF399" s="96"/>
      <c r="AG399" s="96"/>
      <c r="AH399" s="206"/>
      <c r="AI399" s="1"/>
      <c r="AJ399" s="1"/>
      <c r="AK399" s="1"/>
      <c r="AL399" s="1"/>
      <c r="AM399" s="1"/>
      <c r="BG399" s="96"/>
      <c r="BH399" s="96"/>
      <c r="BI399" s="350"/>
      <c r="BJ399" s="206"/>
    </row>
    <row r="400" ht="14.25" customHeight="1">
      <c r="AC400" s="96"/>
      <c r="AD400" s="96"/>
      <c r="AE400" s="96"/>
      <c r="AF400" s="96"/>
      <c r="AG400" s="96"/>
      <c r="AH400" s="206"/>
      <c r="BG400" s="96"/>
      <c r="BH400" s="96"/>
      <c r="BI400" s="350"/>
      <c r="BK400" s="97"/>
    </row>
    <row r="401" ht="14.25" customHeight="1">
      <c r="AC401" s="96"/>
      <c r="AD401" s="96"/>
      <c r="AE401" s="97"/>
      <c r="AF401" s="97"/>
      <c r="AG401" s="97"/>
      <c r="BG401" s="96"/>
      <c r="BH401" s="96"/>
      <c r="BI401" s="350"/>
      <c r="BJ401" s="97"/>
    </row>
    <row r="402" ht="14.25" customHeight="1">
      <c r="AC402" s="238"/>
      <c r="AD402" s="238"/>
      <c r="AG402" s="97"/>
      <c r="AH402" s="206"/>
      <c r="BG402" s="96"/>
      <c r="BH402" s="96"/>
      <c r="BI402" s="350"/>
      <c r="BJ402" s="206"/>
    </row>
    <row r="403" ht="14.25" customHeight="1">
      <c r="AC403" s="96"/>
      <c r="AD403" s="96"/>
      <c r="AE403" s="96"/>
      <c r="AF403" s="96"/>
      <c r="AG403" s="355"/>
      <c r="AH403" s="206"/>
      <c r="BH403" s="96"/>
      <c r="BI403" s="350"/>
      <c r="BJ403" s="206"/>
    </row>
    <row r="404" ht="14.25" customHeight="1">
      <c r="AC404" s="96"/>
      <c r="AD404" s="96"/>
      <c r="AE404" s="96"/>
      <c r="AF404" s="96"/>
      <c r="AG404" s="96"/>
      <c r="AH404" s="206"/>
      <c r="BG404" s="362"/>
      <c r="BJ404" s="206"/>
    </row>
    <row r="405" ht="14.25" customHeight="1">
      <c r="AC405" s="96"/>
      <c r="AD405" s="96"/>
      <c r="AE405" s="96"/>
      <c r="AF405" s="96"/>
      <c r="AG405" s="96"/>
      <c r="AH405" s="206"/>
      <c r="BG405" s="96"/>
      <c r="BJ405" s="206"/>
    </row>
    <row r="406" ht="14.25" customHeight="1">
      <c r="AC406" s="96"/>
      <c r="AD406" s="96"/>
      <c r="AE406" s="96"/>
      <c r="AF406" s="96"/>
      <c r="AG406" s="96"/>
      <c r="AH406" s="206"/>
      <c r="BJ406" s="206"/>
    </row>
    <row r="407" ht="14.25" customHeight="1">
      <c r="AC407" s="96"/>
      <c r="AD407" s="96"/>
      <c r="AE407" s="96"/>
      <c r="AF407" s="96"/>
      <c r="AG407" s="97"/>
    </row>
    <row r="408" ht="14.25" customHeight="1">
      <c r="AC408" s="238"/>
      <c r="AD408" s="238"/>
      <c r="AG408" s="96"/>
      <c r="AH408" s="206"/>
    </row>
    <row r="409" ht="14.25" customHeight="1">
      <c r="AC409" s="96"/>
      <c r="AD409" s="96"/>
      <c r="AE409" s="96"/>
      <c r="AF409" s="96"/>
      <c r="AG409" s="355"/>
      <c r="AH409" s="206"/>
    </row>
    <row r="410" ht="14.25" customHeight="1">
      <c r="AC410" s="96"/>
      <c r="AD410" s="96"/>
      <c r="AE410" s="96"/>
      <c r="AF410" s="96"/>
      <c r="AG410" s="96"/>
      <c r="AH410" s="206"/>
    </row>
    <row r="411" ht="14.25" customHeight="1">
      <c r="AC411" s="96"/>
      <c r="AD411" s="96"/>
      <c r="AE411" s="96"/>
      <c r="AF411" s="96"/>
      <c r="AG411" s="96"/>
      <c r="AH411" s="206"/>
    </row>
    <row r="412" ht="14.25" customHeight="1">
      <c r="AC412" s="96"/>
      <c r="AD412" s="96"/>
      <c r="AE412" s="96"/>
      <c r="AF412" s="96"/>
      <c r="AG412" s="96"/>
      <c r="AH412" s="206"/>
    </row>
    <row r="413" ht="14.25" customHeight="1">
      <c r="AC413" s="96"/>
      <c r="AD413" s="96"/>
      <c r="AE413" s="96"/>
      <c r="AF413" s="96"/>
      <c r="AG413" s="96"/>
      <c r="AH413" s="206"/>
    </row>
    <row r="414" ht="14.25" customHeight="1">
      <c r="AC414" s="96"/>
      <c r="AD414" s="96"/>
      <c r="AE414" s="96"/>
      <c r="AF414" s="96"/>
      <c r="AG414" s="96"/>
      <c r="AH414" s="1"/>
    </row>
    <row r="415" ht="14.25" customHeight="1">
      <c r="AC415" s="1"/>
      <c r="AD415" s="1"/>
      <c r="AE415" s="1"/>
      <c r="AF415" s="1"/>
      <c r="AG415" s="1"/>
      <c r="AH415" s="1"/>
    </row>
    <row r="416" ht="14.25" customHeight="1">
      <c r="AC416" s="1"/>
      <c r="AD416" s="1"/>
      <c r="AE416" s="1"/>
      <c r="AF416" s="1"/>
      <c r="AG416" s="1"/>
      <c r="AH416" s="1"/>
    </row>
    <row r="417" ht="14.25" customHeight="1">
      <c r="AC417" s="1"/>
      <c r="AD417" s="1"/>
      <c r="AE417" s="1"/>
      <c r="AF417" s="1"/>
      <c r="AG417" s="1"/>
      <c r="AH417" s="1"/>
    </row>
    <row r="418" ht="14.25" customHeight="1">
      <c r="AC418" s="1"/>
      <c r="AD418" s="1"/>
      <c r="AE418" s="1"/>
      <c r="AF418" s="1"/>
      <c r="AG418" s="1"/>
      <c r="AH418" s="1"/>
    </row>
    <row r="419" ht="14.25" customHeight="1">
      <c r="AC419" s="1"/>
      <c r="AD419" s="1"/>
      <c r="AE419" s="1"/>
      <c r="AF419" s="1"/>
      <c r="AG419" s="1"/>
    </row>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c r="BM463" s="295"/>
      <c r="BN463" s="296"/>
      <c r="BP463" s="299" t="s">
        <v>578</v>
      </c>
    </row>
    <row r="464" ht="14.25" customHeight="1">
      <c r="BM464" s="325" t="str">
        <f t="shared" ref="BM464:BM465" si="337">IF(BL470&lt;=$E$352,$C$352,IF(BL470&gt;=$D$354,$C$354,$C$353))</f>
        <v>Low</v>
      </c>
      <c r="BP464" s="299" t="s">
        <v>603</v>
      </c>
    </row>
    <row r="465" ht="14.25" customHeight="1">
      <c r="BM465" s="325" t="str">
        <f t="shared" si="337"/>
        <v>Med</v>
      </c>
    </row>
    <row r="466" ht="14.25" customHeight="1">
      <c r="BM466" s="330" t="str">
        <f>$AY$346</f>
        <v/>
      </c>
      <c r="BN466" s="325" t="str">
        <f t="shared" ref="BN466:BN468" si="338">IF(BM466&lt;=$E$352,$C$352,IF(BM466&gt;=$D$354,$C$354,$C$353))</f>
        <v>Med</v>
      </c>
    </row>
    <row r="467" ht="14.25" customHeight="1">
      <c r="BM467" s="330" t="str">
        <f>$AY$352</f>
        <v/>
      </c>
      <c r="BN467" s="325" t="str">
        <f t="shared" si="338"/>
        <v>Med</v>
      </c>
    </row>
    <row r="468" ht="14.25" customHeight="1">
      <c r="BM468" s="330">
        <f>$AY$358</f>
        <v>-2</v>
      </c>
      <c r="BN468" s="325" t="str">
        <f t="shared" si="338"/>
        <v>Low</v>
      </c>
    </row>
    <row r="469" ht="14.25" customHeight="1">
      <c r="BL469" s="295"/>
      <c r="BM469" s="96"/>
      <c r="BN469" s="96"/>
    </row>
    <row r="470" ht="14.25" customHeight="1">
      <c r="BL470" s="330">
        <f>$AY$338</f>
        <v>-2</v>
      </c>
      <c r="BM470" s="330">
        <f>AQ466-AW466</f>
        <v>0</v>
      </c>
      <c r="BN470" s="325" t="str">
        <f t="shared" ref="BN470:BN474" si="339">IF(BM470&lt;=$E$352,$C$352,IF(BM470&gt;=$D$354,$C$354,$C$353))</f>
        <v>Med</v>
      </c>
    </row>
    <row r="471" ht="14.25" customHeight="1">
      <c r="BL471" s="330" t="str">
        <f>$AY$342</f>
        <v/>
      </c>
      <c r="BM471" s="330">
        <f>AQ472-AW472</f>
        <v>0</v>
      </c>
      <c r="BN471" s="325" t="str">
        <f t="shared" si="339"/>
        <v>Med</v>
      </c>
    </row>
    <row r="472" ht="14.25" customHeight="1">
      <c r="BL472" s="333" t="str">
        <f>$AV$346</f>
        <v/>
      </c>
      <c r="BM472" s="330">
        <f>AQ477-AW477</f>
        <v>0</v>
      </c>
      <c r="BN472" s="325" t="str">
        <f t="shared" si="339"/>
        <v>Med</v>
      </c>
    </row>
    <row r="473" ht="14.25" customHeight="1">
      <c r="BL473" s="333" t="str">
        <f>$AV$352</f>
        <v/>
      </c>
      <c r="BM473" s="330">
        <f>AQ483-AW483</f>
        <v>0</v>
      </c>
      <c r="BN473" s="325" t="str">
        <f t="shared" si="339"/>
        <v>Med</v>
      </c>
    </row>
    <row r="474" ht="14.25" customHeight="1">
      <c r="BL474" s="333" t="str">
        <f>$AV$358</f>
        <v>Assets and Utilities</v>
      </c>
      <c r="BM474" s="330">
        <f>AQ488-AW488</f>
        <v>0</v>
      </c>
      <c r="BN474" s="325" t="str">
        <f t="shared" si="339"/>
        <v>Med</v>
      </c>
    </row>
    <row r="475" ht="14.25" customHeight="1"/>
    <row r="476" ht="14.25" customHeight="1">
      <c r="BK476" s="295"/>
      <c r="BL476" s="333" t="str">
        <f>$AK$195</f>
        <v/>
      </c>
      <c r="BM476" s="295"/>
      <c r="BN476" s="295"/>
      <c r="BO476" s="296"/>
    </row>
    <row r="477" ht="14.25" customHeight="1">
      <c r="BK477" s="333" t="str">
        <f>$AV$338</f>
        <v>Livelihoods</v>
      </c>
      <c r="BL477" s="333" t="str">
        <f>$AK$201</f>
        <v/>
      </c>
      <c r="BM477" s="367">
        <f>$BE$338</f>
        <v>1.247632906</v>
      </c>
      <c r="BN477" s="206" t="str">
        <f t="shared" ref="BN477:BN481" si="340">IF(BM477&lt;=$E$360,$C$360,IF(BM477&gt;=$D$362,$C$362,$C$361))</f>
        <v>Low</v>
      </c>
      <c r="BO477" s="342" t="s">
        <v>584</v>
      </c>
    </row>
    <row r="478" ht="14.25" customHeight="1">
      <c r="BK478" s="333" t="str">
        <f>$AV$342</f>
        <v/>
      </c>
      <c r="BL478" s="333" t="str">
        <f>$AK$206</f>
        <v/>
      </c>
      <c r="BM478" s="367" t="str">
        <f>$BE$342</f>
        <v/>
      </c>
      <c r="BN478" s="206" t="str">
        <f t="shared" si="340"/>
        <v>Low</v>
      </c>
      <c r="BO478" s="342" t="s">
        <v>613</v>
      </c>
    </row>
    <row r="479" ht="14.25" customHeight="1">
      <c r="BK479" s="314"/>
      <c r="BL479" s="333" t="str">
        <f>$AK$212</f>
        <v/>
      </c>
      <c r="BM479" s="367" t="str">
        <f>$BE$346</f>
        <v/>
      </c>
      <c r="BN479" s="206" t="str">
        <f t="shared" si="340"/>
        <v>Low</v>
      </c>
      <c r="BO479" s="342" t="s">
        <v>582</v>
      </c>
      <c r="BQ479" s="299"/>
    </row>
    <row r="480" ht="14.25" customHeight="1">
      <c r="BK480" s="314"/>
      <c r="BL480" s="333" t="str">
        <f>$AK$217</f>
        <v/>
      </c>
      <c r="BM480" s="367" t="str">
        <f>$BE$352</f>
        <v/>
      </c>
      <c r="BN480" s="206" t="str">
        <f t="shared" si="340"/>
        <v>Low</v>
      </c>
      <c r="BO480" s="342" t="str">
        <f>" "</f>
        <v> </v>
      </c>
      <c r="BQ480" s="299"/>
    </row>
    <row r="481" ht="14.25" customHeight="1">
      <c r="BK481" s="323"/>
      <c r="BM481" s="367">
        <f>$BE$358</f>
        <v>1.199845693</v>
      </c>
      <c r="BN481" s="206" t="str">
        <f t="shared" si="340"/>
        <v>Low</v>
      </c>
    </row>
    <row r="482" ht="14.25" customHeight="1">
      <c r="BL482" s="295"/>
    </row>
    <row r="483" ht="14.25" customHeight="1">
      <c r="BK483" s="321"/>
      <c r="BL483" s="333" t="str">
        <f>$AV$338</f>
        <v>Livelihoods</v>
      </c>
      <c r="BM483" s="357" t="s">
        <v>636</v>
      </c>
      <c r="BN483" s="357" t="s">
        <v>584</v>
      </c>
      <c r="BO483" s="357" t="s">
        <v>637</v>
      </c>
    </row>
    <row r="484" ht="14.25" customHeight="1">
      <c r="BK484" s="314"/>
      <c r="BL484" s="333" t="str">
        <f>$AV$342</f>
        <v/>
      </c>
      <c r="BM484" s="254">
        <f t="shared" ref="BM484:BM488" si="341">$D$360+($F$362/2)</f>
        <v>1.333333333</v>
      </c>
      <c r="BN484" s="254">
        <f t="shared" ref="BN484:BN488" si="342">$E$362-($F$362/2)</f>
        <v>4.666666667</v>
      </c>
      <c r="BO484" s="254">
        <f t="shared" ref="BO484:BO488" si="343">BM484+$F$362</f>
        <v>3</v>
      </c>
      <c r="BP484" s="358">
        <f t="shared" ref="BP484:BP488" si="344">BM477</f>
        <v>1.247632906</v>
      </c>
    </row>
    <row r="485" ht="14.25" customHeight="1">
      <c r="BK485" s="314"/>
      <c r="BL485" s="333" t="str">
        <f>$AV$346</f>
        <v/>
      </c>
      <c r="BM485" s="254">
        <f t="shared" si="341"/>
        <v>1.333333333</v>
      </c>
      <c r="BN485" s="254">
        <f t="shared" si="342"/>
        <v>4.666666667</v>
      </c>
      <c r="BO485" s="254">
        <f t="shared" si="343"/>
        <v>3</v>
      </c>
      <c r="BP485" s="358" t="str">
        <f t="shared" si="344"/>
        <v/>
      </c>
    </row>
    <row r="486" ht="14.25" customHeight="1">
      <c r="BK486" s="314"/>
      <c r="BL486" s="333" t="str">
        <f>$AV$352</f>
        <v/>
      </c>
      <c r="BM486" s="254">
        <f t="shared" si="341"/>
        <v>1.333333333</v>
      </c>
      <c r="BN486" s="254">
        <f t="shared" si="342"/>
        <v>4.666666667</v>
      </c>
      <c r="BO486" s="254">
        <f t="shared" si="343"/>
        <v>3</v>
      </c>
      <c r="BP486" s="358" t="str">
        <f t="shared" si="344"/>
        <v/>
      </c>
    </row>
    <row r="487" ht="14.25" customHeight="1">
      <c r="BK487" s="323"/>
      <c r="BL487" s="333" t="str">
        <f>$AV$358</f>
        <v>Assets and Utilities</v>
      </c>
      <c r="BM487" s="254">
        <f t="shared" si="341"/>
        <v>1.333333333</v>
      </c>
      <c r="BN487" s="254">
        <f t="shared" si="342"/>
        <v>4.666666667</v>
      </c>
      <c r="BO487" s="254">
        <f t="shared" si="343"/>
        <v>3</v>
      </c>
      <c r="BP487" s="358" t="str">
        <f t="shared" si="344"/>
        <v/>
      </c>
    </row>
    <row r="488" ht="14.25" customHeight="1">
      <c r="BM488" s="254">
        <f t="shared" si="341"/>
        <v>1.333333333</v>
      </c>
      <c r="BN488" s="254">
        <f t="shared" si="342"/>
        <v>4.666666667</v>
      </c>
      <c r="BO488" s="254">
        <f t="shared" si="343"/>
        <v>3</v>
      </c>
      <c r="BP488" s="368">
        <f t="shared" si="344"/>
        <v>1.199845693</v>
      </c>
    </row>
    <row r="489" ht="14.25" customHeight="1">
      <c r="BK489" s="297" t="s">
        <v>641</v>
      </c>
    </row>
    <row r="490" ht="14.25" customHeight="1">
      <c r="BK490" s="321"/>
      <c r="BL490" s="208" t="str">
        <f t="shared" ref="BL490:BL494" si="345">BL483</f>
        <v>Livelihoods</v>
      </c>
      <c r="BM490" s="254"/>
      <c r="BN490" s="254"/>
      <c r="BO490" s="254"/>
      <c r="BP490" s="358"/>
    </row>
    <row r="491" ht="14.25" customHeight="1">
      <c r="BK491" s="314"/>
      <c r="BL491" s="208" t="str">
        <f t="shared" si="345"/>
        <v/>
      </c>
      <c r="BM491" s="254"/>
      <c r="BN491" s="254"/>
      <c r="BO491" s="254"/>
      <c r="BP491" s="358"/>
    </row>
    <row r="492" ht="14.25" customHeight="1">
      <c r="BK492" s="314"/>
      <c r="BL492" s="208" t="str">
        <f t="shared" si="345"/>
        <v/>
      </c>
      <c r="BM492" s="254"/>
      <c r="BN492" s="254"/>
      <c r="BO492" s="254"/>
      <c r="BP492" s="358"/>
    </row>
    <row r="493" ht="14.25" customHeight="1">
      <c r="BK493" s="314"/>
      <c r="BL493" s="208" t="str">
        <f t="shared" si="345"/>
        <v/>
      </c>
      <c r="BM493" s="254"/>
      <c r="BN493" s="254"/>
      <c r="BO493" s="254"/>
      <c r="BP493" s="358"/>
    </row>
    <row r="494" ht="14.25" customHeight="1">
      <c r="BK494" s="323"/>
      <c r="BL494" s="214" t="str">
        <f t="shared" si="345"/>
        <v>Assets and Utilities</v>
      </c>
      <c r="BM494" s="254"/>
      <c r="BN494" s="254"/>
      <c r="BO494" s="254"/>
      <c r="BP494" s="358"/>
      <c r="BQ494" s="299" t="s">
        <v>578</v>
      </c>
    </row>
    <row r="495" ht="14.25" customHeight="1">
      <c r="BQ495" s="299" t="s">
        <v>638</v>
      </c>
    </row>
    <row r="496" ht="14.25" customHeight="1">
      <c r="BK496" s="356" t="s">
        <v>611</v>
      </c>
      <c r="BM496" s="254">
        <v>-1.33</v>
      </c>
      <c r="BN496" s="254">
        <v>1.33</v>
      </c>
      <c r="BO496" s="254">
        <v>0.0</v>
      </c>
      <c r="BP496" s="358">
        <f t="shared" ref="BP496:BP497" si="346">BL470</f>
        <v>-2</v>
      </c>
    </row>
    <row r="497" ht="14.25" customHeight="1">
      <c r="BK497" s="356"/>
      <c r="BM497" s="254">
        <v>-1.33</v>
      </c>
      <c r="BN497" s="254">
        <v>1.33</v>
      </c>
      <c r="BO497" s="254">
        <v>0.0</v>
      </c>
      <c r="BP497" s="358" t="str">
        <f t="shared" si="346"/>
        <v/>
      </c>
    </row>
    <row r="498" ht="14.25" customHeight="1">
      <c r="BK498" s="356"/>
      <c r="BM498" s="254">
        <v>-1.33</v>
      </c>
      <c r="BN498" s="254">
        <v>1.33</v>
      </c>
      <c r="BO498" s="254">
        <v>0.0</v>
      </c>
      <c r="BP498" s="358" t="str">
        <f t="shared" ref="BP498:BP500" si="347">BM466</f>
        <v/>
      </c>
    </row>
    <row r="499" ht="14.25" customHeight="1">
      <c r="BK499" s="356"/>
      <c r="BM499" s="254">
        <v>-1.33</v>
      </c>
      <c r="BN499" s="254">
        <v>1.33</v>
      </c>
      <c r="BO499" s="254">
        <v>0.0</v>
      </c>
      <c r="BP499" s="358" t="str">
        <f t="shared" si="347"/>
        <v/>
      </c>
    </row>
    <row r="500" ht="14.25" customHeight="1">
      <c r="BK500" s="356"/>
      <c r="BM500" s="254">
        <v>-1.33</v>
      </c>
      <c r="BN500" s="254">
        <v>1.33</v>
      </c>
      <c r="BO500" s="254">
        <v>0.0</v>
      </c>
      <c r="BP500" s="358">
        <f t="shared" si="347"/>
        <v>-2</v>
      </c>
    </row>
    <row r="501" ht="14.25" customHeight="1">
      <c r="BK501" s="356"/>
    </row>
    <row r="502" ht="14.25" customHeight="1">
      <c r="BK502" s="356"/>
      <c r="BL502" s="360" t="str">
        <f t="shared" ref="BL502:BL503" si="348">BK477</f>
        <v>Livelihoods</v>
      </c>
      <c r="BM502" s="97"/>
      <c r="BN502" s="97"/>
      <c r="BO502" s="97"/>
    </row>
    <row r="503" ht="14.25" customHeight="1">
      <c r="BK503" s="356"/>
      <c r="BL503" s="360" t="str">
        <f t="shared" si="348"/>
        <v/>
      </c>
      <c r="BM503" s="350"/>
      <c r="BN503" s="206"/>
    </row>
    <row r="504" ht="14.25" customHeight="1">
      <c r="BK504" s="356"/>
      <c r="BL504" s="360" t="str">
        <f t="shared" ref="BL504:BL506" si="349">BL472</f>
        <v/>
      </c>
      <c r="BM504" s="350"/>
      <c r="BN504" s="206"/>
    </row>
    <row r="505" ht="14.25" customHeight="1">
      <c r="BK505" s="356"/>
      <c r="BL505" s="360" t="str">
        <f t="shared" si="349"/>
        <v/>
      </c>
      <c r="BM505" s="350"/>
      <c r="BN505" s="206"/>
    </row>
    <row r="506" ht="14.25" customHeight="1">
      <c r="BK506" s="356"/>
      <c r="BL506" s="360" t="str">
        <f t="shared" si="349"/>
        <v>Assets and Utilities</v>
      </c>
      <c r="BM506" s="350"/>
      <c r="BN506" s="206"/>
    </row>
    <row r="507" ht="14.25" customHeight="1">
      <c r="BK507" s="356"/>
      <c r="BM507" s="350"/>
      <c r="BN507" s="206"/>
    </row>
    <row r="508" ht="14.25" customHeight="1">
      <c r="BK508" s="356" t="s">
        <v>639</v>
      </c>
      <c r="BL508" s="97"/>
    </row>
    <row r="509" ht="14.25" customHeight="1">
      <c r="BK509" s="356"/>
      <c r="BL509" s="96"/>
      <c r="BM509" s="350"/>
      <c r="BN509" s="206"/>
      <c r="BQ509" s="299"/>
    </row>
    <row r="510" ht="14.25" customHeight="1">
      <c r="BK510" s="356"/>
      <c r="BL510" s="96"/>
      <c r="BM510" s="350"/>
      <c r="BN510" s="206"/>
      <c r="BQ510" s="299"/>
    </row>
    <row r="511" ht="14.25" customHeight="1">
      <c r="BK511" s="356"/>
      <c r="BL511" s="96"/>
      <c r="BM511" s="350"/>
      <c r="BN511" s="206"/>
    </row>
    <row r="512" ht="14.25" customHeight="1">
      <c r="BK512" s="356"/>
      <c r="BL512" s="96"/>
      <c r="BM512" s="350"/>
      <c r="BN512" s="206"/>
    </row>
    <row r="513" ht="14.25" customHeight="1">
      <c r="BK513" s="356"/>
      <c r="BL513" s="96"/>
      <c r="BM513" s="350"/>
      <c r="BN513" s="206"/>
    </row>
    <row r="514" ht="14.25" customHeight="1">
      <c r="BK514" s="356"/>
    </row>
    <row r="515" ht="14.25" customHeight="1">
      <c r="BK515" s="356"/>
      <c r="BL515" s="96"/>
      <c r="BM515" s="97"/>
      <c r="BN515" s="97"/>
      <c r="BO515" s="97"/>
    </row>
    <row r="516" ht="14.25" customHeight="1">
      <c r="BL516" s="96"/>
      <c r="BM516" s="350"/>
      <c r="BN516" s="206"/>
    </row>
    <row r="517" ht="14.25" customHeight="1">
      <c r="BL517" s="96"/>
    </row>
    <row r="518" ht="14.25" customHeight="1">
      <c r="BL518" s="96"/>
    </row>
    <row r="519" ht="14.25" customHeight="1">
      <c r="BL519" s="96"/>
    </row>
    <row r="520" ht="14.25" customHeight="1"/>
    <row r="521" ht="14.25" customHeight="1">
      <c r="BK521" s="362"/>
      <c r="BL521" s="97"/>
    </row>
    <row r="522" ht="14.25" customHeight="1">
      <c r="BK522" s="96"/>
      <c r="BL522" s="96"/>
    </row>
    <row r="523" ht="14.25" customHeight="1">
      <c r="BK523" s="96"/>
    </row>
    <row r="524" ht="14.25" customHeight="1">
      <c r="BK524" s="96"/>
    </row>
    <row r="525" ht="14.25" customHeight="1">
      <c r="BK525" s="96"/>
    </row>
    <row r="526" ht="14.25" customHeight="1">
      <c r="BK526" s="96"/>
    </row>
    <row r="527" ht="14.25" customHeight="1"/>
    <row r="528" ht="14.25" customHeight="1">
      <c r="BK528" s="96"/>
    </row>
    <row r="529" ht="14.25" customHeight="1">
      <c r="BK529" s="96"/>
    </row>
  </sheetData>
  <mergeCells count="836">
    <mergeCell ref="L57:N57"/>
    <mergeCell ref="O57:R57"/>
    <mergeCell ref="S57:V57"/>
    <mergeCell ref="W57:X57"/>
    <mergeCell ref="Y58:AB58"/>
    <mergeCell ref="D56:F56"/>
    <mergeCell ref="G56:K56"/>
    <mergeCell ref="L56:R56"/>
    <mergeCell ref="S56:X56"/>
    <mergeCell ref="Y56:Z56"/>
    <mergeCell ref="AA56:AB56"/>
    <mergeCell ref="E57:F57"/>
    <mergeCell ref="M59:Q59"/>
    <mergeCell ref="R59:V59"/>
    <mergeCell ref="G57:H57"/>
    <mergeCell ref="I57:K57"/>
    <mergeCell ref="D58:J58"/>
    <mergeCell ref="K58:X58"/>
    <mergeCell ref="F59:H59"/>
    <mergeCell ref="I59:L59"/>
    <mergeCell ref="W59:X59"/>
    <mergeCell ref="D36:H36"/>
    <mergeCell ref="I36:R36"/>
    <mergeCell ref="S36:Y36"/>
    <mergeCell ref="D37:H37"/>
    <mergeCell ref="I37:R37"/>
    <mergeCell ref="S37:Y37"/>
    <mergeCell ref="D38:F38"/>
    <mergeCell ref="U38:Y38"/>
    <mergeCell ref="G38:M38"/>
    <mergeCell ref="N38:T38"/>
    <mergeCell ref="D39:F39"/>
    <mergeCell ref="G39:K39"/>
    <mergeCell ref="L39:P39"/>
    <mergeCell ref="Q39:W39"/>
    <mergeCell ref="X39:Y39"/>
    <mergeCell ref="D40:F40"/>
    <mergeCell ref="G40:K40"/>
    <mergeCell ref="L40:P40"/>
    <mergeCell ref="Q40:W40"/>
    <mergeCell ref="X40:Y40"/>
    <mergeCell ref="I41:R41"/>
    <mergeCell ref="S41:Y41"/>
    <mergeCell ref="D41:H41"/>
    <mergeCell ref="D42:H42"/>
    <mergeCell ref="I42:R42"/>
    <mergeCell ref="S42:Y42"/>
    <mergeCell ref="D43:H43"/>
    <mergeCell ref="I43:R43"/>
    <mergeCell ref="S43:Y43"/>
    <mergeCell ref="D44:E44"/>
    <mergeCell ref="F44:G44"/>
    <mergeCell ref="H44:J44"/>
    <mergeCell ref="K44:L44"/>
    <mergeCell ref="M44:P44"/>
    <mergeCell ref="Q44:U44"/>
    <mergeCell ref="V44:X44"/>
    <mergeCell ref="E55:F55"/>
    <mergeCell ref="G55:H55"/>
    <mergeCell ref="I55:K55"/>
    <mergeCell ref="L55:N55"/>
    <mergeCell ref="O55:R55"/>
    <mergeCell ref="S55:V55"/>
    <mergeCell ref="W55:X55"/>
    <mergeCell ref="D59:E59"/>
    <mergeCell ref="D60:E60"/>
    <mergeCell ref="F60:H60"/>
    <mergeCell ref="I60:K60"/>
    <mergeCell ref="L60:O60"/>
    <mergeCell ref="P60:W60"/>
    <mergeCell ref="X60:Y60"/>
    <mergeCell ref="E71:F71"/>
    <mergeCell ref="G71:H71"/>
    <mergeCell ref="I71:K71"/>
    <mergeCell ref="L71:N71"/>
    <mergeCell ref="O71:R71"/>
    <mergeCell ref="S71:V71"/>
    <mergeCell ref="W71:X71"/>
    <mergeCell ref="L73:N73"/>
    <mergeCell ref="O73:R73"/>
    <mergeCell ref="K74:X74"/>
    <mergeCell ref="Y74:AB74"/>
    <mergeCell ref="S73:V73"/>
    <mergeCell ref="W73:X73"/>
    <mergeCell ref="R75:V75"/>
    <mergeCell ref="W75:X75"/>
    <mergeCell ref="D72:F72"/>
    <mergeCell ref="G72:K72"/>
    <mergeCell ref="L72:R72"/>
    <mergeCell ref="S72:X72"/>
    <mergeCell ref="Y72:Z72"/>
    <mergeCell ref="AA72:AB72"/>
    <mergeCell ref="E73:F73"/>
    <mergeCell ref="D76:E76"/>
    <mergeCell ref="F76:H76"/>
    <mergeCell ref="I76:K76"/>
    <mergeCell ref="L76:O76"/>
    <mergeCell ref="P76:W76"/>
    <mergeCell ref="X76:Y76"/>
    <mergeCell ref="G73:H73"/>
    <mergeCell ref="I73:K73"/>
    <mergeCell ref="D74:J74"/>
    <mergeCell ref="D75:E75"/>
    <mergeCell ref="F75:H75"/>
    <mergeCell ref="I75:L75"/>
    <mergeCell ref="M75:Q75"/>
    <mergeCell ref="E87:F87"/>
    <mergeCell ref="G87:H87"/>
    <mergeCell ref="I87:K87"/>
    <mergeCell ref="L87:N87"/>
    <mergeCell ref="O87:R87"/>
    <mergeCell ref="S87:V87"/>
    <mergeCell ref="W87:X87"/>
    <mergeCell ref="L89:N89"/>
    <mergeCell ref="O89:R89"/>
    <mergeCell ref="K90:X90"/>
    <mergeCell ref="Y90:AB90"/>
    <mergeCell ref="S89:V89"/>
    <mergeCell ref="W89:X89"/>
    <mergeCell ref="R91:V91"/>
    <mergeCell ref="W91:X91"/>
    <mergeCell ref="D88:F88"/>
    <mergeCell ref="G88:K88"/>
    <mergeCell ref="L88:R88"/>
    <mergeCell ref="S88:X88"/>
    <mergeCell ref="Y88:Z88"/>
    <mergeCell ref="AA88:AB88"/>
    <mergeCell ref="E89:F89"/>
    <mergeCell ref="D92:E92"/>
    <mergeCell ref="F92:H92"/>
    <mergeCell ref="I92:K92"/>
    <mergeCell ref="L92:O92"/>
    <mergeCell ref="P92:W92"/>
    <mergeCell ref="X92:Y92"/>
    <mergeCell ref="G89:H89"/>
    <mergeCell ref="I89:K89"/>
    <mergeCell ref="D90:J90"/>
    <mergeCell ref="D91:E91"/>
    <mergeCell ref="F91:H91"/>
    <mergeCell ref="I91:L91"/>
    <mergeCell ref="M91:Q91"/>
    <mergeCell ref="D106:E106"/>
    <mergeCell ref="F106:H106"/>
    <mergeCell ref="I106:L106"/>
    <mergeCell ref="M106:O106"/>
    <mergeCell ref="P106:S106"/>
    <mergeCell ref="T106:W106"/>
    <mergeCell ref="D110:E110"/>
    <mergeCell ref="T110:W110"/>
    <mergeCell ref="K119:X119"/>
    <mergeCell ref="Y119:AB119"/>
    <mergeCell ref="R120:V120"/>
    <mergeCell ref="W120:X120"/>
    <mergeCell ref="P121:W121"/>
    <mergeCell ref="X121:Y121"/>
    <mergeCell ref="S116:V116"/>
    <mergeCell ref="W116:X116"/>
    <mergeCell ref="S117:X117"/>
    <mergeCell ref="Y117:Z117"/>
    <mergeCell ref="AA117:AB117"/>
    <mergeCell ref="S118:V118"/>
    <mergeCell ref="W118:X118"/>
    <mergeCell ref="M110:O110"/>
    <mergeCell ref="P110:S110"/>
    <mergeCell ref="F110:H110"/>
    <mergeCell ref="I110:L110"/>
    <mergeCell ref="E116:F116"/>
    <mergeCell ref="G116:H116"/>
    <mergeCell ref="I116:K116"/>
    <mergeCell ref="L116:N116"/>
    <mergeCell ref="O116:R116"/>
    <mergeCell ref="D117:F117"/>
    <mergeCell ref="G117:K117"/>
    <mergeCell ref="L117:R117"/>
    <mergeCell ref="E118:F118"/>
    <mergeCell ref="I118:K118"/>
    <mergeCell ref="L118:N118"/>
    <mergeCell ref="O118:R118"/>
    <mergeCell ref="G118:H118"/>
    <mergeCell ref="D119:J119"/>
    <mergeCell ref="D120:E120"/>
    <mergeCell ref="F120:H120"/>
    <mergeCell ref="I120:L120"/>
    <mergeCell ref="M120:Q120"/>
    <mergeCell ref="D121:E121"/>
    <mergeCell ref="L121:O121"/>
    <mergeCell ref="F121:H121"/>
    <mergeCell ref="I121:K121"/>
    <mergeCell ref="F134:H134"/>
    <mergeCell ref="I134:L134"/>
    <mergeCell ref="M134:O134"/>
    <mergeCell ref="P134:S134"/>
    <mergeCell ref="T134:W134"/>
    <mergeCell ref="D134:E134"/>
    <mergeCell ref="G147:H147"/>
    <mergeCell ref="I147:K147"/>
    <mergeCell ref="L147:N147"/>
    <mergeCell ref="O147:R147"/>
    <mergeCell ref="S147:V147"/>
    <mergeCell ref="W147:X147"/>
    <mergeCell ref="E147:F147"/>
    <mergeCell ref="D148:F148"/>
    <mergeCell ref="G148:K148"/>
    <mergeCell ref="L148:R148"/>
    <mergeCell ref="S148:X148"/>
    <mergeCell ref="Y148:Z148"/>
    <mergeCell ref="AA148:AB148"/>
    <mergeCell ref="I209:M209"/>
    <mergeCell ref="N209:R209"/>
    <mergeCell ref="D207:K207"/>
    <mergeCell ref="D208:F208"/>
    <mergeCell ref="G208:J208"/>
    <mergeCell ref="K208:M208"/>
    <mergeCell ref="N208:P208"/>
    <mergeCell ref="Q208:W208"/>
    <mergeCell ref="S209:W209"/>
    <mergeCell ref="E149:F149"/>
    <mergeCell ref="G149:H149"/>
    <mergeCell ref="I149:K149"/>
    <mergeCell ref="L149:N149"/>
    <mergeCell ref="O149:R149"/>
    <mergeCell ref="S149:V149"/>
    <mergeCell ref="W149:X149"/>
    <mergeCell ref="D152:E152"/>
    <mergeCell ref="F152:H152"/>
    <mergeCell ref="I152:K152"/>
    <mergeCell ref="L152:O152"/>
    <mergeCell ref="P152:W152"/>
    <mergeCell ref="X152:Y152"/>
    <mergeCell ref="D150:J150"/>
    <mergeCell ref="K150:X150"/>
    <mergeCell ref="Y150:AB150"/>
    <mergeCell ref="D151:E151"/>
    <mergeCell ref="F151:H151"/>
    <mergeCell ref="I151:L151"/>
    <mergeCell ref="M151:Q151"/>
    <mergeCell ref="R151:V151"/>
    <mergeCell ref="W151:X151"/>
    <mergeCell ref="D190:K190"/>
    <mergeCell ref="L190:T190"/>
    <mergeCell ref="U190:Z190"/>
    <mergeCell ref="L191:T191"/>
    <mergeCell ref="U191:Z191"/>
    <mergeCell ref="D191:K191"/>
    <mergeCell ref="D192:H192"/>
    <mergeCell ref="I192:P192"/>
    <mergeCell ref="Q192:W192"/>
    <mergeCell ref="X192:Z192"/>
    <mergeCell ref="G193:L193"/>
    <mergeCell ref="X193:Z193"/>
    <mergeCell ref="L196:T196"/>
    <mergeCell ref="U196:Z196"/>
    <mergeCell ref="L197:T197"/>
    <mergeCell ref="U197:Z197"/>
    <mergeCell ref="Q198:W198"/>
    <mergeCell ref="M193:R193"/>
    <mergeCell ref="S193:W193"/>
    <mergeCell ref="M194:R194"/>
    <mergeCell ref="S194:W194"/>
    <mergeCell ref="X194:Z194"/>
    <mergeCell ref="L195:T195"/>
    <mergeCell ref="U195:Z195"/>
    <mergeCell ref="G198:J198"/>
    <mergeCell ref="K198:M198"/>
    <mergeCell ref="N198:P198"/>
    <mergeCell ref="L200:T200"/>
    <mergeCell ref="U200:Z200"/>
    <mergeCell ref="D193:F193"/>
    <mergeCell ref="D194:F194"/>
    <mergeCell ref="G194:L194"/>
    <mergeCell ref="D195:K195"/>
    <mergeCell ref="D196:K196"/>
    <mergeCell ref="D197:K197"/>
    <mergeCell ref="D198:F198"/>
    <mergeCell ref="D200:K200"/>
    <mergeCell ref="D201:K201"/>
    <mergeCell ref="L201:T201"/>
    <mergeCell ref="U201:Z201"/>
    <mergeCell ref="I202:P202"/>
    <mergeCell ref="Q202:W202"/>
    <mergeCell ref="X202:Z202"/>
    <mergeCell ref="S204:W204"/>
    <mergeCell ref="X204:Z204"/>
    <mergeCell ref="U205:Z205"/>
    <mergeCell ref="U206:Z206"/>
    <mergeCell ref="U207:Z207"/>
    <mergeCell ref="D202:H202"/>
    <mergeCell ref="D203:F203"/>
    <mergeCell ref="G203:L203"/>
    <mergeCell ref="M203:R203"/>
    <mergeCell ref="S203:W203"/>
    <mergeCell ref="X203:Z203"/>
    <mergeCell ref="D204:F204"/>
    <mergeCell ref="G204:L204"/>
    <mergeCell ref="M204:R204"/>
    <mergeCell ref="D205:K205"/>
    <mergeCell ref="L205:T205"/>
    <mergeCell ref="D206:K206"/>
    <mergeCell ref="L206:T206"/>
    <mergeCell ref="L207:T207"/>
    <mergeCell ref="F212:G212"/>
    <mergeCell ref="H212:J212"/>
    <mergeCell ref="N219:Q219"/>
    <mergeCell ref="R219:T219"/>
    <mergeCell ref="D218:F218"/>
    <mergeCell ref="G218:K218"/>
    <mergeCell ref="L218:Q218"/>
    <mergeCell ref="R218:X218"/>
    <mergeCell ref="Y218:AA218"/>
    <mergeCell ref="D219:E219"/>
    <mergeCell ref="F219:G219"/>
    <mergeCell ref="U219:W219"/>
    <mergeCell ref="H219:J219"/>
    <mergeCell ref="K219:M219"/>
    <mergeCell ref="C220:I220"/>
    <mergeCell ref="J220:W220"/>
    <mergeCell ref="X220:AA220"/>
    <mergeCell ref="D221:F221"/>
    <mergeCell ref="G221:I221"/>
    <mergeCell ref="R221:W221"/>
    <mergeCell ref="J221:L221"/>
    <mergeCell ref="M221:Q221"/>
    <mergeCell ref="D222:F222"/>
    <mergeCell ref="G222:J222"/>
    <mergeCell ref="K222:N222"/>
    <mergeCell ref="O222:U222"/>
    <mergeCell ref="V222:X222"/>
    <mergeCell ref="D209:H209"/>
    <mergeCell ref="F210:G210"/>
    <mergeCell ref="H210:J210"/>
    <mergeCell ref="K210:M210"/>
    <mergeCell ref="N210:Q210"/>
    <mergeCell ref="R210:T210"/>
    <mergeCell ref="U210:W210"/>
    <mergeCell ref="R212:T212"/>
    <mergeCell ref="U212:W212"/>
    <mergeCell ref="D210:E210"/>
    <mergeCell ref="D211:F211"/>
    <mergeCell ref="G211:K211"/>
    <mergeCell ref="L211:Q211"/>
    <mergeCell ref="R211:X211"/>
    <mergeCell ref="Y211:AA211"/>
    <mergeCell ref="D212:E212"/>
    <mergeCell ref="K212:M212"/>
    <mergeCell ref="N212:Q212"/>
    <mergeCell ref="C213:I213"/>
    <mergeCell ref="J213:W213"/>
    <mergeCell ref="X213:AA213"/>
    <mergeCell ref="D214:F214"/>
    <mergeCell ref="G214:I214"/>
    <mergeCell ref="R214:W214"/>
    <mergeCell ref="J214:L214"/>
    <mergeCell ref="M214:Q214"/>
    <mergeCell ref="D215:F215"/>
    <mergeCell ref="G215:J215"/>
    <mergeCell ref="K215:N215"/>
    <mergeCell ref="O215:U215"/>
    <mergeCell ref="V215:X215"/>
    <mergeCell ref="D217:E217"/>
    <mergeCell ref="F217:G217"/>
    <mergeCell ref="H217:J217"/>
    <mergeCell ref="K217:M217"/>
    <mergeCell ref="N217:Q217"/>
    <mergeCell ref="R217:T217"/>
    <mergeCell ref="U217:W217"/>
    <mergeCell ref="R225:T225"/>
    <mergeCell ref="U225:W225"/>
    <mergeCell ref="K225:M225"/>
    <mergeCell ref="N225:Q225"/>
    <mergeCell ref="D224:H224"/>
    <mergeCell ref="I224:M224"/>
    <mergeCell ref="N224:R224"/>
    <mergeCell ref="S224:W224"/>
    <mergeCell ref="D225:E225"/>
    <mergeCell ref="F225:G225"/>
    <mergeCell ref="H225:J225"/>
    <mergeCell ref="N227:Q227"/>
    <mergeCell ref="R227:T227"/>
    <mergeCell ref="D226:F226"/>
    <mergeCell ref="G226:K226"/>
    <mergeCell ref="L226:Q226"/>
    <mergeCell ref="R226:X226"/>
    <mergeCell ref="Y226:AA226"/>
    <mergeCell ref="D227:E227"/>
    <mergeCell ref="F227:G227"/>
    <mergeCell ref="U227:W227"/>
    <mergeCell ref="H227:J227"/>
    <mergeCell ref="K227:M227"/>
    <mergeCell ref="C228:I228"/>
    <mergeCell ref="J228:W228"/>
    <mergeCell ref="X228:AA228"/>
    <mergeCell ref="D229:F229"/>
    <mergeCell ref="G229:I229"/>
    <mergeCell ref="R229:W229"/>
    <mergeCell ref="J229:L229"/>
    <mergeCell ref="M229:Q229"/>
    <mergeCell ref="D230:F230"/>
    <mergeCell ref="G230:J230"/>
    <mergeCell ref="K230:N230"/>
    <mergeCell ref="O230:U230"/>
    <mergeCell ref="V230:X230"/>
    <mergeCell ref="D232:E232"/>
    <mergeCell ref="F232:G232"/>
    <mergeCell ref="H232:J232"/>
    <mergeCell ref="K232:M232"/>
    <mergeCell ref="N232:Q232"/>
    <mergeCell ref="R232:T232"/>
    <mergeCell ref="U232:W232"/>
    <mergeCell ref="N234:Q234"/>
    <mergeCell ref="R234:T234"/>
    <mergeCell ref="D233:F233"/>
    <mergeCell ref="G233:K233"/>
    <mergeCell ref="L233:Q233"/>
    <mergeCell ref="R233:X233"/>
    <mergeCell ref="Y233:AA233"/>
    <mergeCell ref="D234:E234"/>
    <mergeCell ref="F234:G234"/>
    <mergeCell ref="U234:W234"/>
    <mergeCell ref="H234:J234"/>
    <mergeCell ref="K234:M234"/>
    <mergeCell ref="C235:I235"/>
    <mergeCell ref="J235:W235"/>
    <mergeCell ref="X235:AA235"/>
    <mergeCell ref="D236:F236"/>
    <mergeCell ref="G236:I236"/>
    <mergeCell ref="R236:W236"/>
    <mergeCell ref="J236:L236"/>
    <mergeCell ref="M236:Q236"/>
    <mergeCell ref="D237:F237"/>
    <mergeCell ref="G237:J237"/>
    <mergeCell ref="K237:N237"/>
    <mergeCell ref="O237:U237"/>
    <mergeCell ref="V237:X237"/>
    <mergeCell ref="N239:R239"/>
    <mergeCell ref="S239:W239"/>
    <mergeCell ref="AC239:AE239"/>
    <mergeCell ref="D238:G238"/>
    <mergeCell ref="H238:K238"/>
    <mergeCell ref="L238:O238"/>
    <mergeCell ref="P238:S238"/>
    <mergeCell ref="T238:W238"/>
    <mergeCell ref="D239:H239"/>
    <mergeCell ref="I239:M239"/>
    <mergeCell ref="D240:E240"/>
    <mergeCell ref="F240:G240"/>
    <mergeCell ref="H240:J240"/>
    <mergeCell ref="K240:M240"/>
    <mergeCell ref="N240:Q240"/>
    <mergeCell ref="R240:T240"/>
    <mergeCell ref="U240:W240"/>
    <mergeCell ref="N282:T282"/>
    <mergeCell ref="U282:X282"/>
    <mergeCell ref="B280:C280"/>
    <mergeCell ref="D280:G280"/>
    <mergeCell ref="H280:M280"/>
    <mergeCell ref="N280:T280"/>
    <mergeCell ref="U280:X280"/>
    <mergeCell ref="Y280:Z280"/>
    <mergeCell ref="B282:C282"/>
    <mergeCell ref="Y282:Z282"/>
    <mergeCell ref="D284:H284"/>
    <mergeCell ref="F285:G285"/>
    <mergeCell ref="H285:J285"/>
    <mergeCell ref="K285:M285"/>
    <mergeCell ref="N285:Q285"/>
    <mergeCell ref="R285:T285"/>
    <mergeCell ref="U285:W285"/>
    <mergeCell ref="K287:M287"/>
    <mergeCell ref="N287:Q287"/>
    <mergeCell ref="R287:T287"/>
    <mergeCell ref="U287:W287"/>
    <mergeCell ref="D285:E285"/>
    <mergeCell ref="D286:F286"/>
    <mergeCell ref="G286:K286"/>
    <mergeCell ref="L286:Q286"/>
    <mergeCell ref="R286:X286"/>
    <mergeCell ref="Y286:AA286"/>
    <mergeCell ref="D287:E287"/>
    <mergeCell ref="F287:G287"/>
    <mergeCell ref="H287:J287"/>
    <mergeCell ref="C288:I288"/>
    <mergeCell ref="J288:W288"/>
    <mergeCell ref="X288:AA288"/>
    <mergeCell ref="D289:F289"/>
    <mergeCell ref="G289:I289"/>
    <mergeCell ref="R289:W289"/>
    <mergeCell ref="J289:L289"/>
    <mergeCell ref="M289:Q289"/>
    <mergeCell ref="D290:F290"/>
    <mergeCell ref="G290:J290"/>
    <mergeCell ref="K290:N290"/>
    <mergeCell ref="O290:U290"/>
    <mergeCell ref="V290:X290"/>
    <mergeCell ref="N274:Q274"/>
    <mergeCell ref="R274:T274"/>
    <mergeCell ref="D273:F273"/>
    <mergeCell ref="G273:K273"/>
    <mergeCell ref="L273:Q273"/>
    <mergeCell ref="R273:X273"/>
    <mergeCell ref="Y273:AA273"/>
    <mergeCell ref="D274:E274"/>
    <mergeCell ref="F274:G274"/>
    <mergeCell ref="U274:W274"/>
    <mergeCell ref="H274:J274"/>
    <mergeCell ref="K274:M274"/>
    <mergeCell ref="C275:I275"/>
    <mergeCell ref="J275:W275"/>
    <mergeCell ref="X275:AA275"/>
    <mergeCell ref="D276:F276"/>
    <mergeCell ref="G276:I276"/>
    <mergeCell ref="R276:W276"/>
    <mergeCell ref="J276:L276"/>
    <mergeCell ref="M276:Q276"/>
    <mergeCell ref="D277:F277"/>
    <mergeCell ref="G277:J277"/>
    <mergeCell ref="K277:N277"/>
    <mergeCell ref="O277:U277"/>
    <mergeCell ref="V277:X277"/>
    <mergeCell ref="N279:R279"/>
    <mergeCell ref="S279:W279"/>
    <mergeCell ref="D278:G278"/>
    <mergeCell ref="H278:K278"/>
    <mergeCell ref="L278:O278"/>
    <mergeCell ref="P278:S278"/>
    <mergeCell ref="T278:W278"/>
    <mergeCell ref="D279:H279"/>
    <mergeCell ref="I279:M279"/>
    <mergeCell ref="D292:E292"/>
    <mergeCell ref="F292:G292"/>
    <mergeCell ref="H292:J292"/>
    <mergeCell ref="K292:M292"/>
    <mergeCell ref="N292:Q292"/>
    <mergeCell ref="R292:T292"/>
    <mergeCell ref="U292:W292"/>
    <mergeCell ref="N294:Q294"/>
    <mergeCell ref="R294:T294"/>
    <mergeCell ref="D293:F293"/>
    <mergeCell ref="G293:K293"/>
    <mergeCell ref="L293:Q293"/>
    <mergeCell ref="R293:X293"/>
    <mergeCell ref="Y293:AA293"/>
    <mergeCell ref="D294:E294"/>
    <mergeCell ref="F294:G294"/>
    <mergeCell ref="U294:W294"/>
    <mergeCell ref="H294:J294"/>
    <mergeCell ref="K294:M294"/>
    <mergeCell ref="C295:I295"/>
    <mergeCell ref="J295:W295"/>
    <mergeCell ref="X295:AA295"/>
    <mergeCell ref="D296:F296"/>
    <mergeCell ref="G296:I296"/>
    <mergeCell ref="R296:W296"/>
    <mergeCell ref="J296:L296"/>
    <mergeCell ref="M296:Q296"/>
    <mergeCell ref="D297:F297"/>
    <mergeCell ref="G297:J297"/>
    <mergeCell ref="K297:N297"/>
    <mergeCell ref="O297:U297"/>
    <mergeCell ref="V297:X297"/>
    <mergeCell ref="Q299:T299"/>
    <mergeCell ref="U299:W299"/>
    <mergeCell ref="Q301:W301"/>
    <mergeCell ref="Q302:W302"/>
    <mergeCell ref="D298:G298"/>
    <mergeCell ref="H298:K298"/>
    <mergeCell ref="L298:O298"/>
    <mergeCell ref="P298:S298"/>
    <mergeCell ref="T298:W298"/>
    <mergeCell ref="D299:F299"/>
    <mergeCell ref="G299:J299"/>
    <mergeCell ref="H303:K303"/>
    <mergeCell ref="L303:O303"/>
    <mergeCell ref="P303:S303"/>
    <mergeCell ref="T303:W303"/>
    <mergeCell ref="L312:O312"/>
    <mergeCell ref="P312:S312"/>
    <mergeCell ref="D315:J315"/>
    <mergeCell ref="K315:P315"/>
    <mergeCell ref="Q315:W315"/>
    <mergeCell ref="K316:P316"/>
    <mergeCell ref="Q316:W316"/>
    <mergeCell ref="D316:J316"/>
    <mergeCell ref="D317:G317"/>
    <mergeCell ref="H317:K317"/>
    <mergeCell ref="L317:O317"/>
    <mergeCell ref="P317:S317"/>
    <mergeCell ref="T317:W317"/>
    <mergeCell ref="D318:G318"/>
    <mergeCell ref="H318:K318"/>
    <mergeCell ref="L318:O318"/>
    <mergeCell ref="D319:F319"/>
    <mergeCell ref="G319:J319"/>
    <mergeCell ref="K319:M319"/>
    <mergeCell ref="N319:P319"/>
    <mergeCell ref="K321:P321"/>
    <mergeCell ref="D321:J321"/>
    <mergeCell ref="D322:J322"/>
    <mergeCell ref="K322:P322"/>
    <mergeCell ref="D323:G323"/>
    <mergeCell ref="H323:K323"/>
    <mergeCell ref="L323:O323"/>
    <mergeCell ref="D324:G324"/>
    <mergeCell ref="D325:F325"/>
    <mergeCell ref="G325:J325"/>
    <mergeCell ref="K325:M325"/>
    <mergeCell ref="N325:P325"/>
    <mergeCell ref="D327:J327"/>
    <mergeCell ref="K327:P327"/>
    <mergeCell ref="K328:P328"/>
    <mergeCell ref="AO337:AP337"/>
    <mergeCell ref="AU337:AW337"/>
    <mergeCell ref="BG337:BI337"/>
    <mergeCell ref="BG353:BI353"/>
    <mergeCell ref="D331:F331"/>
    <mergeCell ref="G331:J331"/>
    <mergeCell ref="K331:M331"/>
    <mergeCell ref="N331:P331"/>
    <mergeCell ref="J336:L336"/>
    <mergeCell ref="AC337:AE337"/>
    <mergeCell ref="AI337:AK337"/>
    <mergeCell ref="C358:E358"/>
    <mergeCell ref="C365:E365"/>
    <mergeCell ref="D328:J328"/>
    <mergeCell ref="D329:G329"/>
    <mergeCell ref="H329:K329"/>
    <mergeCell ref="L329:O329"/>
    <mergeCell ref="D330:G330"/>
    <mergeCell ref="H330:K330"/>
    <mergeCell ref="L330:O330"/>
    <mergeCell ref="K299:M299"/>
    <mergeCell ref="N299:P299"/>
    <mergeCell ref="D301:J301"/>
    <mergeCell ref="K301:P301"/>
    <mergeCell ref="D302:J302"/>
    <mergeCell ref="K302:P302"/>
    <mergeCell ref="D303:G303"/>
    <mergeCell ref="Q305:T305"/>
    <mergeCell ref="U305:W305"/>
    <mergeCell ref="D304:G304"/>
    <mergeCell ref="H304:K304"/>
    <mergeCell ref="L304:O304"/>
    <mergeCell ref="P304:S304"/>
    <mergeCell ref="T304:W304"/>
    <mergeCell ref="D305:F305"/>
    <mergeCell ref="G305:J305"/>
    <mergeCell ref="K305:M305"/>
    <mergeCell ref="N305:P305"/>
    <mergeCell ref="D308:G308"/>
    <mergeCell ref="H308:K308"/>
    <mergeCell ref="L308:O308"/>
    <mergeCell ref="P308:S308"/>
    <mergeCell ref="T308:W308"/>
    <mergeCell ref="D310:G310"/>
    <mergeCell ref="H310:K310"/>
    <mergeCell ref="L310:O310"/>
    <mergeCell ref="P310:S310"/>
    <mergeCell ref="T310:W310"/>
    <mergeCell ref="D312:G312"/>
    <mergeCell ref="H312:K312"/>
    <mergeCell ref="T312:W312"/>
    <mergeCell ref="P318:S318"/>
    <mergeCell ref="T318:W318"/>
    <mergeCell ref="Q319:T319"/>
    <mergeCell ref="U319:W319"/>
    <mergeCell ref="Q321:W321"/>
    <mergeCell ref="Q322:W322"/>
    <mergeCell ref="P323:S323"/>
    <mergeCell ref="T323:W323"/>
    <mergeCell ref="Q328:W328"/>
    <mergeCell ref="P329:S329"/>
    <mergeCell ref="T329:W329"/>
    <mergeCell ref="P330:S330"/>
    <mergeCell ref="T330:W330"/>
    <mergeCell ref="Q331:T331"/>
    <mergeCell ref="U331:W331"/>
    <mergeCell ref="H324:K324"/>
    <mergeCell ref="L324:O324"/>
    <mergeCell ref="P324:S324"/>
    <mergeCell ref="T324:W324"/>
    <mergeCell ref="Q325:T325"/>
    <mergeCell ref="U325:W325"/>
    <mergeCell ref="Q327:W327"/>
    <mergeCell ref="D248:F248"/>
    <mergeCell ref="G248:K248"/>
    <mergeCell ref="L248:Q248"/>
    <mergeCell ref="R248:X248"/>
    <mergeCell ref="Y248:AA248"/>
    <mergeCell ref="D249:E249"/>
    <mergeCell ref="F249:G249"/>
    <mergeCell ref="U249:W249"/>
    <mergeCell ref="H249:J249"/>
    <mergeCell ref="K249:M249"/>
    <mergeCell ref="C250:I250"/>
    <mergeCell ref="J250:W250"/>
    <mergeCell ref="X250:AA250"/>
    <mergeCell ref="D251:F251"/>
    <mergeCell ref="G251:I251"/>
    <mergeCell ref="R251:W251"/>
    <mergeCell ref="J251:L251"/>
    <mergeCell ref="M251:Q251"/>
    <mergeCell ref="D252:F252"/>
    <mergeCell ref="G252:J252"/>
    <mergeCell ref="K252:N252"/>
    <mergeCell ref="O252:U252"/>
    <mergeCell ref="V252:X252"/>
    <mergeCell ref="D253:H253"/>
    <mergeCell ref="I253:M253"/>
    <mergeCell ref="N253:R253"/>
    <mergeCell ref="S253:W253"/>
    <mergeCell ref="I254:M254"/>
    <mergeCell ref="N254:R254"/>
    <mergeCell ref="S254:W254"/>
    <mergeCell ref="N242:Q242"/>
    <mergeCell ref="R242:T242"/>
    <mergeCell ref="D241:F241"/>
    <mergeCell ref="G241:K241"/>
    <mergeCell ref="L241:Q241"/>
    <mergeCell ref="R241:X241"/>
    <mergeCell ref="Y241:AA241"/>
    <mergeCell ref="D242:E242"/>
    <mergeCell ref="F242:G242"/>
    <mergeCell ref="U242:W242"/>
    <mergeCell ref="H242:J242"/>
    <mergeCell ref="K242:M242"/>
    <mergeCell ref="C243:I243"/>
    <mergeCell ref="J243:W243"/>
    <mergeCell ref="X243:AA243"/>
    <mergeCell ref="D244:F244"/>
    <mergeCell ref="G244:I244"/>
    <mergeCell ref="R244:W244"/>
    <mergeCell ref="J244:L244"/>
    <mergeCell ref="M244:Q244"/>
    <mergeCell ref="D245:F245"/>
    <mergeCell ref="G245:J245"/>
    <mergeCell ref="K245:N245"/>
    <mergeCell ref="O245:U245"/>
    <mergeCell ref="V245:X245"/>
    <mergeCell ref="D247:E247"/>
    <mergeCell ref="F247:G247"/>
    <mergeCell ref="H247:J247"/>
    <mergeCell ref="K247:M247"/>
    <mergeCell ref="N247:Q247"/>
    <mergeCell ref="R247:T247"/>
    <mergeCell ref="U247:W247"/>
    <mergeCell ref="N249:Q249"/>
    <mergeCell ref="R249:T249"/>
    <mergeCell ref="D254:H254"/>
    <mergeCell ref="B255:C255"/>
    <mergeCell ref="D255:G255"/>
    <mergeCell ref="H255:M255"/>
    <mergeCell ref="N255:T255"/>
    <mergeCell ref="U255:X255"/>
    <mergeCell ref="Y255:Z255"/>
    <mergeCell ref="D264:H264"/>
    <mergeCell ref="F265:G265"/>
    <mergeCell ref="H265:J265"/>
    <mergeCell ref="K265:M265"/>
    <mergeCell ref="N265:Q265"/>
    <mergeCell ref="R265:T265"/>
    <mergeCell ref="U265:W265"/>
    <mergeCell ref="K267:M267"/>
    <mergeCell ref="N267:Q267"/>
    <mergeCell ref="R267:T267"/>
    <mergeCell ref="U267:W267"/>
    <mergeCell ref="D265:E265"/>
    <mergeCell ref="D266:F266"/>
    <mergeCell ref="G266:K266"/>
    <mergeCell ref="L266:Q266"/>
    <mergeCell ref="R266:X266"/>
    <mergeCell ref="Y266:AA266"/>
    <mergeCell ref="D267:E267"/>
    <mergeCell ref="F267:G267"/>
    <mergeCell ref="H267:J267"/>
    <mergeCell ref="C268:I268"/>
    <mergeCell ref="J268:W268"/>
    <mergeCell ref="X268:AA268"/>
    <mergeCell ref="D269:F269"/>
    <mergeCell ref="G269:I269"/>
    <mergeCell ref="R269:W269"/>
    <mergeCell ref="J269:L269"/>
    <mergeCell ref="M269:Q269"/>
    <mergeCell ref="D270:F270"/>
    <mergeCell ref="G270:J270"/>
    <mergeCell ref="K270:N270"/>
    <mergeCell ref="O270:U270"/>
    <mergeCell ref="V270:X270"/>
    <mergeCell ref="B257:C257"/>
    <mergeCell ref="D257:G257"/>
    <mergeCell ref="H257:M257"/>
    <mergeCell ref="N257:T257"/>
    <mergeCell ref="U257:X257"/>
    <mergeCell ref="Y257:Z257"/>
    <mergeCell ref="D258:H258"/>
    <mergeCell ref="S258:W258"/>
    <mergeCell ref="N260:T260"/>
    <mergeCell ref="U260:X260"/>
    <mergeCell ref="Y260:Z260"/>
    <mergeCell ref="I258:M258"/>
    <mergeCell ref="N258:R258"/>
    <mergeCell ref="D259:H259"/>
    <mergeCell ref="I259:M259"/>
    <mergeCell ref="N259:R259"/>
    <mergeCell ref="S259:W259"/>
    <mergeCell ref="B260:C260"/>
    <mergeCell ref="D260:G260"/>
    <mergeCell ref="H260:M260"/>
    <mergeCell ref="B262:C262"/>
    <mergeCell ref="H262:M262"/>
    <mergeCell ref="N262:T262"/>
    <mergeCell ref="U262:X262"/>
    <mergeCell ref="Y262:Z262"/>
    <mergeCell ref="I264:M264"/>
    <mergeCell ref="N264:R264"/>
    <mergeCell ref="D262:G262"/>
    <mergeCell ref="D263:G263"/>
    <mergeCell ref="H263:K263"/>
    <mergeCell ref="L263:O263"/>
    <mergeCell ref="P263:S263"/>
    <mergeCell ref="T263:W263"/>
    <mergeCell ref="S264:W264"/>
    <mergeCell ref="D272:E272"/>
    <mergeCell ref="F272:G272"/>
    <mergeCell ref="H272:J272"/>
    <mergeCell ref="K272:M272"/>
    <mergeCell ref="N272:Q272"/>
    <mergeCell ref="R272:T272"/>
    <mergeCell ref="U272:W272"/>
    <mergeCell ref="I284:M284"/>
    <mergeCell ref="N284:R284"/>
    <mergeCell ref="D282:G282"/>
    <mergeCell ref="H282:M282"/>
    <mergeCell ref="D283:H283"/>
    <mergeCell ref="I283:M283"/>
    <mergeCell ref="N283:R283"/>
    <mergeCell ref="S283:W283"/>
    <mergeCell ref="S284:W284"/>
  </mergeCells>
  <conditionalFormatting sqref="S36:Y36">
    <cfRule type="expression" dxfId="0" priority="1">
      <formula>U200=$A$214</formula>
    </cfRule>
  </conditionalFormatting>
  <conditionalFormatting sqref="S36:Y36">
    <cfRule type="expression" dxfId="1" priority="2">
      <formula>U200=$A$215</formula>
    </cfRule>
  </conditionalFormatting>
  <conditionalFormatting sqref="S36:Y36">
    <cfRule type="expression" dxfId="2" priority="3">
      <formula>U200=$A$216</formula>
    </cfRule>
  </conditionalFormatting>
  <conditionalFormatting sqref="I36:R36">
    <cfRule type="expression" dxfId="2" priority="4">
      <formula>L200=$A$216</formula>
    </cfRule>
  </conditionalFormatting>
  <conditionalFormatting sqref="I36:R36">
    <cfRule type="expression" dxfId="1" priority="5">
      <formula>L200=$A$215</formula>
    </cfRule>
  </conditionalFormatting>
  <conditionalFormatting sqref="I36:R36">
    <cfRule type="expression" dxfId="0" priority="6">
      <formula>L200=$A$214</formula>
    </cfRule>
  </conditionalFormatting>
  <conditionalFormatting sqref="D36:H36">
    <cfRule type="expression" dxfId="0" priority="7">
      <formula>D200=$A$214</formula>
    </cfRule>
  </conditionalFormatting>
  <conditionalFormatting sqref="D36:H36">
    <cfRule type="expression" dxfId="1" priority="8">
      <formula>D200=$A$215</formula>
    </cfRule>
  </conditionalFormatting>
  <conditionalFormatting sqref="D36:H36">
    <cfRule type="expression" dxfId="2" priority="9">
      <formula>D200=$A$216</formula>
    </cfRule>
  </conditionalFormatting>
  <conditionalFormatting sqref="D37:H37">
    <cfRule type="expression" dxfId="0" priority="10">
      <formula>D201=$A$214</formula>
    </cfRule>
  </conditionalFormatting>
  <conditionalFormatting sqref="D37:H37">
    <cfRule type="expression" dxfId="1" priority="11">
      <formula>D201=$A$215</formula>
    </cfRule>
  </conditionalFormatting>
  <conditionalFormatting sqref="D37:H37">
    <cfRule type="expression" dxfId="2" priority="12">
      <formula>D201=$A$216</formula>
    </cfRule>
  </conditionalFormatting>
  <conditionalFormatting sqref="I37:R37">
    <cfRule type="expression" dxfId="0" priority="13">
      <formula>L201=$A$214</formula>
    </cfRule>
  </conditionalFormatting>
  <conditionalFormatting sqref="I37:R37">
    <cfRule type="expression" dxfId="1" priority="14">
      <formula>L201=$A$215</formula>
    </cfRule>
  </conditionalFormatting>
  <conditionalFormatting sqref="I37:R37">
    <cfRule type="expression" dxfId="2" priority="15">
      <formula>L201=$A$216</formula>
    </cfRule>
  </conditionalFormatting>
  <conditionalFormatting sqref="S37:Y37">
    <cfRule type="expression" dxfId="0" priority="16">
      <formula>U201=$A$214</formula>
    </cfRule>
  </conditionalFormatting>
  <conditionalFormatting sqref="S37:Y37">
    <cfRule type="expression" dxfId="1" priority="17">
      <formula>U201=$A$215</formula>
    </cfRule>
  </conditionalFormatting>
  <conditionalFormatting sqref="S37:Y37">
    <cfRule type="expression" dxfId="2" priority="18">
      <formula>U201=$A$216</formula>
    </cfRule>
  </conditionalFormatting>
  <conditionalFormatting sqref="D38:F38">
    <cfRule type="expression" dxfId="3" priority="19">
      <formula>D202=$A$217</formula>
    </cfRule>
  </conditionalFormatting>
  <conditionalFormatting sqref="D38:F38">
    <cfRule type="expression" dxfId="2" priority="20">
      <formula>D202=$A$216</formula>
    </cfRule>
  </conditionalFormatting>
  <conditionalFormatting sqref="D38:F38">
    <cfRule type="expression" dxfId="0" priority="21">
      <formula>D202=$A$214</formula>
    </cfRule>
  </conditionalFormatting>
  <conditionalFormatting sqref="D38:F38">
    <cfRule type="expression" dxfId="1" priority="22">
      <formula>D202=$A$215</formula>
    </cfRule>
  </conditionalFormatting>
  <conditionalFormatting sqref="G38:M38">
    <cfRule type="expression" dxfId="0" priority="23">
      <formula>I202=$A$214</formula>
    </cfRule>
  </conditionalFormatting>
  <conditionalFormatting sqref="G38:M38">
    <cfRule type="expression" dxfId="1" priority="24">
      <formula>I202=$A$215</formula>
    </cfRule>
  </conditionalFormatting>
  <conditionalFormatting sqref="G38:M38">
    <cfRule type="expression" dxfId="2" priority="25">
      <formula>I202=$A$216</formula>
    </cfRule>
  </conditionalFormatting>
  <conditionalFormatting sqref="N38:T38">
    <cfRule type="expression" dxfId="0" priority="26">
      <formula>Q202=$A$214</formula>
    </cfRule>
  </conditionalFormatting>
  <conditionalFormatting sqref="N38:T38">
    <cfRule type="expression" dxfId="1" priority="27">
      <formula>Q202=$A$215</formula>
    </cfRule>
  </conditionalFormatting>
  <conditionalFormatting sqref="N38:T38">
    <cfRule type="expression" dxfId="2" priority="28">
      <formula>Q202=$A$216</formula>
    </cfRule>
  </conditionalFormatting>
  <conditionalFormatting sqref="U38:Y38">
    <cfRule type="expression" dxfId="0" priority="29">
      <formula>X202=$A$214</formula>
    </cfRule>
  </conditionalFormatting>
  <conditionalFormatting sqref="U38:Y38">
    <cfRule type="expression" dxfId="1" priority="30">
      <formula>X202=$A$215</formula>
    </cfRule>
  </conditionalFormatting>
  <conditionalFormatting sqref="U38:Y38">
    <cfRule type="expression" dxfId="2" priority="31">
      <formula>X202=$A$216</formula>
    </cfRule>
  </conditionalFormatting>
  <conditionalFormatting sqref="D39:F39">
    <cfRule type="expression" dxfId="0" priority="32">
      <formula>D203=$A$214</formula>
    </cfRule>
  </conditionalFormatting>
  <conditionalFormatting sqref="D39:F39">
    <cfRule type="expression" dxfId="1" priority="33">
      <formula>D203=$A$215</formula>
    </cfRule>
  </conditionalFormatting>
  <conditionalFormatting sqref="D39:F39">
    <cfRule type="expression" dxfId="2" priority="34">
      <formula>D203=$A$216</formula>
    </cfRule>
  </conditionalFormatting>
  <conditionalFormatting sqref="G39:K39">
    <cfRule type="expression" dxfId="0" priority="35">
      <formula>G203=$A$214</formula>
    </cfRule>
  </conditionalFormatting>
  <conditionalFormatting sqref="G39:K39">
    <cfRule type="expression" dxfId="1" priority="36">
      <formula>G203=$A$215</formula>
    </cfRule>
  </conditionalFormatting>
  <conditionalFormatting sqref="G39:K39">
    <cfRule type="expression" dxfId="2" priority="37">
      <formula>G203=$A$216</formula>
    </cfRule>
  </conditionalFormatting>
  <conditionalFormatting sqref="L39:P39">
    <cfRule type="expression" dxfId="0" priority="38">
      <formula>M203=$A$214</formula>
    </cfRule>
  </conditionalFormatting>
  <conditionalFormatting sqref="L39:P39">
    <cfRule type="expression" dxfId="1" priority="39">
      <formula>M203=$A$215</formula>
    </cfRule>
  </conditionalFormatting>
  <conditionalFormatting sqref="L39:P39">
    <cfRule type="expression" dxfId="2" priority="40">
      <formula>M203=$A$216</formula>
    </cfRule>
  </conditionalFormatting>
  <conditionalFormatting sqref="Q39:W39">
    <cfRule type="expression" dxfId="0" priority="41">
      <formula>S203=$A$214</formula>
    </cfRule>
  </conditionalFormatting>
  <conditionalFormatting sqref="Q39:W39">
    <cfRule type="expression" dxfId="1" priority="42">
      <formula>S203=$A$215</formula>
    </cfRule>
  </conditionalFormatting>
  <conditionalFormatting sqref="Q39:W39">
    <cfRule type="expression" dxfId="2" priority="43">
      <formula>S203=$A$216</formula>
    </cfRule>
  </conditionalFormatting>
  <conditionalFormatting sqref="X39:Y39">
    <cfRule type="expression" dxfId="0" priority="44">
      <formula>X203=$A$214</formula>
    </cfRule>
  </conditionalFormatting>
  <conditionalFormatting sqref="X39:Y39">
    <cfRule type="expression" dxfId="1" priority="45">
      <formula>X203=$A$215</formula>
    </cfRule>
  </conditionalFormatting>
  <conditionalFormatting sqref="X39:Y39">
    <cfRule type="expression" dxfId="2" priority="46">
      <formula>X203=$A$216</formula>
    </cfRule>
  </conditionalFormatting>
  <conditionalFormatting sqref="D40:F40">
    <cfRule type="expression" dxfId="0" priority="47">
      <formula>D204=$A$214</formula>
    </cfRule>
  </conditionalFormatting>
  <conditionalFormatting sqref="D40:F40">
    <cfRule type="expression" dxfId="1" priority="48">
      <formula>D204=$A$215</formula>
    </cfRule>
  </conditionalFormatting>
  <conditionalFormatting sqref="D40:F40">
    <cfRule type="expression" dxfId="2" priority="49">
      <formula>D204=$A$216</formula>
    </cfRule>
  </conditionalFormatting>
  <conditionalFormatting sqref="G40:K40">
    <cfRule type="expression" dxfId="0" priority="50">
      <formula>G204=$A$214</formula>
    </cfRule>
  </conditionalFormatting>
  <conditionalFormatting sqref="G40:K40">
    <cfRule type="expression" dxfId="1" priority="51">
      <formula>G204=$A$215</formula>
    </cfRule>
  </conditionalFormatting>
  <conditionalFormatting sqref="G40:K40">
    <cfRule type="expression" dxfId="2" priority="52">
      <formula>G204=$A$216</formula>
    </cfRule>
  </conditionalFormatting>
  <conditionalFormatting sqref="L40:P40">
    <cfRule type="expression" dxfId="0" priority="53">
      <formula>M204=$A$214</formula>
    </cfRule>
  </conditionalFormatting>
  <conditionalFormatting sqref="L40:P40">
    <cfRule type="expression" dxfId="1" priority="54">
      <formula>M204=$A$215</formula>
    </cfRule>
  </conditionalFormatting>
  <conditionalFormatting sqref="L40:P40">
    <cfRule type="expression" dxfId="2" priority="55">
      <formula>M203=$A$216</formula>
    </cfRule>
  </conditionalFormatting>
  <conditionalFormatting sqref="Q40:W40">
    <cfRule type="expression" dxfId="0" priority="56">
      <formula>S204=$A$214</formula>
    </cfRule>
  </conditionalFormatting>
  <conditionalFormatting sqref="Q40:W40">
    <cfRule type="expression" dxfId="1" priority="57">
      <formula>S204=$A$215</formula>
    </cfRule>
  </conditionalFormatting>
  <conditionalFormatting sqref="Q40:W40">
    <cfRule type="expression" dxfId="2" priority="58">
      <formula>S204=$A$216</formula>
    </cfRule>
  </conditionalFormatting>
  <conditionalFormatting sqref="X40:Y40">
    <cfRule type="expression" dxfId="0" priority="59">
      <formula>X204=$A$214</formula>
    </cfRule>
  </conditionalFormatting>
  <conditionalFormatting sqref="X40:Y40">
    <cfRule type="expression" dxfId="1" priority="60">
      <formula>X204=$A$215</formula>
    </cfRule>
  </conditionalFormatting>
  <conditionalFormatting sqref="X40:Y40">
    <cfRule type="expression" dxfId="2" priority="61">
      <formula>X204=$A$216</formula>
    </cfRule>
  </conditionalFormatting>
  <conditionalFormatting sqref="D41:H41">
    <cfRule type="expression" dxfId="0" priority="62">
      <formula>D205=$A$214</formula>
    </cfRule>
  </conditionalFormatting>
  <conditionalFormatting sqref="D41:H41">
    <cfRule type="expression" dxfId="1" priority="63">
      <formula>D205=$A$215</formula>
    </cfRule>
  </conditionalFormatting>
  <conditionalFormatting sqref="D41:H41">
    <cfRule type="expression" dxfId="2" priority="64">
      <formula>D205=$A$216</formula>
    </cfRule>
  </conditionalFormatting>
  <conditionalFormatting sqref="I41:R41">
    <cfRule type="expression" dxfId="0" priority="65">
      <formula>L205=$A$214</formula>
    </cfRule>
  </conditionalFormatting>
  <conditionalFormatting sqref="I41:R41">
    <cfRule type="expression" dxfId="1" priority="66">
      <formula>L205=$A$215</formula>
    </cfRule>
  </conditionalFormatting>
  <conditionalFormatting sqref="I41:R41">
    <cfRule type="expression" dxfId="2" priority="67">
      <formula>L205=$A$216</formula>
    </cfRule>
  </conditionalFormatting>
  <conditionalFormatting sqref="S41:Y41">
    <cfRule type="expression" dxfId="0" priority="68">
      <formula>U205=$A$214</formula>
    </cfRule>
  </conditionalFormatting>
  <conditionalFormatting sqref="S41:Y41">
    <cfRule type="expression" dxfId="1" priority="69">
      <formula>U205=$A$215</formula>
    </cfRule>
  </conditionalFormatting>
  <conditionalFormatting sqref="S41:Y41">
    <cfRule type="expression" dxfId="2" priority="70">
      <formula>U205=$A$216</formula>
    </cfRule>
  </conditionalFormatting>
  <conditionalFormatting sqref="D42:H42">
    <cfRule type="expression" dxfId="0" priority="71">
      <formula>D206=$A$214</formula>
    </cfRule>
  </conditionalFormatting>
  <conditionalFormatting sqref="D42:H42">
    <cfRule type="expression" dxfId="1" priority="72">
      <formula>D206=$A$215</formula>
    </cfRule>
  </conditionalFormatting>
  <conditionalFormatting sqref="D42:H42">
    <cfRule type="expression" dxfId="2" priority="73">
      <formula>D206=$A$216</formula>
    </cfRule>
  </conditionalFormatting>
  <conditionalFormatting sqref="I42:R42">
    <cfRule type="expression" dxfId="0" priority="74">
      <formula>L206=$A$214</formula>
    </cfRule>
  </conditionalFormatting>
  <conditionalFormatting sqref="I42:R42">
    <cfRule type="expression" dxfId="1" priority="75">
      <formula>L206=$A$215</formula>
    </cfRule>
  </conditionalFormatting>
  <conditionalFormatting sqref="I42:R42">
    <cfRule type="expression" dxfId="2" priority="76">
      <formula>L206=$A$216</formula>
    </cfRule>
  </conditionalFormatting>
  <conditionalFormatting sqref="S42:Y42">
    <cfRule type="expression" dxfId="0" priority="77">
      <formula>U206=$A$214</formula>
    </cfRule>
  </conditionalFormatting>
  <conditionalFormatting sqref="S42:Y42">
    <cfRule type="expression" dxfId="1" priority="78">
      <formula>U206=$A$215</formula>
    </cfRule>
  </conditionalFormatting>
  <conditionalFormatting sqref="S42:Y42">
    <cfRule type="expression" dxfId="2" priority="79">
      <formula>U206=$A$216</formula>
    </cfRule>
  </conditionalFormatting>
  <conditionalFormatting sqref="D43:H43">
    <cfRule type="expression" dxfId="0" priority="80">
      <formula>D207=$A$214</formula>
    </cfRule>
  </conditionalFormatting>
  <conditionalFormatting sqref="D43:H43">
    <cfRule type="expression" dxfId="1" priority="81">
      <formula>D207=$A$215</formula>
    </cfRule>
  </conditionalFormatting>
  <conditionalFormatting sqref="D43:H43">
    <cfRule type="expression" dxfId="2" priority="82">
      <formula>D207=$A$216</formula>
    </cfRule>
  </conditionalFormatting>
  <conditionalFormatting sqref="I43:R43">
    <cfRule type="expression" dxfId="0" priority="83">
      <formula>L207=$A$214</formula>
    </cfRule>
  </conditionalFormatting>
  <conditionalFormatting sqref="I43:R43">
    <cfRule type="expression" dxfId="1" priority="84">
      <formula>L207=$A$215</formula>
    </cfRule>
  </conditionalFormatting>
  <conditionalFormatting sqref="I43:R43">
    <cfRule type="expression" dxfId="2" priority="85">
      <formula>L207=$A$216</formula>
    </cfRule>
  </conditionalFormatting>
  <conditionalFormatting sqref="S43:Y43">
    <cfRule type="expression" dxfId="0" priority="86">
      <formula>U207=$A$214</formula>
    </cfRule>
  </conditionalFormatting>
  <conditionalFormatting sqref="S43:Y43">
    <cfRule type="expression" dxfId="1" priority="87">
      <formula>U207=$A$215</formula>
    </cfRule>
  </conditionalFormatting>
  <conditionalFormatting sqref="S43:Y43">
    <cfRule type="expression" dxfId="2" priority="88">
      <formula>U207=$A$216</formula>
    </cfRule>
  </conditionalFormatting>
  <conditionalFormatting sqref="D44:E44">
    <cfRule type="expression" dxfId="0" priority="89">
      <formula>D208=$A$214</formula>
    </cfRule>
  </conditionalFormatting>
  <conditionalFormatting sqref="D44:E44">
    <cfRule type="expression" dxfId="1" priority="90">
      <formula>D208=$A$215</formula>
    </cfRule>
  </conditionalFormatting>
  <conditionalFormatting sqref="D44:E44">
    <cfRule type="expression" dxfId="2" priority="91">
      <formula>D208=$A$216</formula>
    </cfRule>
  </conditionalFormatting>
  <conditionalFormatting sqref="F44:G44">
    <cfRule type="expression" dxfId="0" priority="92">
      <formula>G208=$A$214</formula>
    </cfRule>
  </conditionalFormatting>
  <conditionalFormatting sqref="F44:G44">
    <cfRule type="expression" dxfId="1" priority="93">
      <formula>G208=$A$215</formula>
    </cfRule>
  </conditionalFormatting>
  <conditionalFormatting sqref="F44:G44">
    <cfRule type="expression" dxfId="2" priority="94">
      <formula>G208=$A$216</formula>
    </cfRule>
  </conditionalFormatting>
  <conditionalFormatting sqref="H44:J44">
    <cfRule type="expression" dxfId="0" priority="95">
      <formula>$K$208=$A$214</formula>
    </cfRule>
  </conditionalFormatting>
  <conditionalFormatting sqref="H44:J44">
    <cfRule type="expression" dxfId="1" priority="96">
      <formula>$K$208=$A$215</formula>
    </cfRule>
  </conditionalFormatting>
  <conditionalFormatting sqref="H44:J44">
    <cfRule type="expression" dxfId="2" priority="97">
      <formula>K208=$A$216</formula>
    </cfRule>
  </conditionalFormatting>
  <conditionalFormatting sqref="K44:L44">
    <cfRule type="expression" dxfId="0" priority="98">
      <formula>N208=$A$214</formula>
    </cfRule>
  </conditionalFormatting>
  <conditionalFormatting sqref="K44:L44">
    <cfRule type="expression" dxfId="1" priority="99">
      <formula>N208=$A$215</formula>
    </cfRule>
  </conditionalFormatting>
  <conditionalFormatting sqref="K44:L44">
    <cfRule type="expression" dxfId="2" priority="100">
      <formula>N208=$A$216</formula>
    </cfRule>
  </conditionalFormatting>
  <conditionalFormatting sqref="M44:P44">
    <cfRule type="expression" dxfId="0" priority="101">
      <formula>Q208=$A$214</formula>
    </cfRule>
  </conditionalFormatting>
  <conditionalFormatting sqref="M44:P44">
    <cfRule type="expression" dxfId="1" priority="102">
      <formula>Q208=$A$215</formula>
    </cfRule>
  </conditionalFormatting>
  <conditionalFormatting sqref="M44:P44">
    <cfRule type="expression" dxfId="2" priority="103">
      <formula>Q208=$A$216</formula>
    </cfRule>
  </conditionalFormatting>
  <conditionalFormatting sqref="Q44:U44">
    <cfRule type="expression" dxfId="0" priority="104">
      <formula>X208=$A$214</formula>
    </cfRule>
  </conditionalFormatting>
  <conditionalFormatting sqref="Q44:U44">
    <cfRule type="expression" dxfId="1" priority="105">
      <formula>X208=$A$215</formula>
    </cfRule>
  </conditionalFormatting>
  <conditionalFormatting sqref="Q44:U44">
    <cfRule type="expression" dxfId="2" priority="106">
      <formula>X208=$A$216</formula>
    </cfRule>
  </conditionalFormatting>
  <conditionalFormatting sqref="V44:X44">
    <cfRule type="expression" dxfId="0" priority="107">
      <formula>Y208=$A$214</formula>
    </cfRule>
  </conditionalFormatting>
  <conditionalFormatting sqref="V44:X44">
    <cfRule type="expression" dxfId="1" priority="108">
      <formula>Y208=$A$215</formula>
    </cfRule>
  </conditionalFormatting>
  <conditionalFormatting sqref="V44:X44">
    <cfRule type="expression" dxfId="2" priority="109">
      <formula>Y208=$A$216</formula>
    </cfRule>
  </conditionalFormatting>
  <conditionalFormatting sqref="Y44">
    <cfRule type="expression" dxfId="0" priority="110">
      <formula>Z208=$A$214</formula>
    </cfRule>
  </conditionalFormatting>
  <conditionalFormatting sqref="Y44">
    <cfRule type="expression" dxfId="1" priority="111">
      <formula>Z208=$A$215</formula>
    </cfRule>
  </conditionalFormatting>
  <conditionalFormatting sqref="Y44">
    <cfRule type="expression" dxfId="2" priority="112">
      <formula>Z208=$A$216</formula>
    </cfRule>
  </conditionalFormatting>
  <conditionalFormatting sqref="D55 D56 D57 D58 D59 D60 E55 E57 G55 G57 I55 I57 K58 L55 L57 L60 O55 O57 P60 S55 S56 S57 Y55 Y57 Y58 Y59 Z55 Z57 Z59 Z60 AA55 AA57 AA59 AA60 AB55 AB57 AB59 AB60">
    <cfRule type="expression" dxfId="0" priority="113">
      <formula>C217=$A$214</formula>
    </cfRule>
  </conditionalFormatting>
  <conditionalFormatting sqref="D55:D60 E55 E57 G55 G57 I55 I57 K58 L55 L57 L60 O55 O57 P60 S55:S57 Y55:AB55 Y57:Y59 Z57:AB57 Z59:AB60">
    <cfRule type="expression" dxfId="2" priority="114">
      <formula>C217=$A$216</formula>
    </cfRule>
  </conditionalFormatting>
  <conditionalFormatting sqref="D55:D60 E55 E57 G55 G57 I55 I57 K58 L55 L57 L60 O55 O57 P60 S55:S57 Y55:AB55 Y57:Y59 Z57:AB57 Z59:AB60">
    <cfRule type="expression" dxfId="1" priority="115">
      <formula>C217=$A$215</formula>
    </cfRule>
  </conditionalFormatting>
  <conditionalFormatting sqref="D71:V71 D72:F72 D73:V73 D74:AB74 D75:E76 L76:W76 S72:X72 Y71:AB71 Y73:AB73 Y75:AB75 Z76:AB76">
    <cfRule type="expression" dxfId="2" priority="116">
      <formula>C232=$A$216</formula>
    </cfRule>
  </conditionalFormatting>
  <conditionalFormatting sqref="D71:V71 D72:F72 D73:V73 D74:AB74 D75:E76 L76:W76 S72:X72 Y71:AB71 Y73:AB73 Y75:AB75 Z76:AB76">
    <cfRule type="expression" dxfId="1" priority="117">
      <formula>C232=$A$215</formula>
    </cfRule>
  </conditionalFormatting>
  <conditionalFormatting sqref="D71:V71 D72:F72 D73:V73 D74:AB74 D75:E76 L76:W76 S72:X72 Y71:AB71 Y73:AB73 Y75:AB75 Z76:AB76">
    <cfRule type="expression" dxfId="0" priority="118">
      <formula>C232=$A$214</formula>
    </cfRule>
  </conditionalFormatting>
  <conditionalFormatting sqref="I59:L59">
    <cfRule type="expression" dxfId="0" priority="119">
      <formula>X221=$A$214</formula>
    </cfRule>
  </conditionalFormatting>
  <conditionalFormatting sqref="I59:L59">
    <cfRule type="expression" dxfId="1" priority="120">
      <formula>X221=$A$215</formula>
    </cfRule>
  </conditionalFormatting>
  <conditionalFormatting sqref="I59:L59">
    <cfRule type="expression" dxfId="2" priority="121">
      <formula>X221=$A$216</formula>
    </cfRule>
  </conditionalFormatting>
  <conditionalFormatting sqref="W55:X55">
    <cfRule type="expression" dxfId="2" priority="122">
      <formula>U217=$A$216</formula>
    </cfRule>
  </conditionalFormatting>
  <conditionalFormatting sqref="W55:X55">
    <cfRule type="expression" dxfId="1" priority="123">
      <formula>U217=$A$215</formula>
    </cfRule>
  </conditionalFormatting>
  <conditionalFormatting sqref="W55:X55">
    <cfRule type="expression" dxfId="0" priority="124">
      <formula>U217=$A$214</formula>
    </cfRule>
  </conditionalFormatting>
  <conditionalFormatting sqref="X60:Y60">
    <cfRule type="expression" dxfId="2" priority="125">
      <formula>V222=$A$216</formula>
    </cfRule>
  </conditionalFormatting>
  <conditionalFormatting sqref="X60:Y60">
    <cfRule type="expression" dxfId="1" priority="126">
      <formula>V222=$A$215</formula>
    </cfRule>
  </conditionalFormatting>
  <conditionalFormatting sqref="X60:Y60">
    <cfRule type="expression" dxfId="0" priority="127">
      <formula>V222=$A$214</formula>
    </cfRule>
  </conditionalFormatting>
  <conditionalFormatting sqref="G56:K56">
    <cfRule type="expression" dxfId="2" priority="128">
      <formula>D218=$A$216</formula>
    </cfRule>
  </conditionalFormatting>
  <conditionalFormatting sqref="G56:K56">
    <cfRule type="expression" dxfId="1" priority="129">
      <formula>D218=$A$215</formula>
    </cfRule>
  </conditionalFormatting>
  <conditionalFormatting sqref="G56:K56">
    <cfRule type="expression" dxfId="0" priority="130">
      <formula>D218=$A$214</formula>
    </cfRule>
  </conditionalFormatting>
  <conditionalFormatting sqref="L56:R56">
    <cfRule type="expression" dxfId="2" priority="131">
      <formula>G218=$A$216</formula>
    </cfRule>
  </conditionalFormatting>
  <conditionalFormatting sqref="L56:R56">
    <cfRule type="expression" dxfId="1" priority="132">
      <formula>G218=$A$215</formula>
    </cfRule>
  </conditionalFormatting>
  <conditionalFormatting sqref="L56:R56">
    <cfRule type="expression" dxfId="0" priority="133">
      <formula>G218=$A$214</formula>
    </cfRule>
  </conditionalFormatting>
  <conditionalFormatting sqref="Y56:Z56">
    <cfRule type="expression" dxfId="2" priority="134">
      <formula>R218=$A$216</formula>
    </cfRule>
  </conditionalFormatting>
  <conditionalFormatting sqref="Y56:Z56">
    <cfRule type="expression" dxfId="1" priority="135">
      <formula>R218=$A$215</formula>
    </cfRule>
  </conditionalFormatting>
  <conditionalFormatting sqref="Y56:Z56">
    <cfRule type="expression" dxfId="0" priority="136">
      <formula>R218=$A$214</formula>
    </cfRule>
  </conditionalFormatting>
  <conditionalFormatting sqref="AA56:AB56">
    <cfRule type="expression" dxfId="2" priority="137">
      <formula>Y218=$A$216</formula>
    </cfRule>
  </conditionalFormatting>
  <conditionalFormatting sqref="AA56:AB56">
    <cfRule type="expression" dxfId="1" priority="138">
      <formula>Y218=$A$215</formula>
    </cfRule>
  </conditionalFormatting>
  <conditionalFormatting sqref="AA56:AB56">
    <cfRule type="expression" dxfId="0" priority="139">
      <formula>Y218=$A$214</formula>
    </cfRule>
  </conditionalFormatting>
  <conditionalFormatting sqref="W57:X57">
    <cfRule type="expression" dxfId="2" priority="140">
      <formula>U219=$A$216</formula>
    </cfRule>
  </conditionalFormatting>
  <conditionalFormatting sqref="W57:X57">
    <cfRule type="expression" dxfId="1" priority="141">
      <formula>U219=$A$215</formula>
    </cfRule>
  </conditionalFormatting>
  <conditionalFormatting sqref="W57:X57">
    <cfRule type="expression" dxfId="0" priority="142">
      <formula>U219=$A$214</formula>
    </cfRule>
  </conditionalFormatting>
  <conditionalFormatting sqref="F59:H59">
    <cfRule type="expression" dxfId="2" priority="143">
      <formula>D221=$A$216</formula>
    </cfRule>
  </conditionalFormatting>
  <conditionalFormatting sqref="F59:H59">
    <cfRule type="expression" dxfId="1" priority="144">
      <formula>D221=$A$215</formula>
    </cfRule>
  </conditionalFormatting>
  <conditionalFormatting sqref="F59:H59">
    <cfRule type="expression" dxfId="0" priority="145">
      <formula>D221=$A$214</formula>
    </cfRule>
  </conditionalFormatting>
  <conditionalFormatting sqref="M59:Q59">
    <cfRule type="expression" dxfId="2" priority="146">
      <formula>J221=$A$216</formula>
    </cfRule>
  </conditionalFormatting>
  <conditionalFormatting sqref="M59:Q59">
    <cfRule type="expression" dxfId="1" priority="147">
      <formula>J221=$A$215</formula>
    </cfRule>
  </conditionalFormatting>
  <conditionalFormatting sqref="M59:Q59">
    <cfRule type="expression" dxfId="0" priority="148">
      <formula>J221=$A$214</formula>
    </cfRule>
  </conditionalFormatting>
  <conditionalFormatting sqref="R59:V59">
    <cfRule type="expression" dxfId="2" priority="149">
      <formula>M221=$A$216</formula>
    </cfRule>
  </conditionalFormatting>
  <conditionalFormatting sqref="R59:V59">
    <cfRule type="expression" dxfId="1" priority="150">
      <formula>M221=$A$215</formula>
    </cfRule>
  </conditionalFormatting>
  <conditionalFormatting sqref="R59:V59">
    <cfRule type="expression" dxfId="0" priority="151">
      <formula>M221=$A$214</formula>
    </cfRule>
  </conditionalFormatting>
  <conditionalFormatting sqref="W59:X59">
    <cfRule type="expression" dxfId="2" priority="152">
      <formula>R221=$A$216</formula>
    </cfRule>
  </conditionalFormatting>
  <conditionalFormatting sqref="W59:X59">
    <cfRule type="expression" dxfId="1" priority="153">
      <formula>R221=$A$215</formula>
    </cfRule>
  </conditionalFormatting>
  <conditionalFormatting sqref="W59:X59">
    <cfRule type="expression" dxfId="0" priority="154">
      <formula>R221=$A$214</formula>
    </cfRule>
  </conditionalFormatting>
  <conditionalFormatting sqref="F60:H60">
    <cfRule type="expression" dxfId="2" priority="155">
      <formula>D222=$A$216</formula>
    </cfRule>
  </conditionalFormatting>
  <conditionalFormatting sqref="F60:H60">
    <cfRule type="expression" dxfId="1" priority="156">
      <formula>D222=$A$215</formula>
    </cfRule>
  </conditionalFormatting>
  <conditionalFormatting sqref="F60:H60">
    <cfRule type="expression" dxfId="0" priority="157">
      <formula>D222=$A$214</formula>
    </cfRule>
  </conditionalFormatting>
  <conditionalFormatting sqref="I60:K60">
    <cfRule type="expression" dxfId="2" priority="158">
      <formula>G222=$A$216</formula>
    </cfRule>
  </conditionalFormatting>
  <conditionalFormatting sqref="I60:K60">
    <cfRule type="expression" dxfId="1" priority="159">
      <formula>G222=$A$215</formula>
    </cfRule>
  </conditionalFormatting>
  <conditionalFormatting sqref="I60:K60">
    <cfRule type="expression" dxfId="0" priority="160">
      <formula>G222=$A$214</formula>
    </cfRule>
  </conditionalFormatting>
  <conditionalFormatting sqref="W71:X71">
    <cfRule type="expression" dxfId="2" priority="161">
      <formula>U232=$A$216</formula>
    </cfRule>
  </conditionalFormatting>
  <conditionalFormatting sqref="W71:X71">
    <cfRule type="expression" dxfId="1" priority="162">
      <formula>U232=$A$215</formula>
    </cfRule>
  </conditionalFormatting>
  <conditionalFormatting sqref="W71:X71">
    <cfRule type="expression" dxfId="0" priority="163">
      <formula>U232=$A$214</formula>
    </cfRule>
  </conditionalFormatting>
  <conditionalFormatting sqref="G72:K72">
    <cfRule type="expression" dxfId="2" priority="164">
      <formula>D233=$A$216</formula>
    </cfRule>
  </conditionalFormatting>
  <conditionalFormatting sqref="G72:K72">
    <cfRule type="expression" dxfId="1" priority="165">
      <formula>D233=$A$215</formula>
    </cfRule>
  </conditionalFormatting>
  <conditionalFormatting sqref="G72:K72">
    <cfRule type="expression" dxfId="0" priority="166">
      <formula>D233=$A$214</formula>
    </cfRule>
  </conditionalFormatting>
  <conditionalFormatting sqref="L72:R72">
    <cfRule type="expression" dxfId="2" priority="167">
      <formula>G233=$A$216</formula>
    </cfRule>
  </conditionalFormatting>
  <conditionalFormatting sqref="L72:R72">
    <cfRule type="expression" dxfId="1" priority="168">
      <formula>G233=$A$215</formula>
    </cfRule>
  </conditionalFormatting>
  <conditionalFormatting sqref="L72:R72">
    <cfRule type="expression" dxfId="0" priority="169">
      <formula>G233=$A$214</formula>
    </cfRule>
  </conditionalFormatting>
  <conditionalFormatting sqref="Y72:Z72">
    <cfRule type="expression" dxfId="2" priority="170">
      <formula>R233=$A$216</formula>
    </cfRule>
  </conditionalFormatting>
  <conditionalFormatting sqref="Y72:Z72">
    <cfRule type="expression" dxfId="1" priority="171">
      <formula>R233=$A$215</formula>
    </cfRule>
  </conditionalFormatting>
  <conditionalFormatting sqref="Y72:Z72">
    <cfRule type="expression" dxfId="0" priority="172">
      <formula>R233=$A$214</formula>
    </cfRule>
  </conditionalFormatting>
  <conditionalFormatting sqref="AA72:AB72">
    <cfRule type="expression" dxfId="2" priority="173">
      <formula>Y233=$A$216</formula>
    </cfRule>
  </conditionalFormatting>
  <conditionalFormatting sqref="AA72:AB72">
    <cfRule type="expression" dxfId="1" priority="174">
      <formula>Y233=$A$215</formula>
    </cfRule>
  </conditionalFormatting>
  <conditionalFormatting sqref="AA72:AB72">
    <cfRule type="expression" dxfId="0" priority="175">
      <formula>Y233=$A$214</formula>
    </cfRule>
  </conditionalFormatting>
  <conditionalFormatting sqref="W73:X73">
    <cfRule type="expression" dxfId="2" priority="176">
      <formula>U234=$A$216</formula>
    </cfRule>
  </conditionalFormatting>
  <conditionalFormatting sqref="W73:X73">
    <cfRule type="expression" dxfId="1" priority="177">
      <formula>U234=$A$215</formula>
    </cfRule>
  </conditionalFormatting>
  <conditionalFormatting sqref="W73:X73">
    <cfRule type="expression" dxfId="0" priority="178">
      <formula>U234=$A$214</formula>
    </cfRule>
  </conditionalFormatting>
  <conditionalFormatting sqref="F75:H75">
    <cfRule type="expression" dxfId="2" priority="179">
      <formula>D236=$A$216</formula>
    </cfRule>
  </conditionalFormatting>
  <conditionalFormatting sqref="F75:H75">
    <cfRule type="expression" dxfId="1" priority="180">
      <formula>D236=$A$215</formula>
    </cfRule>
  </conditionalFormatting>
  <conditionalFormatting sqref="F75:H75">
    <cfRule type="expression" dxfId="0" priority="181">
      <formula>D236=$A$214</formula>
    </cfRule>
  </conditionalFormatting>
  <conditionalFormatting sqref="I75:L75">
    <cfRule type="expression" dxfId="2" priority="182">
      <formula>G236=$A$216</formula>
    </cfRule>
  </conditionalFormatting>
  <conditionalFormatting sqref="I75:L75">
    <cfRule type="expression" dxfId="1" priority="183">
      <formula>G236=$A$215</formula>
    </cfRule>
  </conditionalFormatting>
  <conditionalFormatting sqref="I75:L75">
    <cfRule type="expression" dxfId="0" priority="184">
      <formula>G236=$A$214</formula>
    </cfRule>
  </conditionalFormatting>
  <conditionalFormatting sqref="M75:Q75">
    <cfRule type="expression" dxfId="2" priority="185">
      <formula>J236=$A$216</formula>
    </cfRule>
  </conditionalFormatting>
  <conditionalFormatting sqref="M75:Q75">
    <cfRule type="expression" dxfId="1" priority="186">
      <formula>J236=$A$215</formula>
    </cfRule>
  </conditionalFormatting>
  <conditionalFormatting sqref="M75:Q75">
    <cfRule type="expression" dxfId="0" priority="187">
      <formula>J236=$A$214</formula>
    </cfRule>
  </conditionalFormatting>
  <conditionalFormatting sqref="R75:V75">
    <cfRule type="expression" dxfId="2" priority="188">
      <formula>M236=$A$216</formula>
    </cfRule>
  </conditionalFormatting>
  <conditionalFormatting sqref="R75:V75">
    <cfRule type="expression" dxfId="1" priority="189">
      <formula>M236=$A$215</formula>
    </cfRule>
  </conditionalFormatting>
  <conditionalFormatting sqref="R75:V75">
    <cfRule type="expression" dxfId="0" priority="190">
      <formula>M236=$A$214</formula>
    </cfRule>
  </conditionalFormatting>
  <conditionalFormatting sqref="W75:X75">
    <cfRule type="expression" dxfId="2" priority="191">
      <formula>R236=$A$216</formula>
    </cfRule>
  </conditionalFormatting>
  <conditionalFormatting sqref="W75:X75">
    <cfRule type="expression" dxfId="1" priority="192">
      <formula>R236=$A$215</formula>
    </cfRule>
  </conditionalFormatting>
  <conditionalFormatting sqref="W75:X75">
    <cfRule type="expression" dxfId="0" priority="193">
      <formula>R236=$A$214</formula>
    </cfRule>
  </conditionalFormatting>
  <conditionalFormatting sqref="F76:H76">
    <cfRule type="expression" dxfId="2" priority="194">
      <formula>D237=$A$216</formula>
    </cfRule>
  </conditionalFormatting>
  <conditionalFormatting sqref="F76:H76">
    <cfRule type="expression" dxfId="1" priority="195">
      <formula>D237=$A$215</formula>
    </cfRule>
  </conditionalFormatting>
  <conditionalFormatting sqref="F76:H76">
    <cfRule type="expression" dxfId="0" priority="196">
      <formula>D237=$A$214</formula>
    </cfRule>
  </conditionalFormatting>
  <conditionalFormatting sqref="I76:K76">
    <cfRule type="expression" dxfId="2" priority="197">
      <formula>G237=$A$216</formula>
    </cfRule>
  </conditionalFormatting>
  <conditionalFormatting sqref="I76:K76">
    <cfRule type="expression" dxfId="1" priority="198">
      <formula>G237=$A$215</formula>
    </cfRule>
  </conditionalFormatting>
  <conditionalFormatting sqref="I76:K76">
    <cfRule type="expression" dxfId="0" priority="199">
      <formula>G237=$A$214</formula>
    </cfRule>
  </conditionalFormatting>
  <conditionalFormatting sqref="X76:Y76">
    <cfRule type="expression" dxfId="2" priority="200">
      <formula>V237=$A$216</formula>
    </cfRule>
  </conditionalFormatting>
  <conditionalFormatting sqref="X76:Y76">
    <cfRule type="expression" dxfId="1" priority="201">
      <formula>V237=$A$215</formula>
    </cfRule>
  </conditionalFormatting>
  <conditionalFormatting sqref="X76:Y76">
    <cfRule type="expression" dxfId="0" priority="202">
      <formula>V237=$A$214</formula>
    </cfRule>
  </conditionalFormatting>
  <conditionalFormatting sqref="D87:V87 D88:F88 D89:V89 D90:AB90 D91:E92 L92:W92 S88:X88 Y87:AB87 Y89:AB89 Y91:AB91 Z92:AB92">
    <cfRule type="expression" dxfId="2" priority="203">
      <formula>C247=$A$267</formula>
    </cfRule>
  </conditionalFormatting>
  <conditionalFormatting sqref="D87:V87 D88:F88 D89:V89 D90:AB90 D91:E92 L92:W92 S88:X88 Y87:AB87 Y89:AB89 Y91:AB91 Z92:AB92">
    <cfRule type="expression" dxfId="1" priority="204">
      <formula>C247=$A$266</formula>
    </cfRule>
  </conditionalFormatting>
  <conditionalFormatting sqref="D87:V87 D88:F88 D89:V89 D90:AB90 D91:E92 L92:W92 S88:X88 Y87:AB87 Y89:AB89 Y91:AB91 Z92:AB92">
    <cfRule type="expression" dxfId="0" priority="205">
      <formula>C247=$A$265</formula>
    </cfRule>
  </conditionalFormatting>
  <conditionalFormatting sqref="W87:X87">
    <cfRule type="expression" dxfId="2" priority="206">
      <formula>U247=$A$267</formula>
    </cfRule>
  </conditionalFormatting>
  <conditionalFormatting sqref="W87:X87">
    <cfRule type="expression" dxfId="1" priority="207">
      <formula>U247=$A$266</formula>
    </cfRule>
  </conditionalFormatting>
  <conditionalFormatting sqref="W87:X87">
    <cfRule type="expression" dxfId="0" priority="208">
      <formula>U247=$A$265</formula>
    </cfRule>
  </conditionalFormatting>
  <conditionalFormatting sqref="G88:K88">
    <cfRule type="expression" dxfId="2" priority="209">
      <formula>D248=$A$267</formula>
    </cfRule>
  </conditionalFormatting>
  <conditionalFormatting sqref="G88:K88">
    <cfRule type="expression" dxfId="1" priority="210">
      <formula>D248=$A$266</formula>
    </cfRule>
  </conditionalFormatting>
  <conditionalFormatting sqref="G88:K88">
    <cfRule type="expression" dxfId="0" priority="211">
      <formula>D248=$A$265</formula>
    </cfRule>
  </conditionalFormatting>
  <conditionalFormatting sqref="L88:R88">
    <cfRule type="expression" dxfId="2" priority="212">
      <formula>G248=$A$267</formula>
    </cfRule>
  </conditionalFormatting>
  <conditionalFormatting sqref="L88:R88">
    <cfRule type="expression" dxfId="1" priority="213">
      <formula>G248=$A$266</formula>
    </cfRule>
  </conditionalFormatting>
  <conditionalFormatting sqref="L88:R88">
    <cfRule type="expression" dxfId="0" priority="214">
      <formula>G248=$A$265</formula>
    </cfRule>
  </conditionalFormatting>
  <conditionalFormatting sqref="Y88:Z88">
    <cfRule type="expression" dxfId="2" priority="215">
      <formula>R248=$A$267</formula>
    </cfRule>
  </conditionalFormatting>
  <conditionalFormatting sqref="Y88:Z88">
    <cfRule type="expression" dxfId="1" priority="216">
      <formula>R248=$A$266</formula>
    </cfRule>
  </conditionalFormatting>
  <conditionalFormatting sqref="Y88:Z88">
    <cfRule type="expression" dxfId="0" priority="217">
      <formula>R248=$A$265</formula>
    </cfRule>
  </conditionalFormatting>
  <conditionalFormatting sqref="AA88:AB88">
    <cfRule type="expression" dxfId="2" priority="218">
      <formula>Y248=$A$267</formula>
    </cfRule>
  </conditionalFormatting>
  <conditionalFormatting sqref="AA88:AB88">
    <cfRule type="expression" dxfId="1" priority="219">
      <formula>Y248=$A$266</formula>
    </cfRule>
  </conditionalFormatting>
  <conditionalFormatting sqref="AA88:AB88">
    <cfRule type="expression" dxfId="0" priority="220">
      <formula>Y248=$A$265</formula>
    </cfRule>
  </conditionalFormatting>
  <conditionalFormatting sqref="W89:X89">
    <cfRule type="expression" dxfId="2" priority="221">
      <formula>U249=$A$267</formula>
    </cfRule>
  </conditionalFormatting>
  <conditionalFormatting sqref="W89:X89">
    <cfRule type="expression" dxfId="1" priority="222">
      <formula>U249=$A$266</formula>
    </cfRule>
  </conditionalFormatting>
  <conditionalFormatting sqref="W89:X89">
    <cfRule type="expression" dxfId="0" priority="223">
      <formula>U249=$A$265</formula>
    </cfRule>
  </conditionalFormatting>
  <conditionalFormatting sqref="F91:H91">
    <cfRule type="expression" dxfId="2" priority="224">
      <formula>D251=$A$267</formula>
    </cfRule>
  </conditionalFormatting>
  <conditionalFormatting sqref="F91:H91">
    <cfRule type="expression" dxfId="1" priority="225">
      <formula>D251=$A$266</formula>
    </cfRule>
  </conditionalFormatting>
  <conditionalFormatting sqref="F91:H91">
    <cfRule type="expression" dxfId="0" priority="226">
      <formula>D251=$A$265</formula>
    </cfRule>
  </conditionalFormatting>
  <conditionalFormatting sqref="I91:L91">
    <cfRule type="expression" dxfId="2" priority="227">
      <formula>G251=$A$267</formula>
    </cfRule>
  </conditionalFormatting>
  <conditionalFormatting sqref="I91:L91">
    <cfRule type="expression" dxfId="1" priority="228">
      <formula>G251=$A$266</formula>
    </cfRule>
  </conditionalFormatting>
  <conditionalFormatting sqref="I91:L91">
    <cfRule type="expression" dxfId="0" priority="229">
      <formula>G251=$A$265</formula>
    </cfRule>
  </conditionalFormatting>
  <conditionalFormatting sqref="M91:Q91">
    <cfRule type="expression" dxfId="2" priority="230">
      <formula>J251=$A$267</formula>
    </cfRule>
  </conditionalFormatting>
  <conditionalFormatting sqref="M91:Q91">
    <cfRule type="expression" dxfId="1" priority="231">
      <formula>J251=$A$266</formula>
    </cfRule>
  </conditionalFormatting>
  <conditionalFormatting sqref="M91:Q91">
    <cfRule type="expression" dxfId="0" priority="232">
      <formula>J251=$A$265</formula>
    </cfRule>
  </conditionalFormatting>
  <conditionalFormatting sqref="R91:V91">
    <cfRule type="expression" dxfId="2" priority="233">
      <formula>M251=$A$267</formula>
    </cfRule>
  </conditionalFormatting>
  <conditionalFormatting sqref="R91:V91">
    <cfRule type="expression" dxfId="1" priority="234">
      <formula>M251=$A$266</formula>
    </cfRule>
  </conditionalFormatting>
  <conditionalFormatting sqref="R91:V91">
    <cfRule type="expression" dxfId="0" priority="235">
      <formula>M251=$A$265</formula>
    </cfRule>
  </conditionalFormatting>
  <conditionalFormatting sqref="W91:X91">
    <cfRule type="expression" dxfId="2" priority="236">
      <formula>R251=$A$267</formula>
    </cfRule>
  </conditionalFormatting>
  <conditionalFormatting sqref="W91:X91">
    <cfRule type="expression" dxfId="1" priority="237">
      <formula>R251=$A$266</formula>
    </cfRule>
  </conditionalFormatting>
  <conditionalFormatting sqref="W91:X91">
    <cfRule type="expression" dxfId="0" priority="238">
      <formula>R251=$A$265</formula>
    </cfRule>
  </conditionalFormatting>
  <conditionalFormatting sqref="F92:H92">
    <cfRule type="expression" dxfId="2" priority="239">
      <formula>D252=$A$267</formula>
    </cfRule>
  </conditionalFormatting>
  <conditionalFormatting sqref="F92:H92">
    <cfRule type="expression" dxfId="1" priority="240">
      <formula>D252=$A$266</formula>
    </cfRule>
  </conditionalFormatting>
  <conditionalFormatting sqref="F92:H92">
    <cfRule type="expression" dxfId="0" priority="241">
      <formula>D252=$A$265</formula>
    </cfRule>
  </conditionalFormatting>
  <conditionalFormatting sqref="I92:K92">
    <cfRule type="expression" dxfId="2" priority="242">
      <formula>G252=$A$267</formula>
    </cfRule>
  </conditionalFormatting>
  <conditionalFormatting sqref="I92:K92">
    <cfRule type="expression" dxfId="1" priority="243">
      <formula>G252=$A$266</formula>
    </cfRule>
  </conditionalFormatting>
  <conditionalFormatting sqref="I92:K92">
    <cfRule type="expression" dxfId="0" priority="244">
      <formula>G252=$A$265</formula>
    </cfRule>
  </conditionalFormatting>
  <conditionalFormatting sqref="X92:Y92">
    <cfRule type="expression" dxfId="2" priority="245">
      <formula>V252=$A$267</formula>
    </cfRule>
  </conditionalFormatting>
  <conditionalFormatting sqref="X92:Y92">
    <cfRule type="expression" dxfId="1" priority="246">
      <formula>V252=$A$266</formula>
    </cfRule>
  </conditionalFormatting>
  <conditionalFormatting sqref="X92:Y92">
    <cfRule type="expression" dxfId="0" priority="247">
      <formula>V252=$A$265</formula>
    </cfRule>
  </conditionalFormatting>
  <conditionalFormatting sqref="D106:H106 P106:S106">
    <cfRule type="expression" dxfId="2" priority="248">
      <formula>B257=$A$216</formula>
    </cfRule>
  </conditionalFormatting>
  <conditionalFormatting sqref="D106:H106 P106:S106">
    <cfRule type="expression" dxfId="1" priority="249">
      <formula>B257=$A$215</formula>
    </cfRule>
  </conditionalFormatting>
  <conditionalFormatting sqref="D106:H106 P106:S106">
    <cfRule type="expression" dxfId="0" priority="250">
      <formula>B257=$A$214</formula>
    </cfRule>
  </conditionalFormatting>
  <conditionalFormatting sqref="I106:L106">
    <cfRule type="expression" dxfId="2" priority="251">
      <formula>H257=$A$216</formula>
    </cfRule>
  </conditionalFormatting>
  <conditionalFormatting sqref="I106:L106">
    <cfRule type="expression" dxfId="1" priority="252">
      <formula>H257=$A$215</formula>
    </cfRule>
  </conditionalFormatting>
  <conditionalFormatting sqref="I106:L106">
    <cfRule type="expression" dxfId="0" priority="253">
      <formula>H257=$A$214</formula>
    </cfRule>
  </conditionalFormatting>
  <conditionalFormatting sqref="M106:O106">
    <cfRule type="expression" dxfId="2" priority="254">
      <formula>N257=$A$216</formula>
    </cfRule>
  </conditionalFormatting>
  <conditionalFormatting sqref="M106:O106">
    <cfRule type="expression" dxfId="1" priority="255">
      <formula>N257=$A$215</formula>
    </cfRule>
  </conditionalFormatting>
  <conditionalFormatting sqref="M106:O106">
    <cfRule type="expression" dxfId="0" priority="256">
      <formula>N257=$A$214</formula>
    </cfRule>
  </conditionalFormatting>
  <conditionalFormatting sqref="T106:W106">
    <cfRule type="expression" dxfId="2" priority="257">
      <formula>Y257=$A$216</formula>
    </cfRule>
  </conditionalFormatting>
  <conditionalFormatting sqref="T106:W106">
    <cfRule type="expression" dxfId="1" priority="258">
      <formula>Y257=$A$215</formula>
    </cfRule>
  </conditionalFormatting>
  <conditionalFormatting sqref="T106:W106">
    <cfRule type="expression" dxfId="0" priority="259">
      <formula>Y257=$A$214</formula>
    </cfRule>
  </conditionalFormatting>
  <conditionalFormatting sqref="D110:H110 P110:S110">
    <cfRule type="expression" dxfId="2" priority="260">
      <formula>B262=$A$216</formula>
    </cfRule>
  </conditionalFormatting>
  <conditionalFormatting sqref="D110:H110 P110:S110">
    <cfRule type="expression" dxfId="1" priority="261">
      <formula>B262=$A$215</formula>
    </cfRule>
  </conditionalFormatting>
  <conditionalFormatting sqref="D110:H110 P110:S110">
    <cfRule type="expression" dxfId="0" priority="262">
      <formula>B262=$A$214</formula>
    </cfRule>
  </conditionalFormatting>
  <conditionalFormatting sqref="I110:L110">
    <cfRule type="expression" dxfId="2" priority="263">
      <formula>H262=$A$216</formula>
    </cfRule>
  </conditionalFormatting>
  <conditionalFormatting sqref="I110:L110">
    <cfRule type="expression" dxfId="1" priority="264">
      <formula>H262=$A$215</formula>
    </cfRule>
  </conditionalFormatting>
  <conditionalFormatting sqref="I110:L110">
    <cfRule type="expression" dxfId="0" priority="265">
      <formula>H262=$A$214</formula>
    </cfRule>
  </conditionalFormatting>
  <conditionalFormatting sqref="M110:O110">
    <cfRule type="expression" dxfId="2" priority="266">
      <formula>U262=$A$216</formula>
    </cfRule>
  </conditionalFormatting>
  <conditionalFormatting sqref="M110:O110">
    <cfRule type="expression" dxfId="1" priority="267">
      <formula>U262=$A$215</formula>
    </cfRule>
  </conditionalFormatting>
  <conditionalFormatting sqref="M110:O110">
    <cfRule type="expression" dxfId="0" priority="268">
      <formula>U262=$A$214</formula>
    </cfRule>
  </conditionalFormatting>
  <conditionalFormatting sqref="T110:W110">
    <cfRule type="expression" dxfId="2" priority="269">
      <formula>Y262=$A$216</formula>
    </cfRule>
  </conditionalFormatting>
  <conditionalFormatting sqref="T110:W110">
    <cfRule type="expression" dxfId="1" priority="270">
      <formula>Y262=$A$215</formula>
    </cfRule>
  </conditionalFormatting>
  <conditionalFormatting sqref="T110:W110">
    <cfRule type="expression" dxfId="0" priority="271">
      <formula>Y262=$A$214</formula>
    </cfRule>
  </conditionalFormatting>
  <conditionalFormatting sqref="D116:V116 D117:F117 D118:V118 D119:AB119 D120:E121 L121:W121 S117:X117 Y116:AB116 Y118:AB118 Y120:AB120 Z121:AB121">
    <cfRule type="expression" dxfId="2" priority="272">
      <formula>C272=$A$216</formula>
    </cfRule>
  </conditionalFormatting>
  <conditionalFormatting sqref="D116:V116 D117:F117 D118:V118 D119:AB119 D120:E121 L121:W121 S117:X117 Y116:AB116 Y118:AB118 Y120:AB120 Z121:AB121">
    <cfRule type="expression" dxfId="1" priority="273">
      <formula>C272=$A$215</formula>
    </cfRule>
  </conditionalFormatting>
  <conditionalFormatting sqref="D116:V116 D117:F117 D118:V118 D119:AB119 D120:E121 L121:W121 S117:X117 Y116:AB116 Y118:AB118 Y120:AB120 Z121:AB121">
    <cfRule type="expression" dxfId="0" priority="274">
      <formula>C272=$A$214</formula>
    </cfRule>
  </conditionalFormatting>
  <conditionalFormatting sqref="W116:X116">
    <cfRule type="expression" dxfId="2" priority="275">
      <formula>U272=$A$216</formula>
    </cfRule>
  </conditionalFormatting>
  <conditionalFormatting sqref="W116:X116">
    <cfRule type="expression" dxfId="1" priority="276">
      <formula>U272=$A$215</formula>
    </cfRule>
  </conditionalFormatting>
  <conditionalFormatting sqref="W116:X116">
    <cfRule type="expression" dxfId="0" priority="277">
      <formula>U272=$A$214</formula>
    </cfRule>
  </conditionalFormatting>
  <conditionalFormatting sqref="G117:K117">
    <cfRule type="expression" dxfId="2" priority="278">
      <formula>D273=$A$216</formula>
    </cfRule>
  </conditionalFormatting>
  <conditionalFormatting sqref="G117:K117">
    <cfRule type="expression" dxfId="1" priority="279">
      <formula>D273=$A$215</formula>
    </cfRule>
  </conditionalFormatting>
  <conditionalFormatting sqref="G117:K117">
    <cfRule type="expression" dxfId="0" priority="280">
      <formula>D273=$A$214</formula>
    </cfRule>
  </conditionalFormatting>
  <conditionalFormatting sqref="L117:R117">
    <cfRule type="expression" dxfId="2" priority="281">
      <formula>G273=$A$216</formula>
    </cfRule>
  </conditionalFormatting>
  <conditionalFormatting sqref="L117:R117">
    <cfRule type="expression" dxfId="1" priority="282">
      <formula>G273=$A$215</formula>
    </cfRule>
  </conditionalFormatting>
  <conditionalFormatting sqref="L117:R117">
    <cfRule type="expression" dxfId="0" priority="283">
      <formula>G273=$A$214</formula>
    </cfRule>
  </conditionalFormatting>
  <conditionalFormatting sqref="Y117:Z117">
    <cfRule type="expression" dxfId="2" priority="284">
      <formula>R273=$A$216</formula>
    </cfRule>
  </conditionalFormatting>
  <conditionalFormatting sqref="Y117:Z117">
    <cfRule type="expression" dxfId="1" priority="285">
      <formula>R273=$A$215</formula>
    </cfRule>
  </conditionalFormatting>
  <conditionalFormatting sqref="Y117:Z117">
    <cfRule type="expression" dxfId="0" priority="286">
      <formula>R273=$A$214</formula>
    </cfRule>
  </conditionalFormatting>
  <conditionalFormatting sqref="AA117:AB117">
    <cfRule type="expression" dxfId="2" priority="287">
      <formula>Y273=$A$216</formula>
    </cfRule>
  </conditionalFormatting>
  <conditionalFormatting sqref="AA117:AB117">
    <cfRule type="expression" dxfId="1" priority="288">
      <formula>Y273=$A$215</formula>
    </cfRule>
  </conditionalFormatting>
  <conditionalFormatting sqref="AA117:AB117">
    <cfRule type="expression" dxfId="0" priority="289">
      <formula>Y273=$A$214</formula>
    </cfRule>
  </conditionalFormatting>
  <conditionalFormatting sqref="W118:X118">
    <cfRule type="expression" dxfId="2" priority="290">
      <formula>U274=$A$216</formula>
    </cfRule>
  </conditionalFormatting>
  <conditionalFormatting sqref="W118:X118">
    <cfRule type="expression" dxfId="1" priority="291">
      <formula>U274=$A$215</formula>
    </cfRule>
  </conditionalFormatting>
  <conditionalFormatting sqref="W118:X118">
    <cfRule type="expression" dxfId="0" priority="292">
      <formula>U274=$A$214</formula>
    </cfRule>
  </conditionalFormatting>
  <conditionalFormatting sqref="F120:H120">
    <cfRule type="expression" dxfId="2" priority="293">
      <formula>D276=$A$216</formula>
    </cfRule>
  </conditionalFormatting>
  <conditionalFormatting sqref="F120:H120">
    <cfRule type="expression" dxfId="1" priority="294">
      <formula>D276=$A$215</formula>
    </cfRule>
  </conditionalFormatting>
  <conditionalFormatting sqref="F120:H120">
    <cfRule type="expression" dxfId="0" priority="295">
      <formula>D276=$A$214</formula>
    </cfRule>
  </conditionalFormatting>
  <conditionalFormatting sqref="I120:L120">
    <cfRule type="expression" dxfId="2" priority="296">
      <formula>G276=$A$216</formula>
    </cfRule>
  </conditionalFormatting>
  <conditionalFormatting sqref="I120:L120">
    <cfRule type="expression" dxfId="1" priority="297">
      <formula>G276=$A$215</formula>
    </cfRule>
  </conditionalFormatting>
  <conditionalFormatting sqref="I120:L120">
    <cfRule type="expression" dxfId="0" priority="298">
      <formula>G276=$A$214</formula>
    </cfRule>
  </conditionalFormatting>
  <conditionalFormatting sqref="M120:Q120">
    <cfRule type="expression" dxfId="2" priority="299">
      <formula>J276=$A$216</formula>
    </cfRule>
  </conditionalFormatting>
  <conditionalFormatting sqref="M120:Q120">
    <cfRule type="expression" dxfId="1" priority="300">
      <formula>J276=$A$215</formula>
    </cfRule>
  </conditionalFormatting>
  <conditionalFormatting sqref="M120:Q120">
    <cfRule type="expression" dxfId="0" priority="301">
      <formula>J276=$A$214</formula>
    </cfRule>
  </conditionalFormatting>
  <conditionalFormatting sqref="R120:V120">
    <cfRule type="expression" dxfId="2" priority="302">
      <formula>M276=$A$216</formula>
    </cfRule>
  </conditionalFormatting>
  <conditionalFormatting sqref="R120:V120">
    <cfRule type="expression" dxfId="1" priority="303">
      <formula>M276=$A$215</formula>
    </cfRule>
  </conditionalFormatting>
  <conditionalFormatting sqref="R120:V120">
    <cfRule type="expression" dxfId="0" priority="304">
      <formula>M276=$A$214</formula>
    </cfRule>
  </conditionalFormatting>
  <conditionalFormatting sqref="W120:X120">
    <cfRule type="expression" dxfId="2" priority="305">
      <formula>R276=$A$216</formula>
    </cfRule>
  </conditionalFormatting>
  <conditionalFormatting sqref="W120:X120">
    <cfRule type="expression" dxfId="1" priority="306">
      <formula>R276=$A$215</formula>
    </cfRule>
  </conditionalFormatting>
  <conditionalFormatting sqref="W120:X120">
    <cfRule type="expression" dxfId="0" priority="307">
      <formula>R276=$A$214</formula>
    </cfRule>
  </conditionalFormatting>
  <conditionalFormatting sqref="F121:H121">
    <cfRule type="expression" dxfId="2" priority="308">
      <formula>D277=$A$216</formula>
    </cfRule>
  </conditionalFormatting>
  <conditionalFormatting sqref="F121:H121">
    <cfRule type="expression" dxfId="1" priority="309">
      <formula>D277=$A$215</formula>
    </cfRule>
  </conditionalFormatting>
  <conditionalFormatting sqref="F121:H121">
    <cfRule type="expression" dxfId="0" priority="310">
      <formula>D277=$A$214</formula>
    </cfRule>
  </conditionalFormatting>
  <conditionalFormatting sqref="I121:K121">
    <cfRule type="expression" dxfId="2" priority="311">
      <formula>G277=$A$216</formula>
    </cfRule>
  </conditionalFormatting>
  <conditionalFormatting sqref="I121:K121">
    <cfRule type="expression" dxfId="1" priority="312">
      <formula>G277=$A$215</formula>
    </cfRule>
  </conditionalFormatting>
  <conditionalFormatting sqref="I121:K121">
    <cfRule type="expression" dxfId="0" priority="313">
      <formula>G277=$A$214</formula>
    </cfRule>
  </conditionalFormatting>
  <conditionalFormatting sqref="X121:Y121">
    <cfRule type="expression" dxfId="2" priority="314">
      <formula>G277=$A$216</formula>
    </cfRule>
  </conditionalFormatting>
  <conditionalFormatting sqref="X121:Y121">
    <cfRule type="expression" dxfId="1" priority="315">
      <formula>G277=$A$215</formula>
    </cfRule>
  </conditionalFormatting>
  <conditionalFormatting sqref="X121:Y121">
    <cfRule type="expression" dxfId="0" priority="316">
      <formula>V277=$A$214</formula>
    </cfRule>
  </conditionalFormatting>
  <conditionalFormatting sqref="D134:H134 P134:S134">
    <cfRule type="expression" dxfId="2" priority="317">
      <formula>B282=$A$216</formula>
    </cfRule>
  </conditionalFormatting>
  <conditionalFormatting sqref="D134:H134 P134:S134">
    <cfRule type="expression" dxfId="1" priority="318">
      <formula>B282=$A$215</formula>
    </cfRule>
  </conditionalFormatting>
  <conditionalFormatting sqref="D134:H134 P134:S134">
    <cfRule type="expression" dxfId="0" priority="319">
      <formula>B282=$A$214</formula>
    </cfRule>
  </conditionalFormatting>
  <conditionalFormatting sqref="I134:L134">
    <cfRule type="expression" dxfId="2" priority="320">
      <formula>H282=$A$216</formula>
    </cfRule>
  </conditionalFormatting>
  <conditionalFormatting sqref="I134:L134">
    <cfRule type="expression" dxfId="1" priority="321">
      <formula>H282=$A$215</formula>
    </cfRule>
  </conditionalFormatting>
  <conditionalFormatting sqref="I134:L134">
    <cfRule type="expression" dxfId="0" priority="322">
      <formula>H282=$A$214</formula>
    </cfRule>
  </conditionalFormatting>
  <conditionalFormatting sqref="M134:O134">
    <cfRule type="expression" dxfId="2" priority="323">
      <formula>N282=$A$216</formula>
    </cfRule>
  </conditionalFormatting>
  <conditionalFormatting sqref="M134:O134">
    <cfRule type="expression" dxfId="1" priority="324">
      <formula>N282=$A$215</formula>
    </cfRule>
  </conditionalFormatting>
  <conditionalFormatting sqref="M134:O134">
    <cfRule type="expression" dxfId="0" priority="325">
      <formula>N282=$A$214</formula>
    </cfRule>
  </conditionalFormatting>
  <conditionalFormatting sqref="T134:W134">
    <cfRule type="expression" dxfId="2" priority="326">
      <formula>Y282=$A$216</formula>
    </cfRule>
  </conditionalFormatting>
  <conditionalFormatting sqref="T134:W134">
    <cfRule type="expression" dxfId="1" priority="327">
      <formula>Y282=$A$215</formula>
    </cfRule>
  </conditionalFormatting>
  <conditionalFormatting sqref="T134:W134">
    <cfRule type="expression" dxfId="0" priority="328">
      <formula>Y282=$A$214</formula>
    </cfRule>
  </conditionalFormatting>
  <conditionalFormatting sqref="D147:V147 D148:F148 D149:V149 D150:AB150 D151:E152 L152:W152 Y147:AB147 Y149:AB149 Y151:AB151 Z152:AB152">
    <cfRule type="expression" dxfId="2" priority="329">
      <formula>C292=$A$216</formula>
    </cfRule>
  </conditionalFormatting>
  <conditionalFormatting sqref="D147:V147 D148:F148 D149:V149 D150:AB150 D151:E152 L152:W152 Y147:AB147 Y149:AB149 Y151:AB151 Z152:AB152">
    <cfRule type="expression" dxfId="1" priority="330">
      <formula>C292=$A$215</formula>
    </cfRule>
  </conditionalFormatting>
  <conditionalFormatting sqref="D147:V147 D148:F148 D149:V149 D150:AB150 D151:E152 L152:W152 Y147:AB147 Y149:AB149 Y151:AB151 Z152:AB152">
    <cfRule type="expression" dxfId="0" priority="331">
      <formula>C292=$A$214</formula>
    </cfRule>
  </conditionalFormatting>
  <conditionalFormatting sqref="W147:X147">
    <cfRule type="expression" dxfId="2" priority="332">
      <formula>U292=$A$216</formula>
    </cfRule>
  </conditionalFormatting>
  <conditionalFormatting sqref="W147:X147">
    <cfRule type="expression" dxfId="1" priority="333">
      <formula>U292=$A$215</formula>
    </cfRule>
  </conditionalFormatting>
  <conditionalFormatting sqref="W147:X147">
    <cfRule type="expression" dxfId="0" priority="334">
      <formula>U292=$A$214</formula>
    </cfRule>
  </conditionalFormatting>
  <conditionalFormatting sqref="G148:K148">
    <cfRule type="expression" dxfId="2" priority="335">
      <formula>D293=$A$216</formula>
    </cfRule>
  </conditionalFormatting>
  <conditionalFormatting sqref="G148:K148">
    <cfRule type="expression" dxfId="1" priority="336">
      <formula>D293=$A$215</formula>
    </cfRule>
  </conditionalFormatting>
  <conditionalFormatting sqref="G148:K148">
    <cfRule type="expression" dxfId="0" priority="337">
      <formula>D293=$A$214</formula>
    </cfRule>
  </conditionalFormatting>
  <conditionalFormatting sqref="L148:R148">
    <cfRule type="expression" dxfId="2" priority="338">
      <formula>G293=$A$216</formula>
    </cfRule>
  </conditionalFormatting>
  <conditionalFormatting sqref="L148:R148">
    <cfRule type="expression" dxfId="1" priority="339">
      <formula>G293=$A$215</formula>
    </cfRule>
  </conditionalFormatting>
  <conditionalFormatting sqref="L148:R148">
    <cfRule type="expression" dxfId="0" priority="340">
      <formula>G293=$A$214</formula>
    </cfRule>
  </conditionalFormatting>
  <conditionalFormatting sqref="Y148:Z148">
    <cfRule type="expression" dxfId="2" priority="341">
      <formula>R293=$A$216</formula>
    </cfRule>
  </conditionalFormatting>
  <conditionalFormatting sqref="Y148:Z148">
    <cfRule type="expression" dxfId="1" priority="342">
      <formula>R293=$A$215</formula>
    </cfRule>
  </conditionalFormatting>
  <conditionalFormatting sqref="Y148:Z148">
    <cfRule type="expression" dxfId="0" priority="343">
      <formula>R293=$A$214</formula>
    </cfRule>
  </conditionalFormatting>
  <conditionalFormatting sqref="AA148:AB148">
    <cfRule type="expression" dxfId="2" priority="344">
      <formula>Y293=$A$216</formula>
    </cfRule>
  </conditionalFormatting>
  <conditionalFormatting sqref="AA148:AB148">
    <cfRule type="expression" dxfId="1" priority="345">
      <formula>Y293=$A$215</formula>
    </cfRule>
  </conditionalFormatting>
  <conditionalFormatting sqref="AA148:AB148">
    <cfRule type="expression" dxfId="0" priority="346">
      <formula>Y293=$A$214</formula>
    </cfRule>
  </conditionalFormatting>
  <conditionalFormatting sqref="W149:X149">
    <cfRule type="expression" dxfId="2" priority="347">
      <formula>U294=$A$216</formula>
    </cfRule>
  </conditionalFormatting>
  <conditionalFormatting sqref="W149:X149">
    <cfRule type="expression" dxfId="1" priority="348">
      <formula>U294=$A$215</formula>
    </cfRule>
  </conditionalFormatting>
  <conditionalFormatting sqref="W149:X149">
    <cfRule type="expression" dxfId="0" priority="349">
      <formula>U294=$A$214</formula>
    </cfRule>
  </conditionalFormatting>
  <conditionalFormatting sqref="F151:H151">
    <cfRule type="expression" dxfId="2" priority="350">
      <formula>D296=$A$216</formula>
    </cfRule>
  </conditionalFormatting>
  <conditionalFormatting sqref="F151:H151">
    <cfRule type="expression" dxfId="1" priority="351">
      <formula>D296=$A$215</formula>
    </cfRule>
  </conditionalFormatting>
  <conditionalFormatting sqref="F151:H151">
    <cfRule type="expression" dxfId="0" priority="352">
      <formula>D296=$A$214</formula>
    </cfRule>
  </conditionalFormatting>
  <conditionalFormatting sqref="I151:L151">
    <cfRule type="expression" dxfId="2" priority="353">
      <formula>G296=$A$216</formula>
    </cfRule>
  </conditionalFormatting>
  <conditionalFormatting sqref="I151:L151">
    <cfRule type="expression" dxfId="1" priority="354">
      <formula>G296=$A$215</formula>
    </cfRule>
  </conditionalFormatting>
  <conditionalFormatting sqref="I151:L151">
    <cfRule type="expression" dxfId="0" priority="355">
      <formula>G296=$A$214</formula>
    </cfRule>
  </conditionalFormatting>
  <conditionalFormatting sqref="M151:Q151">
    <cfRule type="expression" dxfId="2" priority="356">
      <formula>J296=$A$216</formula>
    </cfRule>
  </conditionalFormatting>
  <conditionalFormatting sqref="M151:Q151">
    <cfRule type="expression" dxfId="1" priority="357">
      <formula>J296=$A$215</formula>
    </cfRule>
  </conditionalFormatting>
  <conditionalFormatting sqref="M151:Q151">
    <cfRule type="expression" dxfId="0" priority="358">
      <formula>J296=$A$214</formula>
    </cfRule>
  </conditionalFormatting>
  <conditionalFormatting sqref="R151:V151">
    <cfRule type="expression" dxfId="2" priority="359">
      <formula>M296=$A$216</formula>
    </cfRule>
  </conditionalFormatting>
  <conditionalFormatting sqref="R151:V151">
    <cfRule type="expression" dxfId="1" priority="360">
      <formula>M296=$A$215</formula>
    </cfRule>
  </conditionalFormatting>
  <conditionalFormatting sqref="R151:V151">
    <cfRule type="expression" dxfId="0" priority="361">
      <formula>M296=$A$214</formula>
    </cfRule>
  </conditionalFormatting>
  <conditionalFormatting sqref="W151:X151">
    <cfRule type="expression" dxfId="2" priority="362">
      <formula>R296=$A$216</formula>
    </cfRule>
  </conditionalFormatting>
  <conditionalFormatting sqref="W151:X151">
    <cfRule type="expression" dxfId="1" priority="363">
      <formula>R296=$A$215</formula>
    </cfRule>
  </conditionalFormatting>
  <conditionalFormatting sqref="W151:X151">
    <cfRule type="expression" dxfId="0" priority="364">
      <formula>R296=$A$214</formula>
    </cfRule>
  </conditionalFormatting>
  <conditionalFormatting sqref="F152:H152">
    <cfRule type="expression" dxfId="2" priority="365">
      <formula>D297=$A$216</formula>
    </cfRule>
  </conditionalFormatting>
  <conditionalFormatting sqref="F152:H152">
    <cfRule type="expression" dxfId="1" priority="366">
      <formula>D297=$A$215</formula>
    </cfRule>
  </conditionalFormatting>
  <conditionalFormatting sqref="F152:H152">
    <cfRule type="expression" dxfId="0" priority="367">
      <formula>D297=$A$214</formula>
    </cfRule>
  </conditionalFormatting>
  <conditionalFormatting sqref="I152:K152">
    <cfRule type="expression" dxfId="2" priority="368">
      <formula>G297=$A$216</formula>
    </cfRule>
  </conditionalFormatting>
  <conditionalFormatting sqref="I152:K152">
    <cfRule type="expression" dxfId="1" priority="369">
      <formula>G297=$A$215</formula>
    </cfRule>
  </conditionalFormatting>
  <conditionalFormatting sqref="I152:K152">
    <cfRule type="expression" dxfId="0" priority="370">
      <formula>G297=$A$214</formula>
    </cfRule>
  </conditionalFormatting>
  <conditionalFormatting sqref="X152:Y152">
    <cfRule type="expression" dxfId="2" priority="371">
      <formula>V297=$A$216</formula>
    </cfRule>
  </conditionalFormatting>
  <conditionalFormatting sqref="X152:Y152">
    <cfRule type="expression" dxfId="1" priority="372">
      <formula>V297=$A$215</formula>
    </cfRule>
  </conditionalFormatting>
  <conditionalFormatting sqref="X152:Y152">
    <cfRule type="expression" dxfId="0" priority="373">
      <formula>V297=$A$214</formula>
    </cfRule>
  </conditionalFormatting>
  <conditionalFormatting sqref="S148:X148">
    <cfRule type="expression" dxfId="0" priority="374">
      <formula>L293=$A$214</formula>
    </cfRule>
  </conditionalFormatting>
  <conditionalFormatting sqref="S148:X148">
    <cfRule type="expression" dxfId="1" priority="375">
      <formula>L293=$A$215</formula>
    </cfRule>
  </conditionalFormatting>
  <conditionalFormatting sqref="S148:X148">
    <cfRule type="expression" dxfId="2" priority="376">
      <formula>L293=$A$216</formula>
    </cfRule>
  </conditionalFormatting>
  <printOptions/>
  <pageMargins bottom="0.75" footer="0.0" header="0.0" left="0.7" right="0.7" top="0.75"/>
  <pageSetup paperSize="9" orientation="portrait"/>
  <headerFooter>
    <oddFooter>&amp;R#000000C2 - Safaricom Internal</oddFooter>
  </headerFooter>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sheetPr>
  <sheetViews>
    <sheetView workbookViewId="0"/>
  </sheetViews>
  <sheetFormatPr customHeight="1" defaultColWidth="14.43" defaultRowHeight="15.0"/>
  <cols>
    <col customWidth="1" min="1" max="1" width="21.57"/>
    <col customWidth="1" min="2" max="2" width="14.57"/>
    <col customWidth="1" min="3" max="3" width="21.57"/>
    <col customWidth="1" min="4" max="4" width="16.0"/>
    <col customWidth="1" min="5" max="5" width="4.57"/>
    <col customWidth="1" min="6" max="6" width="14.86"/>
    <col customWidth="1" min="7" max="7" width="4.57"/>
    <col customWidth="1" min="8" max="8" width="8.57"/>
    <col customWidth="1" min="9" max="10" width="4.57"/>
    <col customWidth="1" min="11" max="11" width="7.86"/>
    <col customWidth="1" min="12" max="16" width="4.57"/>
    <col customWidth="1" min="17" max="17" width="11.86"/>
    <col customWidth="1" min="18" max="18" width="7.43"/>
    <col customWidth="1" min="19" max="21" width="4.57"/>
    <col customWidth="1" min="22" max="22" width="6.86"/>
    <col customWidth="1" min="23" max="23" width="4.57"/>
    <col customWidth="1" min="24" max="24" width="7.43"/>
    <col customWidth="1" min="25" max="25" width="11.86"/>
    <col customWidth="1" min="26" max="26" width="17.0"/>
    <col customWidth="1" min="27" max="27" width="12.14"/>
    <col customWidth="1" min="28" max="28" width="17.43"/>
    <col customWidth="1" min="29" max="29" width="8.57"/>
    <col customWidth="1" min="30" max="46" width="4.57"/>
    <col customWidth="1" min="47" max="47" width="2.57"/>
    <col customWidth="1" hidden="1" min="48" max="55"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36"/>
      <c r="AX1" s="36"/>
      <c r="AY1" s="36"/>
      <c r="AZ1" s="36"/>
      <c r="BA1" s="36"/>
      <c r="BB1" s="36"/>
      <c r="BC1" s="36"/>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36"/>
      <c r="AX2" s="36"/>
      <c r="AY2" s="36"/>
      <c r="AZ2" s="36"/>
      <c r="BA2" s="36"/>
      <c r="BB2" s="36"/>
      <c r="BC2" s="36"/>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36"/>
      <c r="AX3" s="36"/>
      <c r="AY3" s="36"/>
      <c r="AZ3" s="36"/>
      <c r="BA3" s="36"/>
      <c r="BB3" s="36"/>
      <c r="BC3" s="36"/>
    </row>
    <row r="4" ht="17.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36"/>
      <c r="AX4" s="36"/>
      <c r="AY4" s="36"/>
      <c r="AZ4" s="36"/>
      <c r="BA4" s="36"/>
      <c r="BB4" s="36"/>
      <c r="BC4" s="36"/>
    </row>
    <row r="5" ht="39.75" customHeight="1">
      <c r="A5" s="1"/>
      <c r="B5" s="1"/>
      <c r="C5" s="369" t="s">
        <v>642</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36"/>
      <c r="AX5" s="36"/>
      <c r="AY5" s="36"/>
      <c r="AZ5" s="36"/>
      <c r="BA5" s="36"/>
      <c r="BB5" s="36"/>
      <c r="BC5" s="36"/>
    </row>
    <row r="6" ht="7.5" customHeight="1">
      <c r="A6" s="1"/>
      <c r="B6" s="144"/>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36"/>
      <c r="AX6" s="36"/>
      <c r="AY6" s="36"/>
      <c r="AZ6" s="36"/>
      <c r="BA6" s="36"/>
      <c r="BB6" s="36"/>
      <c r="BC6" s="36"/>
    </row>
    <row r="7" ht="27.75" customHeight="1">
      <c r="A7" s="370"/>
      <c r="B7" s="370"/>
      <c r="C7" s="371"/>
      <c r="D7" s="372" t="s">
        <v>621</v>
      </c>
      <c r="E7" s="3"/>
      <c r="F7" s="3"/>
      <c r="G7" s="3"/>
      <c r="H7" s="3"/>
      <c r="I7" s="3"/>
      <c r="J7" s="3"/>
      <c r="K7" s="3"/>
      <c r="L7" s="3"/>
      <c r="M7" s="3"/>
      <c r="N7" s="3"/>
      <c r="O7" s="3"/>
      <c r="P7" s="3"/>
      <c r="Q7" s="3"/>
      <c r="R7" s="3"/>
      <c r="S7" s="3"/>
      <c r="T7" s="3"/>
      <c r="U7" s="3"/>
      <c r="V7" s="3"/>
      <c r="W7" s="4"/>
      <c r="X7" s="1"/>
      <c r="Y7" s="1"/>
      <c r="Z7" s="1"/>
      <c r="AA7" s="1"/>
      <c r="AB7" s="1"/>
      <c r="AC7" s="1"/>
      <c r="AD7" s="1"/>
      <c r="AE7" s="1"/>
      <c r="AF7" s="1"/>
      <c r="AG7" s="1"/>
      <c r="AH7" s="1"/>
      <c r="AI7" s="1"/>
      <c r="AJ7" s="1"/>
      <c r="AK7" s="1"/>
      <c r="AL7" s="1"/>
      <c r="AM7" s="1"/>
      <c r="AN7" s="1"/>
      <c r="AO7" s="1"/>
      <c r="AP7" s="1"/>
      <c r="AQ7" s="1"/>
      <c r="AR7" s="1"/>
      <c r="AS7" s="1"/>
      <c r="AT7" s="1"/>
      <c r="AU7" s="1"/>
      <c r="AV7" s="1"/>
      <c r="AW7" s="1"/>
      <c r="AX7" s="371"/>
      <c r="AY7" s="371"/>
      <c r="AZ7" s="371"/>
      <c r="BA7" s="371"/>
      <c r="BB7" s="371"/>
      <c r="BC7" s="371"/>
    </row>
    <row r="8" ht="10.5" customHeight="1">
      <c r="A8" s="1"/>
      <c r="B8" s="148"/>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36"/>
      <c r="AY8" s="36"/>
      <c r="AZ8" s="36"/>
      <c r="BA8" s="36"/>
      <c r="BB8" s="36"/>
      <c r="BC8" s="36"/>
    </row>
    <row r="9" ht="52.5" customHeight="1">
      <c r="A9" s="1"/>
      <c r="B9" s="1"/>
      <c r="C9" s="170"/>
      <c r="D9" s="373" t="str">
        <f>C207</f>
        <v>Livelihoods</v>
      </c>
      <c r="E9" s="172"/>
      <c r="F9" s="373" t="str">
        <f>E207</f>
        <v>Health &amp; Safety</v>
      </c>
      <c r="G9" s="173"/>
      <c r="H9" s="172"/>
      <c r="I9" s="373" t="str">
        <f>I207</f>
        <v>Assets and Utilities</v>
      </c>
      <c r="J9" s="173"/>
      <c r="K9" s="173"/>
      <c r="L9" s="172"/>
      <c r="M9" s="373" t="str">
        <f>O207</f>
        <v>Potable water </v>
      </c>
      <c r="N9" s="173"/>
      <c r="O9" s="172"/>
      <c r="P9" s="373" t="str">
        <f>V207</f>
        <v>EBS</v>
      </c>
      <c r="Q9" s="173"/>
      <c r="R9" s="173"/>
      <c r="S9" s="172"/>
      <c r="T9" s="373" t="str">
        <f>Z207</f>
        <v>Institutions</v>
      </c>
      <c r="U9" s="173"/>
      <c r="V9" s="173"/>
      <c r="W9" s="172"/>
      <c r="X9" s="1"/>
      <c r="Y9" s="1"/>
      <c r="Z9" s="1"/>
      <c r="AA9" s="1"/>
      <c r="AB9" s="1"/>
      <c r="AC9" s="1"/>
      <c r="AD9" s="1"/>
      <c r="AE9" s="1"/>
      <c r="AF9" s="1"/>
      <c r="AG9" s="1"/>
      <c r="AH9" s="1"/>
      <c r="AI9" s="1"/>
      <c r="AJ9" s="1"/>
      <c r="AK9" s="1"/>
      <c r="AL9" s="1"/>
      <c r="AM9" s="1"/>
      <c r="AN9" s="1"/>
      <c r="AO9" s="1"/>
      <c r="AP9" s="1"/>
      <c r="AQ9" s="1"/>
      <c r="AR9" s="1"/>
      <c r="AS9" s="1"/>
      <c r="AT9" s="1"/>
      <c r="AU9" s="1"/>
      <c r="AV9" s="1"/>
      <c r="AW9" s="1"/>
      <c r="AX9" s="36"/>
      <c r="AY9" s="36"/>
      <c r="AZ9" s="36"/>
      <c r="BA9" s="36"/>
      <c r="BB9" s="36"/>
      <c r="BC9" s="36"/>
    </row>
    <row r="10" ht="26.25" customHeight="1">
      <c r="A10" s="1"/>
      <c r="B10" s="1"/>
      <c r="C10" s="1"/>
      <c r="D10" s="374" t="s">
        <v>643</v>
      </c>
      <c r="E10" s="375"/>
      <c r="F10" s="375"/>
      <c r="G10" s="375"/>
      <c r="H10" s="375"/>
      <c r="I10" s="375"/>
      <c r="J10" s="375"/>
      <c r="K10" s="375"/>
      <c r="L10" s="375"/>
      <c r="M10" s="375"/>
      <c r="N10" s="375"/>
      <c r="O10" s="375"/>
      <c r="P10" s="375"/>
      <c r="Q10" s="375"/>
      <c r="R10" s="375"/>
      <c r="S10" s="375"/>
      <c r="T10" s="375"/>
      <c r="U10" s="375"/>
      <c r="V10" s="375"/>
      <c r="W10" s="376"/>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36"/>
      <c r="AY10" s="36"/>
      <c r="AZ10" s="36"/>
      <c r="BA10" s="36"/>
      <c r="BB10" s="36"/>
      <c r="BC10" s="36"/>
    </row>
    <row r="11" ht="30.0" customHeight="1">
      <c r="A11" s="1"/>
      <c r="B11" s="1"/>
      <c r="C11" s="163" t="str">
        <f t="shared" ref="C11:E11" si="1">C212</f>
        <v>Livelihoods</v>
      </c>
      <c r="D11" s="377" t="str">
        <f t="shared" si="1"/>
        <v>Food Security</v>
      </c>
      <c r="E11" s="378" t="str">
        <f t="shared" si="1"/>
        <v>Grazing/Farm Land</v>
      </c>
      <c r="F11" s="154"/>
      <c r="G11" s="378" t="str">
        <f>G212</f>
        <v>Crops</v>
      </c>
      <c r="H11" s="154"/>
      <c r="I11" s="378" t="str">
        <f>I212</f>
        <v>Livestock</v>
      </c>
      <c r="J11" s="153"/>
      <c r="K11" s="154"/>
      <c r="L11" s="378" t="str">
        <f>L212</f>
        <v>Fishstock</v>
      </c>
      <c r="M11" s="153"/>
      <c r="N11" s="154"/>
      <c r="O11" s="378" t="str">
        <f>O212</f>
        <v>Local commerce</v>
      </c>
      <c r="P11" s="153"/>
      <c r="Q11" s="153"/>
      <c r="R11" s="154"/>
      <c r="S11" s="378" t="str">
        <f>S212</f>
        <v>Gender </v>
      </c>
      <c r="T11" s="153"/>
      <c r="U11" s="153"/>
      <c r="V11" s="154"/>
      <c r="W11" s="378" t="str">
        <f>V212</f>
        <v>Conviviality </v>
      </c>
      <c r="X11" s="154"/>
      <c r="Y11" s="377" t="str">
        <f t="shared" ref="Y11:AB11" si="2">Y212</f>
        <v>Education </v>
      </c>
      <c r="Z11" s="377" t="str">
        <f t="shared" si="2"/>
        <v>WFI/WFDU</v>
      </c>
      <c r="AA11" s="377" t="str">
        <f t="shared" si="2"/>
        <v>ATF/I</v>
      </c>
      <c r="AB11" s="377" t="str">
        <f t="shared" si="2"/>
        <v>Disaster Events</v>
      </c>
      <c r="AC11" s="1"/>
      <c r="AD11" s="1"/>
      <c r="AE11" s="1"/>
      <c r="AF11" s="1"/>
      <c r="AG11" s="1"/>
      <c r="AH11" s="1"/>
      <c r="AI11" s="1"/>
      <c r="AJ11" s="1"/>
      <c r="AK11" s="1"/>
      <c r="AL11" s="1"/>
      <c r="AM11" s="1"/>
      <c r="AN11" s="1"/>
      <c r="AO11" s="1"/>
      <c r="AP11" s="1"/>
      <c r="AQ11" s="1"/>
      <c r="AR11" s="1"/>
      <c r="AS11" s="1"/>
      <c r="AT11" s="1"/>
      <c r="AU11" s="1"/>
      <c r="AV11" s="1"/>
      <c r="AW11" s="1"/>
      <c r="AX11" s="36"/>
      <c r="AY11" s="36"/>
      <c r="AZ11" s="36"/>
      <c r="BA11" s="36"/>
      <c r="BB11" s="36"/>
      <c r="BC11" s="36"/>
    </row>
    <row r="12" ht="29.25" customHeight="1">
      <c r="A12" s="1"/>
      <c r="B12" s="1"/>
      <c r="C12" s="163" t="str">
        <f t="shared" ref="C12:D12" si="3">C213</f>
        <v>Health &amp; Safety</v>
      </c>
      <c r="D12" s="378" t="str">
        <f t="shared" si="3"/>
        <v>Borne Diseases</v>
      </c>
      <c r="E12" s="153"/>
      <c r="F12" s="154"/>
      <c r="G12" s="378" t="str">
        <f>E213</f>
        <v>SLUP&amp;C</v>
      </c>
      <c r="H12" s="153"/>
      <c r="I12" s="153"/>
      <c r="J12" s="153"/>
      <c r="K12" s="154"/>
      <c r="L12" s="378" t="str">
        <f>H213</f>
        <v>SWM</v>
      </c>
      <c r="M12" s="153"/>
      <c r="N12" s="153"/>
      <c r="O12" s="153"/>
      <c r="P12" s="153"/>
      <c r="Q12" s="153"/>
      <c r="R12" s="154"/>
      <c r="S12" s="378" t="str">
        <f>M213</f>
        <v>LWM</v>
      </c>
      <c r="T12" s="153"/>
      <c r="U12" s="153"/>
      <c r="V12" s="153"/>
      <c r="W12" s="153"/>
      <c r="X12" s="154"/>
      <c r="Y12" s="378" t="str">
        <f>S213</f>
        <v>ATHS</v>
      </c>
      <c r="Z12" s="154"/>
      <c r="AA12" s="378" t="str">
        <f>Z213</f>
        <v>ATHE</v>
      </c>
      <c r="AB12" s="154"/>
      <c r="AC12" s="1"/>
      <c r="AD12" s="1"/>
      <c r="AE12" s="1"/>
      <c r="AF12" s="1"/>
      <c r="AG12" s="1"/>
      <c r="AH12" s="1"/>
      <c r="AI12" s="1"/>
      <c r="AJ12" s="1"/>
      <c r="AK12" s="1"/>
      <c r="AL12" s="1"/>
      <c r="AM12" s="1"/>
      <c r="AN12" s="1"/>
      <c r="AO12" s="1"/>
      <c r="AP12" s="1"/>
      <c r="AQ12" s="1"/>
      <c r="AR12" s="1"/>
      <c r="AS12" s="1"/>
      <c r="AT12" s="1"/>
      <c r="AU12" s="1"/>
      <c r="AV12" s="1"/>
      <c r="AW12" s="1"/>
      <c r="AX12" s="36"/>
      <c r="AY12" s="36"/>
      <c r="AZ12" s="36"/>
      <c r="BA12" s="36"/>
      <c r="BB12" s="36"/>
      <c r="BC12" s="36"/>
    </row>
    <row r="13" ht="29.25" customHeight="1">
      <c r="A13" s="1"/>
      <c r="B13" s="1"/>
      <c r="C13" s="163" t="str">
        <f t="shared" ref="C13:E13" si="4">C214</f>
        <v>Assets and Utilities</v>
      </c>
      <c r="D13" s="377" t="str">
        <f t="shared" si="4"/>
        <v>Housing</v>
      </c>
      <c r="E13" s="378" t="str">
        <f t="shared" si="4"/>
        <v>Public facilities </v>
      </c>
      <c r="F13" s="154"/>
      <c r="G13" s="378" t="str">
        <f>G214</f>
        <v>SWD</v>
      </c>
      <c r="H13" s="154"/>
      <c r="I13" s="378" t="str">
        <f>I214</f>
        <v>Sanitary facilities </v>
      </c>
      <c r="J13" s="153"/>
      <c r="K13" s="154"/>
      <c r="L13" s="378" t="str">
        <f>L214</f>
        <v>Sewer lines </v>
      </c>
      <c r="M13" s="153"/>
      <c r="N13" s="154"/>
      <c r="O13" s="378" t="str">
        <f>O214</f>
        <v>Power lines/supply</v>
      </c>
      <c r="P13" s="153"/>
      <c r="Q13" s="153"/>
      <c r="R13" s="154"/>
      <c r="S13" s="378" t="str">
        <f>S214</f>
        <v>Energy for HH use </v>
      </c>
      <c r="T13" s="153"/>
      <c r="U13" s="153"/>
      <c r="V13" s="154"/>
      <c r="W13" s="378" t="str">
        <f>V214</f>
        <v>Water pipes </v>
      </c>
      <c r="X13" s="154"/>
      <c r="Y13" s="377" t="str">
        <f t="shared" ref="Y13:AB13" si="5">Y214</f>
        <v>PWT</v>
      </c>
      <c r="Z13" s="377" t="str">
        <f t="shared" si="5"/>
        <v>Water Storage</v>
      </c>
      <c r="AA13" s="377" t="str">
        <f t="shared" si="5"/>
        <v>R &amp; T</v>
      </c>
      <c r="AB13" s="377" t="str">
        <f t="shared" si="5"/>
        <v>Communication </v>
      </c>
      <c r="AC13" s="1"/>
      <c r="AD13" s="1"/>
      <c r="AE13" s="1"/>
      <c r="AF13" s="1"/>
      <c r="AG13" s="1"/>
      <c r="AH13" s="1"/>
      <c r="AI13" s="1"/>
      <c r="AJ13" s="1"/>
      <c r="AK13" s="1"/>
      <c r="AL13" s="1"/>
      <c r="AM13" s="1"/>
      <c r="AN13" s="1"/>
      <c r="AO13" s="1"/>
      <c r="AP13" s="1"/>
      <c r="AQ13" s="1"/>
      <c r="AR13" s="1"/>
      <c r="AS13" s="1"/>
      <c r="AT13" s="1"/>
      <c r="AU13" s="1"/>
      <c r="AV13" s="1"/>
      <c r="AW13" s="1"/>
      <c r="AX13" s="36"/>
      <c r="AY13" s="36"/>
      <c r="AZ13" s="36"/>
      <c r="BA13" s="36"/>
      <c r="BB13" s="36"/>
      <c r="BC13" s="36"/>
    </row>
    <row r="14" ht="29.25" customHeight="1">
      <c r="A14" s="1"/>
      <c r="B14" s="1"/>
      <c r="C14" s="163" t="str">
        <f t="shared" ref="C14:D14" si="6">C215</f>
        <v>Potable water </v>
      </c>
      <c r="D14" s="378" t="str">
        <f t="shared" si="6"/>
        <v>Access</v>
      </c>
      <c r="E14" s="153"/>
      <c r="F14" s="153"/>
      <c r="G14" s="153"/>
      <c r="H14" s="153"/>
      <c r="I14" s="153"/>
      <c r="J14" s="154"/>
      <c r="K14" s="378" t="str">
        <f>K215</f>
        <v>Scarcities </v>
      </c>
      <c r="L14" s="153"/>
      <c r="M14" s="153"/>
      <c r="N14" s="153"/>
      <c r="O14" s="153"/>
      <c r="P14" s="153"/>
      <c r="Q14" s="153"/>
      <c r="R14" s="153"/>
      <c r="S14" s="153"/>
      <c r="T14" s="153"/>
      <c r="U14" s="153"/>
      <c r="V14" s="153"/>
      <c r="W14" s="153"/>
      <c r="X14" s="154"/>
      <c r="Y14" s="378" t="str">
        <f t="shared" ref="Y14:Y15" si="8">Y215</f>
        <v>Quality</v>
      </c>
      <c r="Z14" s="153"/>
      <c r="AA14" s="153"/>
      <c r="AB14" s="154"/>
      <c r="AC14" s="1"/>
      <c r="AD14" s="1"/>
      <c r="AE14" s="1"/>
      <c r="AF14" s="1"/>
      <c r="AG14" s="1"/>
      <c r="AH14" s="1"/>
      <c r="AI14" s="1"/>
      <c r="AJ14" s="1"/>
      <c r="AK14" s="1"/>
      <c r="AL14" s="1"/>
      <c r="AM14" s="1"/>
      <c r="AN14" s="1"/>
      <c r="AO14" s="1"/>
      <c r="AP14" s="1"/>
      <c r="AQ14" s="1"/>
      <c r="AR14" s="1"/>
      <c r="AS14" s="1"/>
      <c r="AT14" s="1"/>
      <c r="AU14" s="1"/>
      <c r="AV14" s="1"/>
      <c r="AW14" s="1"/>
      <c r="AX14" s="36"/>
      <c r="AY14" s="36"/>
      <c r="AZ14" s="36"/>
      <c r="BA14" s="36"/>
      <c r="BB14" s="36"/>
      <c r="BC14" s="36"/>
    </row>
    <row r="15" ht="29.25" customHeight="1">
      <c r="A15" s="1"/>
      <c r="B15" s="1"/>
      <c r="C15" s="163" t="str">
        <f t="shared" ref="C15:D15" si="7">C216</f>
        <v>EBS</v>
      </c>
      <c r="D15" s="378" t="str">
        <f t="shared" si="7"/>
        <v>Soil </v>
      </c>
      <c r="E15" s="154"/>
      <c r="F15" s="378" t="str">
        <f t="shared" ref="F15:F16" si="11">E216</f>
        <v>LC &amp; P</v>
      </c>
      <c r="G15" s="153"/>
      <c r="H15" s="154"/>
      <c r="I15" s="378" t="str">
        <f t="shared" ref="I15:I16" si="12">H216</f>
        <v>NV</v>
      </c>
      <c r="J15" s="153"/>
      <c r="K15" s="153"/>
      <c r="L15" s="154"/>
      <c r="M15" s="378" t="str">
        <f>K216</f>
        <v>Wetland </v>
      </c>
      <c r="N15" s="153"/>
      <c r="O15" s="153"/>
      <c r="P15" s="153"/>
      <c r="Q15" s="154"/>
      <c r="R15" s="378" t="str">
        <f>N216</f>
        <v>Biodiversity</v>
      </c>
      <c r="S15" s="153"/>
      <c r="T15" s="153"/>
      <c r="U15" s="153"/>
      <c r="V15" s="154"/>
      <c r="W15" s="378" t="str">
        <f>S216</f>
        <v>NWB</v>
      </c>
      <c r="X15" s="154"/>
      <c r="Y15" s="377" t="str">
        <f t="shared" si="8"/>
        <v>Sea</v>
      </c>
      <c r="Z15" s="377" t="str">
        <f t="shared" ref="Z15:AB15" si="9">Z216</f>
        <v>EF</v>
      </c>
      <c r="AA15" s="377" t="str">
        <f t="shared" si="9"/>
        <v>Land use </v>
      </c>
      <c r="AB15" s="377" t="str">
        <f t="shared" si="9"/>
        <v>Topography</v>
      </c>
      <c r="AC15" s="1"/>
      <c r="AD15" s="1"/>
      <c r="AE15" s="1"/>
      <c r="AF15" s="1"/>
      <c r="AG15" s="1"/>
      <c r="AH15" s="1"/>
      <c r="AI15" s="1"/>
      <c r="AJ15" s="1"/>
      <c r="AK15" s="1"/>
      <c r="AL15" s="1"/>
      <c r="AM15" s="1"/>
      <c r="AN15" s="1"/>
      <c r="AO15" s="1"/>
      <c r="AP15" s="1"/>
      <c r="AQ15" s="1"/>
      <c r="AR15" s="1"/>
      <c r="AS15" s="1"/>
      <c r="AT15" s="1"/>
      <c r="AU15" s="1"/>
      <c r="AV15" s="1"/>
      <c r="AW15" s="1"/>
      <c r="AX15" s="36"/>
      <c r="AY15" s="36"/>
      <c r="AZ15" s="36"/>
      <c r="BA15" s="36"/>
      <c r="BB15" s="36"/>
      <c r="BC15" s="36"/>
    </row>
    <row r="16" ht="22.5" customHeight="1">
      <c r="A16" s="1"/>
      <c r="B16" s="1"/>
      <c r="C16" s="163" t="str">
        <f t="shared" ref="C16:D16" si="10">C217</f>
        <v>Institutions</v>
      </c>
      <c r="D16" s="378" t="str">
        <f t="shared" si="10"/>
        <v>EWS</v>
      </c>
      <c r="E16" s="154"/>
      <c r="F16" s="378" t="str">
        <f t="shared" si="11"/>
        <v>A &amp; I</v>
      </c>
      <c r="G16" s="153"/>
      <c r="H16" s="154"/>
      <c r="I16" s="378" t="str">
        <f t="shared" si="12"/>
        <v>EC</v>
      </c>
      <c r="J16" s="153"/>
      <c r="K16" s="154"/>
      <c r="L16" s="378" t="str">
        <f>L217</f>
        <v>R/RP</v>
      </c>
      <c r="M16" s="153"/>
      <c r="N16" s="153"/>
      <c r="O16" s="154"/>
      <c r="P16" s="378" t="str">
        <f>P217</f>
        <v>HFO</v>
      </c>
      <c r="Q16" s="153"/>
      <c r="R16" s="153"/>
      <c r="S16" s="153"/>
      <c r="T16" s="153"/>
      <c r="U16" s="153"/>
      <c r="V16" s="153"/>
      <c r="W16" s="154"/>
      <c r="X16" s="378" t="str">
        <f>W217</f>
        <v>DP</v>
      </c>
      <c r="Y16" s="154"/>
      <c r="Z16" s="377" t="str">
        <f t="shared" ref="Z16:AB16" si="13">Z217</f>
        <v>DR</v>
      </c>
      <c r="AA16" s="377" t="str">
        <f t="shared" si="13"/>
        <v>PFR</v>
      </c>
      <c r="AB16" s="377" t="str">
        <f t="shared" si="13"/>
        <v>PFM</v>
      </c>
      <c r="AC16" s="1"/>
      <c r="AD16" s="1"/>
      <c r="AE16" s="1"/>
      <c r="AF16" s="1"/>
      <c r="AG16" s="1"/>
      <c r="AH16" s="1"/>
      <c r="AI16" s="1"/>
      <c r="AJ16" s="1"/>
      <c r="AK16" s="1"/>
      <c r="AL16" s="1"/>
      <c r="AM16" s="1"/>
      <c r="AN16" s="1"/>
      <c r="AO16" s="1"/>
      <c r="AP16" s="1"/>
      <c r="AQ16" s="1"/>
      <c r="AR16" s="1"/>
      <c r="AS16" s="1"/>
      <c r="AT16" s="1"/>
      <c r="AU16" s="1"/>
      <c r="AV16" s="1"/>
      <c r="AW16" s="1"/>
      <c r="AX16" s="36"/>
      <c r="AY16" s="36"/>
      <c r="AZ16" s="36"/>
      <c r="BA16" s="36"/>
      <c r="BB16" s="36"/>
      <c r="BC16" s="36"/>
    </row>
    <row r="17" ht="2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36"/>
      <c r="AY17" s="36"/>
      <c r="AZ17" s="36"/>
      <c r="BA17" s="36"/>
      <c r="BB17" s="36"/>
      <c r="BC17" s="36"/>
    </row>
    <row r="18" ht="27.75" customHeight="1">
      <c r="A18" s="370"/>
      <c r="B18" s="370"/>
      <c r="C18" s="371"/>
      <c r="D18" s="372" t="s">
        <v>641</v>
      </c>
      <c r="E18" s="3"/>
      <c r="F18" s="3"/>
      <c r="G18" s="3"/>
      <c r="H18" s="3"/>
      <c r="I18" s="3"/>
      <c r="J18" s="3"/>
      <c r="K18" s="3"/>
      <c r="L18" s="3"/>
      <c r="M18" s="3"/>
      <c r="N18" s="3"/>
      <c r="O18" s="3"/>
      <c r="P18" s="3"/>
      <c r="Q18" s="3"/>
      <c r="R18" s="3"/>
      <c r="S18" s="3"/>
      <c r="T18" s="3"/>
      <c r="U18" s="3"/>
      <c r="V18" s="3"/>
      <c r="W18" s="4"/>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371"/>
      <c r="AY18" s="371"/>
      <c r="AZ18" s="371"/>
      <c r="BA18" s="371"/>
      <c r="BB18" s="371"/>
      <c r="BC18" s="371"/>
    </row>
    <row r="19" ht="10.5" customHeight="1">
      <c r="A19" s="1"/>
      <c r="B19" s="14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36"/>
      <c r="AY19" s="36"/>
      <c r="AZ19" s="36"/>
      <c r="BA19" s="36"/>
      <c r="BB19" s="36"/>
      <c r="BC19" s="36"/>
    </row>
    <row r="20" ht="52.5" customHeight="1">
      <c r="A20" s="1"/>
      <c r="B20" s="1"/>
      <c r="C20" s="170"/>
      <c r="D20" s="373" t="str">
        <f>C187</f>
        <v>Livelihoods</v>
      </c>
      <c r="E20" s="172"/>
      <c r="F20" s="373" t="str">
        <f>E187</f>
        <v>Health &amp; Safety</v>
      </c>
      <c r="G20" s="173"/>
      <c r="H20" s="172"/>
      <c r="I20" s="373" t="str">
        <f>I187</f>
        <v>Assets and Utilities</v>
      </c>
      <c r="J20" s="173"/>
      <c r="K20" s="173"/>
      <c r="L20" s="172"/>
      <c r="M20" s="373" t="str">
        <f>O187</f>
        <v>Potable water </v>
      </c>
      <c r="N20" s="173"/>
      <c r="O20" s="172"/>
      <c r="P20" s="373" t="str">
        <f>V187</f>
        <v>EBS</v>
      </c>
      <c r="Q20" s="173"/>
      <c r="R20" s="173"/>
      <c r="S20" s="172"/>
      <c r="T20" s="373" t="str">
        <f>Z187</f>
        <v>Institutions</v>
      </c>
      <c r="U20" s="173"/>
      <c r="V20" s="173"/>
      <c r="W20" s="172"/>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36"/>
      <c r="AY20" s="36"/>
      <c r="AZ20" s="36"/>
      <c r="BA20" s="36"/>
      <c r="BB20" s="36"/>
      <c r="BC20" s="36"/>
    </row>
    <row r="21" ht="26.25" customHeight="1">
      <c r="A21" s="1"/>
      <c r="B21" s="1"/>
      <c r="C21" s="1"/>
      <c r="D21" s="374" t="s">
        <v>643</v>
      </c>
      <c r="E21" s="375"/>
      <c r="F21" s="375"/>
      <c r="G21" s="375"/>
      <c r="H21" s="375"/>
      <c r="I21" s="375"/>
      <c r="J21" s="375"/>
      <c r="K21" s="375"/>
      <c r="L21" s="375"/>
      <c r="M21" s="375"/>
      <c r="N21" s="375"/>
      <c r="O21" s="375"/>
      <c r="P21" s="375"/>
      <c r="Q21" s="375"/>
      <c r="R21" s="375"/>
      <c r="S21" s="375"/>
      <c r="T21" s="375"/>
      <c r="U21" s="375"/>
      <c r="V21" s="375"/>
      <c r="W21" s="376"/>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36"/>
      <c r="AY21" s="36"/>
      <c r="AZ21" s="36"/>
      <c r="BA21" s="36"/>
      <c r="BB21" s="36"/>
      <c r="BC21" s="36"/>
    </row>
    <row r="22" ht="30.0" customHeight="1">
      <c r="A22" s="1"/>
      <c r="B22" s="1"/>
      <c r="C22" s="163" t="str">
        <f t="shared" ref="C22:E22" si="14">C192</f>
        <v>Livelihoods</v>
      </c>
      <c r="D22" s="377" t="str">
        <f t="shared" si="14"/>
        <v>Food Security</v>
      </c>
      <c r="E22" s="378" t="str">
        <f t="shared" si="14"/>
        <v>Grazing/Farm Land</v>
      </c>
      <c r="F22" s="154"/>
      <c r="G22" s="378" t="str">
        <f>G192</f>
        <v>Crops</v>
      </c>
      <c r="H22" s="154"/>
      <c r="I22" s="378" t="str">
        <f>I192</f>
        <v>Livestock</v>
      </c>
      <c r="J22" s="153"/>
      <c r="K22" s="154"/>
      <c r="L22" s="378" t="str">
        <f>L192</f>
        <v>Fishstock</v>
      </c>
      <c r="M22" s="153"/>
      <c r="N22" s="154"/>
      <c r="O22" s="378" t="str">
        <f>O192</f>
        <v>Local commerce</v>
      </c>
      <c r="P22" s="153"/>
      <c r="Q22" s="153"/>
      <c r="R22" s="154"/>
      <c r="S22" s="378" t="str">
        <f>S192</f>
        <v>Gender </v>
      </c>
      <c r="T22" s="153"/>
      <c r="U22" s="153"/>
      <c r="V22" s="154"/>
      <c r="W22" s="378" t="str">
        <f>V192</f>
        <v>Conviviality </v>
      </c>
      <c r="X22" s="154"/>
      <c r="Y22" s="377" t="str">
        <f t="shared" ref="Y22:AB22" si="15">Y192</f>
        <v>Education </v>
      </c>
      <c r="Z22" s="377" t="str">
        <f t="shared" si="15"/>
        <v>WFI/WFDU</v>
      </c>
      <c r="AA22" s="377" t="str">
        <f t="shared" si="15"/>
        <v>ATF/I</v>
      </c>
      <c r="AB22" s="377" t="str">
        <f t="shared" si="15"/>
        <v>Disaster Events</v>
      </c>
      <c r="AC22" s="1"/>
      <c r="AD22" s="1"/>
      <c r="AE22" s="1"/>
      <c r="AF22" s="1"/>
      <c r="AG22" s="1"/>
      <c r="AH22" s="1"/>
      <c r="AI22" s="1"/>
      <c r="AJ22" s="1"/>
      <c r="AK22" s="1"/>
      <c r="AL22" s="1"/>
      <c r="AM22" s="1"/>
      <c r="AN22" s="1"/>
      <c r="AO22" s="1"/>
      <c r="AP22" s="1"/>
      <c r="AQ22" s="1"/>
      <c r="AR22" s="1"/>
      <c r="AS22" s="1"/>
      <c r="AT22" s="1"/>
      <c r="AU22" s="1"/>
      <c r="AV22" s="1"/>
      <c r="AW22" s="1"/>
      <c r="AX22" s="36"/>
      <c r="AY22" s="36"/>
      <c r="AZ22" s="36"/>
      <c r="BA22" s="36"/>
      <c r="BB22" s="36"/>
      <c r="BC22" s="36"/>
    </row>
    <row r="23" ht="29.25" customHeight="1">
      <c r="A23" s="1"/>
      <c r="B23" s="1"/>
      <c r="C23" s="163" t="str">
        <f t="shared" ref="C23:D23" si="16">C193</f>
        <v>Health &amp; Safety</v>
      </c>
      <c r="D23" s="378" t="str">
        <f t="shared" si="16"/>
        <v>Borne Diseases</v>
      </c>
      <c r="E23" s="153"/>
      <c r="F23" s="154"/>
      <c r="G23" s="378" t="str">
        <f>E193</f>
        <v>SLUP&amp;C</v>
      </c>
      <c r="H23" s="153"/>
      <c r="I23" s="153"/>
      <c r="J23" s="153"/>
      <c r="K23" s="154"/>
      <c r="L23" s="378" t="str">
        <f>H193</f>
        <v>SWM</v>
      </c>
      <c r="M23" s="153"/>
      <c r="N23" s="153"/>
      <c r="O23" s="153"/>
      <c r="P23" s="153"/>
      <c r="Q23" s="153"/>
      <c r="R23" s="154"/>
      <c r="S23" s="378" t="str">
        <f>M193</f>
        <v>LWM</v>
      </c>
      <c r="T23" s="153"/>
      <c r="U23" s="153"/>
      <c r="V23" s="153"/>
      <c r="W23" s="153"/>
      <c r="X23" s="154"/>
      <c r="Y23" s="378" t="str">
        <f>S193</f>
        <v>ATHS</v>
      </c>
      <c r="Z23" s="154"/>
      <c r="AA23" s="378" t="str">
        <f>Z193</f>
        <v>ATHE</v>
      </c>
      <c r="AB23" s="154"/>
      <c r="AC23" s="1"/>
      <c r="AD23" s="1"/>
      <c r="AE23" s="1"/>
      <c r="AF23" s="1"/>
      <c r="AG23" s="1"/>
      <c r="AH23" s="1"/>
      <c r="AI23" s="1"/>
      <c r="AJ23" s="1"/>
      <c r="AK23" s="1"/>
      <c r="AL23" s="1"/>
      <c r="AM23" s="1"/>
      <c r="AN23" s="1"/>
      <c r="AO23" s="1"/>
      <c r="AP23" s="1"/>
      <c r="AQ23" s="1"/>
      <c r="AR23" s="1"/>
      <c r="AS23" s="1"/>
      <c r="AT23" s="1"/>
      <c r="AU23" s="1"/>
      <c r="AV23" s="1"/>
      <c r="AW23" s="1"/>
      <c r="AX23" s="36"/>
      <c r="AY23" s="36"/>
      <c r="AZ23" s="36"/>
      <c r="BA23" s="36"/>
      <c r="BB23" s="36"/>
      <c r="BC23" s="36"/>
    </row>
    <row r="24" ht="29.25" customHeight="1">
      <c r="A24" s="1"/>
      <c r="B24" s="1"/>
      <c r="C24" s="163" t="str">
        <f t="shared" ref="C24:E24" si="17">C194</f>
        <v>Assets and Utilities</v>
      </c>
      <c r="D24" s="377" t="str">
        <f t="shared" si="17"/>
        <v>Housing</v>
      </c>
      <c r="E24" s="378" t="str">
        <f t="shared" si="17"/>
        <v>Public facilities </v>
      </c>
      <c r="F24" s="154"/>
      <c r="G24" s="378" t="str">
        <f>G194</f>
        <v>SWD</v>
      </c>
      <c r="H24" s="154"/>
      <c r="I24" s="378" t="str">
        <f>I194</f>
        <v>Sanitary facilities </v>
      </c>
      <c r="J24" s="153"/>
      <c r="K24" s="154"/>
      <c r="L24" s="378" t="str">
        <f>L194</f>
        <v>Sewer lines </v>
      </c>
      <c r="M24" s="153"/>
      <c r="N24" s="154"/>
      <c r="O24" s="378" t="str">
        <f>O194</f>
        <v>Power lines/supply</v>
      </c>
      <c r="P24" s="153"/>
      <c r="Q24" s="153"/>
      <c r="R24" s="154"/>
      <c r="S24" s="378" t="str">
        <f>S194</f>
        <v>Energy for HH use </v>
      </c>
      <c r="T24" s="153"/>
      <c r="U24" s="153"/>
      <c r="V24" s="154"/>
      <c r="W24" s="378" t="str">
        <f>V194</f>
        <v>Water pipes </v>
      </c>
      <c r="X24" s="154"/>
      <c r="Y24" s="377" t="str">
        <f t="shared" ref="Y24:AB24" si="18">Y194</f>
        <v>PWT</v>
      </c>
      <c r="Z24" s="377" t="str">
        <f t="shared" si="18"/>
        <v>Water Storage</v>
      </c>
      <c r="AA24" s="377" t="str">
        <f t="shared" si="18"/>
        <v>R &amp; T</v>
      </c>
      <c r="AB24" s="377" t="str">
        <f t="shared" si="18"/>
        <v>Communication </v>
      </c>
      <c r="AC24" s="1"/>
      <c r="AD24" s="1"/>
      <c r="AE24" s="1"/>
      <c r="AF24" s="1"/>
      <c r="AG24" s="1"/>
      <c r="AH24" s="1"/>
      <c r="AI24" s="1"/>
      <c r="AJ24" s="1"/>
      <c r="AK24" s="1"/>
      <c r="AL24" s="1"/>
      <c r="AM24" s="1"/>
      <c r="AN24" s="1"/>
      <c r="AO24" s="1"/>
      <c r="AP24" s="1"/>
      <c r="AQ24" s="1"/>
      <c r="AR24" s="1"/>
      <c r="AS24" s="1"/>
      <c r="AT24" s="1"/>
      <c r="AU24" s="1"/>
      <c r="AV24" s="1"/>
      <c r="AW24" s="1"/>
      <c r="AX24" s="36"/>
      <c r="AY24" s="36"/>
      <c r="AZ24" s="36"/>
      <c r="BA24" s="36"/>
      <c r="BB24" s="36"/>
      <c r="BC24" s="36"/>
    </row>
    <row r="25" ht="29.25" customHeight="1">
      <c r="A25" s="1"/>
      <c r="B25" s="1"/>
      <c r="C25" s="163" t="str">
        <f t="shared" ref="C25:D25" si="19">C195</f>
        <v>Potable water </v>
      </c>
      <c r="D25" s="378" t="str">
        <f t="shared" si="19"/>
        <v>Access</v>
      </c>
      <c r="E25" s="153"/>
      <c r="F25" s="153"/>
      <c r="G25" s="153"/>
      <c r="H25" s="153"/>
      <c r="I25" s="153"/>
      <c r="J25" s="154"/>
      <c r="K25" s="378" t="str">
        <f>K195</f>
        <v>Scarcities </v>
      </c>
      <c r="L25" s="153"/>
      <c r="M25" s="153"/>
      <c r="N25" s="153"/>
      <c r="O25" s="153"/>
      <c r="P25" s="153"/>
      <c r="Q25" s="153"/>
      <c r="R25" s="153"/>
      <c r="S25" s="153"/>
      <c r="T25" s="153"/>
      <c r="U25" s="153"/>
      <c r="V25" s="153"/>
      <c r="W25" s="153"/>
      <c r="X25" s="154"/>
      <c r="Y25" s="378" t="str">
        <f t="shared" ref="Y25:Y26" si="21">Y195</f>
        <v>Quality</v>
      </c>
      <c r="Z25" s="153"/>
      <c r="AA25" s="153"/>
      <c r="AB25" s="154"/>
      <c r="AC25" s="1"/>
      <c r="AD25" s="1"/>
      <c r="AE25" s="1"/>
      <c r="AF25" s="1"/>
      <c r="AG25" s="1"/>
      <c r="AH25" s="1"/>
      <c r="AI25" s="1"/>
      <c r="AJ25" s="1"/>
      <c r="AK25" s="1"/>
      <c r="AL25" s="1"/>
      <c r="AM25" s="1"/>
      <c r="AN25" s="1"/>
      <c r="AO25" s="1"/>
      <c r="AP25" s="1"/>
      <c r="AQ25" s="1"/>
      <c r="AR25" s="1"/>
      <c r="AS25" s="1"/>
      <c r="AT25" s="1"/>
      <c r="AU25" s="1"/>
      <c r="AV25" s="1"/>
      <c r="AW25" s="1"/>
      <c r="AX25" s="36"/>
      <c r="AY25" s="36"/>
      <c r="AZ25" s="36"/>
      <c r="BA25" s="36"/>
      <c r="BB25" s="36"/>
      <c r="BC25" s="36"/>
    </row>
    <row r="26" ht="29.25" customHeight="1">
      <c r="A26" s="1"/>
      <c r="B26" s="1"/>
      <c r="C26" s="163" t="str">
        <f t="shared" ref="C26:D26" si="20">C196</f>
        <v>EBS</v>
      </c>
      <c r="D26" s="378" t="str">
        <f t="shared" si="20"/>
        <v>Soil </v>
      </c>
      <c r="E26" s="154"/>
      <c r="F26" s="378" t="str">
        <f t="shared" ref="F26:F27" si="24">E196</f>
        <v>LC &amp; P</v>
      </c>
      <c r="G26" s="153"/>
      <c r="H26" s="154"/>
      <c r="I26" s="378" t="str">
        <f t="shared" ref="I26:I27" si="25">H196</f>
        <v>NV</v>
      </c>
      <c r="J26" s="153"/>
      <c r="K26" s="153"/>
      <c r="L26" s="154"/>
      <c r="M26" s="378" t="str">
        <f>K196</f>
        <v>Wetland </v>
      </c>
      <c r="N26" s="153"/>
      <c r="O26" s="153"/>
      <c r="P26" s="153"/>
      <c r="Q26" s="154"/>
      <c r="R26" s="378" t="str">
        <f>N196</f>
        <v>Biodiversity</v>
      </c>
      <c r="S26" s="153"/>
      <c r="T26" s="153"/>
      <c r="U26" s="153"/>
      <c r="V26" s="154"/>
      <c r="W26" s="378" t="str">
        <f>S196</f>
        <v>NWB</v>
      </c>
      <c r="X26" s="154"/>
      <c r="Y26" s="377" t="str">
        <f t="shared" si="21"/>
        <v>Sea</v>
      </c>
      <c r="Z26" s="377" t="str">
        <f t="shared" ref="Z26:AB26" si="22">Z196</f>
        <v>EF</v>
      </c>
      <c r="AA26" s="377" t="str">
        <f t="shared" si="22"/>
        <v>Land use </v>
      </c>
      <c r="AB26" s="377" t="str">
        <f t="shared" si="22"/>
        <v>Topography</v>
      </c>
      <c r="AC26" s="1"/>
      <c r="AD26" s="1"/>
      <c r="AE26" s="1"/>
      <c r="AF26" s="1"/>
      <c r="AG26" s="1"/>
      <c r="AH26" s="1"/>
      <c r="AI26" s="1"/>
      <c r="AJ26" s="1"/>
      <c r="AK26" s="1"/>
      <c r="AL26" s="1"/>
      <c r="AM26" s="1"/>
      <c r="AN26" s="1"/>
      <c r="AO26" s="1"/>
      <c r="AP26" s="1"/>
      <c r="AQ26" s="1"/>
      <c r="AR26" s="1"/>
      <c r="AS26" s="1"/>
      <c r="AT26" s="1"/>
      <c r="AU26" s="1"/>
      <c r="AV26" s="1"/>
      <c r="AW26" s="1"/>
      <c r="AX26" s="36"/>
      <c r="AY26" s="36"/>
      <c r="AZ26" s="36"/>
      <c r="BA26" s="36"/>
      <c r="BB26" s="36"/>
      <c r="BC26" s="36"/>
    </row>
    <row r="27" ht="25.5" customHeight="1">
      <c r="A27" s="1"/>
      <c r="B27" s="1"/>
      <c r="C27" s="163" t="str">
        <f t="shared" ref="C27:D27" si="23">C197</f>
        <v>Institutions</v>
      </c>
      <c r="D27" s="378" t="str">
        <f t="shared" si="23"/>
        <v>EWS</v>
      </c>
      <c r="E27" s="154"/>
      <c r="F27" s="378" t="str">
        <f t="shared" si="24"/>
        <v>A &amp; I</v>
      </c>
      <c r="G27" s="153"/>
      <c r="H27" s="154"/>
      <c r="I27" s="378" t="str">
        <f t="shared" si="25"/>
        <v>EC</v>
      </c>
      <c r="J27" s="153"/>
      <c r="K27" s="154"/>
      <c r="L27" s="378" t="str">
        <f>L197</f>
        <v>R/RP</v>
      </c>
      <c r="M27" s="153"/>
      <c r="N27" s="153"/>
      <c r="O27" s="154"/>
      <c r="P27" s="378" t="str">
        <f>P197</f>
        <v>HFO</v>
      </c>
      <c r="Q27" s="153"/>
      <c r="R27" s="153"/>
      <c r="S27" s="153"/>
      <c r="T27" s="153"/>
      <c r="U27" s="153"/>
      <c r="V27" s="153"/>
      <c r="W27" s="154"/>
      <c r="X27" s="378" t="str">
        <f>W197</f>
        <v>DP</v>
      </c>
      <c r="Y27" s="154"/>
      <c r="Z27" s="377" t="str">
        <f t="shared" ref="Z27:AB27" si="26">Z197</f>
        <v>DR</v>
      </c>
      <c r="AA27" s="377" t="str">
        <f t="shared" si="26"/>
        <v>PFR</v>
      </c>
      <c r="AB27" s="377" t="str">
        <f t="shared" si="26"/>
        <v>PFM</v>
      </c>
      <c r="AC27" s="1"/>
      <c r="AD27" s="1"/>
      <c r="AE27" s="1"/>
      <c r="AF27" s="1"/>
      <c r="AG27" s="1"/>
      <c r="AH27" s="1"/>
      <c r="AI27" s="1"/>
      <c r="AJ27" s="1"/>
      <c r="AK27" s="1"/>
      <c r="AL27" s="1"/>
      <c r="AM27" s="1"/>
      <c r="AN27" s="1"/>
      <c r="AO27" s="1"/>
      <c r="AP27" s="1"/>
      <c r="AQ27" s="1"/>
      <c r="AR27" s="1"/>
      <c r="AS27" s="1"/>
      <c r="AT27" s="1"/>
      <c r="AU27" s="1"/>
      <c r="AV27" s="1"/>
      <c r="AW27" s="1"/>
      <c r="AX27" s="36"/>
      <c r="AY27" s="36"/>
      <c r="AZ27" s="36"/>
      <c r="BA27" s="36"/>
      <c r="BB27" s="36"/>
      <c r="BC27" s="36"/>
    </row>
    <row r="28" ht="25.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36"/>
      <c r="AY28" s="36"/>
      <c r="AZ28" s="36"/>
      <c r="BA28" s="36"/>
      <c r="BB28" s="36"/>
      <c r="BC28" s="36"/>
    </row>
    <row r="29" ht="18.0"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36"/>
      <c r="AX29" s="36"/>
      <c r="AY29" s="36"/>
      <c r="AZ29" s="36"/>
      <c r="BA29" s="36"/>
      <c r="BB29" s="36"/>
      <c r="BC29" s="36"/>
    </row>
    <row r="30" ht="32.25" customHeight="1">
      <c r="A30" s="1"/>
      <c r="B30" s="169"/>
      <c r="C30" s="379" t="s">
        <v>644</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7"/>
      <c r="AL30" s="380"/>
      <c r="AM30" s="380"/>
      <c r="AN30" s="380"/>
      <c r="AO30" s="380"/>
      <c r="AP30" s="380"/>
      <c r="AQ30" s="380"/>
      <c r="AR30" s="380"/>
      <c r="AS30" s="380"/>
      <c r="AT30" s="380"/>
      <c r="AU30" s="381"/>
      <c r="AV30" s="1"/>
      <c r="AW30" s="36"/>
      <c r="AX30" s="36"/>
      <c r="AY30" s="36"/>
      <c r="AZ30" s="36"/>
      <c r="BA30" s="36"/>
      <c r="BB30" s="36"/>
      <c r="BC30" s="36"/>
    </row>
    <row r="31" ht="28.5" customHeight="1">
      <c r="A31" s="1"/>
      <c r="B31" s="169"/>
      <c r="C31" s="30"/>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2"/>
      <c r="AL31" s="380"/>
      <c r="AM31" s="380"/>
      <c r="AN31" s="380"/>
      <c r="AO31" s="380"/>
      <c r="AP31" s="380"/>
      <c r="AQ31" s="380"/>
      <c r="AR31" s="380"/>
      <c r="AS31" s="380"/>
      <c r="AT31" s="380"/>
      <c r="AU31" s="381"/>
      <c r="AV31" s="1"/>
      <c r="AW31" s="36"/>
      <c r="AX31" s="36"/>
      <c r="AY31" s="36"/>
      <c r="AZ31" s="36"/>
      <c r="BA31" s="36"/>
      <c r="BB31" s="36"/>
      <c r="BC31" s="36"/>
    </row>
    <row r="32" ht="10.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36"/>
      <c r="AX32" s="36"/>
      <c r="AY32" s="36"/>
      <c r="AZ32" s="36"/>
      <c r="BA32" s="36"/>
      <c r="BB32" s="36"/>
      <c r="BC32" s="36"/>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36"/>
      <c r="AX33" s="36"/>
      <c r="AY33" s="36"/>
      <c r="AZ33" s="36"/>
      <c r="BA33" s="36"/>
      <c r="BB33" s="36"/>
      <c r="BC33" s="36"/>
    </row>
    <row r="34" ht="9.75" customHeight="1">
      <c r="A34" s="1"/>
      <c r="B34" s="1"/>
      <c r="C34" s="1"/>
      <c r="D34" s="1"/>
      <c r="E34" s="1"/>
      <c r="F34" s="1"/>
      <c r="G34" s="1"/>
      <c r="H34" s="1"/>
      <c r="I34" s="1"/>
      <c r="J34" s="1"/>
      <c r="K34" s="1"/>
      <c r="L34" s="1"/>
      <c r="M34" s="1"/>
      <c r="N34" s="1"/>
      <c r="O34" s="1"/>
      <c r="P34" s="1"/>
      <c r="Q34" s="1"/>
      <c r="R34" s="119"/>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36"/>
      <c r="AX34" s="36"/>
      <c r="AY34" s="36"/>
      <c r="AZ34" s="36"/>
      <c r="BA34" s="36"/>
      <c r="BB34" s="36"/>
      <c r="BC34" s="36"/>
    </row>
    <row r="35" ht="22.5" customHeight="1">
      <c r="A35" s="1"/>
      <c r="B35" s="382" t="s">
        <v>645</v>
      </c>
      <c r="C35" s="383"/>
      <c r="D35" s="384"/>
      <c r="E35" s="370"/>
      <c r="F35" s="385" t="s">
        <v>597</v>
      </c>
      <c r="G35" s="386"/>
      <c r="H35" s="386"/>
      <c r="I35" s="386"/>
      <c r="J35" s="386"/>
      <c r="K35" s="387"/>
      <c r="L35" s="388" t="s">
        <v>603</v>
      </c>
      <c r="M35" s="389"/>
      <c r="N35" s="389"/>
      <c r="O35" s="389"/>
      <c r="P35" s="389"/>
      <c r="Q35" s="390"/>
      <c r="R35" s="391" t="str">
        <f>"Not High"</f>
        <v>Not High</v>
      </c>
      <c r="S35" s="392" t="s">
        <v>646</v>
      </c>
      <c r="T35" s="383"/>
      <c r="U35" s="383"/>
      <c r="V35" s="383"/>
      <c r="W35" s="383"/>
      <c r="X35" s="383"/>
      <c r="Y35" s="383"/>
      <c r="Z35" s="383"/>
      <c r="AA35" s="383"/>
      <c r="AB35" s="383"/>
      <c r="AC35" s="383"/>
      <c r="AD35" s="383"/>
      <c r="AE35" s="383"/>
      <c r="AF35" s="383"/>
      <c r="AG35" s="383"/>
      <c r="AH35" s="383"/>
      <c r="AI35" s="383"/>
      <c r="AJ35" s="383"/>
      <c r="AK35" s="383"/>
      <c r="AL35" s="383"/>
      <c r="AM35" s="383"/>
      <c r="AN35" s="383"/>
      <c r="AO35" s="383"/>
      <c r="AP35" s="383"/>
      <c r="AQ35" s="383"/>
      <c r="AR35" s="383"/>
      <c r="AS35" s="383"/>
      <c r="AT35" s="384"/>
      <c r="AU35" s="1"/>
      <c r="AV35" s="1"/>
      <c r="AW35" s="36"/>
      <c r="AX35" s="36"/>
      <c r="AY35" s="36"/>
      <c r="AZ35" s="36"/>
      <c r="BA35" s="36"/>
      <c r="BB35" s="36"/>
      <c r="BC35" s="36"/>
    </row>
    <row r="36" ht="26.25" customHeight="1">
      <c r="A36" s="1"/>
      <c r="B36" s="393"/>
      <c r="C36" s="394"/>
      <c r="D36" s="395"/>
      <c r="E36" s="370"/>
      <c r="F36" s="396" t="s">
        <v>578</v>
      </c>
      <c r="G36" s="397"/>
      <c r="H36" s="397"/>
      <c r="I36" s="397"/>
      <c r="J36" s="397"/>
      <c r="K36" s="398"/>
      <c r="L36" s="396" t="s">
        <v>578</v>
      </c>
      <c r="M36" s="397"/>
      <c r="N36" s="397"/>
      <c r="O36" s="397"/>
      <c r="P36" s="397"/>
      <c r="Q36" s="398"/>
      <c r="R36" s="399" t="s">
        <v>584</v>
      </c>
      <c r="S36" s="393"/>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5"/>
      <c r="AU36" s="1"/>
      <c r="AV36" s="1"/>
      <c r="AW36" s="36"/>
      <c r="AX36" s="36"/>
      <c r="AY36" s="36"/>
      <c r="AZ36" s="36"/>
      <c r="BA36" s="36"/>
      <c r="BB36" s="36"/>
      <c r="BC36" s="36"/>
    </row>
    <row r="37" ht="19.5" customHeight="1">
      <c r="A37" s="1"/>
      <c r="B37" s="400" t="str">
        <f>RVAT_Output!$AV338</f>
        <v>Livelihoods</v>
      </c>
      <c r="C37" s="401"/>
      <c r="D37" s="402"/>
      <c r="E37" s="1"/>
      <c r="F37" s="403"/>
      <c r="G37" s="401"/>
      <c r="H37" s="401"/>
      <c r="I37" s="401"/>
      <c r="J37" s="401"/>
      <c r="K37" s="401"/>
      <c r="L37" s="401"/>
      <c r="M37" s="401"/>
      <c r="N37" s="401"/>
      <c r="O37" s="401"/>
      <c r="P37" s="401"/>
      <c r="Q37" s="402"/>
      <c r="R37" s="404" t="str">
        <f t="shared" ref="R37:R94" si="27">IF(OR(R38=$R$36,R41=$R$36,R49=$R$36),$R$36,$R$35)</f>
        <v>Not High</v>
      </c>
      <c r="S37" s="405" t="s">
        <v>647</v>
      </c>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401"/>
      <c r="AQ37" s="401"/>
      <c r="AR37" s="401"/>
      <c r="AS37" s="401"/>
      <c r="AT37" s="402"/>
      <c r="AU37" s="1"/>
      <c r="AV37" s="1"/>
      <c r="AW37" s="36"/>
      <c r="AX37" s="36"/>
      <c r="AY37" s="36"/>
      <c r="AZ37" s="36"/>
      <c r="BA37" s="36"/>
      <c r="BB37" s="36"/>
      <c r="BC37" s="36"/>
    </row>
    <row r="38" ht="123.0" customHeight="1">
      <c r="A38" s="406"/>
      <c r="B38" s="407"/>
      <c r="C38" s="408" t="str">
        <f>RVAT_Output!AW338</f>
        <v>Food Security</v>
      </c>
      <c r="D38" s="409"/>
      <c r="E38" s="1"/>
      <c r="F38" s="410" t="str">
        <f>RVAT_Output!AZ338</f>
        <v>Low</v>
      </c>
      <c r="G38" s="411"/>
      <c r="H38" s="411"/>
      <c r="I38" s="411"/>
      <c r="J38" s="411"/>
      <c r="K38" s="412"/>
      <c r="L38" s="413" t="str">
        <f>RVAT_Output!BF338</f>
        <v>Low</v>
      </c>
      <c r="M38" s="411"/>
      <c r="N38" s="411"/>
      <c r="O38" s="411"/>
      <c r="P38" s="411"/>
      <c r="Q38" s="412"/>
      <c r="R38" s="404" t="str">
        <f t="shared" si="27"/>
        <v>Not High</v>
      </c>
      <c r="S38" s="414" t="s">
        <v>648</v>
      </c>
      <c r="T38" s="69"/>
      <c r="U38" s="69"/>
      <c r="V38" s="69"/>
      <c r="W38" s="69"/>
      <c r="X38" s="69"/>
      <c r="Y38" s="69"/>
      <c r="Z38" s="178"/>
      <c r="AA38" s="414" t="s">
        <v>649</v>
      </c>
      <c r="AB38" s="69"/>
      <c r="AC38" s="69"/>
      <c r="AD38" s="69"/>
      <c r="AE38" s="69"/>
      <c r="AF38" s="69"/>
      <c r="AG38" s="69"/>
      <c r="AH38" s="178"/>
      <c r="AI38" s="415" t="s">
        <v>650</v>
      </c>
      <c r="AJ38" s="411"/>
      <c r="AK38" s="411"/>
      <c r="AL38" s="411"/>
      <c r="AM38" s="411"/>
      <c r="AN38" s="411"/>
      <c r="AO38" s="411"/>
      <c r="AP38" s="411"/>
      <c r="AQ38" s="411"/>
      <c r="AR38" s="411"/>
      <c r="AS38" s="411"/>
      <c r="AT38" s="412"/>
      <c r="AU38" s="416"/>
      <c r="AV38" s="1"/>
      <c r="AW38" s="36"/>
      <c r="AX38" s="36"/>
      <c r="AY38" s="36"/>
      <c r="AZ38" s="36"/>
      <c r="BA38" s="36"/>
      <c r="BB38" s="36"/>
      <c r="BC38" s="36"/>
    </row>
    <row r="39" ht="124.5" customHeight="1">
      <c r="A39" s="406"/>
      <c r="B39" s="407"/>
      <c r="C39" s="408" t="str">
        <f>RVAT_Output!AW339</f>
        <v>Grazing/Farm Land</v>
      </c>
      <c r="D39" s="409"/>
      <c r="E39" s="1"/>
      <c r="F39" s="410" t="str">
        <f>RVAT_Output!AZ339</f>
        <v>Low</v>
      </c>
      <c r="G39" s="411"/>
      <c r="H39" s="411"/>
      <c r="I39" s="411"/>
      <c r="J39" s="411"/>
      <c r="K39" s="412"/>
      <c r="L39" s="413" t="str">
        <f>RVAT_Output!BF339</f>
        <v>Low</v>
      </c>
      <c r="M39" s="411"/>
      <c r="N39" s="411"/>
      <c r="O39" s="411"/>
      <c r="P39" s="411"/>
      <c r="Q39" s="412"/>
      <c r="R39" s="404" t="str">
        <f t="shared" si="27"/>
        <v>Not High</v>
      </c>
      <c r="S39" s="414" t="s">
        <v>651</v>
      </c>
      <c r="T39" s="69"/>
      <c r="U39" s="69"/>
      <c r="V39" s="69"/>
      <c r="W39" s="69"/>
      <c r="X39" s="69"/>
      <c r="Y39" s="69"/>
      <c r="Z39" s="178"/>
      <c r="AA39" s="414" t="s">
        <v>652</v>
      </c>
      <c r="AB39" s="69"/>
      <c r="AC39" s="69"/>
      <c r="AD39" s="69"/>
      <c r="AE39" s="69"/>
      <c r="AF39" s="69"/>
      <c r="AG39" s="69"/>
      <c r="AH39" s="178"/>
      <c r="AI39" s="415" t="s">
        <v>653</v>
      </c>
      <c r="AJ39" s="411"/>
      <c r="AK39" s="411"/>
      <c r="AL39" s="411"/>
      <c r="AM39" s="411"/>
      <c r="AN39" s="411"/>
      <c r="AO39" s="411"/>
      <c r="AP39" s="411"/>
      <c r="AQ39" s="411"/>
      <c r="AR39" s="411"/>
      <c r="AS39" s="411"/>
      <c r="AT39" s="412"/>
      <c r="AU39" s="416"/>
      <c r="AV39" s="1"/>
      <c r="AW39" s="36"/>
      <c r="AX39" s="36"/>
      <c r="AY39" s="36"/>
      <c r="AZ39" s="36"/>
      <c r="BA39" s="36"/>
      <c r="BB39" s="36"/>
      <c r="BC39" s="36"/>
    </row>
    <row r="40" ht="99.0" customHeight="1">
      <c r="A40" s="406"/>
      <c r="B40" s="407"/>
      <c r="C40" s="408" t="str">
        <f>RVAT_Output!AW340</f>
        <v>Crops</v>
      </c>
      <c r="D40" s="409"/>
      <c r="E40" s="1"/>
      <c r="F40" s="410" t="str">
        <f>RVAT_Output!AZ340</f>
        <v>Low</v>
      </c>
      <c r="G40" s="411"/>
      <c r="H40" s="411"/>
      <c r="I40" s="411"/>
      <c r="J40" s="411"/>
      <c r="K40" s="412"/>
      <c r="L40" s="413" t="str">
        <f>RVAT_Output!BF340</f>
        <v>Low</v>
      </c>
      <c r="M40" s="411"/>
      <c r="N40" s="411"/>
      <c r="O40" s="411"/>
      <c r="P40" s="411"/>
      <c r="Q40" s="412"/>
      <c r="R40" s="404" t="str">
        <f t="shared" si="27"/>
        <v>Not High</v>
      </c>
      <c r="S40" s="414" t="s">
        <v>654</v>
      </c>
      <c r="T40" s="69"/>
      <c r="U40" s="69"/>
      <c r="V40" s="69"/>
      <c r="W40" s="69"/>
      <c r="X40" s="69"/>
      <c r="Y40" s="69"/>
      <c r="Z40" s="178"/>
      <c r="AA40" s="414" t="s">
        <v>655</v>
      </c>
      <c r="AB40" s="69"/>
      <c r="AC40" s="69"/>
      <c r="AD40" s="69"/>
      <c r="AE40" s="69"/>
      <c r="AF40" s="69"/>
      <c r="AG40" s="69"/>
      <c r="AH40" s="178"/>
      <c r="AI40" s="415" t="s">
        <v>656</v>
      </c>
      <c r="AJ40" s="411"/>
      <c r="AK40" s="411"/>
      <c r="AL40" s="411"/>
      <c r="AM40" s="411"/>
      <c r="AN40" s="411"/>
      <c r="AO40" s="411"/>
      <c r="AP40" s="411"/>
      <c r="AQ40" s="411"/>
      <c r="AR40" s="411"/>
      <c r="AS40" s="411"/>
      <c r="AT40" s="412"/>
      <c r="AU40" s="416"/>
      <c r="AV40" s="1"/>
      <c r="AW40" s="36"/>
      <c r="AX40" s="36"/>
      <c r="AY40" s="36"/>
      <c r="AZ40" s="36"/>
      <c r="BA40" s="36"/>
      <c r="BB40" s="36"/>
      <c r="BC40" s="36"/>
    </row>
    <row r="41" ht="111.75" customHeight="1">
      <c r="A41" s="406"/>
      <c r="B41" s="407"/>
      <c r="C41" s="408" t="str">
        <f>RVAT_Output!AW341</f>
        <v>Livestock</v>
      </c>
      <c r="D41" s="409"/>
      <c r="E41" s="1"/>
      <c r="F41" s="410" t="str">
        <f>RVAT_Output!AZ341</f>
        <v>Low</v>
      </c>
      <c r="G41" s="411"/>
      <c r="H41" s="411"/>
      <c r="I41" s="411"/>
      <c r="J41" s="411"/>
      <c r="K41" s="412"/>
      <c r="L41" s="413" t="str">
        <f>RVAT_Output!BF341</f>
        <v>Low</v>
      </c>
      <c r="M41" s="411"/>
      <c r="N41" s="411"/>
      <c r="O41" s="411"/>
      <c r="P41" s="411"/>
      <c r="Q41" s="412"/>
      <c r="R41" s="404" t="str">
        <f t="shared" si="27"/>
        <v>Not High</v>
      </c>
      <c r="S41" s="414" t="s">
        <v>657</v>
      </c>
      <c r="T41" s="69"/>
      <c r="U41" s="69"/>
      <c r="V41" s="69"/>
      <c r="W41" s="69"/>
      <c r="X41" s="69"/>
      <c r="Y41" s="69"/>
      <c r="Z41" s="178"/>
      <c r="AA41" s="414" t="s">
        <v>658</v>
      </c>
      <c r="AB41" s="69"/>
      <c r="AC41" s="69"/>
      <c r="AD41" s="69"/>
      <c r="AE41" s="69"/>
      <c r="AF41" s="69"/>
      <c r="AG41" s="69"/>
      <c r="AH41" s="178"/>
      <c r="AI41" s="415" t="s">
        <v>659</v>
      </c>
      <c r="AJ41" s="411"/>
      <c r="AK41" s="411"/>
      <c r="AL41" s="411"/>
      <c r="AM41" s="411"/>
      <c r="AN41" s="411"/>
      <c r="AO41" s="411"/>
      <c r="AP41" s="411"/>
      <c r="AQ41" s="411"/>
      <c r="AR41" s="411"/>
      <c r="AS41" s="411"/>
      <c r="AT41" s="412"/>
      <c r="AU41" s="416"/>
      <c r="AV41" s="1"/>
      <c r="AW41" s="36"/>
      <c r="AX41" s="36"/>
      <c r="AY41" s="36"/>
      <c r="AZ41" s="36"/>
      <c r="BA41" s="36"/>
      <c r="BB41" s="36"/>
      <c r="BC41" s="36"/>
    </row>
    <row r="42" ht="124.5" customHeight="1">
      <c r="A42" s="406"/>
      <c r="B42" s="407"/>
      <c r="C42" s="408" t="str">
        <f>RVAT_Output!AW342</f>
        <v>Fishstock</v>
      </c>
      <c r="D42" s="409"/>
      <c r="E42" s="1"/>
      <c r="F42" s="410" t="str">
        <f>RVAT_Output!AZ342</f>
        <v>Low</v>
      </c>
      <c r="G42" s="411"/>
      <c r="H42" s="411"/>
      <c r="I42" s="411"/>
      <c r="J42" s="411"/>
      <c r="K42" s="412"/>
      <c r="L42" s="413" t="str">
        <f>RVAT_Output!BF342</f>
        <v>Low</v>
      </c>
      <c r="M42" s="411"/>
      <c r="N42" s="411"/>
      <c r="O42" s="411"/>
      <c r="P42" s="411"/>
      <c r="Q42" s="412"/>
      <c r="R42" s="404" t="str">
        <f t="shared" si="27"/>
        <v>Not High</v>
      </c>
      <c r="S42" s="414" t="s">
        <v>660</v>
      </c>
      <c r="T42" s="69"/>
      <c r="U42" s="69"/>
      <c r="V42" s="69"/>
      <c r="W42" s="69"/>
      <c r="X42" s="69"/>
      <c r="Y42" s="69"/>
      <c r="Z42" s="178"/>
      <c r="AA42" s="414" t="s">
        <v>661</v>
      </c>
      <c r="AB42" s="69"/>
      <c r="AC42" s="69"/>
      <c r="AD42" s="69"/>
      <c r="AE42" s="69"/>
      <c r="AF42" s="69"/>
      <c r="AG42" s="69"/>
      <c r="AH42" s="178"/>
      <c r="AI42" s="415" t="s">
        <v>662</v>
      </c>
      <c r="AJ42" s="411"/>
      <c r="AK42" s="411"/>
      <c r="AL42" s="411"/>
      <c r="AM42" s="411"/>
      <c r="AN42" s="411"/>
      <c r="AO42" s="411"/>
      <c r="AP42" s="411"/>
      <c r="AQ42" s="411"/>
      <c r="AR42" s="411"/>
      <c r="AS42" s="411"/>
      <c r="AT42" s="412"/>
      <c r="AU42" s="416"/>
      <c r="AV42" s="1"/>
      <c r="AW42" s="36"/>
      <c r="AX42" s="36"/>
      <c r="AY42" s="36"/>
      <c r="AZ42" s="36"/>
      <c r="BA42" s="36"/>
      <c r="BB42" s="36"/>
      <c r="BC42" s="36"/>
    </row>
    <row r="43" ht="136.5" customHeight="1">
      <c r="A43" s="406"/>
      <c r="B43" s="407"/>
      <c r="C43" s="408" t="str">
        <f>RVAT_Output!AW343</f>
        <v>Local commerce</v>
      </c>
      <c r="D43" s="409"/>
      <c r="E43" s="1"/>
      <c r="F43" s="410" t="str">
        <f>RVAT_Output!AZ343</f>
        <v>Low</v>
      </c>
      <c r="G43" s="411"/>
      <c r="H43" s="411"/>
      <c r="I43" s="411"/>
      <c r="J43" s="411"/>
      <c r="K43" s="412"/>
      <c r="L43" s="413" t="str">
        <f>RVAT_Output!BF343</f>
        <v>Low</v>
      </c>
      <c r="M43" s="411"/>
      <c r="N43" s="411"/>
      <c r="O43" s="411"/>
      <c r="P43" s="411"/>
      <c r="Q43" s="412"/>
      <c r="R43" s="404" t="str">
        <f t="shared" si="27"/>
        <v>Not High</v>
      </c>
      <c r="S43" s="414" t="s">
        <v>663</v>
      </c>
      <c r="T43" s="69"/>
      <c r="U43" s="69"/>
      <c r="V43" s="69"/>
      <c r="W43" s="69"/>
      <c r="X43" s="69"/>
      <c r="Y43" s="69"/>
      <c r="Z43" s="178"/>
      <c r="AA43" s="414" t="s">
        <v>664</v>
      </c>
      <c r="AB43" s="69"/>
      <c r="AC43" s="69"/>
      <c r="AD43" s="69"/>
      <c r="AE43" s="69"/>
      <c r="AF43" s="69"/>
      <c r="AG43" s="69"/>
      <c r="AH43" s="178"/>
      <c r="AI43" s="415" t="s">
        <v>665</v>
      </c>
      <c r="AJ43" s="411"/>
      <c r="AK43" s="411"/>
      <c r="AL43" s="411"/>
      <c r="AM43" s="411"/>
      <c r="AN43" s="411"/>
      <c r="AO43" s="411"/>
      <c r="AP43" s="411"/>
      <c r="AQ43" s="411"/>
      <c r="AR43" s="411"/>
      <c r="AS43" s="411"/>
      <c r="AT43" s="412"/>
      <c r="AU43" s="416"/>
      <c r="AV43" s="1"/>
      <c r="AW43" s="36"/>
      <c r="AX43" s="36"/>
      <c r="AY43" s="36"/>
      <c r="AZ43" s="36"/>
      <c r="BA43" s="36"/>
      <c r="BB43" s="36"/>
      <c r="BC43" s="36"/>
    </row>
    <row r="44" ht="114.0" customHeight="1">
      <c r="A44" s="406"/>
      <c r="B44" s="407"/>
      <c r="C44" s="408" t="str">
        <f>RVAT_Output!AW344</f>
        <v>Gender </v>
      </c>
      <c r="D44" s="409"/>
      <c r="E44" s="1"/>
      <c r="F44" s="410" t="str">
        <f>RVAT_Output!AZ344</f>
        <v>Low</v>
      </c>
      <c r="G44" s="411"/>
      <c r="H44" s="411"/>
      <c r="I44" s="411"/>
      <c r="J44" s="411"/>
      <c r="K44" s="412"/>
      <c r="L44" s="413" t="str">
        <f>RVAT_Output!BF344</f>
        <v>Low</v>
      </c>
      <c r="M44" s="411"/>
      <c r="N44" s="411"/>
      <c r="O44" s="411"/>
      <c r="P44" s="411"/>
      <c r="Q44" s="412"/>
      <c r="R44" s="404" t="str">
        <f t="shared" si="27"/>
        <v>Not High</v>
      </c>
      <c r="S44" s="414" t="s">
        <v>666</v>
      </c>
      <c r="T44" s="69"/>
      <c r="U44" s="69"/>
      <c r="V44" s="69"/>
      <c r="W44" s="69"/>
      <c r="X44" s="69"/>
      <c r="Y44" s="69"/>
      <c r="Z44" s="178"/>
      <c r="AA44" s="414" t="s">
        <v>667</v>
      </c>
      <c r="AB44" s="69"/>
      <c r="AC44" s="69"/>
      <c r="AD44" s="69"/>
      <c r="AE44" s="69"/>
      <c r="AF44" s="69"/>
      <c r="AG44" s="69"/>
      <c r="AH44" s="178"/>
      <c r="AI44" s="415" t="s">
        <v>668</v>
      </c>
      <c r="AJ44" s="411"/>
      <c r="AK44" s="411"/>
      <c r="AL44" s="411"/>
      <c r="AM44" s="411"/>
      <c r="AN44" s="411"/>
      <c r="AO44" s="411"/>
      <c r="AP44" s="411"/>
      <c r="AQ44" s="411"/>
      <c r="AR44" s="411"/>
      <c r="AS44" s="411"/>
      <c r="AT44" s="412"/>
      <c r="AU44" s="416"/>
      <c r="AV44" s="1"/>
      <c r="AW44" s="36"/>
      <c r="AX44" s="36"/>
      <c r="AY44" s="36"/>
      <c r="AZ44" s="36"/>
      <c r="BA44" s="36"/>
      <c r="BB44" s="36"/>
      <c r="BC44" s="36"/>
    </row>
    <row r="45" ht="138.75" customHeight="1">
      <c r="A45" s="406"/>
      <c r="B45" s="407"/>
      <c r="C45" s="408" t="str">
        <f>RVAT_Output!AW345</f>
        <v>Conviviality </v>
      </c>
      <c r="D45" s="409"/>
      <c r="E45" s="1"/>
      <c r="F45" s="410" t="str">
        <f>RVAT_Output!AZ345</f>
        <v>Low</v>
      </c>
      <c r="G45" s="411"/>
      <c r="H45" s="411"/>
      <c r="I45" s="411"/>
      <c r="J45" s="411"/>
      <c r="K45" s="412"/>
      <c r="L45" s="413" t="str">
        <f>RVAT_Output!BF345</f>
        <v>Low</v>
      </c>
      <c r="M45" s="411"/>
      <c r="N45" s="411"/>
      <c r="O45" s="411"/>
      <c r="P45" s="411"/>
      <c r="Q45" s="412"/>
      <c r="R45" s="404" t="str">
        <f t="shared" si="27"/>
        <v>Not High</v>
      </c>
      <c r="S45" s="414" t="s">
        <v>669</v>
      </c>
      <c r="T45" s="69"/>
      <c r="U45" s="69"/>
      <c r="V45" s="69"/>
      <c r="W45" s="69"/>
      <c r="X45" s="69"/>
      <c r="Y45" s="69"/>
      <c r="Z45" s="178"/>
      <c r="AA45" s="414" t="s">
        <v>670</v>
      </c>
      <c r="AB45" s="69"/>
      <c r="AC45" s="69"/>
      <c r="AD45" s="69"/>
      <c r="AE45" s="69"/>
      <c r="AF45" s="69"/>
      <c r="AG45" s="69"/>
      <c r="AH45" s="178"/>
      <c r="AI45" s="415" t="s">
        <v>671</v>
      </c>
      <c r="AJ45" s="411"/>
      <c r="AK45" s="411"/>
      <c r="AL45" s="411"/>
      <c r="AM45" s="411"/>
      <c r="AN45" s="411"/>
      <c r="AO45" s="411"/>
      <c r="AP45" s="411"/>
      <c r="AQ45" s="411"/>
      <c r="AR45" s="411"/>
      <c r="AS45" s="411"/>
      <c r="AT45" s="412"/>
      <c r="AU45" s="416"/>
      <c r="AV45" s="1"/>
      <c r="AW45" s="36"/>
      <c r="AX45" s="36"/>
      <c r="AY45" s="36"/>
      <c r="AZ45" s="36"/>
      <c r="BA45" s="36"/>
      <c r="BB45" s="36"/>
      <c r="BC45" s="36"/>
    </row>
    <row r="46" ht="178.5" customHeight="1">
      <c r="A46" s="406"/>
      <c r="B46" s="407"/>
      <c r="C46" s="408" t="str">
        <f>RVAT_Output!AW346</f>
        <v>Education </v>
      </c>
      <c r="D46" s="409"/>
      <c r="E46" s="1"/>
      <c r="F46" s="410" t="str">
        <f>RVAT_Output!AZ346</f>
        <v>Low</v>
      </c>
      <c r="G46" s="411"/>
      <c r="H46" s="411"/>
      <c r="I46" s="411"/>
      <c r="J46" s="411"/>
      <c r="K46" s="412"/>
      <c r="L46" s="413" t="str">
        <f>RVAT_Output!BF346</f>
        <v>Low</v>
      </c>
      <c r="M46" s="411"/>
      <c r="N46" s="411"/>
      <c r="O46" s="411"/>
      <c r="P46" s="411"/>
      <c r="Q46" s="412"/>
      <c r="R46" s="404" t="str">
        <f t="shared" si="27"/>
        <v>Not High</v>
      </c>
      <c r="S46" s="414" t="s">
        <v>672</v>
      </c>
      <c r="T46" s="69"/>
      <c r="U46" s="69"/>
      <c r="V46" s="69"/>
      <c r="W46" s="69"/>
      <c r="X46" s="69"/>
      <c r="Y46" s="69"/>
      <c r="Z46" s="178"/>
      <c r="AA46" s="414" t="s">
        <v>673</v>
      </c>
      <c r="AB46" s="69"/>
      <c r="AC46" s="69"/>
      <c r="AD46" s="69"/>
      <c r="AE46" s="69"/>
      <c r="AF46" s="69"/>
      <c r="AG46" s="69"/>
      <c r="AH46" s="178"/>
      <c r="AI46" s="415" t="s">
        <v>674</v>
      </c>
      <c r="AJ46" s="411"/>
      <c r="AK46" s="411"/>
      <c r="AL46" s="411"/>
      <c r="AM46" s="411"/>
      <c r="AN46" s="411"/>
      <c r="AO46" s="411"/>
      <c r="AP46" s="411"/>
      <c r="AQ46" s="411"/>
      <c r="AR46" s="411"/>
      <c r="AS46" s="411"/>
      <c r="AT46" s="412"/>
      <c r="AU46" s="416"/>
      <c r="AV46" s="1"/>
      <c r="AW46" s="36"/>
      <c r="AX46" s="36"/>
      <c r="AY46" s="36"/>
      <c r="AZ46" s="36"/>
      <c r="BA46" s="36"/>
      <c r="BB46" s="36"/>
      <c r="BC46" s="36"/>
    </row>
    <row r="47" ht="153.75" customHeight="1">
      <c r="A47" s="406"/>
      <c r="B47" s="407"/>
      <c r="C47" s="408" t="str">
        <f>RVAT_Output!AW347</f>
        <v>WFI/WFDU</v>
      </c>
      <c r="D47" s="409"/>
      <c r="E47" s="1"/>
      <c r="F47" s="410" t="str">
        <f>RVAT_Output!AZ347</f>
        <v>Low</v>
      </c>
      <c r="G47" s="411"/>
      <c r="H47" s="411"/>
      <c r="I47" s="411"/>
      <c r="J47" s="411"/>
      <c r="K47" s="412"/>
      <c r="L47" s="413" t="str">
        <f>RVAT_Output!BF347</f>
        <v>Low</v>
      </c>
      <c r="M47" s="411"/>
      <c r="N47" s="411"/>
      <c r="O47" s="411"/>
      <c r="P47" s="411"/>
      <c r="Q47" s="412"/>
      <c r="R47" s="404" t="str">
        <f t="shared" si="27"/>
        <v>Not High</v>
      </c>
      <c r="S47" s="414" t="s">
        <v>675</v>
      </c>
      <c r="T47" s="69"/>
      <c r="U47" s="69"/>
      <c r="V47" s="69"/>
      <c r="W47" s="69"/>
      <c r="X47" s="69"/>
      <c r="Y47" s="69"/>
      <c r="Z47" s="178"/>
      <c r="AA47" s="414" t="s">
        <v>676</v>
      </c>
      <c r="AB47" s="69"/>
      <c r="AC47" s="69"/>
      <c r="AD47" s="69"/>
      <c r="AE47" s="69"/>
      <c r="AF47" s="69"/>
      <c r="AG47" s="69"/>
      <c r="AH47" s="178"/>
      <c r="AI47" s="415" t="s">
        <v>677</v>
      </c>
      <c r="AJ47" s="411"/>
      <c r="AK47" s="411"/>
      <c r="AL47" s="411"/>
      <c r="AM47" s="411"/>
      <c r="AN47" s="411"/>
      <c r="AO47" s="411"/>
      <c r="AP47" s="411"/>
      <c r="AQ47" s="411"/>
      <c r="AR47" s="411"/>
      <c r="AS47" s="411"/>
      <c r="AT47" s="412"/>
      <c r="AU47" s="416"/>
      <c r="AV47" s="1"/>
      <c r="AW47" s="36"/>
      <c r="AX47" s="36"/>
      <c r="AY47" s="36"/>
      <c r="AZ47" s="36"/>
      <c r="BA47" s="36"/>
      <c r="BB47" s="36"/>
      <c r="BC47" s="36"/>
    </row>
    <row r="48" ht="130.5" customHeight="1">
      <c r="A48" s="406"/>
      <c r="B48" s="407"/>
      <c r="C48" s="408" t="str">
        <f>RVAT_Output!AW348</f>
        <v>ATF/I</v>
      </c>
      <c r="D48" s="409"/>
      <c r="E48" s="1"/>
      <c r="F48" s="410" t="str">
        <f>RVAT_Output!AZ348</f>
        <v>Low</v>
      </c>
      <c r="G48" s="411"/>
      <c r="H48" s="411"/>
      <c r="I48" s="411"/>
      <c r="J48" s="411"/>
      <c r="K48" s="412"/>
      <c r="L48" s="413" t="str">
        <f>RVAT_Output!BF348</f>
        <v>Low</v>
      </c>
      <c r="M48" s="411"/>
      <c r="N48" s="411"/>
      <c r="O48" s="411"/>
      <c r="P48" s="411"/>
      <c r="Q48" s="412"/>
      <c r="R48" s="404" t="str">
        <f t="shared" si="27"/>
        <v>Not High</v>
      </c>
      <c r="S48" s="414" t="s">
        <v>678</v>
      </c>
      <c r="T48" s="69"/>
      <c r="U48" s="69"/>
      <c r="V48" s="69"/>
      <c r="W48" s="69"/>
      <c r="X48" s="69"/>
      <c r="Y48" s="69"/>
      <c r="Z48" s="178"/>
      <c r="AA48" s="414" t="s">
        <v>679</v>
      </c>
      <c r="AB48" s="69"/>
      <c r="AC48" s="69"/>
      <c r="AD48" s="69"/>
      <c r="AE48" s="69"/>
      <c r="AF48" s="69"/>
      <c r="AG48" s="69"/>
      <c r="AH48" s="178"/>
      <c r="AI48" s="415" t="s">
        <v>680</v>
      </c>
      <c r="AJ48" s="411"/>
      <c r="AK48" s="411"/>
      <c r="AL48" s="411"/>
      <c r="AM48" s="411"/>
      <c r="AN48" s="411"/>
      <c r="AO48" s="411"/>
      <c r="AP48" s="411"/>
      <c r="AQ48" s="411"/>
      <c r="AR48" s="411"/>
      <c r="AS48" s="411"/>
      <c r="AT48" s="412"/>
      <c r="AU48" s="416"/>
      <c r="AV48" s="1"/>
      <c r="AW48" s="36"/>
      <c r="AX48" s="36"/>
      <c r="AY48" s="36"/>
      <c r="AZ48" s="36"/>
      <c r="BA48" s="36"/>
      <c r="BB48" s="36"/>
      <c r="BC48" s="36"/>
    </row>
    <row r="49" ht="292.5" customHeight="1">
      <c r="A49" s="406"/>
      <c r="B49" s="407"/>
      <c r="C49" s="408" t="str">
        <f>RVAT_Output!AW349</f>
        <v>Disaster Events</v>
      </c>
      <c r="D49" s="409"/>
      <c r="E49" s="1"/>
      <c r="F49" s="410" t="str">
        <f>RVAT_Output!AZ349</f>
        <v>Low</v>
      </c>
      <c r="G49" s="411"/>
      <c r="H49" s="411"/>
      <c r="I49" s="411"/>
      <c r="J49" s="411"/>
      <c r="K49" s="412"/>
      <c r="L49" s="413" t="str">
        <f>RVAT_Output!BF349</f>
        <v>Low</v>
      </c>
      <c r="M49" s="411"/>
      <c r="N49" s="411"/>
      <c r="O49" s="411"/>
      <c r="P49" s="411"/>
      <c r="Q49" s="412"/>
      <c r="R49" s="404" t="str">
        <f t="shared" si="27"/>
        <v>Not High</v>
      </c>
      <c r="S49" s="417" t="s">
        <v>681</v>
      </c>
      <c r="T49" s="69"/>
      <c r="U49" s="69"/>
      <c r="V49" s="69"/>
      <c r="W49" s="69"/>
      <c r="X49" s="69"/>
      <c r="Y49" s="69"/>
      <c r="Z49" s="178"/>
      <c r="AA49" s="414" t="s">
        <v>682</v>
      </c>
      <c r="AB49" s="69"/>
      <c r="AC49" s="69"/>
      <c r="AD49" s="69"/>
      <c r="AE49" s="69"/>
      <c r="AF49" s="69"/>
      <c r="AG49" s="69"/>
      <c r="AH49" s="178"/>
      <c r="AI49" s="415" t="s">
        <v>683</v>
      </c>
      <c r="AJ49" s="411"/>
      <c r="AK49" s="411"/>
      <c r="AL49" s="411"/>
      <c r="AM49" s="411"/>
      <c r="AN49" s="411"/>
      <c r="AO49" s="411"/>
      <c r="AP49" s="411"/>
      <c r="AQ49" s="411"/>
      <c r="AR49" s="411"/>
      <c r="AS49" s="411"/>
      <c r="AT49" s="412"/>
      <c r="AU49" s="416"/>
      <c r="AV49" s="1"/>
      <c r="AW49" s="36"/>
      <c r="AX49" s="36"/>
      <c r="AY49" s="36"/>
      <c r="AZ49" s="36"/>
      <c r="BA49" s="36"/>
      <c r="BB49" s="36"/>
      <c r="BC49" s="36"/>
    </row>
    <row r="50" ht="19.5" customHeight="1">
      <c r="A50" s="1"/>
      <c r="B50" s="400" t="str">
        <f>RVAT_Output!$AV351</f>
        <v>Health &amp; Safety</v>
      </c>
      <c r="C50" s="401"/>
      <c r="D50" s="402"/>
      <c r="E50" s="1"/>
      <c r="F50" s="403"/>
      <c r="G50" s="401"/>
      <c r="H50" s="401"/>
      <c r="I50" s="401"/>
      <c r="J50" s="401"/>
      <c r="K50" s="401"/>
      <c r="L50" s="401"/>
      <c r="M50" s="401"/>
      <c r="N50" s="401"/>
      <c r="O50" s="401"/>
      <c r="P50" s="401"/>
      <c r="Q50" s="402"/>
      <c r="R50" s="404" t="str">
        <f t="shared" si="27"/>
        <v>Not High</v>
      </c>
      <c r="S50" s="418" t="s">
        <v>647</v>
      </c>
      <c r="T50" s="419"/>
      <c r="U50" s="419"/>
      <c r="V50" s="419"/>
      <c r="W50" s="419"/>
      <c r="X50" s="419"/>
      <c r="Y50" s="419"/>
      <c r="Z50" s="419"/>
      <c r="AA50" s="419"/>
      <c r="AB50" s="419"/>
      <c r="AC50" s="419"/>
      <c r="AD50" s="419"/>
      <c r="AE50" s="419"/>
      <c r="AF50" s="419"/>
      <c r="AG50" s="419"/>
      <c r="AH50" s="419"/>
      <c r="AI50" s="419"/>
      <c r="AJ50" s="419"/>
      <c r="AK50" s="419"/>
      <c r="AL50" s="419"/>
      <c r="AM50" s="419"/>
      <c r="AN50" s="419"/>
      <c r="AO50" s="419"/>
      <c r="AP50" s="419"/>
      <c r="AQ50" s="419"/>
      <c r="AR50" s="419"/>
      <c r="AS50" s="419"/>
      <c r="AT50" s="420"/>
      <c r="AU50" s="1"/>
      <c r="AV50" s="1"/>
      <c r="AW50" s="36"/>
      <c r="AX50" s="36"/>
      <c r="AY50" s="36"/>
      <c r="AZ50" s="36"/>
      <c r="BA50" s="36"/>
      <c r="BB50" s="36"/>
      <c r="BC50" s="36"/>
    </row>
    <row r="51" ht="326.25" customHeight="1">
      <c r="A51" s="406"/>
      <c r="B51" s="407"/>
      <c r="C51" s="408" t="str">
        <f>RVAT_Output!AW351</f>
        <v>Borne Diseases</v>
      </c>
      <c r="D51" s="409"/>
      <c r="E51" s="1"/>
      <c r="F51" s="410" t="str">
        <f>RVAT_Output!AZ351</f>
        <v>Low</v>
      </c>
      <c r="G51" s="411"/>
      <c r="H51" s="411"/>
      <c r="I51" s="411"/>
      <c r="J51" s="411"/>
      <c r="K51" s="412"/>
      <c r="L51" s="413" t="str">
        <f>RVAT_Output!BF351</f>
        <v>Low</v>
      </c>
      <c r="M51" s="411"/>
      <c r="N51" s="411"/>
      <c r="O51" s="411"/>
      <c r="P51" s="411"/>
      <c r="Q51" s="412"/>
      <c r="R51" s="404" t="str">
        <f t="shared" si="27"/>
        <v>Not High</v>
      </c>
      <c r="S51" s="421" t="s">
        <v>684</v>
      </c>
      <c r="T51" s="69"/>
      <c r="U51" s="69"/>
      <c r="V51" s="69"/>
      <c r="W51" s="69"/>
      <c r="X51" s="69"/>
      <c r="Y51" s="69"/>
      <c r="Z51" s="178"/>
      <c r="AA51" s="421" t="s">
        <v>684</v>
      </c>
      <c r="AB51" s="69"/>
      <c r="AC51" s="69"/>
      <c r="AD51" s="69"/>
      <c r="AE51" s="69"/>
      <c r="AF51" s="69"/>
      <c r="AG51" s="69"/>
      <c r="AH51" s="178"/>
      <c r="AI51" s="415" t="s">
        <v>685</v>
      </c>
      <c r="AJ51" s="411"/>
      <c r="AK51" s="411"/>
      <c r="AL51" s="411"/>
      <c r="AM51" s="411"/>
      <c r="AN51" s="411"/>
      <c r="AO51" s="411"/>
      <c r="AP51" s="411"/>
      <c r="AQ51" s="411"/>
      <c r="AR51" s="411"/>
      <c r="AS51" s="411"/>
      <c r="AT51" s="412"/>
      <c r="AU51" s="416"/>
      <c r="AV51" s="1"/>
      <c r="AW51" s="36"/>
      <c r="AX51" s="36"/>
      <c r="AY51" s="36"/>
      <c r="AZ51" s="36"/>
      <c r="BA51" s="36"/>
      <c r="BB51" s="36"/>
      <c r="BC51" s="36"/>
    </row>
    <row r="52" ht="408.75" customHeight="1">
      <c r="A52" s="406"/>
      <c r="B52" s="407"/>
      <c r="C52" s="408" t="str">
        <f>RVAT_Output!AW352</f>
        <v>SLUP&amp;C</v>
      </c>
      <c r="D52" s="409"/>
      <c r="E52" s="1"/>
      <c r="F52" s="410" t="str">
        <f>RVAT_Output!AZ352</f>
        <v>Low</v>
      </c>
      <c r="G52" s="411"/>
      <c r="H52" s="411"/>
      <c r="I52" s="411"/>
      <c r="J52" s="411"/>
      <c r="K52" s="412"/>
      <c r="L52" s="413" t="str">
        <f>RVAT_Output!BF352</f>
        <v>Low</v>
      </c>
      <c r="M52" s="411"/>
      <c r="N52" s="411"/>
      <c r="O52" s="411"/>
      <c r="P52" s="411"/>
      <c r="Q52" s="412"/>
      <c r="R52" s="404" t="str">
        <f t="shared" si="27"/>
        <v>Not High</v>
      </c>
      <c r="S52" s="414" t="s">
        <v>686</v>
      </c>
      <c r="T52" s="69"/>
      <c r="U52" s="69"/>
      <c r="V52" s="69"/>
      <c r="W52" s="69"/>
      <c r="X52" s="69"/>
      <c r="Y52" s="69"/>
      <c r="Z52" s="178"/>
      <c r="AA52" s="414" t="s">
        <v>687</v>
      </c>
      <c r="AB52" s="69"/>
      <c r="AC52" s="69"/>
      <c r="AD52" s="69"/>
      <c r="AE52" s="69"/>
      <c r="AF52" s="69"/>
      <c r="AG52" s="69"/>
      <c r="AH52" s="178"/>
      <c r="AI52" s="415" t="s">
        <v>688</v>
      </c>
      <c r="AJ52" s="411"/>
      <c r="AK52" s="411"/>
      <c r="AL52" s="411"/>
      <c r="AM52" s="411"/>
      <c r="AN52" s="411"/>
      <c r="AO52" s="411"/>
      <c r="AP52" s="411"/>
      <c r="AQ52" s="411"/>
      <c r="AR52" s="411"/>
      <c r="AS52" s="411"/>
      <c r="AT52" s="412"/>
      <c r="AU52" s="416"/>
      <c r="AV52" s="1"/>
      <c r="AW52" s="36"/>
      <c r="AX52" s="36"/>
      <c r="AY52" s="36"/>
      <c r="AZ52" s="36"/>
      <c r="BA52" s="36"/>
      <c r="BB52" s="36"/>
      <c r="BC52" s="36"/>
    </row>
    <row r="53" ht="310.5" customHeight="1">
      <c r="A53" s="406"/>
      <c r="B53" s="407"/>
      <c r="C53" s="408" t="str">
        <f>RVAT_Output!AW353</f>
        <v>SWM</v>
      </c>
      <c r="D53" s="409"/>
      <c r="E53" s="1"/>
      <c r="F53" s="410" t="str">
        <f>RVAT_Output!AZ353</f>
        <v>Low</v>
      </c>
      <c r="G53" s="411"/>
      <c r="H53" s="411"/>
      <c r="I53" s="411"/>
      <c r="J53" s="411"/>
      <c r="K53" s="412"/>
      <c r="L53" s="413" t="str">
        <f>RVAT_Output!BF353</f>
        <v>Low</v>
      </c>
      <c r="M53" s="411"/>
      <c r="N53" s="411"/>
      <c r="O53" s="411"/>
      <c r="P53" s="411"/>
      <c r="Q53" s="412"/>
      <c r="R53" s="404" t="str">
        <f t="shared" si="27"/>
        <v>Not High</v>
      </c>
      <c r="S53" s="414" t="s">
        <v>689</v>
      </c>
      <c r="T53" s="69"/>
      <c r="U53" s="69"/>
      <c r="V53" s="69"/>
      <c r="W53" s="69"/>
      <c r="X53" s="69"/>
      <c r="Y53" s="69"/>
      <c r="Z53" s="178"/>
      <c r="AA53" s="414" t="s">
        <v>690</v>
      </c>
      <c r="AB53" s="69"/>
      <c r="AC53" s="69"/>
      <c r="AD53" s="69"/>
      <c r="AE53" s="69"/>
      <c r="AF53" s="69"/>
      <c r="AG53" s="69"/>
      <c r="AH53" s="178"/>
      <c r="AI53" s="415" t="s">
        <v>691</v>
      </c>
      <c r="AJ53" s="411"/>
      <c r="AK53" s="411"/>
      <c r="AL53" s="411"/>
      <c r="AM53" s="411"/>
      <c r="AN53" s="411"/>
      <c r="AO53" s="411"/>
      <c r="AP53" s="411"/>
      <c r="AQ53" s="411"/>
      <c r="AR53" s="411"/>
      <c r="AS53" s="411"/>
      <c r="AT53" s="412"/>
      <c r="AU53" s="416"/>
      <c r="AV53" s="1"/>
      <c r="AW53" s="36"/>
      <c r="AX53" s="36"/>
      <c r="AY53" s="36"/>
      <c r="AZ53" s="36"/>
      <c r="BA53" s="36"/>
      <c r="BB53" s="36"/>
      <c r="BC53" s="36"/>
    </row>
    <row r="54" ht="186.0" customHeight="1">
      <c r="A54" s="406"/>
      <c r="B54" s="407" t="s">
        <v>692</v>
      </c>
      <c r="C54" s="408" t="str">
        <f>RVAT_Output!AW354</f>
        <v>LWM</v>
      </c>
      <c r="D54" s="409"/>
      <c r="E54" s="1"/>
      <c r="F54" s="410" t="str">
        <f>RVAT_Output!AZ354</f>
        <v>Low</v>
      </c>
      <c r="G54" s="411"/>
      <c r="H54" s="411"/>
      <c r="I54" s="411"/>
      <c r="J54" s="411"/>
      <c r="K54" s="412"/>
      <c r="L54" s="413" t="str">
        <f>RVAT_Output!BF354</f>
        <v>Low</v>
      </c>
      <c r="M54" s="411"/>
      <c r="N54" s="411"/>
      <c r="O54" s="411"/>
      <c r="P54" s="411"/>
      <c r="Q54" s="412"/>
      <c r="R54" s="404" t="str">
        <f t="shared" si="27"/>
        <v>Not High</v>
      </c>
      <c r="S54" s="414" t="s">
        <v>693</v>
      </c>
      <c r="T54" s="69"/>
      <c r="U54" s="69"/>
      <c r="V54" s="69"/>
      <c r="W54" s="69"/>
      <c r="X54" s="69"/>
      <c r="Y54" s="69"/>
      <c r="Z54" s="178"/>
      <c r="AA54" s="414" t="s">
        <v>694</v>
      </c>
      <c r="AB54" s="69"/>
      <c r="AC54" s="69"/>
      <c r="AD54" s="69"/>
      <c r="AE54" s="69"/>
      <c r="AF54" s="69"/>
      <c r="AG54" s="69"/>
      <c r="AH54" s="178"/>
      <c r="AI54" s="415" t="s">
        <v>695</v>
      </c>
      <c r="AJ54" s="411"/>
      <c r="AK54" s="411"/>
      <c r="AL54" s="411"/>
      <c r="AM54" s="411"/>
      <c r="AN54" s="411"/>
      <c r="AO54" s="411"/>
      <c r="AP54" s="411"/>
      <c r="AQ54" s="411"/>
      <c r="AR54" s="411"/>
      <c r="AS54" s="411"/>
      <c r="AT54" s="412"/>
      <c r="AU54" s="416"/>
      <c r="AV54" s="1"/>
      <c r="AW54" s="36"/>
      <c r="AX54" s="36"/>
      <c r="AY54" s="36"/>
      <c r="AZ54" s="36"/>
      <c r="BA54" s="36"/>
      <c r="BB54" s="36"/>
      <c r="BC54" s="36"/>
    </row>
    <row r="55" ht="114.0" customHeight="1">
      <c r="A55" s="406"/>
      <c r="B55" s="407"/>
      <c r="C55" s="408" t="str">
        <f>RVAT_Output!AW355</f>
        <v>ATHS</v>
      </c>
      <c r="D55" s="409"/>
      <c r="E55" s="1"/>
      <c r="F55" s="410" t="str">
        <f>RVAT_Output!AZ355</f>
        <v>Low</v>
      </c>
      <c r="G55" s="411"/>
      <c r="H55" s="411"/>
      <c r="I55" s="411"/>
      <c r="J55" s="411"/>
      <c r="K55" s="412"/>
      <c r="L55" s="413" t="str">
        <f>RVAT_Output!BF355</f>
        <v>Low</v>
      </c>
      <c r="M55" s="411"/>
      <c r="N55" s="411"/>
      <c r="O55" s="411"/>
      <c r="P55" s="411"/>
      <c r="Q55" s="412"/>
      <c r="R55" s="404" t="str">
        <f t="shared" si="27"/>
        <v>Not High</v>
      </c>
      <c r="S55" s="414" t="s">
        <v>696</v>
      </c>
      <c r="T55" s="69"/>
      <c r="U55" s="69"/>
      <c r="V55" s="69"/>
      <c r="W55" s="69"/>
      <c r="X55" s="69"/>
      <c r="Y55" s="69"/>
      <c r="Z55" s="178"/>
      <c r="AA55" s="414" t="s">
        <v>697</v>
      </c>
      <c r="AB55" s="69"/>
      <c r="AC55" s="69"/>
      <c r="AD55" s="69"/>
      <c r="AE55" s="69"/>
      <c r="AF55" s="69"/>
      <c r="AG55" s="69"/>
      <c r="AH55" s="178"/>
      <c r="AI55" s="415" t="s">
        <v>698</v>
      </c>
      <c r="AJ55" s="411"/>
      <c r="AK55" s="411"/>
      <c r="AL55" s="411"/>
      <c r="AM55" s="411"/>
      <c r="AN55" s="411"/>
      <c r="AO55" s="411"/>
      <c r="AP55" s="411"/>
      <c r="AQ55" s="411"/>
      <c r="AR55" s="411"/>
      <c r="AS55" s="411"/>
      <c r="AT55" s="412"/>
      <c r="AU55" s="416"/>
      <c r="AV55" s="1"/>
      <c r="AW55" s="36"/>
      <c r="AX55" s="36"/>
      <c r="AY55" s="36"/>
      <c r="AZ55" s="36"/>
      <c r="BA55" s="36"/>
      <c r="BB55" s="36"/>
      <c r="BC55" s="36"/>
    </row>
    <row r="56" ht="231.0" customHeight="1">
      <c r="A56" s="406"/>
      <c r="B56" s="407"/>
      <c r="C56" s="408" t="str">
        <f>RVAT_Output!AW356</f>
        <v>ATHE</v>
      </c>
      <c r="D56" s="409"/>
      <c r="E56" s="1"/>
      <c r="F56" s="410" t="str">
        <f>RVAT_Output!AZ356</f>
        <v>Low</v>
      </c>
      <c r="G56" s="411"/>
      <c r="H56" s="411"/>
      <c r="I56" s="411"/>
      <c r="J56" s="411"/>
      <c r="K56" s="412"/>
      <c r="L56" s="413" t="str">
        <f>RVAT_Output!BF356</f>
        <v>Low</v>
      </c>
      <c r="M56" s="411"/>
      <c r="N56" s="411"/>
      <c r="O56" s="411"/>
      <c r="P56" s="411"/>
      <c r="Q56" s="412"/>
      <c r="R56" s="404" t="str">
        <f t="shared" si="27"/>
        <v>Not High</v>
      </c>
      <c r="S56" s="414" t="s">
        <v>699</v>
      </c>
      <c r="T56" s="69"/>
      <c r="U56" s="69"/>
      <c r="V56" s="69"/>
      <c r="W56" s="69"/>
      <c r="X56" s="69"/>
      <c r="Y56" s="69"/>
      <c r="Z56" s="178"/>
      <c r="AA56" s="414" t="s">
        <v>700</v>
      </c>
      <c r="AB56" s="69"/>
      <c r="AC56" s="69"/>
      <c r="AD56" s="69"/>
      <c r="AE56" s="69"/>
      <c r="AF56" s="69"/>
      <c r="AG56" s="69"/>
      <c r="AH56" s="178"/>
      <c r="AI56" s="415" t="s">
        <v>701</v>
      </c>
      <c r="AJ56" s="411"/>
      <c r="AK56" s="411"/>
      <c r="AL56" s="411"/>
      <c r="AM56" s="411"/>
      <c r="AN56" s="411"/>
      <c r="AO56" s="411"/>
      <c r="AP56" s="411"/>
      <c r="AQ56" s="411"/>
      <c r="AR56" s="411"/>
      <c r="AS56" s="411"/>
      <c r="AT56" s="412"/>
      <c r="AU56" s="416"/>
      <c r="AV56" s="1"/>
      <c r="AW56" s="36"/>
      <c r="AX56" s="36"/>
      <c r="AY56" s="36"/>
      <c r="AZ56" s="36"/>
      <c r="BA56" s="36"/>
      <c r="BB56" s="36"/>
      <c r="BC56" s="36"/>
    </row>
    <row r="57" ht="19.5" customHeight="1">
      <c r="A57" s="1"/>
      <c r="B57" s="400" t="str">
        <f>RVAT_Output!$AV358</f>
        <v>Assets and Utilities</v>
      </c>
      <c r="C57" s="401"/>
      <c r="D57" s="402"/>
      <c r="E57" s="1"/>
      <c r="F57" s="403"/>
      <c r="G57" s="401"/>
      <c r="H57" s="401"/>
      <c r="I57" s="401"/>
      <c r="J57" s="401"/>
      <c r="K57" s="401"/>
      <c r="L57" s="401"/>
      <c r="M57" s="401"/>
      <c r="N57" s="401"/>
      <c r="O57" s="401"/>
      <c r="P57" s="401"/>
      <c r="Q57" s="402"/>
      <c r="R57" s="404" t="str">
        <f t="shared" si="27"/>
        <v>Not High</v>
      </c>
      <c r="S57" s="418" t="s">
        <v>647</v>
      </c>
      <c r="T57" s="419"/>
      <c r="U57" s="419"/>
      <c r="V57" s="419"/>
      <c r="W57" s="419"/>
      <c r="X57" s="419"/>
      <c r="Y57" s="419"/>
      <c r="Z57" s="419"/>
      <c r="AA57" s="419"/>
      <c r="AB57" s="419"/>
      <c r="AC57" s="419"/>
      <c r="AD57" s="419"/>
      <c r="AE57" s="419"/>
      <c r="AF57" s="419"/>
      <c r="AG57" s="419"/>
      <c r="AH57" s="419"/>
      <c r="AI57" s="419"/>
      <c r="AJ57" s="419"/>
      <c r="AK57" s="419"/>
      <c r="AL57" s="419"/>
      <c r="AM57" s="419"/>
      <c r="AN57" s="419"/>
      <c r="AO57" s="419"/>
      <c r="AP57" s="419"/>
      <c r="AQ57" s="419"/>
      <c r="AR57" s="419"/>
      <c r="AS57" s="419"/>
      <c r="AT57" s="420"/>
      <c r="AU57" s="1"/>
      <c r="AV57" s="1"/>
      <c r="AW57" s="36"/>
      <c r="AX57" s="36"/>
      <c r="AY57" s="36"/>
      <c r="AZ57" s="36"/>
      <c r="BA57" s="36"/>
      <c r="BB57" s="36"/>
      <c r="BC57" s="36"/>
    </row>
    <row r="58" ht="210.75" customHeight="1">
      <c r="A58" s="406"/>
      <c r="B58" s="407"/>
      <c r="C58" s="408" t="str">
        <f>RVAT_Output!AW358</f>
        <v>Housing</v>
      </c>
      <c r="D58" s="409"/>
      <c r="E58" s="1"/>
      <c r="F58" s="410" t="str">
        <f>RVAT_Output!AZ358</f>
        <v>Low</v>
      </c>
      <c r="G58" s="411"/>
      <c r="H58" s="411"/>
      <c r="I58" s="411"/>
      <c r="J58" s="411"/>
      <c r="K58" s="412"/>
      <c r="L58" s="413" t="str">
        <f>RVAT_Output!BF358</f>
        <v>Low</v>
      </c>
      <c r="M58" s="411"/>
      <c r="N58" s="411"/>
      <c r="O58" s="411"/>
      <c r="P58" s="411"/>
      <c r="Q58" s="412"/>
      <c r="R58" s="404" t="str">
        <f t="shared" si="27"/>
        <v>Not High</v>
      </c>
      <c r="S58" s="414" t="s">
        <v>702</v>
      </c>
      <c r="T58" s="69"/>
      <c r="U58" s="69"/>
      <c r="V58" s="69"/>
      <c r="W58" s="69"/>
      <c r="X58" s="69"/>
      <c r="Y58" s="69"/>
      <c r="Z58" s="178"/>
      <c r="AA58" s="414" t="s">
        <v>703</v>
      </c>
      <c r="AB58" s="69"/>
      <c r="AC58" s="69"/>
      <c r="AD58" s="69"/>
      <c r="AE58" s="69"/>
      <c r="AF58" s="69"/>
      <c r="AG58" s="69"/>
      <c r="AH58" s="178"/>
      <c r="AI58" s="415" t="s">
        <v>704</v>
      </c>
      <c r="AJ58" s="411"/>
      <c r="AK58" s="411"/>
      <c r="AL58" s="411"/>
      <c r="AM58" s="411"/>
      <c r="AN58" s="411"/>
      <c r="AO58" s="411"/>
      <c r="AP58" s="411"/>
      <c r="AQ58" s="411"/>
      <c r="AR58" s="411"/>
      <c r="AS58" s="411"/>
      <c r="AT58" s="412"/>
      <c r="AU58" s="416"/>
      <c r="AV58" s="1"/>
      <c r="AW58" s="36"/>
      <c r="AX58" s="36"/>
      <c r="AY58" s="36"/>
      <c r="AZ58" s="36"/>
      <c r="BA58" s="36"/>
      <c r="BB58" s="36"/>
      <c r="BC58" s="36"/>
    </row>
    <row r="59" ht="225.0" customHeight="1">
      <c r="A59" s="406"/>
      <c r="B59" s="407"/>
      <c r="C59" s="408" t="str">
        <f>RVAT_Output!AW359</f>
        <v>Public facilities </v>
      </c>
      <c r="D59" s="409"/>
      <c r="E59" s="1"/>
      <c r="F59" s="410" t="str">
        <f>RVAT_Output!AZ359</f>
        <v>Low</v>
      </c>
      <c r="G59" s="411"/>
      <c r="H59" s="411"/>
      <c r="I59" s="411"/>
      <c r="J59" s="411"/>
      <c r="K59" s="412"/>
      <c r="L59" s="413" t="str">
        <f>RVAT_Output!BF359</f>
        <v>Low</v>
      </c>
      <c r="M59" s="411"/>
      <c r="N59" s="411"/>
      <c r="O59" s="411"/>
      <c r="P59" s="411"/>
      <c r="Q59" s="412"/>
      <c r="R59" s="404" t="str">
        <f t="shared" si="27"/>
        <v>Not High</v>
      </c>
      <c r="S59" s="414" t="s">
        <v>705</v>
      </c>
      <c r="T59" s="69"/>
      <c r="U59" s="69"/>
      <c r="V59" s="69"/>
      <c r="W59" s="69"/>
      <c r="X59" s="69"/>
      <c r="Y59" s="69"/>
      <c r="Z59" s="178"/>
      <c r="AA59" s="414" t="s">
        <v>706</v>
      </c>
      <c r="AB59" s="69"/>
      <c r="AC59" s="69"/>
      <c r="AD59" s="69"/>
      <c r="AE59" s="69"/>
      <c r="AF59" s="69"/>
      <c r="AG59" s="69"/>
      <c r="AH59" s="178"/>
      <c r="AI59" s="415" t="s">
        <v>707</v>
      </c>
      <c r="AJ59" s="411"/>
      <c r="AK59" s="411"/>
      <c r="AL59" s="411"/>
      <c r="AM59" s="411"/>
      <c r="AN59" s="411"/>
      <c r="AO59" s="411"/>
      <c r="AP59" s="411"/>
      <c r="AQ59" s="411"/>
      <c r="AR59" s="411"/>
      <c r="AS59" s="411"/>
      <c r="AT59" s="412"/>
      <c r="AU59" s="416"/>
      <c r="AV59" s="1"/>
      <c r="AW59" s="36"/>
      <c r="AX59" s="36"/>
      <c r="AY59" s="36"/>
      <c r="AZ59" s="36"/>
      <c r="BA59" s="36"/>
      <c r="BB59" s="36"/>
      <c r="BC59" s="36"/>
    </row>
    <row r="60" ht="408.75" customHeight="1">
      <c r="A60" s="406"/>
      <c r="B60" s="407"/>
      <c r="C60" s="408" t="str">
        <f>RVAT_Output!AW360</f>
        <v>SWD</v>
      </c>
      <c r="D60" s="409"/>
      <c r="E60" s="1"/>
      <c r="F60" s="410" t="str">
        <f>RVAT_Output!AZ360</f>
        <v>Low</v>
      </c>
      <c r="G60" s="411"/>
      <c r="H60" s="411"/>
      <c r="I60" s="411"/>
      <c r="J60" s="411"/>
      <c r="K60" s="412"/>
      <c r="L60" s="413" t="str">
        <f>RVAT_Output!BF360</f>
        <v>Low</v>
      </c>
      <c r="M60" s="411"/>
      <c r="N60" s="411"/>
      <c r="O60" s="411"/>
      <c r="P60" s="411"/>
      <c r="Q60" s="412"/>
      <c r="R60" s="404" t="str">
        <f t="shared" si="27"/>
        <v>Not High</v>
      </c>
      <c r="S60" s="414" t="s">
        <v>708</v>
      </c>
      <c r="T60" s="69"/>
      <c r="U60" s="69"/>
      <c r="V60" s="69"/>
      <c r="W60" s="69"/>
      <c r="X60" s="69"/>
      <c r="Y60" s="69"/>
      <c r="Z60" s="178"/>
      <c r="AA60" s="414" t="s">
        <v>709</v>
      </c>
      <c r="AB60" s="69"/>
      <c r="AC60" s="69"/>
      <c r="AD60" s="69"/>
      <c r="AE60" s="69"/>
      <c r="AF60" s="69"/>
      <c r="AG60" s="69"/>
      <c r="AH60" s="178"/>
      <c r="AI60" s="415" t="s">
        <v>710</v>
      </c>
      <c r="AJ60" s="411"/>
      <c r="AK60" s="411"/>
      <c r="AL60" s="411"/>
      <c r="AM60" s="411"/>
      <c r="AN60" s="411"/>
      <c r="AO60" s="411"/>
      <c r="AP60" s="411"/>
      <c r="AQ60" s="411"/>
      <c r="AR60" s="411"/>
      <c r="AS60" s="411"/>
      <c r="AT60" s="412"/>
      <c r="AU60" s="416"/>
      <c r="AV60" s="1"/>
      <c r="AW60" s="36"/>
      <c r="AX60" s="36"/>
      <c r="AY60" s="36"/>
      <c r="AZ60" s="36"/>
      <c r="BA60" s="36"/>
      <c r="BB60" s="36"/>
      <c r="BC60" s="36"/>
    </row>
    <row r="61" ht="195.0" customHeight="1">
      <c r="A61" s="406"/>
      <c r="B61" s="407"/>
      <c r="C61" s="408" t="str">
        <f>RVAT_Output!AW361</f>
        <v>Sanitary facilities </v>
      </c>
      <c r="D61" s="409"/>
      <c r="E61" s="1"/>
      <c r="F61" s="410" t="str">
        <f>RVAT_Output!AZ361</f>
        <v>Low</v>
      </c>
      <c r="G61" s="411"/>
      <c r="H61" s="411"/>
      <c r="I61" s="411"/>
      <c r="J61" s="411"/>
      <c r="K61" s="412"/>
      <c r="L61" s="413" t="str">
        <f>RVAT_Output!BF361</f>
        <v>Low</v>
      </c>
      <c r="M61" s="411"/>
      <c r="N61" s="411"/>
      <c r="O61" s="411"/>
      <c r="P61" s="411"/>
      <c r="Q61" s="412"/>
      <c r="R61" s="404" t="str">
        <f t="shared" si="27"/>
        <v>Not High</v>
      </c>
      <c r="S61" s="414" t="s">
        <v>711</v>
      </c>
      <c r="T61" s="69"/>
      <c r="U61" s="69"/>
      <c r="V61" s="69"/>
      <c r="W61" s="69"/>
      <c r="X61" s="69"/>
      <c r="Y61" s="69"/>
      <c r="Z61" s="178"/>
      <c r="AA61" s="414" t="s">
        <v>712</v>
      </c>
      <c r="AB61" s="69"/>
      <c r="AC61" s="69"/>
      <c r="AD61" s="69"/>
      <c r="AE61" s="69"/>
      <c r="AF61" s="69"/>
      <c r="AG61" s="69"/>
      <c r="AH61" s="178"/>
      <c r="AI61" s="415" t="s">
        <v>713</v>
      </c>
      <c r="AJ61" s="411"/>
      <c r="AK61" s="411"/>
      <c r="AL61" s="411"/>
      <c r="AM61" s="411"/>
      <c r="AN61" s="411"/>
      <c r="AO61" s="411"/>
      <c r="AP61" s="411"/>
      <c r="AQ61" s="411"/>
      <c r="AR61" s="411"/>
      <c r="AS61" s="411"/>
      <c r="AT61" s="412"/>
      <c r="AU61" s="416"/>
      <c r="AV61" s="1"/>
      <c r="AW61" s="36"/>
      <c r="AX61" s="36"/>
      <c r="AY61" s="36"/>
      <c r="AZ61" s="36"/>
      <c r="BA61" s="36"/>
      <c r="BB61" s="36"/>
      <c r="BC61" s="36"/>
    </row>
    <row r="62" ht="258.0" customHeight="1">
      <c r="A62" s="406"/>
      <c r="B62" s="407"/>
      <c r="C62" s="408" t="str">
        <f>RVAT_Output!AW362</f>
        <v>Sewer lines </v>
      </c>
      <c r="D62" s="409"/>
      <c r="E62" s="1"/>
      <c r="F62" s="410" t="str">
        <f>RVAT_Output!AZ362</f>
        <v>Low</v>
      </c>
      <c r="G62" s="411"/>
      <c r="H62" s="411"/>
      <c r="I62" s="411"/>
      <c r="J62" s="411"/>
      <c r="K62" s="412"/>
      <c r="L62" s="413" t="str">
        <f>RVAT_Output!BF362</f>
        <v>Low</v>
      </c>
      <c r="M62" s="411"/>
      <c r="N62" s="411"/>
      <c r="O62" s="411"/>
      <c r="P62" s="411"/>
      <c r="Q62" s="412"/>
      <c r="R62" s="404" t="str">
        <f t="shared" si="27"/>
        <v>Not High</v>
      </c>
      <c r="S62" s="414" t="s">
        <v>714</v>
      </c>
      <c r="T62" s="69"/>
      <c r="U62" s="69"/>
      <c r="V62" s="69"/>
      <c r="W62" s="69"/>
      <c r="X62" s="69"/>
      <c r="Y62" s="69"/>
      <c r="Z62" s="178"/>
      <c r="AA62" s="414" t="s">
        <v>715</v>
      </c>
      <c r="AB62" s="69"/>
      <c r="AC62" s="69"/>
      <c r="AD62" s="69"/>
      <c r="AE62" s="69"/>
      <c r="AF62" s="69"/>
      <c r="AG62" s="69"/>
      <c r="AH62" s="178"/>
      <c r="AI62" s="415" t="s">
        <v>716</v>
      </c>
      <c r="AJ62" s="411"/>
      <c r="AK62" s="411"/>
      <c r="AL62" s="411"/>
      <c r="AM62" s="411"/>
      <c r="AN62" s="411"/>
      <c r="AO62" s="411"/>
      <c r="AP62" s="411"/>
      <c r="AQ62" s="411"/>
      <c r="AR62" s="411"/>
      <c r="AS62" s="411"/>
      <c r="AT62" s="412"/>
      <c r="AU62" s="416"/>
      <c r="AV62" s="1"/>
      <c r="AW62" s="36"/>
      <c r="AX62" s="36"/>
      <c r="AY62" s="36"/>
      <c r="AZ62" s="36"/>
      <c r="BA62" s="36"/>
      <c r="BB62" s="36"/>
      <c r="BC62" s="36"/>
    </row>
    <row r="63" ht="209.25" customHeight="1">
      <c r="A63" s="406"/>
      <c r="B63" s="407"/>
      <c r="C63" s="408" t="str">
        <f>RVAT_Output!AW363</f>
        <v>Power lines/supply</v>
      </c>
      <c r="D63" s="409"/>
      <c r="E63" s="1"/>
      <c r="F63" s="410" t="str">
        <f>RVAT_Output!AZ363</f>
        <v>Low</v>
      </c>
      <c r="G63" s="411"/>
      <c r="H63" s="411"/>
      <c r="I63" s="411"/>
      <c r="J63" s="411"/>
      <c r="K63" s="412"/>
      <c r="L63" s="413" t="str">
        <f>RVAT_Output!BF363</f>
        <v>Low</v>
      </c>
      <c r="M63" s="411"/>
      <c r="N63" s="411"/>
      <c r="O63" s="411"/>
      <c r="P63" s="411"/>
      <c r="Q63" s="412"/>
      <c r="R63" s="404" t="str">
        <f t="shared" si="27"/>
        <v>Not High</v>
      </c>
      <c r="S63" s="414" t="s">
        <v>717</v>
      </c>
      <c r="T63" s="69"/>
      <c r="U63" s="69"/>
      <c r="V63" s="69"/>
      <c r="W63" s="69"/>
      <c r="X63" s="69"/>
      <c r="Y63" s="69"/>
      <c r="Z63" s="178"/>
      <c r="AA63" s="414" t="s">
        <v>718</v>
      </c>
      <c r="AB63" s="69"/>
      <c r="AC63" s="69"/>
      <c r="AD63" s="69"/>
      <c r="AE63" s="69"/>
      <c r="AF63" s="69"/>
      <c r="AG63" s="69"/>
      <c r="AH63" s="178"/>
      <c r="AI63" s="415" t="s">
        <v>719</v>
      </c>
      <c r="AJ63" s="411"/>
      <c r="AK63" s="411"/>
      <c r="AL63" s="411"/>
      <c r="AM63" s="411"/>
      <c r="AN63" s="411"/>
      <c r="AO63" s="411"/>
      <c r="AP63" s="411"/>
      <c r="AQ63" s="411"/>
      <c r="AR63" s="411"/>
      <c r="AS63" s="411"/>
      <c r="AT63" s="412"/>
      <c r="AU63" s="416"/>
      <c r="AV63" s="1"/>
      <c r="AW63" s="36"/>
      <c r="AX63" s="36"/>
      <c r="AY63" s="36"/>
      <c r="AZ63" s="36"/>
      <c r="BA63" s="36"/>
      <c r="BB63" s="36"/>
      <c r="BC63" s="36"/>
    </row>
    <row r="64" ht="378.0" customHeight="1">
      <c r="A64" s="406"/>
      <c r="B64" s="407"/>
      <c r="C64" s="408" t="str">
        <f>RVAT_Output!AW364</f>
        <v>Energy for HH use </v>
      </c>
      <c r="D64" s="409"/>
      <c r="E64" s="1"/>
      <c r="F64" s="410" t="str">
        <f>RVAT_Output!AZ364</f>
        <v>Low</v>
      </c>
      <c r="G64" s="411"/>
      <c r="H64" s="411"/>
      <c r="I64" s="411"/>
      <c r="J64" s="411"/>
      <c r="K64" s="412"/>
      <c r="L64" s="413" t="str">
        <f>RVAT_Output!BF364</f>
        <v>Low</v>
      </c>
      <c r="M64" s="411"/>
      <c r="N64" s="411"/>
      <c r="O64" s="411"/>
      <c r="P64" s="411"/>
      <c r="Q64" s="412"/>
      <c r="R64" s="404" t="str">
        <f t="shared" si="27"/>
        <v>Not High</v>
      </c>
      <c r="S64" s="414" t="s">
        <v>720</v>
      </c>
      <c r="T64" s="69"/>
      <c r="U64" s="69"/>
      <c r="V64" s="69"/>
      <c r="W64" s="69"/>
      <c r="X64" s="69"/>
      <c r="Y64" s="69"/>
      <c r="Z64" s="178"/>
      <c r="AA64" s="414" t="s">
        <v>721</v>
      </c>
      <c r="AB64" s="69"/>
      <c r="AC64" s="69"/>
      <c r="AD64" s="69"/>
      <c r="AE64" s="69"/>
      <c r="AF64" s="69"/>
      <c r="AG64" s="69"/>
      <c r="AH64" s="178"/>
      <c r="AI64" s="415" t="s">
        <v>722</v>
      </c>
      <c r="AJ64" s="411"/>
      <c r="AK64" s="411"/>
      <c r="AL64" s="411"/>
      <c r="AM64" s="411"/>
      <c r="AN64" s="411"/>
      <c r="AO64" s="411"/>
      <c r="AP64" s="411"/>
      <c r="AQ64" s="411"/>
      <c r="AR64" s="411"/>
      <c r="AS64" s="411"/>
      <c r="AT64" s="412"/>
      <c r="AU64" s="416"/>
      <c r="AV64" s="1"/>
      <c r="AW64" s="36"/>
      <c r="AX64" s="36"/>
      <c r="AY64" s="36"/>
      <c r="AZ64" s="36"/>
      <c r="BA64" s="36"/>
      <c r="BB64" s="36"/>
      <c r="BC64" s="36"/>
    </row>
    <row r="65" ht="225.0" customHeight="1">
      <c r="A65" s="406"/>
      <c r="B65" s="407"/>
      <c r="C65" s="408" t="str">
        <f>RVAT_Output!AW365</f>
        <v>Water pipes </v>
      </c>
      <c r="D65" s="409"/>
      <c r="E65" s="1"/>
      <c r="F65" s="410" t="str">
        <f>RVAT_Output!AZ365</f>
        <v>Low</v>
      </c>
      <c r="G65" s="411"/>
      <c r="H65" s="411"/>
      <c r="I65" s="411"/>
      <c r="J65" s="411"/>
      <c r="K65" s="412"/>
      <c r="L65" s="413" t="str">
        <f>RVAT_Output!BF365</f>
        <v>Low</v>
      </c>
      <c r="M65" s="411"/>
      <c r="N65" s="411"/>
      <c r="O65" s="411"/>
      <c r="P65" s="411"/>
      <c r="Q65" s="412"/>
      <c r="R65" s="404" t="str">
        <f t="shared" si="27"/>
        <v>Not High</v>
      </c>
      <c r="S65" s="414" t="s">
        <v>723</v>
      </c>
      <c r="T65" s="69"/>
      <c r="U65" s="69"/>
      <c r="V65" s="69"/>
      <c r="W65" s="69"/>
      <c r="X65" s="69"/>
      <c r="Y65" s="69"/>
      <c r="Z65" s="178"/>
      <c r="AA65" s="414" t="s">
        <v>724</v>
      </c>
      <c r="AB65" s="69"/>
      <c r="AC65" s="69"/>
      <c r="AD65" s="69"/>
      <c r="AE65" s="69"/>
      <c r="AF65" s="69"/>
      <c r="AG65" s="69"/>
      <c r="AH65" s="178"/>
      <c r="AI65" s="415" t="s">
        <v>725</v>
      </c>
      <c r="AJ65" s="411"/>
      <c r="AK65" s="411"/>
      <c r="AL65" s="411"/>
      <c r="AM65" s="411"/>
      <c r="AN65" s="411"/>
      <c r="AO65" s="411"/>
      <c r="AP65" s="411"/>
      <c r="AQ65" s="411"/>
      <c r="AR65" s="411"/>
      <c r="AS65" s="411"/>
      <c r="AT65" s="412"/>
      <c r="AU65" s="416"/>
      <c r="AV65" s="1"/>
      <c r="AW65" s="36"/>
      <c r="AX65" s="36"/>
      <c r="AY65" s="36"/>
      <c r="AZ65" s="36"/>
      <c r="BA65" s="36"/>
      <c r="BB65" s="36"/>
      <c r="BC65" s="36"/>
    </row>
    <row r="66" ht="60.75" customHeight="1">
      <c r="A66" s="406"/>
      <c r="B66" s="407"/>
      <c r="C66" s="408" t="str">
        <f>RVAT_Output!AW366</f>
        <v>PWT</v>
      </c>
      <c r="D66" s="409"/>
      <c r="E66" s="1"/>
      <c r="F66" s="410" t="str">
        <f>RVAT_Output!AZ366</f>
        <v>Low</v>
      </c>
      <c r="G66" s="411"/>
      <c r="H66" s="411"/>
      <c r="I66" s="411"/>
      <c r="J66" s="411"/>
      <c r="K66" s="412"/>
      <c r="L66" s="413" t="str">
        <f>RVAT_Output!BF366</f>
        <v>Low</v>
      </c>
      <c r="M66" s="411"/>
      <c r="N66" s="411"/>
      <c r="O66" s="411"/>
      <c r="P66" s="411"/>
      <c r="Q66" s="412"/>
      <c r="R66" s="404" t="str">
        <f t="shared" si="27"/>
        <v>Not High</v>
      </c>
      <c r="S66" s="414" t="s">
        <v>726</v>
      </c>
      <c r="T66" s="69"/>
      <c r="U66" s="69"/>
      <c r="V66" s="69"/>
      <c r="W66" s="69"/>
      <c r="X66" s="69"/>
      <c r="Y66" s="69"/>
      <c r="Z66" s="178"/>
      <c r="AA66" s="414" t="s">
        <v>727</v>
      </c>
      <c r="AB66" s="69"/>
      <c r="AC66" s="69"/>
      <c r="AD66" s="69"/>
      <c r="AE66" s="69"/>
      <c r="AF66" s="69"/>
      <c r="AG66" s="69"/>
      <c r="AH66" s="178"/>
      <c r="AI66" s="415" t="s">
        <v>728</v>
      </c>
      <c r="AJ66" s="411"/>
      <c r="AK66" s="411"/>
      <c r="AL66" s="411"/>
      <c r="AM66" s="411"/>
      <c r="AN66" s="411"/>
      <c r="AO66" s="411"/>
      <c r="AP66" s="411"/>
      <c r="AQ66" s="411"/>
      <c r="AR66" s="411"/>
      <c r="AS66" s="411"/>
      <c r="AT66" s="412"/>
      <c r="AU66" s="416"/>
      <c r="AV66" s="1"/>
      <c r="AW66" s="36"/>
      <c r="AX66" s="36"/>
      <c r="AY66" s="36"/>
      <c r="AZ66" s="36"/>
      <c r="BA66" s="36"/>
      <c r="BB66" s="36"/>
      <c r="BC66" s="36"/>
    </row>
    <row r="67" ht="130.5" customHeight="1">
      <c r="A67" s="406"/>
      <c r="B67" s="407"/>
      <c r="C67" s="408" t="str">
        <f>RVAT_Output!AW367</f>
        <v>Water Storage</v>
      </c>
      <c r="D67" s="409"/>
      <c r="E67" s="1"/>
      <c r="F67" s="410" t="str">
        <f>RVAT_Output!AZ367</f>
        <v>Low</v>
      </c>
      <c r="G67" s="411"/>
      <c r="H67" s="411"/>
      <c r="I67" s="411"/>
      <c r="J67" s="411"/>
      <c r="K67" s="412"/>
      <c r="L67" s="413" t="str">
        <f>RVAT_Output!BF367</f>
        <v>Low</v>
      </c>
      <c r="M67" s="411"/>
      <c r="N67" s="411"/>
      <c r="O67" s="411"/>
      <c r="P67" s="411"/>
      <c r="Q67" s="412"/>
      <c r="R67" s="404" t="str">
        <f t="shared" si="27"/>
        <v>Not High</v>
      </c>
      <c r="S67" s="414" t="s">
        <v>729</v>
      </c>
      <c r="T67" s="69"/>
      <c r="U67" s="69"/>
      <c r="V67" s="69"/>
      <c r="W67" s="69"/>
      <c r="X67" s="69"/>
      <c r="Y67" s="69"/>
      <c r="Z67" s="178"/>
      <c r="AA67" s="414" t="s">
        <v>730</v>
      </c>
      <c r="AB67" s="69"/>
      <c r="AC67" s="69"/>
      <c r="AD67" s="69"/>
      <c r="AE67" s="69"/>
      <c r="AF67" s="69"/>
      <c r="AG67" s="69"/>
      <c r="AH67" s="178"/>
      <c r="AI67" s="415" t="s">
        <v>731</v>
      </c>
      <c r="AJ67" s="411"/>
      <c r="AK67" s="411"/>
      <c r="AL67" s="411"/>
      <c r="AM67" s="411"/>
      <c r="AN67" s="411"/>
      <c r="AO67" s="411"/>
      <c r="AP67" s="411"/>
      <c r="AQ67" s="411"/>
      <c r="AR67" s="411"/>
      <c r="AS67" s="411"/>
      <c r="AT67" s="412"/>
      <c r="AU67" s="416"/>
      <c r="AV67" s="1"/>
      <c r="AW67" s="36"/>
      <c r="AX67" s="36"/>
      <c r="AY67" s="36"/>
      <c r="AZ67" s="36"/>
      <c r="BA67" s="36"/>
      <c r="BB67" s="36"/>
      <c r="BC67" s="36"/>
    </row>
    <row r="68" ht="408.75" customHeight="1">
      <c r="A68" s="406"/>
      <c r="B68" s="407"/>
      <c r="C68" s="408" t="str">
        <f>RVAT_Output!AW368</f>
        <v>R &amp; T</v>
      </c>
      <c r="D68" s="409"/>
      <c r="E68" s="1"/>
      <c r="F68" s="410" t="str">
        <f>RVAT_Output!AZ368</f>
        <v>Low</v>
      </c>
      <c r="G68" s="411"/>
      <c r="H68" s="411"/>
      <c r="I68" s="411"/>
      <c r="J68" s="411"/>
      <c r="K68" s="412"/>
      <c r="L68" s="413" t="str">
        <f>RVAT_Output!BF368</f>
        <v>Low</v>
      </c>
      <c r="M68" s="411"/>
      <c r="N68" s="411"/>
      <c r="O68" s="411"/>
      <c r="P68" s="411"/>
      <c r="Q68" s="412"/>
      <c r="R68" s="404" t="str">
        <f t="shared" si="27"/>
        <v>Not High</v>
      </c>
      <c r="S68" s="414" t="s">
        <v>732</v>
      </c>
      <c r="T68" s="69"/>
      <c r="U68" s="69"/>
      <c r="V68" s="69"/>
      <c r="W68" s="69"/>
      <c r="X68" s="69"/>
      <c r="Y68" s="69"/>
      <c r="Z68" s="178"/>
      <c r="AA68" s="414" t="s">
        <v>733</v>
      </c>
      <c r="AB68" s="69"/>
      <c r="AC68" s="69"/>
      <c r="AD68" s="69"/>
      <c r="AE68" s="69"/>
      <c r="AF68" s="69"/>
      <c r="AG68" s="69"/>
      <c r="AH68" s="178"/>
      <c r="AI68" s="415" t="s">
        <v>734</v>
      </c>
      <c r="AJ68" s="411"/>
      <c r="AK68" s="411"/>
      <c r="AL68" s="411"/>
      <c r="AM68" s="411"/>
      <c r="AN68" s="411"/>
      <c r="AO68" s="411"/>
      <c r="AP68" s="411"/>
      <c r="AQ68" s="411"/>
      <c r="AR68" s="411"/>
      <c r="AS68" s="411"/>
      <c r="AT68" s="412"/>
      <c r="AU68" s="416"/>
      <c r="AV68" s="1"/>
      <c r="AW68" s="36"/>
      <c r="AX68" s="36"/>
      <c r="AY68" s="36"/>
      <c r="AZ68" s="36"/>
      <c r="BA68" s="36"/>
      <c r="BB68" s="36"/>
      <c r="BC68" s="36"/>
    </row>
    <row r="69" ht="130.5" customHeight="1">
      <c r="A69" s="406"/>
      <c r="B69" s="407"/>
      <c r="C69" s="408" t="str">
        <f>RVAT_Output!AW369</f>
        <v>Communication </v>
      </c>
      <c r="D69" s="409"/>
      <c r="E69" s="1"/>
      <c r="F69" s="410" t="str">
        <f>RVAT_Output!AZ369</f>
        <v>Low</v>
      </c>
      <c r="G69" s="411"/>
      <c r="H69" s="411"/>
      <c r="I69" s="411"/>
      <c r="J69" s="411"/>
      <c r="K69" s="412"/>
      <c r="L69" s="413" t="str">
        <f>RVAT_Output!BF369</f>
        <v>Low</v>
      </c>
      <c r="M69" s="411"/>
      <c r="N69" s="411"/>
      <c r="O69" s="411"/>
      <c r="P69" s="411"/>
      <c r="Q69" s="412"/>
      <c r="R69" s="404" t="str">
        <f t="shared" si="27"/>
        <v>Not High</v>
      </c>
      <c r="S69" s="414" t="s">
        <v>735</v>
      </c>
      <c r="T69" s="69"/>
      <c r="U69" s="69"/>
      <c r="V69" s="69"/>
      <c r="W69" s="69"/>
      <c r="X69" s="69"/>
      <c r="Y69" s="69"/>
      <c r="Z69" s="178"/>
      <c r="AA69" s="414" t="s">
        <v>736</v>
      </c>
      <c r="AB69" s="69"/>
      <c r="AC69" s="69"/>
      <c r="AD69" s="69"/>
      <c r="AE69" s="69"/>
      <c r="AF69" s="69"/>
      <c r="AG69" s="69"/>
      <c r="AH69" s="178"/>
      <c r="AI69" s="415" t="s">
        <v>737</v>
      </c>
      <c r="AJ69" s="411"/>
      <c r="AK69" s="411"/>
      <c r="AL69" s="411"/>
      <c r="AM69" s="411"/>
      <c r="AN69" s="411"/>
      <c r="AO69" s="411"/>
      <c r="AP69" s="411"/>
      <c r="AQ69" s="411"/>
      <c r="AR69" s="411"/>
      <c r="AS69" s="411"/>
      <c r="AT69" s="412"/>
      <c r="AU69" s="416"/>
      <c r="AV69" s="1"/>
      <c r="AW69" s="36"/>
      <c r="AX69" s="36"/>
      <c r="AY69" s="36"/>
      <c r="AZ69" s="36"/>
      <c r="BA69" s="36"/>
      <c r="BB69" s="36"/>
      <c r="BC69" s="36"/>
    </row>
    <row r="70" ht="19.5" customHeight="1">
      <c r="A70" s="1"/>
      <c r="B70" s="400" t="str">
        <f>RVAT_Output!$AV371</f>
        <v>Potable water </v>
      </c>
      <c r="C70" s="401"/>
      <c r="D70" s="402"/>
      <c r="E70" s="1"/>
      <c r="F70" s="403"/>
      <c r="G70" s="401"/>
      <c r="H70" s="401"/>
      <c r="I70" s="401"/>
      <c r="J70" s="401"/>
      <c r="K70" s="401"/>
      <c r="L70" s="401"/>
      <c r="M70" s="401"/>
      <c r="N70" s="401"/>
      <c r="O70" s="401"/>
      <c r="P70" s="401"/>
      <c r="Q70" s="402"/>
      <c r="R70" s="404" t="str">
        <f t="shared" si="27"/>
        <v>Not High</v>
      </c>
      <c r="S70" s="418" t="s">
        <v>647</v>
      </c>
      <c r="T70" s="419"/>
      <c r="U70" s="419"/>
      <c r="V70" s="419"/>
      <c r="W70" s="419"/>
      <c r="X70" s="419"/>
      <c r="Y70" s="419"/>
      <c r="Z70" s="419"/>
      <c r="AA70" s="419"/>
      <c r="AB70" s="419"/>
      <c r="AC70" s="419"/>
      <c r="AD70" s="419"/>
      <c r="AE70" s="419"/>
      <c r="AF70" s="419"/>
      <c r="AG70" s="419"/>
      <c r="AH70" s="419"/>
      <c r="AI70" s="419"/>
      <c r="AJ70" s="419"/>
      <c r="AK70" s="419"/>
      <c r="AL70" s="419"/>
      <c r="AM70" s="419"/>
      <c r="AN70" s="419"/>
      <c r="AO70" s="419"/>
      <c r="AP70" s="419"/>
      <c r="AQ70" s="419"/>
      <c r="AR70" s="419"/>
      <c r="AS70" s="419"/>
      <c r="AT70" s="420"/>
      <c r="AU70" s="1"/>
      <c r="AV70" s="1"/>
      <c r="AW70" s="36"/>
      <c r="AX70" s="36"/>
      <c r="AY70" s="36"/>
      <c r="AZ70" s="36"/>
      <c r="BA70" s="36"/>
      <c r="BB70" s="36"/>
      <c r="BC70" s="36"/>
    </row>
    <row r="71" ht="276.0" customHeight="1">
      <c r="A71" s="406"/>
      <c r="B71" s="407"/>
      <c r="C71" s="408" t="str">
        <f>RVAT_Output!AW371</f>
        <v>Access</v>
      </c>
      <c r="D71" s="409"/>
      <c r="E71" s="1"/>
      <c r="F71" s="410" t="str">
        <f>RVAT_Output!AZ371</f>
        <v>Low</v>
      </c>
      <c r="G71" s="411"/>
      <c r="H71" s="411"/>
      <c r="I71" s="411"/>
      <c r="J71" s="411"/>
      <c r="K71" s="412"/>
      <c r="L71" s="413" t="str">
        <f>RVAT_Output!BF371</f>
        <v>Low</v>
      </c>
      <c r="M71" s="411"/>
      <c r="N71" s="411"/>
      <c r="O71" s="411"/>
      <c r="P71" s="411"/>
      <c r="Q71" s="412"/>
      <c r="R71" s="404" t="str">
        <f t="shared" si="27"/>
        <v>Not High</v>
      </c>
      <c r="S71" s="414" t="s">
        <v>738</v>
      </c>
      <c r="T71" s="69"/>
      <c r="U71" s="69"/>
      <c r="V71" s="69"/>
      <c r="W71" s="69"/>
      <c r="X71" s="69"/>
      <c r="Y71" s="69"/>
      <c r="Z71" s="178"/>
      <c r="AA71" s="414" t="s">
        <v>739</v>
      </c>
      <c r="AB71" s="69"/>
      <c r="AC71" s="69"/>
      <c r="AD71" s="69"/>
      <c r="AE71" s="69"/>
      <c r="AF71" s="69"/>
      <c r="AG71" s="69"/>
      <c r="AH71" s="178"/>
      <c r="AI71" s="415" t="s">
        <v>740</v>
      </c>
      <c r="AJ71" s="411"/>
      <c r="AK71" s="411"/>
      <c r="AL71" s="411"/>
      <c r="AM71" s="411"/>
      <c r="AN71" s="411"/>
      <c r="AO71" s="411"/>
      <c r="AP71" s="411"/>
      <c r="AQ71" s="411"/>
      <c r="AR71" s="411"/>
      <c r="AS71" s="411"/>
      <c r="AT71" s="412"/>
      <c r="AU71" s="416"/>
      <c r="AV71" s="1"/>
      <c r="AW71" s="36"/>
      <c r="AX71" s="36"/>
      <c r="AY71" s="36"/>
      <c r="AZ71" s="36"/>
      <c r="BA71" s="36"/>
      <c r="BB71" s="36"/>
      <c r="BC71" s="36"/>
    </row>
    <row r="72" ht="141.75" customHeight="1">
      <c r="A72" s="406"/>
      <c r="B72" s="407"/>
      <c r="C72" s="408" t="str">
        <f>RVAT_Output!AW372</f>
        <v>Scarcities </v>
      </c>
      <c r="D72" s="409"/>
      <c r="E72" s="1"/>
      <c r="F72" s="410" t="str">
        <f>RVAT_Output!AZ372</f>
        <v>Low</v>
      </c>
      <c r="G72" s="411"/>
      <c r="H72" s="411"/>
      <c r="I72" s="411"/>
      <c r="J72" s="411"/>
      <c r="K72" s="412"/>
      <c r="L72" s="413" t="str">
        <f>RVAT_Output!BF372</f>
        <v>Low</v>
      </c>
      <c r="M72" s="411"/>
      <c r="N72" s="411"/>
      <c r="O72" s="411"/>
      <c r="P72" s="411"/>
      <c r="Q72" s="412"/>
      <c r="R72" s="404" t="str">
        <f t="shared" si="27"/>
        <v>Not High</v>
      </c>
      <c r="S72" s="414" t="s">
        <v>741</v>
      </c>
      <c r="T72" s="69"/>
      <c r="U72" s="69"/>
      <c r="V72" s="69"/>
      <c r="W72" s="69"/>
      <c r="X72" s="69"/>
      <c r="Y72" s="69"/>
      <c r="Z72" s="178"/>
      <c r="AA72" s="414" t="s">
        <v>742</v>
      </c>
      <c r="AB72" s="69"/>
      <c r="AC72" s="69"/>
      <c r="AD72" s="69"/>
      <c r="AE72" s="69"/>
      <c r="AF72" s="69"/>
      <c r="AG72" s="69"/>
      <c r="AH72" s="178"/>
      <c r="AI72" s="415" t="s">
        <v>743</v>
      </c>
      <c r="AJ72" s="411"/>
      <c r="AK72" s="411"/>
      <c r="AL72" s="411"/>
      <c r="AM72" s="411"/>
      <c r="AN72" s="411"/>
      <c r="AO72" s="411"/>
      <c r="AP72" s="411"/>
      <c r="AQ72" s="411"/>
      <c r="AR72" s="411"/>
      <c r="AS72" s="411"/>
      <c r="AT72" s="412"/>
      <c r="AU72" s="416"/>
      <c r="AV72" s="1"/>
      <c r="AW72" s="36"/>
      <c r="AX72" s="36"/>
      <c r="AY72" s="36"/>
      <c r="AZ72" s="36"/>
      <c r="BA72" s="36"/>
      <c r="BB72" s="36"/>
      <c r="BC72" s="36"/>
    </row>
    <row r="73" ht="224.25" customHeight="1">
      <c r="A73" s="406"/>
      <c r="B73" s="407"/>
      <c r="C73" s="408" t="str">
        <f>RVAT_Output!AW373</f>
        <v>Quality</v>
      </c>
      <c r="D73" s="409"/>
      <c r="E73" s="1"/>
      <c r="F73" s="410" t="str">
        <f>RVAT_Output!AZ373</f>
        <v>Low</v>
      </c>
      <c r="G73" s="411"/>
      <c r="H73" s="411"/>
      <c r="I73" s="411"/>
      <c r="J73" s="411"/>
      <c r="K73" s="412"/>
      <c r="L73" s="413" t="str">
        <f>RVAT_Output!BF373</f>
        <v>Low</v>
      </c>
      <c r="M73" s="411"/>
      <c r="N73" s="411"/>
      <c r="O73" s="411"/>
      <c r="P73" s="411"/>
      <c r="Q73" s="412"/>
      <c r="R73" s="404" t="str">
        <f t="shared" si="27"/>
        <v>Not High</v>
      </c>
      <c r="S73" s="414" t="s">
        <v>744</v>
      </c>
      <c r="T73" s="69"/>
      <c r="U73" s="69"/>
      <c r="V73" s="69"/>
      <c r="W73" s="69"/>
      <c r="X73" s="69"/>
      <c r="Y73" s="69"/>
      <c r="Z73" s="178"/>
      <c r="AA73" s="414" t="s">
        <v>745</v>
      </c>
      <c r="AB73" s="69"/>
      <c r="AC73" s="69"/>
      <c r="AD73" s="69"/>
      <c r="AE73" s="69"/>
      <c r="AF73" s="69"/>
      <c r="AG73" s="69"/>
      <c r="AH73" s="178"/>
      <c r="AI73" s="415" t="s">
        <v>746</v>
      </c>
      <c r="AJ73" s="411"/>
      <c r="AK73" s="411"/>
      <c r="AL73" s="411"/>
      <c r="AM73" s="411"/>
      <c r="AN73" s="411"/>
      <c r="AO73" s="411"/>
      <c r="AP73" s="411"/>
      <c r="AQ73" s="411"/>
      <c r="AR73" s="411"/>
      <c r="AS73" s="411"/>
      <c r="AT73" s="412"/>
      <c r="AU73" s="416"/>
      <c r="AV73" s="1"/>
      <c r="AW73" s="36"/>
      <c r="AX73" s="36"/>
      <c r="AY73" s="36"/>
      <c r="AZ73" s="36"/>
      <c r="BA73" s="36"/>
      <c r="BB73" s="36"/>
      <c r="BC73" s="36"/>
    </row>
    <row r="74" ht="19.5" customHeight="1">
      <c r="A74" s="1"/>
      <c r="B74" s="400" t="str">
        <f>RVAT_Output!$AV375</f>
        <v>EBS</v>
      </c>
      <c r="C74" s="401"/>
      <c r="D74" s="402"/>
      <c r="E74" s="1"/>
      <c r="F74" s="403"/>
      <c r="G74" s="401"/>
      <c r="H74" s="401"/>
      <c r="I74" s="401"/>
      <c r="J74" s="401"/>
      <c r="K74" s="401"/>
      <c r="L74" s="401"/>
      <c r="M74" s="401"/>
      <c r="N74" s="401"/>
      <c r="O74" s="401"/>
      <c r="P74" s="401"/>
      <c r="Q74" s="402"/>
      <c r="R74" s="404" t="str">
        <f t="shared" si="27"/>
        <v>Not High</v>
      </c>
      <c r="S74" s="418" t="s">
        <v>647</v>
      </c>
      <c r="T74" s="419"/>
      <c r="U74" s="419"/>
      <c r="V74" s="419"/>
      <c r="W74" s="419"/>
      <c r="X74" s="419"/>
      <c r="Y74" s="419"/>
      <c r="Z74" s="419"/>
      <c r="AA74" s="419"/>
      <c r="AB74" s="419"/>
      <c r="AC74" s="419"/>
      <c r="AD74" s="419"/>
      <c r="AE74" s="419"/>
      <c r="AF74" s="419"/>
      <c r="AG74" s="419"/>
      <c r="AH74" s="419"/>
      <c r="AI74" s="419"/>
      <c r="AJ74" s="419"/>
      <c r="AK74" s="419"/>
      <c r="AL74" s="419"/>
      <c r="AM74" s="419"/>
      <c r="AN74" s="419"/>
      <c r="AO74" s="419"/>
      <c r="AP74" s="419"/>
      <c r="AQ74" s="419"/>
      <c r="AR74" s="419"/>
      <c r="AS74" s="419"/>
      <c r="AT74" s="420"/>
      <c r="AU74" s="1"/>
      <c r="AV74" s="1"/>
      <c r="AW74" s="36"/>
      <c r="AX74" s="36"/>
      <c r="AY74" s="36"/>
      <c r="AZ74" s="36"/>
      <c r="BA74" s="36"/>
      <c r="BB74" s="36"/>
      <c r="BC74" s="36"/>
    </row>
    <row r="75" ht="117.75" customHeight="1">
      <c r="A75" s="406"/>
      <c r="B75" s="407"/>
      <c r="C75" s="408" t="str">
        <f>RVAT_Output!AW375</f>
        <v>Soil </v>
      </c>
      <c r="D75" s="409"/>
      <c r="E75" s="1"/>
      <c r="F75" s="410" t="str">
        <f>RVAT_Output!AZ375</f>
        <v>Low</v>
      </c>
      <c r="G75" s="411"/>
      <c r="H75" s="411"/>
      <c r="I75" s="411"/>
      <c r="J75" s="411"/>
      <c r="K75" s="412"/>
      <c r="L75" s="413" t="str">
        <f>RVAT_Output!BF375</f>
        <v>Low</v>
      </c>
      <c r="M75" s="411"/>
      <c r="N75" s="411"/>
      <c r="O75" s="411"/>
      <c r="P75" s="411"/>
      <c r="Q75" s="412"/>
      <c r="R75" s="404" t="str">
        <f t="shared" si="27"/>
        <v>Not High</v>
      </c>
      <c r="S75" s="414" t="s">
        <v>747</v>
      </c>
      <c r="T75" s="69"/>
      <c r="U75" s="69"/>
      <c r="V75" s="69"/>
      <c r="W75" s="69"/>
      <c r="X75" s="69"/>
      <c r="Y75" s="69"/>
      <c r="Z75" s="178"/>
      <c r="AA75" s="414" t="s">
        <v>748</v>
      </c>
      <c r="AB75" s="69"/>
      <c r="AC75" s="69"/>
      <c r="AD75" s="69"/>
      <c r="AE75" s="69"/>
      <c r="AF75" s="69"/>
      <c r="AG75" s="69"/>
      <c r="AH75" s="178"/>
      <c r="AI75" s="415" t="s">
        <v>749</v>
      </c>
      <c r="AJ75" s="411"/>
      <c r="AK75" s="411"/>
      <c r="AL75" s="411"/>
      <c r="AM75" s="411"/>
      <c r="AN75" s="411"/>
      <c r="AO75" s="411"/>
      <c r="AP75" s="411"/>
      <c r="AQ75" s="411"/>
      <c r="AR75" s="411"/>
      <c r="AS75" s="411"/>
      <c r="AT75" s="412"/>
      <c r="AU75" s="416"/>
      <c r="AV75" s="1"/>
      <c r="AW75" s="36"/>
      <c r="AX75" s="36"/>
      <c r="AY75" s="36"/>
      <c r="AZ75" s="36"/>
      <c r="BA75" s="36"/>
      <c r="BB75" s="36"/>
      <c r="BC75" s="36"/>
    </row>
    <row r="76" ht="118.5" customHeight="1">
      <c r="A76" s="406"/>
      <c r="B76" s="407"/>
      <c r="C76" s="408" t="str">
        <f>RVAT_Output!AW376</f>
        <v>LC &amp; P</v>
      </c>
      <c r="D76" s="409"/>
      <c r="E76" s="1"/>
      <c r="F76" s="410" t="str">
        <f>RVAT_Output!AZ376</f>
        <v>Low</v>
      </c>
      <c r="G76" s="411"/>
      <c r="H76" s="411"/>
      <c r="I76" s="411"/>
      <c r="J76" s="411"/>
      <c r="K76" s="412"/>
      <c r="L76" s="413" t="str">
        <f>RVAT_Output!BF376</f>
        <v>Low</v>
      </c>
      <c r="M76" s="411"/>
      <c r="N76" s="411"/>
      <c r="O76" s="411"/>
      <c r="P76" s="411"/>
      <c r="Q76" s="412"/>
      <c r="R76" s="404" t="str">
        <f t="shared" si="27"/>
        <v>Not High</v>
      </c>
      <c r="S76" s="414" t="s">
        <v>750</v>
      </c>
      <c r="T76" s="69"/>
      <c r="U76" s="69"/>
      <c r="V76" s="69"/>
      <c r="W76" s="69"/>
      <c r="X76" s="69"/>
      <c r="Y76" s="69"/>
      <c r="Z76" s="178"/>
      <c r="AA76" s="414" t="s">
        <v>751</v>
      </c>
      <c r="AB76" s="69"/>
      <c r="AC76" s="69"/>
      <c r="AD76" s="69"/>
      <c r="AE76" s="69"/>
      <c r="AF76" s="69"/>
      <c r="AG76" s="69"/>
      <c r="AH76" s="178"/>
      <c r="AI76" s="415" t="s">
        <v>752</v>
      </c>
      <c r="AJ76" s="411"/>
      <c r="AK76" s="411"/>
      <c r="AL76" s="411"/>
      <c r="AM76" s="411"/>
      <c r="AN76" s="411"/>
      <c r="AO76" s="411"/>
      <c r="AP76" s="411"/>
      <c r="AQ76" s="411"/>
      <c r="AR76" s="411"/>
      <c r="AS76" s="411"/>
      <c r="AT76" s="412"/>
      <c r="AU76" s="416"/>
      <c r="AV76" s="1"/>
      <c r="AW76" s="36"/>
      <c r="AX76" s="36"/>
      <c r="AY76" s="36"/>
      <c r="AZ76" s="36"/>
      <c r="BA76" s="36"/>
      <c r="BB76" s="36"/>
      <c r="BC76" s="36"/>
    </row>
    <row r="77" ht="92.25" customHeight="1">
      <c r="A77" s="406"/>
      <c r="B77" s="407"/>
      <c r="C77" s="408" t="str">
        <f>RVAT_Output!AW377</f>
        <v>NV</v>
      </c>
      <c r="D77" s="409"/>
      <c r="E77" s="1"/>
      <c r="F77" s="410" t="str">
        <f>RVAT_Output!AZ377</f>
        <v>Low</v>
      </c>
      <c r="G77" s="411"/>
      <c r="H77" s="411"/>
      <c r="I77" s="411"/>
      <c r="J77" s="411"/>
      <c r="K77" s="412"/>
      <c r="L77" s="413" t="str">
        <f>RVAT_Output!BF377</f>
        <v>Low</v>
      </c>
      <c r="M77" s="411"/>
      <c r="N77" s="411"/>
      <c r="O77" s="411"/>
      <c r="P77" s="411"/>
      <c r="Q77" s="412"/>
      <c r="R77" s="404" t="str">
        <f t="shared" si="27"/>
        <v>Not High</v>
      </c>
      <c r="S77" s="414" t="s">
        <v>753</v>
      </c>
      <c r="T77" s="69"/>
      <c r="U77" s="69"/>
      <c r="V77" s="69"/>
      <c r="W77" s="69"/>
      <c r="X77" s="69"/>
      <c r="Y77" s="69"/>
      <c r="Z77" s="178"/>
      <c r="AA77" s="414" t="s">
        <v>754</v>
      </c>
      <c r="AB77" s="69"/>
      <c r="AC77" s="69"/>
      <c r="AD77" s="69"/>
      <c r="AE77" s="69"/>
      <c r="AF77" s="69"/>
      <c r="AG77" s="69"/>
      <c r="AH77" s="178"/>
      <c r="AI77" s="415" t="s">
        <v>755</v>
      </c>
      <c r="AJ77" s="411"/>
      <c r="AK77" s="411"/>
      <c r="AL77" s="411"/>
      <c r="AM77" s="411"/>
      <c r="AN77" s="411"/>
      <c r="AO77" s="411"/>
      <c r="AP77" s="411"/>
      <c r="AQ77" s="411"/>
      <c r="AR77" s="411"/>
      <c r="AS77" s="411"/>
      <c r="AT77" s="412"/>
      <c r="AU77" s="416"/>
      <c r="AV77" s="1"/>
      <c r="AW77" s="36"/>
      <c r="AX77" s="36"/>
      <c r="AY77" s="36"/>
      <c r="AZ77" s="36"/>
      <c r="BA77" s="36"/>
      <c r="BB77" s="36"/>
      <c r="BC77" s="36"/>
    </row>
    <row r="78" ht="144.75" customHeight="1">
      <c r="A78" s="406"/>
      <c r="B78" s="407"/>
      <c r="C78" s="408" t="str">
        <f>RVAT_Output!AW378</f>
        <v>Wetland </v>
      </c>
      <c r="D78" s="409"/>
      <c r="E78" s="1"/>
      <c r="F78" s="410" t="str">
        <f>RVAT_Output!AZ378</f>
        <v>Low</v>
      </c>
      <c r="G78" s="411"/>
      <c r="H78" s="411"/>
      <c r="I78" s="411"/>
      <c r="J78" s="411"/>
      <c r="K78" s="412"/>
      <c r="L78" s="413" t="str">
        <f>RVAT_Output!BF378</f>
        <v>Low</v>
      </c>
      <c r="M78" s="411"/>
      <c r="N78" s="411"/>
      <c r="O78" s="411"/>
      <c r="P78" s="411"/>
      <c r="Q78" s="412"/>
      <c r="R78" s="404" t="str">
        <f t="shared" si="27"/>
        <v>Not High</v>
      </c>
      <c r="S78" s="414" t="s">
        <v>756</v>
      </c>
      <c r="T78" s="69"/>
      <c r="U78" s="69"/>
      <c r="V78" s="69"/>
      <c r="W78" s="69"/>
      <c r="X78" s="69"/>
      <c r="Y78" s="69"/>
      <c r="Z78" s="178"/>
      <c r="AA78" s="414" t="s">
        <v>757</v>
      </c>
      <c r="AB78" s="69"/>
      <c r="AC78" s="69"/>
      <c r="AD78" s="69"/>
      <c r="AE78" s="69"/>
      <c r="AF78" s="69"/>
      <c r="AG78" s="69"/>
      <c r="AH78" s="178"/>
      <c r="AI78" s="415" t="s">
        <v>758</v>
      </c>
      <c r="AJ78" s="411"/>
      <c r="AK78" s="411"/>
      <c r="AL78" s="411"/>
      <c r="AM78" s="411"/>
      <c r="AN78" s="411"/>
      <c r="AO78" s="411"/>
      <c r="AP78" s="411"/>
      <c r="AQ78" s="411"/>
      <c r="AR78" s="411"/>
      <c r="AS78" s="411"/>
      <c r="AT78" s="412"/>
      <c r="AU78" s="416"/>
      <c r="AV78" s="1"/>
      <c r="AW78" s="36"/>
      <c r="AX78" s="36"/>
      <c r="AY78" s="36"/>
      <c r="AZ78" s="36"/>
      <c r="BA78" s="36"/>
      <c r="BB78" s="36"/>
      <c r="BC78" s="36"/>
    </row>
    <row r="79" ht="99.0" customHeight="1">
      <c r="A79" s="406"/>
      <c r="B79" s="407"/>
      <c r="C79" s="408" t="str">
        <f>RVAT_Output!AW379</f>
        <v>Biodiversity</v>
      </c>
      <c r="D79" s="409"/>
      <c r="E79" s="1"/>
      <c r="F79" s="410" t="str">
        <f>RVAT_Output!AZ379</f>
        <v>Low</v>
      </c>
      <c r="G79" s="411"/>
      <c r="H79" s="411"/>
      <c r="I79" s="411"/>
      <c r="J79" s="411"/>
      <c r="K79" s="412"/>
      <c r="L79" s="413" t="str">
        <f>RVAT_Output!BF379</f>
        <v>Low</v>
      </c>
      <c r="M79" s="411"/>
      <c r="N79" s="411"/>
      <c r="O79" s="411"/>
      <c r="P79" s="411"/>
      <c r="Q79" s="412"/>
      <c r="R79" s="404" t="str">
        <f t="shared" si="27"/>
        <v>Not High</v>
      </c>
      <c r="S79" s="414" t="s">
        <v>759</v>
      </c>
      <c r="T79" s="69"/>
      <c r="U79" s="69"/>
      <c r="V79" s="69"/>
      <c r="W79" s="69"/>
      <c r="X79" s="69"/>
      <c r="Y79" s="69"/>
      <c r="Z79" s="178"/>
      <c r="AA79" s="414" t="s">
        <v>760</v>
      </c>
      <c r="AB79" s="69"/>
      <c r="AC79" s="69"/>
      <c r="AD79" s="69"/>
      <c r="AE79" s="69"/>
      <c r="AF79" s="69"/>
      <c r="AG79" s="69"/>
      <c r="AH79" s="178"/>
      <c r="AI79" s="415" t="s">
        <v>761</v>
      </c>
      <c r="AJ79" s="411"/>
      <c r="AK79" s="411"/>
      <c r="AL79" s="411"/>
      <c r="AM79" s="411"/>
      <c r="AN79" s="411"/>
      <c r="AO79" s="411"/>
      <c r="AP79" s="411"/>
      <c r="AQ79" s="411"/>
      <c r="AR79" s="411"/>
      <c r="AS79" s="411"/>
      <c r="AT79" s="412"/>
      <c r="AU79" s="416"/>
      <c r="AV79" s="1"/>
      <c r="AW79" s="36"/>
      <c r="AX79" s="36"/>
      <c r="AY79" s="36"/>
      <c r="AZ79" s="36"/>
      <c r="BA79" s="36"/>
      <c r="BB79" s="36"/>
      <c r="BC79" s="36"/>
    </row>
    <row r="80" ht="234.0" customHeight="1">
      <c r="A80" s="406"/>
      <c r="B80" s="407"/>
      <c r="C80" s="408" t="str">
        <f>RVAT_Output!AW380</f>
        <v>NWB</v>
      </c>
      <c r="D80" s="409"/>
      <c r="E80" s="1"/>
      <c r="F80" s="410" t="str">
        <f>RVAT_Output!AZ380</f>
        <v>Low</v>
      </c>
      <c r="G80" s="411"/>
      <c r="H80" s="411"/>
      <c r="I80" s="411"/>
      <c r="J80" s="411"/>
      <c r="K80" s="412"/>
      <c r="L80" s="413" t="str">
        <f>RVAT_Output!BF380</f>
        <v>Low</v>
      </c>
      <c r="M80" s="411"/>
      <c r="N80" s="411"/>
      <c r="O80" s="411"/>
      <c r="P80" s="411"/>
      <c r="Q80" s="412"/>
      <c r="R80" s="404" t="str">
        <f t="shared" si="27"/>
        <v>Not High</v>
      </c>
      <c r="S80" s="414" t="s">
        <v>762</v>
      </c>
      <c r="T80" s="69"/>
      <c r="U80" s="69"/>
      <c r="V80" s="69"/>
      <c r="W80" s="69"/>
      <c r="X80" s="69"/>
      <c r="Y80" s="69"/>
      <c r="Z80" s="178"/>
      <c r="AA80" s="414" t="s">
        <v>763</v>
      </c>
      <c r="AB80" s="69"/>
      <c r="AC80" s="69"/>
      <c r="AD80" s="69"/>
      <c r="AE80" s="69"/>
      <c r="AF80" s="69"/>
      <c r="AG80" s="69"/>
      <c r="AH80" s="178"/>
      <c r="AI80" s="415" t="s">
        <v>764</v>
      </c>
      <c r="AJ80" s="411"/>
      <c r="AK80" s="411"/>
      <c r="AL80" s="411"/>
      <c r="AM80" s="411"/>
      <c r="AN80" s="411"/>
      <c r="AO80" s="411"/>
      <c r="AP80" s="411"/>
      <c r="AQ80" s="411"/>
      <c r="AR80" s="411"/>
      <c r="AS80" s="411"/>
      <c r="AT80" s="412"/>
      <c r="AU80" s="416"/>
      <c r="AV80" s="1"/>
      <c r="AW80" s="36"/>
      <c r="AX80" s="36"/>
      <c r="AY80" s="36"/>
      <c r="AZ80" s="36"/>
      <c r="BA80" s="36"/>
      <c r="BB80" s="36"/>
      <c r="BC80" s="36"/>
    </row>
    <row r="81" ht="84.0" customHeight="1">
      <c r="A81" s="406"/>
      <c r="B81" s="407"/>
      <c r="C81" s="408" t="str">
        <f>RVAT_Output!AW381</f>
        <v>Sea</v>
      </c>
      <c r="D81" s="409"/>
      <c r="E81" s="1"/>
      <c r="F81" s="410" t="str">
        <f>RVAT_Output!AZ381</f>
        <v>Low</v>
      </c>
      <c r="G81" s="411"/>
      <c r="H81" s="411"/>
      <c r="I81" s="411"/>
      <c r="J81" s="411"/>
      <c r="K81" s="412"/>
      <c r="L81" s="413" t="str">
        <f>RVAT_Output!BF381</f>
        <v>Low</v>
      </c>
      <c r="M81" s="411"/>
      <c r="N81" s="411"/>
      <c r="O81" s="411"/>
      <c r="P81" s="411"/>
      <c r="Q81" s="412"/>
      <c r="R81" s="404" t="str">
        <f t="shared" si="27"/>
        <v>Not High</v>
      </c>
      <c r="S81" s="414" t="s">
        <v>765</v>
      </c>
      <c r="T81" s="69"/>
      <c r="U81" s="69"/>
      <c r="V81" s="69"/>
      <c r="W81" s="69"/>
      <c r="X81" s="69"/>
      <c r="Y81" s="69"/>
      <c r="Z81" s="178"/>
      <c r="AA81" s="414" t="s">
        <v>766</v>
      </c>
      <c r="AB81" s="69"/>
      <c r="AC81" s="69"/>
      <c r="AD81" s="69"/>
      <c r="AE81" s="69"/>
      <c r="AF81" s="69"/>
      <c r="AG81" s="69"/>
      <c r="AH81" s="178"/>
      <c r="AI81" s="415" t="s">
        <v>767</v>
      </c>
      <c r="AJ81" s="411"/>
      <c r="AK81" s="411"/>
      <c r="AL81" s="411"/>
      <c r="AM81" s="411"/>
      <c r="AN81" s="411"/>
      <c r="AO81" s="411"/>
      <c r="AP81" s="411"/>
      <c r="AQ81" s="411"/>
      <c r="AR81" s="411"/>
      <c r="AS81" s="411"/>
      <c r="AT81" s="412"/>
      <c r="AU81" s="416"/>
      <c r="AV81" s="1"/>
      <c r="AW81" s="36"/>
      <c r="AX81" s="36"/>
      <c r="AY81" s="36"/>
      <c r="AZ81" s="36"/>
      <c r="BA81" s="36"/>
      <c r="BB81" s="36"/>
      <c r="BC81" s="36"/>
    </row>
    <row r="82" ht="132.0" customHeight="1">
      <c r="A82" s="406"/>
      <c r="B82" s="407"/>
      <c r="C82" s="408" t="str">
        <f>RVAT_Output!AW382</f>
        <v>EF</v>
      </c>
      <c r="D82" s="409"/>
      <c r="E82" s="1"/>
      <c r="F82" s="410" t="str">
        <f>RVAT_Output!AZ382</f>
        <v>Low</v>
      </c>
      <c r="G82" s="411"/>
      <c r="H82" s="411"/>
      <c r="I82" s="411"/>
      <c r="J82" s="411"/>
      <c r="K82" s="412"/>
      <c r="L82" s="413" t="str">
        <f>RVAT_Output!BF382</f>
        <v>Low</v>
      </c>
      <c r="M82" s="411"/>
      <c r="N82" s="411"/>
      <c r="O82" s="411"/>
      <c r="P82" s="411"/>
      <c r="Q82" s="412"/>
      <c r="R82" s="404" t="str">
        <f t="shared" si="27"/>
        <v>Not High</v>
      </c>
      <c r="S82" s="414" t="s">
        <v>768</v>
      </c>
      <c r="T82" s="69"/>
      <c r="U82" s="69"/>
      <c r="V82" s="69"/>
      <c r="W82" s="69"/>
      <c r="X82" s="69"/>
      <c r="Y82" s="69"/>
      <c r="Z82" s="178"/>
      <c r="AA82" s="414" t="s">
        <v>769</v>
      </c>
      <c r="AB82" s="69"/>
      <c r="AC82" s="69"/>
      <c r="AD82" s="69"/>
      <c r="AE82" s="69"/>
      <c r="AF82" s="69"/>
      <c r="AG82" s="69"/>
      <c r="AH82" s="178"/>
      <c r="AI82" s="415" t="s">
        <v>770</v>
      </c>
      <c r="AJ82" s="411"/>
      <c r="AK82" s="411"/>
      <c r="AL82" s="411"/>
      <c r="AM82" s="411"/>
      <c r="AN82" s="411"/>
      <c r="AO82" s="411"/>
      <c r="AP82" s="411"/>
      <c r="AQ82" s="411"/>
      <c r="AR82" s="411"/>
      <c r="AS82" s="411"/>
      <c r="AT82" s="412"/>
      <c r="AU82" s="416"/>
      <c r="AV82" s="1"/>
      <c r="AW82" s="36"/>
      <c r="AX82" s="36"/>
      <c r="AY82" s="36"/>
      <c r="AZ82" s="36"/>
      <c r="BA82" s="36"/>
      <c r="BB82" s="36"/>
      <c r="BC82" s="36"/>
    </row>
    <row r="83" ht="380.25" customHeight="1">
      <c r="A83" s="406"/>
      <c r="B83" s="407"/>
      <c r="C83" s="408" t="str">
        <f>RVAT_Output!AW383</f>
        <v>Land use </v>
      </c>
      <c r="D83" s="409"/>
      <c r="E83" s="1"/>
      <c r="F83" s="410" t="str">
        <f>RVAT_Output!AZ383</f>
        <v>Low</v>
      </c>
      <c r="G83" s="411"/>
      <c r="H83" s="411"/>
      <c r="I83" s="411"/>
      <c r="J83" s="411"/>
      <c r="K83" s="412"/>
      <c r="L83" s="413" t="str">
        <f>RVAT_Output!BF383</f>
        <v>Low</v>
      </c>
      <c r="M83" s="411"/>
      <c r="N83" s="411"/>
      <c r="O83" s="411"/>
      <c r="P83" s="411"/>
      <c r="Q83" s="412"/>
      <c r="R83" s="404" t="str">
        <f t="shared" si="27"/>
        <v>Not High</v>
      </c>
      <c r="S83" s="414" t="s">
        <v>771</v>
      </c>
      <c r="T83" s="69"/>
      <c r="U83" s="69"/>
      <c r="V83" s="69"/>
      <c r="W83" s="69"/>
      <c r="X83" s="69"/>
      <c r="Y83" s="69"/>
      <c r="Z83" s="178"/>
      <c r="AA83" s="414" t="s">
        <v>772</v>
      </c>
      <c r="AB83" s="69"/>
      <c r="AC83" s="69"/>
      <c r="AD83" s="69"/>
      <c r="AE83" s="69"/>
      <c r="AF83" s="69"/>
      <c r="AG83" s="69"/>
      <c r="AH83" s="178"/>
      <c r="AI83" s="415" t="s">
        <v>773</v>
      </c>
      <c r="AJ83" s="411"/>
      <c r="AK83" s="411"/>
      <c r="AL83" s="411"/>
      <c r="AM83" s="411"/>
      <c r="AN83" s="411"/>
      <c r="AO83" s="411"/>
      <c r="AP83" s="411"/>
      <c r="AQ83" s="411"/>
      <c r="AR83" s="411"/>
      <c r="AS83" s="411"/>
      <c r="AT83" s="412"/>
      <c r="AU83" s="416"/>
      <c r="AV83" s="1"/>
      <c r="AW83" s="36"/>
      <c r="AX83" s="36"/>
      <c r="AY83" s="36"/>
      <c r="AZ83" s="36"/>
      <c r="BA83" s="36"/>
      <c r="BB83" s="36"/>
      <c r="BC83" s="36"/>
    </row>
    <row r="84" ht="108.0" customHeight="1">
      <c r="A84" s="406"/>
      <c r="B84" s="407"/>
      <c r="C84" s="408" t="str">
        <f>RVAT_Output!AW384</f>
        <v>Topography</v>
      </c>
      <c r="D84" s="409"/>
      <c r="E84" s="1"/>
      <c r="F84" s="410" t="str">
        <f>RVAT_Output!AZ384</f>
        <v>Low</v>
      </c>
      <c r="G84" s="411"/>
      <c r="H84" s="411"/>
      <c r="I84" s="411"/>
      <c r="J84" s="411"/>
      <c r="K84" s="412"/>
      <c r="L84" s="413" t="str">
        <f>RVAT_Output!BF384</f>
        <v>Low</v>
      </c>
      <c r="M84" s="411"/>
      <c r="N84" s="411"/>
      <c r="O84" s="411"/>
      <c r="P84" s="411"/>
      <c r="Q84" s="412"/>
      <c r="R84" s="404" t="str">
        <f t="shared" si="27"/>
        <v>Not High</v>
      </c>
      <c r="S84" s="414" t="s">
        <v>774</v>
      </c>
      <c r="T84" s="69"/>
      <c r="U84" s="69"/>
      <c r="V84" s="69"/>
      <c r="W84" s="69"/>
      <c r="X84" s="69"/>
      <c r="Y84" s="69"/>
      <c r="Z84" s="178"/>
      <c r="AA84" s="414" t="s">
        <v>775</v>
      </c>
      <c r="AB84" s="69"/>
      <c r="AC84" s="69"/>
      <c r="AD84" s="69"/>
      <c r="AE84" s="69"/>
      <c r="AF84" s="69"/>
      <c r="AG84" s="69"/>
      <c r="AH84" s="178"/>
      <c r="AI84" s="415" t="s">
        <v>776</v>
      </c>
      <c r="AJ84" s="411"/>
      <c r="AK84" s="411"/>
      <c r="AL84" s="411"/>
      <c r="AM84" s="411"/>
      <c r="AN84" s="411"/>
      <c r="AO84" s="411"/>
      <c r="AP84" s="411"/>
      <c r="AQ84" s="411"/>
      <c r="AR84" s="411"/>
      <c r="AS84" s="411"/>
      <c r="AT84" s="412"/>
      <c r="AU84" s="416"/>
      <c r="AV84" s="1"/>
      <c r="AW84" s="36"/>
      <c r="AX84" s="36"/>
      <c r="AY84" s="36"/>
      <c r="AZ84" s="36"/>
      <c r="BA84" s="36"/>
      <c r="BB84" s="36"/>
      <c r="BC84" s="36"/>
    </row>
    <row r="85" ht="19.5" customHeight="1">
      <c r="A85" s="1"/>
      <c r="B85" s="400" t="str">
        <f>RVAT_Output!$AV386</f>
        <v>Institutions</v>
      </c>
      <c r="C85" s="401"/>
      <c r="D85" s="402"/>
      <c r="E85" s="1"/>
      <c r="F85" s="403"/>
      <c r="G85" s="401"/>
      <c r="H85" s="401"/>
      <c r="I85" s="401"/>
      <c r="J85" s="401"/>
      <c r="K85" s="401"/>
      <c r="L85" s="401"/>
      <c r="M85" s="401"/>
      <c r="N85" s="401"/>
      <c r="O85" s="401"/>
      <c r="P85" s="401"/>
      <c r="Q85" s="402"/>
      <c r="R85" s="404" t="str">
        <f t="shared" si="27"/>
        <v>Not High</v>
      </c>
      <c r="S85" s="418" t="s">
        <v>647</v>
      </c>
      <c r="T85" s="419"/>
      <c r="U85" s="419"/>
      <c r="V85" s="419"/>
      <c r="W85" s="419"/>
      <c r="X85" s="419"/>
      <c r="Y85" s="419"/>
      <c r="Z85" s="419"/>
      <c r="AA85" s="419"/>
      <c r="AB85" s="419"/>
      <c r="AC85" s="419"/>
      <c r="AD85" s="419"/>
      <c r="AE85" s="419"/>
      <c r="AF85" s="419"/>
      <c r="AG85" s="419"/>
      <c r="AH85" s="419"/>
      <c r="AI85" s="419"/>
      <c r="AJ85" s="419"/>
      <c r="AK85" s="419"/>
      <c r="AL85" s="419"/>
      <c r="AM85" s="419"/>
      <c r="AN85" s="419"/>
      <c r="AO85" s="419"/>
      <c r="AP85" s="419"/>
      <c r="AQ85" s="419"/>
      <c r="AR85" s="419"/>
      <c r="AS85" s="419"/>
      <c r="AT85" s="420"/>
      <c r="AU85" s="1"/>
      <c r="AV85" s="1"/>
      <c r="AW85" s="36"/>
      <c r="AX85" s="36"/>
      <c r="AY85" s="36"/>
      <c r="AZ85" s="36"/>
      <c r="BA85" s="36"/>
      <c r="BB85" s="36"/>
      <c r="BC85" s="36"/>
    </row>
    <row r="86" ht="172.5" customHeight="1">
      <c r="A86" s="406"/>
      <c r="B86" s="407"/>
      <c r="C86" s="408" t="str">
        <f>RVAT_Output!AW386</f>
        <v>EWS</v>
      </c>
      <c r="D86" s="409"/>
      <c r="E86" s="1"/>
      <c r="F86" s="410" t="str">
        <f>RVAT_Output!AZ386</f>
        <v>Low</v>
      </c>
      <c r="G86" s="411"/>
      <c r="H86" s="411"/>
      <c r="I86" s="411"/>
      <c r="J86" s="411"/>
      <c r="K86" s="412"/>
      <c r="L86" s="413" t="str">
        <f>RVAT_Output!BF386</f>
        <v>Low</v>
      </c>
      <c r="M86" s="411"/>
      <c r="N86" s="411"/>
      <c r="O86" s="411"/>
      <c r="P86" s="411"/>
      <c r="Q86" s="412"/>
      <c r="R86" s="404" t="str">
        <f t="shared" si="27"/>
        <v>Not High</v>
      </c>
      <c r="S86" s="414" t="s">
        <v>777</v>
      </c>
      <c r="T86" s="69"/>
      <c r="U86" s="69"/>
      <c r="V86" s="69"/>
      <c r="W86" s="69"/>
      <c r="X86" s="69"/>
      <c r="Y86" s="69"/>
      <c r="Z86" s="178"/>
      <c r="AA86" s="414" t="s">
        <v>778</v>
      </c>
      <c r="AB86" s="69"/>
      <c r="AC86" s="69"/>
      <c r="AD86" s="69"/>
      <c r="AE86" s="69"/>
      <c r="AF86" s="69"/>
      <c r="AG86" s="69"/>
      <c r="AH86" s="178"/>
      <c r="AI86" s="415" t="s">
        <v>779</v>
      </c>
      <c r="AJ86" s="411"/>
      <c r="AK86" s="411"/>
      <c r="AL86" s="411"/>
      <c r="AM86" s="411"/>
      <c r="AN86" s="411"/>
      <c r="AO86" s="411"/>
      <c r="AP86" s="411"/>
      <c r="AQ86" s="411"/>
      <c r="AR86" s="411"/>
      <c r="AS86" s="411"/>
      <c r="AT86" s="412"/>
      <c r="AU86" s="416"/>
      <c r="AV86" s="1"/>
      <c r="AW86" s="36"/>
      <c r="AX86" s="36"/>
      <c r="AY86" s="36"/>
      <c r="AZ86" s="36"/>
      <c r="BA86" s="36"/>
      <c r="BB86" s="36"/>
      <c r="BC86" s="36"/>
    </row>
    <row r="87" ht="319.5" customHeight="1">
      <c r="A87" s="406"/>
      <c r="B87" s="407"/>
      <c r="C87" s="408" t="str">
        <f>RVAT_Output!AW387</f>
        <v>A &amp; I</v>
      </c>
      <c r="D87" s="409"/>
      <c r="E87" s="1"/>
      <c r="F87" s="410" t="str">
        <f>RVAT_Output!AZ387</f>
        <v>Low</v>
      </c>
      <c r="G87" s="411"/>
      <c r="H87" s="411"/>
      <c r="I87" s="411"/>
      <c r="J87" s="411"/>
      <c r="K87" s="412"/>
      <c r="L87" s="413" t="str">
        <f>RVAT_Output!BF387</f>
        <v>Low</v>
      </c>
      <c r="M87" s="411"/>
      <c r="N87" s="411"/>
      <c r="O87" s="411"/>
      <c r="P87" s="411"/>
      <c r="Q87" s="412"/>
      <c r="R87" s="404" t="str">
        <f t="shared" si="27"/>
        <v>Not High</v>
      </c>
      <c r="S87" s="414" t="s">
        <v>780</v>
      </c>
      <c r="T87" s="69"/>
      <c r="U87" s="69"/>
      <c r="V87" s="69"/>
      <c r="W87" s="69"/>
      <c r="X87" s="69"/>
      <c r="Y87" s="69"/>
      <c r="Z87" s="178"/>
      <c r="AA87" s="414" t="s">
        <v>781</v>
      </c>
      <c r="AB87" s="69"/>
      <c r="AC87" s="69"/>
      <c r="AD87" s="69"/>
      <c r="AE87" s="69"/>
      <c r="AF87" s="69"/>
      <c r="AG87" s="69"/>
      <c r="AH87" s="178"/>
      <c r="AI87" s="415" t="s">
        <v>782</v>
      </c>
      <c r="AJ87" s="411"/>
      <c r="AK87" s="411"/>
      <c r="AL87" s="411"/>
      <c r="AM87" s="411"/>
      <c r="AN87" s="411"/>
      <c r="AO87" s="411"/>
      <c r="AP87" s="411"/>
      <c r="AQ87" s="411"/>
      <c r="AR87" s="411"/>
      <c r="AS87" s="411"/>
      <c r="AT87" s="412"/>
      <c r="AU87" s="416"/>
      <c r="AV87" s="1"/>
      <c r="AW87" s="36"/>
      <c r="AX87" s="36"/>
      <c r="AY87" s="36"/>
      <c r="AZ87" s="36"/>
      <c r="BA87" s="36"/>
      <c r="BB87" s="36"/>
      <c r="BC87" s="36"/>
    </row>
    <row r="88" ht="196.5" customHeight="1">
      <c r="A88" s="406"/>
      <c r="B88" s="407"/>
      <c r="C88" s="408" t="str">
        <f>RVAT_Output!AW388</f>
        <v>EC</v>
      </c>
      <c r="D88" s="409"/>
      <c r="E88" s="1"/>
      <c r="F88" s="410" t="str">
        <f>RVAT_Output!AZ388</f>
        <v>Low</v>
      </c>
      <c r="G88" s="411"/>
      <c r="H88" s="411"/>
      <c r="I88" s="411"/>
      <c r="J88" s="411"/>
      <c r="K88" s="412"/>
      <c r="L88" s="413" t="str">
        <f>RVAT_Output!BF388</f>
        <v>Low</v>
      </c>
      <c r="M88" s="411"/>
      <c r="N88" s="411"/>
      <c r="O88" s="411"/>
      <c r="P88" s="411"/>
      <c r="Q88" s="412"/>
      <c r="R88" s="404" t="str">
        <f t="shared" si="27"/>
        <v>Not High</v>
      </c>
      <c r="S88" s="414" t="s">
        <v>783</v>
      </c>
      <c r="T88" s="69"/>
      <c r="U88" s="69"/>
      <c r="V88" s="69"/>
      <c r="W88" s="69"/>
      <c r="X88" s="69"/>
      <c r="Y88" s="69"/>
      <c r="Z88" s="178"/>
      <c r="AA88" s="414" t="s">
        <v>784</v>
      </c>
      <c r="AB88" s="69"/>
      <c r="AC88" s="69"/>
      <c r="AD88" s="69"/>
      <c r="AE88" s="69"/>
      <c r="AF88" s="69"/>
      <c r="AG88" s="69"/>
      <c r="AH88" s="178"/>
      <c r="AI88" s="415" t="s">
        <v>785</v>
      </c>
      <c r="AJ88" s="411"/>
      <c r="AK88" s="411"/>
      <c r="AL88" s="411"/>
      <c r="AM88" s="411"/>
      <c r="AN88" s="411"/>
      <c r="AO88" s="411"/>
      <c r="AP88" s="411"/>
      <c r="AQ88" s="411"/>
      <c r="AR88" s="411"/>
      <c r="AS88" s="411"/>
      <c r="AT88" s="412"/>
      <c r="AU88" s="416"/>
      <c r="AV88" s="1"/>
      <c r="AW88" s="36"/>
      <c r="AX88" s="36"/>
      <c r="AY88" s="36"/>
      <c r="AZ88" s="36"/>
      <c r="BA88" s="36"/>
      <c r="BB88" s="36"/>
      <c r="BC88" s="36"/>
    </row>
    <row r="89" ht="108.75" customHeight="1">
      <c r="A89" s="406"/>
      <c r="B89" s="407"/>
      <c r="C89" s="408" t="str">
        <f>RVAT_Output!AW389</f>
        <v>R/RP</v>
      </c>
      <c r="D89" s="409"/>
      <c r="E89" s="1"/>
      <c r="F89" s="410" t="str">
        <f>RVAT_Output!AZ389</f>
        <v>Low</v>
      </c>
      <c r="G89" s="411"/>
      <c r="H89" s="411"/>
      <c r="I89" s="411"/>
      <c r="J89" s="411"/>
      <c r="K89" s="412"/>
      <c r="L89" s="413" t="str">
        <f>RVAT_Output!BF389</f>
        <v>Low</v>
      </c>
      <c r="M89" s="411"/>
      <c r="N89" s="411"/>
      <c r="O89" s="411"/>
      <c r="P89" s="411"/>
      <c r="Q89" s="412"/>
      <c r="R89" s="404" t="str">
        <f t="shared" si="27"/>
        <v>Not High</v>
      </c>
      <c r="S89" s="414" t="s">
        <v>786</v>
      </c>
      <c r="T89" s="69"/>
      <c r="U89" s="69"/>
      <c r="V89" s="69"/>
      <c r="W89" s="69"/>
      <c r="X89" s="69"/>
      <c r="Y89" s="69"/>
      <c r="Z89" s="178"/>
      <c r="AA89" s="414" t="s">
        <v>787</v>
      </c>
      <c r="AB89" s="69"/>
      <c r="AC89" s="69"/>
      <c r="AD89" s="69"/>
      <c r="AE89" s="69"/>
      <c r="AF89" s="69"/>
      <c r="AG89" s="69"/>
      <c r="AH89" s="178"/>
      <c r="AI89" s="415" t="s">
        <v>788</v>
      </c>
      <c r="AJ89" s="411"/>
      <c r="AK89" s="411"/>
      <c r="AL89" s="411"/>
      <c r="AM89" s="411"/>
      <c r="AN89" s="411"/>
      <c r="AO89" s="411"/>
      <c r="AP89" s="411"/>
      <c r="AQ89" s="411"/>
      <c r="AR89" s="411"/>
      <c r="AS89" s="411"/>
      <c r="AT89" s="412"/>
      <c r="AU89" s="416"/>
      <c r="AV89" s="1"/>
      <c r="AW89" s="36"/>
      <c r="AX89" s="36"/>
      <c r="AY89" s="36"/>
      <c r="AZ89" s="36"/>
      <c r="BA89" s="36"/>
      <c r="BB89" s="36"/>
      <c r="BC89" s="36"/>
    </row>
    <row r="90" ht="97.5" customHeight="1">
      <c r="A90" s="406"/>
      <c r="B90" s="407"/>
      <c r="C90" s="408" t="str">
        <f>RVAT_Output!AW390</f>
        <v>HFO</v>
      </c>
      <c r="D90" s="409"/>
      <c r="E90" s="1"/>
      <c r="F90" s="410" t="str">
        <f>RVAT_Output!AZ390</f>
        <v>Low</v>
      </c>
      <c r="G90" s="411"/>
      <c r="H90" s="411"/>
      <c r="I90" s="411"/>
      <c r="J90" s="411"/>
      <c r="K90" s="412"/>
      <c r="L90" s="413" t="str">
        <f>RVAT_Output!BF390</f>
        <v>Low</v>
      </c>
      <c r="M90" s="411"/>
      <c r="N90" s="411"/>
      <c r="O90" s="411"/>
      <c r="P90" s="411"/>
      <c r="Q90" s="412"/>
      <c r="R90" s="404" t="str">
        <f t="shared" si="27"/>
        <v>Not High</v>
      </c>
      <c r="S90" s="414" t="s">
        <v>789</v>
      </c>
      <c r="T90" s="69"/>
      <c r="U90" s="69"/>
      <c r="V90" s="69"/>
      <c r="W90" s="69"/>
      <c r="X90" s="69"/>
      <c r="Y90" s="69"/>
      <c r="Z90" s="178"/>
      <c r="AA90" s="414" t="s">
        <v>790</v>
      </c>
      <c r="AB90" s="69"/>
      <c r="AC90" s="69"/>
      <c r="AD90" s="69"/>
      <c r="AE90" s="69"/>
      <c r="AF90" s="69"/>
      <c r="AG90" s="69"/>
      <c r="AH90" s="178"/>
      <c r="AI90" s="415" t="s">
        <v>791</v>
      </c>
      <c r="AJ90" s="411"/>
      <c r="AK90" s="411"/>
      <c r="AL90" s="411"/>
      <c r="AM90" s="411"/>
      <c r="AN90" s="411"/>
      <c r="AO90" s="411"/>
      <c r="AP90" s="411"/>
      <c r="AQ90" s="411"/>
      <c r="AR90" s="411"/>
      <c r="AS90" s="411"/>
      <c r="AT90" s="412"/>
      <c r="AU90" s="416"/>
      <c r="AV90" s="1"/>
      <c r="AW90" s="36"/>
      <c r="AX90" s="36"/>
      <c r="AY90" s="36"/>
      <c r="AZ90" s="36"/>
      <c r="BA90" s="36"/>
      <c r="BB90" s="36"/>
      <c r="BC90" s="36"/>
    </row>
    <row r="91" ht="408.0" customHeight="1">
      <c r="A91" s="406"/>
      <c r="B91" s="407"/>
      <c r="C91" s="408" t="str">
        <f>RVAT_Output!AW391</f>
        <v>DP</v>
      </c>
      <c r="D91" s="409"/>
      <c r="E91" s="1"/>
      <c r="F91" s="410" t="str">
        <f>RVAT_Output!AZ391</f>
        <v>Low</v>
      </c>
      <c r="G91" s="411"/>
      <c r="H91" s="411"/>
      <c r="I91" s="411"/>
      <c r="J91" s="411"/>
      <c r="K91" s="412"/>
      <c r="L91" s="413" t="str">
        <f>RVAT_Output!BF391</f>
        <v>Low</v>
      </c>
      <c r="M91" s="411"/>
      <c r="N91" s="411"/>
      <c r="O91" s="411"/>
      <c r="P91" s="411"/>
      <c r="Q91" s="412"/>
      <c r="R91" s="404" t="str">
        <f t="shared" si="27"/>
        <v>Not High</v>
      </c>
      <c r="S91" s="421" t="s">
        <v>684</v>
      </c>
      <c r="T91" s="69"/>
      <c r="U91" s="69"/>
      <c r="V91" s="69"/>
      <c r="W91" s="69"/>
      <c r="X91" s="69"/>
      <c r="Y91" s="69"/>
      <c r="Z91" s="178"/>
      <c r="AA91" s="414" t="s">
        <v>792</v>
      </c>
      <c r="AB91" s="69"/>
      <c r="AC91" s="69"/>
      <c r="AD91" s="69"/>
      <c r="AE91" s="69"/>
      <c r="AF91" s="69"/>
      <c r="AG91" s="69"/>
      <c r="AH91" s="178"/>
      <c r="AI91" s="415" t="s">
        <v>793</v>
      </c>
      <c r="AJ91" s="411"/>
      <c r="AK91" s="411"/>
      <c r="AL91" s="411"/>
      <c r="AM91" s="411"/>
      <c r="AN91" s="411"/>
      <c r="AO91" s="411"/>
      <c r="AP91" s="411"/>
      <c r="AQ91" s="411"/>
      <c r="AR91" s="411"/>
      <c r="AS91" s="411"/>
      <c r="AT91" s="412"/>
      <c r="AU91" s="416"/>
      <c r="AV91" s="1"/>
      <c r="AW91" s="36"/>
      <c r="AX91" s="36"/>
      <c r="AY91" s="36"/>
      <c r="AZ91" s="36"/>
      <c r="BA91" s="36"/>
      <c r="BB91" s="36"/>
      <c r="BC91" s="36"/>
    </row>
    <row r="92" ht="196.5" customHeight="1">
      <c r="A92" s="406"/>
      <c r="B92" s="407"/>
      <c r="C92" s="408" t="str">
        <f>RVAT_Output!AW392</f>
        <v>DR</v>
      </c>
      <c r="D92" s="409"/>
      <c r="E92" s="1"/>
      <c r="F92" s="410" t="str">
        <f>RVAT_Output!AZ392</f>
        <v>Low</v>
      </c>
      <c r="G92" s="411"/>
      <c r="H92" s="411"/>
      <c r="I92" s="411"/>
      <c r="J92" s="411"/>
      <c r="K92" s="412"/>
      <c r="L92" s="413" t="str">
        <f>RVAT_Output!BF392</f>
        <v>Low</v>
      </c>
      <c r="M92" s="411"/>
      <c r="N92" s="411"/>
      <c r="O92" s="411"/>
      <c r="P92" s="411"/>
      <c r="Q92" s="412"/>
      <c r="R92" s="404" t="str">
        <f t="shared" si="27"/>
        <v>Not High</v>
      </c>
      <c r="S92" s="414" t="s">
        <v>794</v>
      </c>
      <c r="T92" s="69"/>
      <c r="U92" s="69"/>
      <c r="V92" s="69"/>
      <c r="W92" s="69"/>
      <c r="X92" s="69"/>
      <c r="Y92" s="69"/>
      <c r="Z92" s="178"/>
      <c r="AA92" s="414" t="s">
        <v>795</v>
      </c>
      <c r="AB92" s="69"/>
      <c r="AC92" s="69"/>
      <c r="AD92" s="69"/>
      <c r="AE92" s="69"/>
      <c r="AF92" s="69"/>
      <c r="AG92" s="69"/>
      <c r="AH92" s="178"/>
      <c r="AI92" s="415" t="s">
        <v>796</v>
      </c>
      <c r="AJ92" s="411"/>
      <c r="AK92" s="411"/>
      <c r="AL92" s="411"/>
      <c r="AM92" s="411"/>
      <c r="AN92" s="411"/>
      <c r="AO92" s="411"/>
      <c r="AP92" s="411"/>
      <c r="AQ92" s="411"/>
      <c r="AR92" s="411"/>
      <c r="AS92" s="411"/>
      <c r="AT92" s="412"/>
      <c r="AU92" s="416"/>
      <c r="AV92" s="1"/>
      <c r="AW92" s="36"/>
      <c r="AX92" s="36"/>
      <c r="AY92" s="36"/>
      <c r="AZ92" s="36"/>
      <c r="BA92" s="36"/>
      <c r="BB92" s="36"/>
      <c r="BC92" s="36"/>
    </row>
    <row r="93" ht="128.25" customHeight="1">
      <c r="A93" s="406"/>
      <c r="B93" s="407"/>
      <c r="C93" s="408" t="str">
        <f>RVAT_Output!AW393</f>
        <v>PFR</v>
      </c>
      <c r="D93" s="409"/>
      <c r="E93" s="1"/>
      <c r="F93" s="410" t="str">
        <f>RVAT_Output!AZ393</f>
        <v>Low</v>
      </c>
      <c r="G93" s="411"/>
      <c r="H93" s="411"/>
      <c r="I93" s="411"/>
      <c r="J93" s="411"/>
      <c r="K93" s="412"/>
      <c r="L93" s="413" t="str">
        <f>RVAT_Output!BF393</f>
        <v>Low</v>
      </c>
      <c r="M93" s="411"/>
      <c r="N93" s="411"/>
      <c r="O93" s="411"/>
      <c r="P93" s="411"/>
      <c r="Q93" s="412"/>
      <c r="R93" s="404" t="str">
        <f t="shared" si="27"/>
        <v>Not High</v>
      </c>
      <c r="S93" s="414" t="s">
        <v>797</v>
      </c>
      <c r="T93" s="69"/>
      <c r="U93" s="69"/>
      <c r="V93" s="69"/>
      <c r="W93" s="69"/>
      <c r="X93" s="69"/>
      <c r="Y93" s="69"/>
      <c r="Z93" s="178"/>
      <c r="AA93" s="414" t="s">
        <v>798</v>
      </c>
      <c r="AB93" s="69"/>
      <c r="AC93" s="69"/>
      <c r="AD93" s="69"/>
      <c r="AE93" s="69"/>
      <c r="AF93" s="69"/>
      <c r="AG93" s="69"/>
      <c r="AH93" s="178"/>
      <c r="AI93" s="415" t="s">
        <v>799</v>
      </c>
      <c r="AJ93" s="411"/>
      <c r="AK93" s="411"/>
      <c r="AL93" s="411"/>
      <c r="AM93" s="411"/>
      <c r="AN93" s="411"/>
      <c r="AO93" s="411"/>
      <c r="AP93" s="411"/>
      <c r="AQ93" s="411"/>
      <c r="AR93" s="411"/>
      <c r="AS93" s="411"/>
      <c r="AT93" s="412"/>
      <c r="AU93" s="416"/>
      <c r="AV93" s="1"/>
      <c r="AW93" s="36"/>
      <c r="AX93" s="36"/>
      <c r="AY93" s="36"/>
      <c r="AZ93" s="36"/>
      <c r="BA93" s="36"/>
      <c r="BB93" s="36"/>
      <c r="BC93" s="36"/>
    </row>
    <row r="94" ht="162.0" customHeight="1">
      <c r="A94" s="406"/>
      <c r="B94" s="407"/>
      <c r="C94" s="408" t="str">
        <f>RVAT_Output!AW394</f>
        <v>PFM</v>
      </c>
      <c r="D94" s="409"/>
      <c r="E94" s="1"/>
      <c r="F94" s="410" t="str">
        <f>RVAT_Output!AZ394</f>
        <v>Low</v>
      </c>
      <c r="G94" s="411"/>
      <c r="H94" s="411"/>
      <c r="I94" s="411"/>
      <c r="J94" s="411"/>
      <c r="K94" s="412"/>
      <c r="L94" s="413" t="str">
        <f>RVAT_Output!BF394</f>
        <v>Low</v>
      </c>
      <c r="M94" s="411"/>
      <c r="N94" s="411"/>
      <c r="O94" s="411"/>
      <c r="P94" s="411"/>
      <c r="Q94" s="412"/>
      <c r="R94" s="404" t="str">
        <f t="shared" si="27"/>
        <v>Not High</v>
      </c>
      <c r="S94" s="414" t="s">
        <v>800</v>
      </c>
      <c r="T94" s="69"/>
      <c r="U94" s="69"/>
      <c r="V94" s="69"/>
      <c r="W94" s="69"/>
      <c r="X94" s="69"/>
      <c r="Y94" s="69"/>
      <c r="Z94" s="178"/>
      <c r="AA94" s="414" t="s">
        <v>801</v>
      </c>
      <c r="AB94" s="69"/>
      <c r="AC94" s="69"/>
      <c r="AD94" s="69"/>
      <c r="AE94" s="69"/>
      <c r="AF94" s="69"/>
      <c r="AG94" s="69"/>
      <c r="AH94" s="178"/>
      <c r="AI94" s="415" t="s">
        <v>802</v>
      </c>
      <c r="AJ94" s="411"/>
      <c r="AK94" s="411"/>
      <c r="AL94" s="411"/>
      <c r="AM94" s="411"/>
      <c r="AN94" s="411"/>
      <c r="AO94" s="411"/>
      <c r="AP94" s="411"/>
      <c r="AQ94" s="411"/>
      <c r="AR94" s="411"/>
      <c r="AS94" s="411"/>
      <c r="AT94" s="412"/>
      <c r="AU94" s="416"/>
      <c r="AV94" s="1"/>
      <c r="AW94" s="36"/>
      <c r="AX94" s="36"/>
      <c r="AY94" s="36"/>
      <c r="AZ94" s="36"/>
      <c r="BA94" s="36"/>
      <c r="BB94" s="36"/>
      <c r="BC94" s="36"/>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row>
    <row r="100" ht="14.2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row>
    <row r="101" ht="14.2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row>
    <row r="102" ht="14.2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row>
    <row r="103" ht="14.2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row>
    <row r="104" ht="14.2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row>
    <row r="105" ht="14.2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row>
    <row r="106" ht="14.25" hidden="1" customHeight="1">
      <c r="A106" s="1"/>
      <c r="B106" s="1"/>
      <c r="C106" s="1"/>
      <c r="D106" s="1"/>
      <c r="E106" s="1"/>
      <c r="F106" s="1"/>
      <c r="G106" s="1"/>
      <c r="H106" s="1"/>
      <c r="I106" s="1"/>
      <c r="J106" s="1"/>
      <c r="K106" s="422" t="s">
        <v>584</v>
      </c>
      <c r="L106" s="423" t="s">
        <v>613</v>
      </c>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row>
    <row r="107" ht="14.2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row>
    <row r="108" ht="14.2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row>
    <row r="109" ht="14.2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row>
    <row r="110" ht="14.2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row>
    <row r="111" ht="14.2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row>
    <row r="112" ht="14.2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row>
    <row r="113" ht="14.2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row>
    <row r="114" ht="14.2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row>
    <row r="115" ht="14.2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row>
    <row r="116" ht="14.2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row>
    <row r="117" ht="14.2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row>
    <row r="118" ht="14.2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row>
    <row r="119" ht="14.2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row>
    <row r="120" ht="14.2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row>
    <row r="121" ht="14.2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row>
    <row r="122" ht="14.2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row>
    <row r="123" ht="14.2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row>
    <row r="124" ht="14.2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row>
    <row r="125" ht="14.2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row>
    <row r="126" ht="14.2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row>
    <row r="127" ht="14.2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row>
    <row r="128" ht="14.2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row>
    <row r="129" ht="14.2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row>
    <row r="130" ht="14.2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row>
    <row r="131" ht="14.2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row>
    <row r="132" ht="14.2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row>
    <row r="133" ht="14.2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row>
    <row r="134" ht="14.2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row>
    <row r="135" ht="14.2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row>
    <row r="136" ht="14.2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row>
    <row r="137" ht="14.2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row>
    <row r="138" ht="14.2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row>
    <row r="139" ht="14.2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row>
    <row r="140" ht="14.2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row>
    <row r="141" ht="14.2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row>
    <row r="142" ht="14.2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row>
    <row r="143" ht="14.2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row>
    <row r="144" ht="14.2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row>
    <row r="145" ht="14.2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row>
    <row r="146" ht="14.2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row>
    <row r="147" ht="14.2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row>
    <row r="148" ht="14.2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row>
    <row r="149" ht="14.2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row>
    <row r="150" ht="14.2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row>
    <row r="151" ht="14.2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row>
    <row r="152" ht="14.2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row>
    <row r="153" ht="14.2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row>
    <row r="154" ht="14.2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row>
    <row r="155" ht="14.2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row>
    <row r="156" ht="14.2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row>
    <row r="157" ht="14.2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row>
    <row r="158" ht="14.2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row>
    <row r="159" ht="14.2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row>
    <row r="160" ht="14.2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row>
    <row r="161" ht="14.2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row>
    <row r="162" ht="14.2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row>
    <row r="163" ht="14.2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row>
    <row r="164" ht="14.2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row>
    <row r="165" ht="14.2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row>
    <row r="166" ht="14.2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row>
    <row r="167" ht="14.2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row>
    <row r="168" ht="14.2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row>
    <row r="169" ht="14.2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row>
    <row r="170" ht="14.2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row>
    <row r="171" ht="14.2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row>
    <row r="172" ht="14.2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row>
    <row r="173" ht="14.2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row>
    <row r="174" ht="14.2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row>
    <row r="175" ht="14.2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row>
    <row r="176" ht="14.2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row>
    <row r="177" ht="14.2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row>
    <row r="178" ht="14.2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row>
    <row r="179" ht="14.2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row>
    <row r="180" ht="14.2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row>
    <row r="181" ht="14.2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row>
    <row r="182" ht="14.2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row>
    <row r="183" ht="14.2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row>
    <row r="184" ht="14.2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row>
    <row r="185" ht="14.25" hidden="1" customHeight="1">
      <c r="A185" s="289"/>
      <c r="B185" s="253"/>
      <c r="C185" s="288"/>
      <c r="D185" s="288"/>
      <c r="E185" s="288"/>
      <c r="F185" s="288"/>
      <c r="G185" s="288"/>
      <c r="H185" s="288"/>
      <c r="I185" s="288"/>
      <c r="J185" s="288"/>
      <c r="K185" s="288"/>
      <c r="L185" s="288"/>
      <c r="M185" s="288"/>
      <c r="N185" s="288"/>
      <c r="O185" s="288"/>
      <c r="P185" s="288"/>
      <c r="Q185" s="288"/>
      <c r="R185" s="288"/>
      <c r="S185" s="288"/>
      <c r="T185" s="288"/>
      <c r="U185" s="288"/>
      <c r="V185" s="288"/>
      <c r="W185" s="1"/>
      <c r="X185" s="1"/>
      <c r="Y185" s="1"/>
      <c r="Z185" s="288"/>
      <c r="AA185" s="1"/>
      <c r="AB185" s="1"/>
      <c r="AC185" s="1"/>
      <c r="AD185" s="1"/>
      <c r="AE185" s="1"/>
      <c r="AF185" s="1"/>
      <c r="AG185" s="1"/>
      <c r="AH185" s="1"/>
      <c r="AI185" s="1"/>
      <c r="AJ185" s="1"/>
      <c r="AK185" s="1"/>
      <c r="AL185" s="1"/>
      <c r="AM185" s="1"/>
      <c r="AN185" s="1"/>
      <c r="AO185" s="1"/>
      <c r="AP185" s="1"/>
      <c r="AQ185" s="1"/>
      <c r="AR185" s="1"/>
      <c r="AS185" s="1"/>
      <c r="AT185" s="1"/>
      <c r="AU185" s="1"/>
      <c r="AV185" s="1"/>
      <c r="AW185" s="36"/>
      <c r="AX185" s="36"/>
      <c r="AY185" s="36"/>
      <c r="AZ185" s="36"/>
      <c r="BA185" s="36"/>
      <c r="BB185" s="36"/>
      <c r="BC185" s="36"/>
    </row>
    <row r="186" ht="14.25" hidden="1" customHeight="1">
      <c r="A186" s="264"/>
      <c r="B186" s="253"/>
      <c r="C186" s="222" t="s">
        <v>617</v>
      </c>
      <c r="D186" s="223"/>
      <c r="E186" s="424"/>
      <c r="F186" s="425"/>
      <c r="G186" s="425"/>
      <c r="H186" s="425"/>
      <c r="I186" s="426"/>
      <c r="J186" s="424"/>
      <c r="K186" s="425"/>
      <c r="L186" s="425"/>
      <c r="M186" s="425"/>
      <c r="N186" s="426"/>
      <c r="O186" s="424"/>
      <c r="P186" s="425"/>
      <c r="Q186" s="425"/>
      <c r="R186" s="425"/>
      <c r="S186" s="426"/>
      <c r="T186" s="424"/>
      <c r="U186" s="425"/>
      <c r="V186" s="425"/>
      <c r="W186" s="425"/>
      <c r="X186" s="426"/>
      <c r="Y186" s="225"/>
      <c r="Z186" s="225"/>
      <c r="AA186" s="225"/>
      <c r="AB186" s="36"/>
      <c r="AC186" s="1"/>
      <c r="AD186" s="1"/>
      <c r="AE186" s="1"/>
      <c r="AF186" s="1"/>
      <c r="AG186" s="1"/>
      <c r="AH186" s="1"/>
      <c r="AI186" s="1"/>
      <c r="AJ186" s="1"/>
      <c r="AK186" s="1"/>
      <c r="AL186" s="1"/>
      <c r="AM186" s="1"/>
      <c r="AN186" s="1"/>
      <c r="AO186" s="1"/>
      <c r="AP186" s="1"/>
      <c r="AQ186" s="1"/>
      <c r="AR186" s="1"/>
      <c r="AS186" s="1"/>
      <c r="AT186" s="1"/>
      <c r="AU186" s="1"/>
      <c r="AV186" s="1"/>
      <c r="AW186" s="36"/>
      <c r="AX186" s="36"/>
      <c r="AY186" s="36"/>
      <c r="AZ186" s="36"/>
      <c r="BA186" s="36"/>
      <c r="BB186" s="36"/>
      <c r="BC186" s="36"/>
    </row>
    <row r="187" ht="14.25" hidden="1" customHeight="1">
      <c r="A187" s="210"/>
      <c r="B187" s="253"/>
      <c r="C187" s="266" t="str">
        <f>RVAT_Output!B280</f>
        <v>Livelihoods</v>
      </c>
      <c r="D187" s="178"/>
      <c r="E187" s="266" t="str">
        <f>RVAT_Output!D280</f>
        <v>Health &amp; Safety</v>
      </c>
      <c r="F187" s="69"/>
      <c r="G187" s="69"/>
      <c r="H187" s="178"/>
      <c r="I187" s="266" t="str">
        <f>RVAT_Output!H280</f>
        <v>Assets and Utilities</v>
      </c>
      <c r="J187" s="69"/>
      <c r="K187" s="69"/>
      <c r="L187" s="69"/>
      <c r="M187" s="69"/>
      <c r="N187" s="178"/>
      <c r="O187" s="266" t="str">
        <f>RVAT_Output!N280</f>
        <v>Potable water </v>
      </c>
      <c r="P187" s="69"/>
      <c r="Q187" s="69"/>
      <c r="R187" s="69"/>
      <c r="S187" s="69"/>
      <c r="T187" s="69"/>
      <c r="U187" s="178"/>
      <c r="V187" s="266" t="str">
        <f>RVAT_Output!U280</f>
        <v>EBS</v>
      </c>
      <c r="W187" s="69"/>
      <c r="X187" s="69"/>
      <c r="Y187" s="178"/>
      <c r="Z187" s="266" t="str">
        <f>RVAT_Output!Y280</f>
        <v>Institutions</v>
      </c>
      <c r="AA187" s="178"/>
      <c r="AB187" s="36"/>
      <c r="AC187" s="1"/>
      <c r="AD187" s="1"/>
      <c r="AE187" s="1"/>
      <c r="AF187" s="1"/>
      <c r="AG187" s="1"/>
      <c r="AH187" s="1"/>
      <c r="AI187" s="1"/>
      <c r="AJ187" s="1"/>
      <c r="AK187" s="1"/>
      <c r="AL187" s="1"/>
      <c r="AM187" s="1"/>
      <c r="AN187" s="1"/>
      <c r="AO187" s="1"/>
      <c r="AP187" s="1"/>
      <c r="AQ187" s="1"/>
      <c r="AR187" s="1"/>
      <c r="AS187" s="1"/>
      <c r="AT187" s="1"/>
      <c r="AU187" s="1"/>
      <c r="AV187" s="1"/>
      <c r="AW187" s="36"/>
      <c r="AX187" s="36"/>
      <c r="AY187" s="36"/>
      <c r="AZ187" s="36"/>
      <c r="BA187" s="36"/>
      <c r="BB187" s="36"/>
      <c r="BC187" s="36"/>
    </row>
    <row r="188" ht="14.25" hidden="1" customHeight="1">
      <c r="A188" s="264"/>
      <c r="B188" s="253"/>
      <c r="C188" s="267"/>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9"/>
      <c r="AA188" s="269"/>
      <c r="AB188" s="1"/>
      <c r="AC188" s="1"/>
      <c r="AD188" s="1"/>
      <c r="AE188" s="1"/>
      <c r="AF188" s="1"/>
      <c r="AG188" s="1"/>
      <c r="AH188" s="1"/>
      <c r="AI188" s="1"/>
      <c r="AJ188" s="1"/>
      <c r="AK188" s="1"/>
      <c r="AL188" s="1"/>
      <c r="AM188" s="1"/>
      <c r="AN188" s="1"/>
      <c r="AO188" s="1"/>
      <c r="AP188" s="1"/>
      <c r="AQ188" s="1"/>
      <c r="AR188" s="1"/>
      <c r="AS188" s="1"/>
      <c r="AT188" s="1"/>
      <c r="AU188" s="1"/>
      <c r="AV188" s="1"/>
      <c r="AW188" s="36"/>
      <c r="AX188" s="36"/>
      <c r="AY188" s="36"/>
      <c r="AZ188" s="36"/>
      <c r="BA188" s="36"/>
      <c r="BB188" s="36"/>
      <c r="BC188" s="36"/>
    </row>
    <row r="189" ht="14.25" hidden="1" customHeight="1">
      <c r="A189" s="289"/>
      <c r="B189" s="253"/>
      <c r="C189" s="266" t="str">
        <f>RVAT_Output!B282</f>
        <v>Low</v>
      </c>
      <c r="D189" s="178"/>
      <c r="E189" s="266" t="str">
        <f>RVAT_Output!D282</f>
        <v>Low</v>
      </c>
      <c r="F189" s="69"/>
      <c r="G189" s="69"/>
      <c r="H189" s="178"/>
      <c r="I189" s="266" t="str">
        <f>RVAT_Output!H282</f>
        <v>Low</v>
      </c>
      <c r="J189" s="69"/>
      <c r="K189" s="69"/>
      <c r="L189" s="69"/>
      <c r="M189" s="69"/>
      <c r="N189" s="178"/>
      <c r="O189" s="266" t="str">
        <f>RVAT_Output!N282</f>
        <v>Low</v>
      </c>
      <c r="P189" s="69"/>
      <c r="Q189" s="69"/>
      <c r="R189" s="69"/>
      <c r="S189" s="69"/>
      <c r="T189" s="69"/>
      <c r="U189" s="178"/>
      <c r="V189" s="266" t="str">
        <f>RVAT_Output!U282</f>
        <v>Low</v>
      </c>
      <c r="W189" s="69"/>
      <c r="X189" s="69"/>
      <c r="Y189" s="178"/>
      <c r="Z189" s="266" t="str">
        <f>RVAT_Output!Y282</f>
        <v>Low</v>
      </c>
      <c r="AA189" s="178"/>
      <c r="AB189" s="1"/>
      <c r="AC189" s="1"/>
      <c r="AD189" s="1"/>
      <c r="AE189" s="1"/>
      <c r="AF189" s="1"/>
      <c r="AG189" s="1"/>
      <c r="AH189" s="1"/>
      <c r="AI189" s="1"/>
      <c r="AJ189" s="1"/>
      <c r="AK189" s="1"/>
      <c r="AL189" s="1"/>
      <c r="AM189" s="1"/>
      <c r="AN189" s="1"/>
      <c r="AO189" s="1"/>
      <c r="AP189" s="1"/>
      <c r="AQ189" s="1"/>
      <c r="AR189" s="1"/>
      <c r="AS189" s="1"/>
      <c r="AT189" s="1"/>
      <c r="AU189" s="1"/>
      <c r="AV189" s="1"/>
      <c r="AW189" s="36"/>
      <c r="AX189" s="36"/>
      <c r="AY189" s="36"/>
      <c r="AZ189" s="36"/>
      <c r="BA189" s="36"/>
      <c r="BB189" s="36"/>
      <c r="BC189" s="36"/>
    </row>
    <row r="190" ht="14.25" hidden="1" customHeight="1">
      <c r="A190" s="289"/>
      <c r="B190" s="253"/>
      <c r="C190" s="1"/>
      <c r="D190" s="270"/>
      <c r="E190" s="283"/>
      <c r="F190" s="281"/>
      <c r="G190" s="281"/>
      <c r="H190" s="281"/>
      <c r="I190" s="281"/>
      <c r="J190" s="283"/>
      <c r="K190" s="281"/>
      <c r="L190" s="281"/>
      <c r="M190" s="281"/>
      <c r="N190" s="281"/>
      <c r="O190" s="283"/>
      <c r="P190" s="281"/>
      <c r="Q190" s="281"/>
      <c r="R190" s="281"/>
      <c r="S190" s="281"/>
      <c r="T190" s="283"/>
      <c r="U190" s="281"/>
      <c r="V190" s="281"/>
      <c r="W190" s="281"/>
      <c r="X190" s="281"/>
      <c r="Y190" s="271"/>
      <c r="Z190" s="96"/>
      <c r="AA190" s="203"/>
      <c r="AB190" s="1"/>
      <c r="AC190" s="1"/>
      <c r="AD190" s="1"/>
      <c r="AE190" s="1"/>
      <c r="AF190" s="1"/>
      <c r="AG190" s="1"/>
      <c r="AH190" s="1"/>
      <c r="AI190" s="1"/>
      <c r="AJ190" s="1"/>
      <c r="AK190" s="1"/>
      <c r="AL190" s="1"/>
      <c r="AM190" s="1"/>
      <c r="AN190" s="1"/>
      <c r="AO190" s="1"/>
      <c r="AP190" s="1"/>
      <c r="AQ190" s="1"/>
      <c r="AR190" s="1"/>
      <c r="AS190" s="1"/>
      <c r="AT190" s="1"/>
      <c r="AU190" s="1"/>
      <c r="AV190" s="1"/>
      <c r="AW190" s="36"/>
      <c r="AX190" s="36"/>
      <c r="AY190" s="36"/>
      <c r="AZ190" s="36"/>
      <c r="BA190" s="36"/>
      <c r="BB190" s="36"/>
      <c r="BC190" s="36"/>
    </row>
    <row r="191" ht="14.25" hidden="1" customHeight="1">
      <c r="A191" s="264"/>
      <c r="B191" s="253"/>
      <c r="C191" s="222" t="s">
        <v>618</v>
      </c>
      <c r="D191" s="223"/>
      <c r="E191" s="424"/>
      <c r="F191" s="425"/>
      <c r="G191" s="425"/>
      <c r="H191" s="425"/>
      <c r="I191" s="426"/>
      <c r="J191" s="424"/>
      <c r="K191" s="425"/>
      <c r="L191" s="425"/>
      <c r="M191" s="425"/>
      <c r="N191" s="426"/>
      <c r="O191" s="424"/>
      <c r="P191" s="425"/>
      <c r="Q191" s="425"/>
      <c r="R191" s="425"/>
      <c r="S191" s="426"/>
      <c r="T191" s="424"/>
      <c r="U191" s="425"/>
      <c r="V191" s="425"/>
      <c r="W191" s="425"/>
      <c r="X191" s="426"/>
      <c r="Y191" s="225"/>
      <c r="Z191" s="225"/>
      <c r="AA191" s="225"/>
      <c r="AB191" s="225"/>
      <c r="AC191" s="1"/>
      <c r="AD191" s="1"/>
      <c r="AE191" s="1"/>
      <c r="AF191" s="1"/>
      <c r="AG191" s="1"/>
      <c r="AH191" s="1"/>
      <c r="AI191" s="1"/>
      <c r="AJ191" s="1"/>
      <c r="AK191" s="1"/>
      <c r="AL191" s="1"/>
      <c r="AM191" s="1"/>
      <c r="AN191" s="1"/>
      <c r="AO191" s="1"/>
      <c r="AP191" s="1"/>
      <c r="AQ191" s="1"/>
      <c r="AR191" s="1"/>
      <c r="AS191" s="1"/>
      <c r="AT191" s="1"/>
      <c r="AU191" s="1"/>
      <c r="AV191" s="1"/>
      <c r="AW191" s="36"/>
      <c r="AX191" s="36"/>
      <c r="AY191" s="36"/>
      <c r="AZ191" s="36"/>
      <c r="BA191" s="36"/>
      <c r="BB191" s="36"/>
      <c r="BC191" s="36"/>
    </row>
    <row r="192" ht="14.25" hidden="1" customHeight="1">
      <c r="A192" s="264"/>
      <c r="B192" s="253"/>
      <c r="C192" s="226" t="str">
        <f>RVAT_Output!B285</f>
        <v>Livelihoods</v>
      </c>
      <c r="D192" s="233" t="str">
        <f>RVAT_Output!C285</f>
        <v>Food Security</v>
      </c>
      <c r="E192" s="229" t="str">
        <f>RVAT_Output!D285</f>
        <v>Grazing/Farm Land</v>
      </c>
      <c r="F192" s="178"/>
      <c r="G192" s="229" t="str">
        <f>RVAT_Output!F285</f>
        <v>Crops</v>
      </c>
      <c r="H192" s="178"/>
      <c r="I192" s="229" t="str">
        <f>RVAT_Output!H285</f>
        <v>Livestock</v>
      </c>
      <c r="J192" s="69"/>
      <c r="K192" s="178"/>
      <c r="L192" s="229" t="str">
        <f>RVAT_Output!K285</f>
        <v>Fishstock</v>
      </c>
      <c r="M192" s="69"/>
      <c r="N192" s="178"/>
      <c r="O192" s="229" t="str">
        <f>RVAT_Output!N285</f>
        <v>Local commerce</v>
      </c>
      <c r="P192" s="69"/>
      <c r="Q192" s="69"/>
      <c r="R192" s="178"/>
      <c r="S192" s="229" t="str">
        <f>RVAT_Output!R285</f>
        <v>Gender </v>
      </c>
      <c r="T192" s="69"/>
      <c r="U192" s="178"/>
      <c r="V192" s="229" t="str">
        <f>RVAT_Output!U285</f>
        <v>Conviviality </v>
      </c>
      <c r="W192" s="69"/>
      <c r="X192" s="178"/>
      <c r="Y192" s="233" t="str">
        <f>RVAT_Output!X285</f>
        <v>Education </v>
      </c>
      <c r="Z192" s="233" t="str">
        <f>RVAT_Output!Y285</f>
        <v>WFI/WFDU</v>
      </c>
      <c r="AA192" s="233" t="str">
        <f>RVAT_Output!Z285</f>
        <v>ATF/I</v>
      </c>
      <c r="AB192" s="233" t="str">
        <f>RVAT_Output!AA285</f>
        <v>Disaster Events</v>
      </c>
      <c r="AC192" s="1"/>
      <c r="AD192" s="1"/>
      <c r="AE192" s="1"/>
      <c r="AF192" s="1"/>
      <c r="AG192" s="1"/>
      <c r="AH192" s="1"/>
      <c r="AI192" s="1"/>
      <c r="AJ192" s="1"/>
      <c r="AK192" s="1"/>
      <c r="AL192" s="1"/>
      <c r="AM192" s="1"/>
      <c r="AN192" s="1"/>
      <c r="AO192" s="1"/>
      <c r="AP192" s="1"/>
      <c r="AQ192" s="1"/>
      <c r="AR192" s="1"/>
      <c r="AS192" s="1"/>
      <c r="AT192" s="1"/>
      <c r="AU192" s="1"/>
      <c r="AV192" s="1"/>
      <c r="AW192" s="36"/>
      <c r="AX192" s="36"/>
      <c r="AY192" s="36"/>
      <c r="AZ192" s="36"/>
      <c r="BA192" s="36"/>
      <c r="BB192" s="36"/>
      <c r="BC192" s="36"/>
    </row>
    <row r="193" ht="14.25" hidden="1" customHeight="1">
      <c r="A193" s="264"/>
      <c r="B193" s="253"/>
      <c r="C193" s="226" t="str">
        <f>RVAT_Output!B286</f>
        <v>Health &amp; Safety</v>
      </c>
      <c r="D193" s="233" t="str">
        <f>RVAT_Output!C286</f>
        <v>Borne Diseases</v>
      </c>
      <c r="E193" s="229" t="str">
        <f>RVAT_Output!D286</f>
        <v>SLUP&amp;C</v>
      </c>
      <c r="F193" s="69"/>
      <c r="G193" s="178"/>
      <c r="H193" s="229" t="str">
        <f>RVAT_Output!G286</f>
        <v>SWM</v>
      </c>
      <c r="I193" s="69"/>
      <c r="J193" s="69"/>
      <c r="K193" s="69"/>
      <c r="L193" s="178"/>
      <c r="M193" s="229" t="str">
        <f>RVAT_Output!L286</f>
        <v>LWM</v>
      </c>
      <c r="N193" s="69"/>
      <c r="O193" s="69"/>
      <c r="P193" s="69"/>
      <c r="Q193" s="69"/>
      <c r="R193" s="178"/>
      <c r="S193" s="229" t="str">
        <f>RVAT_Output!R286</f>
        <v>ATHS</v>
      </c>
      <c r="T193" s="69"/>
      <c r="U193" s="69"/>
      <c r="V193" s="69"/>
      <c r="W193" s="69"/>
      <c r="X193" s="69"/>
      <c r="Y193" s="178"/>
      <c r="Z193" s="229" t="str">
        <f>RVAT_Output!Y286</f>
        <v>ATHE</v>
      </c>
      <c r="AA193" s="69"/>
      <c r="AB193" s="178"/>
      <c r="AC193" s="1"/>
      <c r="AD193" s="1"/>
      <c r="AE193" s="1"/>
      <c r="AF193" s="1"/>
      <c r="AG193" s="1"/>
      <c r="AH193" s="1"/>
      <c r="AI193" s="1"/>
      <c r="AJ193" s="1"/>
      <c r="AK193" s="1"/>
      <c r="AL193" s="1"/>
      <c r="AM193" s="1"/>
      <c r="AN193" s="1"/>
      <c r="AO193" s="1"/>
      <c r="AP193" s="1"/>
      <c r="AQ193" s="1"/>
      <c r="AR193" s="1"/>
      <c r="AS193" s="1"/>
      <c r="AT193" s="1"/>
      <c r="AU193" s="1"/>
      <c r="AV193" s="1"/>
      <c r="AW193" s="36"/>
      <c r="AX193" s="36"/>
      <c r="AY193" s="36"/>
      <c r="AZ193" s="36"/>
      <c r="BA193" s="36"/>
      <c r="BB193" s="36"/>
      <c r="BC193" s="36"/>
    </row>
    <row r="194" ht="14.25" hidden="1" customHeight="1">
      <c r="A194" s="264"/>
      <c r="B194" s="253"/>
      <c r="C194" s="226" t="str">
        <f>RVAT_Output!B287</f>
        <v>Assets and Utilities</v>
      </c>
      <c r="D194" s="233" t="str">
        <f>RVAT_Output!C287</f>
        <v>Housing</v>
      </c>
      <c r="E194" s="229" t="str">
        <f>RVAT_Output!D287</f>
        <v>Public facilities </v>
      </c>
      <c r="F194" s="178"/>
      <c r="G194" s="229" t="str">
        <f>RVAT_Output!F287</f>
        <v>SWD</v>
      </c>
      <c r="H194" s="178"/>
      <c r="I194" s="229" t="str">
        <f>RVAT_Output!H287</f>
        <v>Sanitary facilities </v>
      </c>
      <c r="J194" s="69"/>
      <c r="K194" s="178"/>
      <c r="L194" s="229" t="str">
        <f>RVAT_Output!K287</f>
        <v>Sewer lines </v>
      </c>
      <c r="M194" s="69"/>
      <c r="N194" s="178"/>
      <c r="O194" s="229" t="str">
        <f>RVAT_Output!N287</f>
        <v>Power lines/supply</v>
      </c>
      <c r="P194" s="69"/>
      <c r="Q194" s="69"/>
      <c r="R194" s="178"/>
      <c r="S194" s="229" t="str">
        <f>RVAT_Output!R287</f>
        <v>Energy for HH use </v>
      </c>
      <c r="T194" s="69"/>
      <c r="U194" s="178"/>
      <c r="V194" s="229" t="str">
        <f>RVAT_Output!U287</f>
        <v>Water pipes </v>
      </c>
      <c r="W194" s="69"/>
      <c r="X194" s="178"/>
      <c r="Y194" s="233" t="str">
        <f>RVAT_Output!X287</f>
        <v>PWT</v>
      </c>
      <c r="Z194" s="233" t="str">
        <f>RVAT_Output!Y287</f>
        <v>Water Storage</v>
      </c>
      <c r="AA194" s="233" t="str">
        <f>RVAT_Output!Z287</f>
        <v>R &amp; T</v>
      </c>
      <c r="AB194" s="233" t="str">
        <f>RVAT_Output!AA287</f>
        <v>Communication </v>
      </c>
      <c r="AC194" s="1"/>
      <c r="AD194" s="1"/>
      <c r="AE194" s="1"/>
      <c r="AF194" s="1"/>
      <c r="AG194" s="1"/>
      <c r="AH194" s="1" t="s">
        <v>684</v>
      </c>
      <c r="AI194" s="1"/>
      <c r="AJ194" s="1"/>
      <c r="AK194" s="1"/>
      <c r="AL194" s="1"/>
      <c r="AM194" s="1"/>
      <c r="AN194" s="1"/>
      <c r="AO194" s="1"/>
      <c r="AP194" s="1"/>
      <c r="AQ194" s="1"/>
      <c r="AR194" s="1"/>
      <c r="AS194" s="1"/>
      <c r="AT194" s="1"/>
      <c r="AU194" s="1"/>
      <c r="AV194" s="1"/>
      <c r="AW194" s="36"/>
      <c r="AX194" s="36"/>
      <c r="AY194" s="36"/>
      <c r="AZ194" s="36"/>
      <c r="BA194" s="36"/>
      <c r="BB194" s="36"/>
      <c r="BC194" s="36"/>
    </row>
    <row r="195" ht="14.25" hidden="1" customHeight="1">
      <c r="A195" s="264"/>
      <c r="B195" s="253"/>
      <c r="C195" s="226" t="str">
        <f>RVAT_Output!B288</f>
        <v>Potable water </v>
      </c>
      <c r="D195" s="229" t="str">
        <f>RVAT_Output!C288</f>
        <v>Access</v>
      </c>
      <c r="E195" s="69"/>
      <c r="F195" s="69"/>
      <c r="G195" s="69"/>
      <c r="H195" s="69"/>
      <c r="I195" s="69"/>
      <c r="J195" s="178"/>
      <c r="K195" s="229" t="str">
        <f>RVAT_Output!J288</f>
        <v>Scarcities </v>
      </c>
      <c r="L195" s="69"/>
      <c r="M195" s="69"/>
      <c r="N195" s="69"/>
      <c r="O195" s="69"/>
      <c r="P195" s="69"/>
      <c r="Q195" s="69"/>
      <c r="R195" s="69"/>
      <c r="S195" s="69"/>
      <c r="T195" s="69"/>
      <c r="U195" s="69"/>
      <c r="V195" s="69"/>
      <c r="W195" s="69"/>
      <c r="X195" s="178"/>
      <c r="Y195" s="229" t="str">
        <f>RVAT_Output!X288</f>
        <v>Quality</v>
      </c>
      <c r="Z195" s="69"/>
      <c r="AA195" s="69"/>
      <c r="AB195" s="178"/>
      <c r="AC195" s="1"/>
      <c r="AD195" s="1"/>
      <c r="AE195" s="1"/>
      <c r="AF195" s="1"/>
      <c r="AG195" s="1"/>
      <c r="AH195" s="1"/>
      <c r="AI195" s="1"/>
      <c r="AJ195" s="1"/>
      <c r="AK195" s="1"/>
      <c r="AL195" s="1"/>
      <c r="AM195" s="1"/>
      <c r="AN195" s="1"/>
      <c r="AO195" s="1"/>
      <c r="AP195" s="1"/>
      <c r="AQ195" s="1"/>
      <c r="AR195" s="1"/>
      <c r="AS195" s="1"/>
      <c r="AT195" s="1"/>
      <c r="AU195" s="1"/>
      <c r="AV195" s="1"/>
      <c r="AW195" s="36"/>
      <c r="AX195" s="36"/>
      <c r="AY195" s="36"/>
      <c r="AZ195" s="36"/>
      <c r="BA195" s="36"/>
      <c r="BB195" s="36"/>
      <c r="BC195" s="36"/>
    </row>
    <row r="196" ht="14.25" hidden="1" customHeight="1">
      <c r="A196" s="210"/>
      <c r="B196" s="1"/>
      <c r="C196" s="226" t="str">
        <f>RVAT_Output!B289</f>
        <v>EBS</v>
      </c>
      <c r="D196" s="233" t="str">
        <f>RVAT_Output!C289</f>
        <v>Soil </v>
      </c>
      <c r="E196" s="229" t="str">
        <f>RVAT_Output!D289</f>
        <v>LC &amp; P</v>
      </c>
      <c r="F196" s="69"/>
      <c r="G196" s="178"/>
      <c r="H196" s="229" t="str">
        <f>RVAT_Output!G289</f>
        <v>NV</v>
      </c>
      <c r="I196" s="69"/>
      <c r="J196" s="178"/>
      <c r="K196" s="229" t="str">
        <f>RVAT_Output!J289</f>
        <v>Wetland </v>
      </c>
      <c r="L196" s="69"/>
      <c r="M196" s="178"/>
      <c r="N196" s="229" t="str">
        <f>RVAT_Output!M289</f>
        <v>Biodiversity</v>
      </c>
      <c r="O196" s="69"/>
      <c r="P196" s="69"/>
      <c r="Q196" s="69"/>
      <c r="R196" s="178"/>
      <c r="S196" s="229" t="str">
        <f>RVAT_Output!R289</f>
        <v>NWB</v>
      </c>
      <c r="T196" s="69"/>
      <c r="U196" s="69"/>
      <c r="V196" s="69"/>
      <c r="W196" s="69"/>
      <c r="X196" s="178"/>
      <c r="Y196" s="233" t="str">
        <f>RVAT_Output!X289</f>
        <v>Sea</v>
      </c>
      <c r="Z196" s="233" t="str">
        <f>RVAT_Output!Y289</f>
        <v>EF</v>
      </c>
      <c r="AA196" s="233" t="str">
        <f>RVAT_Output!Z289</f>
        <v>Land use </v>
      </c>
      <c r="AB196" s="233" t="str">
        <f>RVAT_Output!AA289</f>
        <v>Topography</v>
      </c>
      <c r="AC196" s="1"/>
      <c r="AD196" s="1"/>
      <c r="AE196" s="1"/>
      <c r="AF196" s="1"/>
      <c r="AG196" s="1"/>
      <c r="AH196" s="1"/>
      <c r="AI196" s="1"/>
      <c r="AJ196" s="1"/>
      <c r="AK196" s="1"/>
      <c r="AL196" s="1"/>
      <c r="AM196" s="1"/>
      <c r="AN196" s="1"/>
      <c r="AO196" s="1"/>
      <c r="AP196" s="1"/>
      <c r="AQ196" s="1"/>
      <c r="AR196" s="1"/>
      <c r="AS196" s="1"/>
      <c r="AT196" s="1"/>
      <c r="AU196" s="1"/>
      <c r="AV196" s="1"/>
      <c r="AW196" s="36"/>
      <c r="AX196" s="36"/>
      <c r="AY196" s="36"/>
      <c r="AZ196" s="36"/>
      <c r="BA196" s="36"/>
      <c r="BB196" s="36"/>
      <c r="BC196" s="36"/>
    </row>
    <row r="197" ht="14.25" hidden="1" customHeight="1">
      <c r="A197" s="264"/>
      <c r="B197" s="253"/>
      <c r="C197" s="226" t="str">
        <f>RVAT_Output!B290</f>
        <v>Institutions</v>
      </c>
      <c r="D197" s="233" t="str">
        <f>RVAT_Output!C290</f>
        <v>EWS</v>
      </c>
      <c r="E197" s="229" t="str">
        <f>RVAT_Output!D290</f>
        <v>A &amp; I</v>
      </c>
      <c r="F197" s="69"/>
      <c r="G197" s="178"/>
      <c r="H197" s="229" t="str">
        <f>RVAT_Output!G290</f>
        <v>EC</v>
      </c>
      <c r="I197" s="69"/>
      <c r="J197" s="69"/>
      <c r="K197" s="178"/>
      <c r="L197" s="229" t="str">
        <f>RVAT_Output!K290</f>
        <v>R/RP</v>
      </c>
      <c r="M197" s="69"/>
      <c r="N197" s="69"/>
      <c r="O197" s="178"/>
      <c r="P197" s="229" t="str">
        <f>RVAT_Output!O290</f>
        <v>HFO</v>
      </c>
      <c r="Q197" s="69"/>
      <c r="R197" s="69"/>
      <c r="S197" s="69"/>
      <c r="T197" s="69"/>
      <c r="U197" s="69"/>
      <c r="V197" s="178"/>
      <c r="W197" s="229" t="str">
        <f>RVAT_Output!V290</f>
        <v>DP</v>
      </c>
      <c r="X197" s="69"/>
      <c r="Y197" s="178"/>
      <c r="Z197" s="233" t="str">
        <f>RVAT_Output!Y290</f>
        <v>DR</v>
      </c>
      <c r="AA197" s="233" t="str">
        <f>RVAT_Output!Z290</f>
        <v>PFR</v>
      </c>
      <c r="AB197" s="233" t="str">
        <f>RVAT_Output!AA290</f>
        <v>PFM</v>
      </c>
      <c r="AC197" s="1"/>
      <c r="AD197" s="1"/>
      <c r="AE197" s="1"/>
      <c r="AF197" s="1"/>
      <c r="AG197" s="1"/>
      <c r="AH197" s="1"/>
      <c r="AI197" s="1"/>
      <c r="AJ197" s="1"/>
      <c r="AK197" s="1"/>
      <c r="AL197" s="1"/>
      <c r="AM197" s="1"/>
      <c r="AN197" s="1"/>
      <c r="AO197" s="1"/>
      <c r="AP197" s="1"/>
      <c r="AQ197" s="1"/>
      <c r="AR197" s="1"/>
      <c r="AS197" s="1"/>
      <c r="AT197" s="1"/>
      <c r="AU197" s="1"/>
      <c r="AV197" s="1"/>
      <c r="AW197" s="36"/>
      <c r="AX197" s="36"/>
      <c r="AY197" s="36"/>
      <c r="AZ197" s="36"/>
      <c r="BA197" s="36"/>
      <c r="BB197" s="36"/>
      <c r="BC197" s="36"/>
    </row>
    <row r="198" ht="14.25" hidden="1" customHeight="1">
      <c r="A198" s="264"/>
      <c r="B198" s="253"/>
      <c r="C198" s="236"/>
      <c r="D198" s="427"/>
      <c r="E198" s="427"/>
      <c r="F198" s="427"/>
      <c r="G198" s="427"/>
      <c r="H198" s="427"/>
      <c r="I198" s="427"/>
      <c r="J198" s="427"/>
      <c r="K198" s="427"/>
      <c r="L198" s="427"/>
      <c r="M198" s="427"/>
      <c r="N198" s="427"/>
      <c r="O198" s="427"/>
      <c r="P198" s="427"/>
      <c r="Q198" s="427"/>
      <c r="R198" s="427"/>
      <c r="S198" s="427"/>
      <c r="T198" s="427"/>
      <c r="U198" s="427"/>
      <c r="V198" s="427"/>
      <c r="W198" s="427"/>
      <c r="X198" s="427"/>
      <c r="Y198" s="427"/>
      <c r="Z198" s="427"/>
      <c r="AA198" s="427"/>
      <c r="AB198" s="427"/>
      <c r="AC198" s="1"/>
      <c r="AD198" s="1"/>
      <c r="AE198" s="1"/>
      <c r="AF198" s="1"/>
      <c r="AG198" s="1"/>
      <c r="AH198" s="1"/>
      <c r="AI198" s="1"/>
      <c r="AJ198" s="1"/>
      <c r="AK198" s="1"/>
      <c r="AL198" s="1"/>
      <c r="AM198" s="1"/>
      <c r="AN198" s="1"/>
      <c r="AO198" s="1"/>
      <c r="AP198" s="1"/>
      <c r="AQ198" s="1"/>
      <c r="AR198" s="1"/>
      <c r="AS198" s="1"/>
      <c r="AT198" s="1"/>
      <c r="AU198" s="1"/>
      <c r="AV198" s="1"/>
      <c r="AW198" s="36"/>
      <c r="AX198" s="36"/>
      <c r="AY198" s="36"/>
      <c r="AZ198" s="36"/>
      <c r="BA198" s="36"/>
      <c r="BB198" s="36"/>
      <c r="BC198" s="36"/>
    </row>
    <row r="199" ht="14.25" hidden="1" customHeight="1">
      <c r="A199" s="264"/>
      <c r="B199" s="253"/>
      <c r="C199" s="226" t="str">
        <f t="shared" ref="C199:C204" si="28">C192</f>
        <v>Livelihoods</v>
      </c>
      <c r="D199" s="233" t="str">
        <f>RVAT_Output!C292</f>
        <v>Low</v>
      </c>
      <c r="E199" s="229" t="str">
        <f>RVAT_Output!D292</f>
        <v>Low</v>
      </c>
      <c r="F199" s="178"/>
      <c r="G199" s="229" t="str">
        <f>RVAT_Output!F292</f>
        <v>Low</v>
      </c>
      <c r="H199" s="178"/>
      <c r="I199" s="229" t="str">
        <f>RVAT_Output!H292</f>
        <v>Low</v>
      </c>
      <c r="J199" s="69"/>
      <c r="K199" s="178"/>
      <c r="L199" s="229" t="str">
        <f>RVAT_Output!K292</f>
        <v>Low</v>
      </c>
      <c r="M199" s="69"/>
      <c r="N199" s="178"/>
      <c r="O199" s="229" t="str">
        <f>RVAT_Output!N292</f>
        <v>Low</v>
      </c>
      <c r="P199" s="69"/>
      <c r="Q199" s="69"/>
      <c r="R199" s="178"/>
      <c r="S199" s="229" t="str">
        <f>RVAT_Output!R292</f>
        <v>Low</v>
      </c>
      <c r="T199" s="69"/>
      <c r="U199" s="178"/>
      <c r="V199" s="229" t="str">
        <f>RVAT_Output!U292</f>
        <v>Low</v>
      </c>
      <c r="W199" s="69"/>
      <c r="X199" s="178"/>
      <c r="Y199" s="233" t="str">
        <f>RVAT_Output!X292</f>
        <v>Low</v>
      </c>
      <c r="Z199" s="233" t="str">
        <f>RVAT_Output!Y292</f>
        <v>Low</v>
      </c>
      <c r="AA199" s="233" t="str">
        <f>RVAT_Output!Z292</f>
        <v>Low</v>
      </c>
      <c r="AB199" s="233" t="str">
        <f>RVAT_Output!AA292</f>
        <v>Low</v>
      </c>
      <c r="AC199" s="1"/>
      <c r="AD199" s="1"/>
      <c r="AE199" s="1"/>
      <c r="AF199" s="1"/>
      <c r="AG199" s="1"/>
      <c r="AH199" s="1"/>
      <c r="AI199" s="1"/>
      <c r="AJ199" s="1"/>
      <c r="AK199" s="1"/>
      <c r="AL199" s="1"/>
      <c r="AM199" s="1"/>
      <c r="AN199" s="1"/>
      <c r="AO199" s="1"/>
      <c r="AP199" s="1"/>
      <c r="AQ199" s="1"/>
      <c r="AR199" s="1"/>
      <c r="AS199" s="1"/>
      <c r="AT199" s="1"/>
      <c r="AU199" s="1"/>
      <c r="AV199" s="1"/>
      <c r="AW199" s="36"/>
      <c r="AX199" s="36"/>
      <c r="AY199" s="36"/>
      <c r="AZ199" s="36"/>
      <c r="BA199" s="36"/>
      <c r="BB199" s="36"/>
      <c r="BC199" s="36"/>
    </row>
    <row r="200" ht="14.25" hidden="1" customHeight="1">
      <c r="A200" s="264"/>
      <c r="B200" s="253"/>
      <c r="C200" s="226" t="str">
        <f t="shared" si="28"/>
        <v>Health &amp; Safety</v>
      </c>
      <c r="D200" s="233" t="str">
        <f>RVAT_Output!C293</f>
        <v>Low</v>
      </c>
      <c r="E200" s="229" t="str">
        <f>RVAT_Output!D293</f>
        <v>Low</v>
      </c>
      <c r="F200" s="69"/>
      <c r="G200" s="178"/>
      <c r="H200" s="229" t="str">
        <f>RVAT_Output!G293</f>
        <v>Low</v>
      </c>
      <c r="I200" s="69"/>
      <c r="J200" s="69"/>
      <c r="K200" s="69"/>
      <c r="L200" s="178"/>
      <c r="M200" s="229" t="str">
        <f>RVAT_Output!L293</f>
        <v>Low</v>
      </c>
      <c r="N200" s="69"/>
      <c r="O200" s="69"/>
      <c r="P200" s="69"/>
      <c r="Q200" s="69"/>
      <c r="R200" s="178"/>
      <c r="S200" s="229" t="str">
        <f>RVAT_Output!R293</f>
        <v>Low</v>
      </c>
      <c r="T200" s="69"/>
      <c r="U200" s="69"/>
      <c r="V200" s="69"/>
      <c r="W200" s="69"/>
      <c r="X200" s="69"/>
      <c r="Y200" s="178"/>
      <c r="Z200" s="229" t="str">
        <f>RVAT_Output!Y293</f>
        <v>Low</v>
      </c>
      <c r="AA200" s="69"/>
      <c r="AB200" s="178"/>
      <c r="AC200" s="1"/>
      <c r="AD200" s="1"/>
      <c r="AE200" s="1"/>
      <c r="AF200" s="1"/>
      <c r="AG200" s="1"/>
      <c r="AH200" s="1"/>
      <c r="AI200" s="1"/>
      <c r="AJ200" s="1"/>
      <c r="AK200" s="1"/>
      <c r="AL200" s="1"/>
      <c r="AM200" s="1"/>
      <c r="AN200" s="1"/>
      <c r="AO200" s="1"/>
      <c r="AP200" s="1"/>
      <c r="AQ200" s="1"/>
      <c r="AR200" s="1"/>
      <c r="AS200" s="1"/>
      <c r="AT200" s="1"/>
      <c r="AU200" s="1"/>
      <c r="AV200" s="1"/>
      <c r="AW200" s="36"/>
      <c r="AX200" s="36"/>
      <c r="AY200" s="36"/>
      <c r="AZ200" s="36"/>
      <c r="BA200" s="36"/>
      <c r="BB200" s="36"/>
      <c r="BC200" s="36"/>
    </row>
    <row r="201" ht="14.25" hidden="1" customHeight="1">
      <c r="A201" s="264"/>
      <c r="B201" s="253"/>
      <c r="C201" s="226" t="str">
        <f t="shared" si="28"/>
        <v>Assets and Utilities</v>
      </c>
      <c r="D201" s="233" t="str">
        <f>RVAT_Output!C294</f>
        <v>Low</v>
      </c>
      <c r="E201" s="229" t="str">
        <f>RVAT_Output!D294</f>
        <v>Low</v>
      </c>
      <c r="F201" s="178"/>
      <c r="G201" s="229" t="str">
        <f>RVAT_Output!F294</f>
        <v>Low</v>
      </c>
      <c r="H201" s="178"/>
      <c r="I201" s="229" t="str">
        <f>RVAT_Output!H294</f>
        <v>Low</v>
      </c>
      <c r="J201" s="69"/>
      <c r="K201" s="178"/>
      <c r="L201" s="229" t="str">
        <f>RVAT_Output!K294</f>
        <v>Low</v>
      </c>
      <c r="M201" s="69"/>
      <c r="N201" s="178"/>
      <c r="O201" s="229" t="str">
        <f>RVAT_Output!N294</f>
        <v>Low</v>
      </c>
      <c r="P201" s="69"/>
      <c r="Q201" s="69"/>
      <c r="R201" s="178"/>
      <c r="S201" s="229" t="str">
        <f>RVAT_Output!R294</f>
        <v>Low</v>
      </c>
      <c r="T201" s="69"/>
      <c r="U201" s="178"/>
      <c r="V201" s="229" t="str">
        <f>RVAT_Output!U294</f>
        <v>Low</v>
      </c>
      <c r="W201" s="69"/>
      <c r="X201" s="178"/>
      <c r="Y201" s="233" t="str">
        <f>RVAT_Output!X294</f>
        <v>Low</v>
      </c>
      <c r="Z201" s="233" t="str">
        <f>RVAT_Output!Y294</f>
        <v>Low</v>
      </c>
      <c r="AA201" s="233" t="str">
        <f>RVAT_Output!Z294</f>
        <v>Low</v>
      </c>
      <c r="AB201" s="233" t="str">
        <f>RVAT_Output!AA294</f>
        <v>Low</v>
      </c>
      <c r="AC201" s="1"/>
      <c r="AD201" s="1"/>
      <c r="AE201" s="1"/>
      <c r="AF201" s="1"/>
      <c r="AG201" s="1"/>
      <c r="AH201" s="1"/>
      <c r="AI201" s="1"/>
      <c r="AJ201" s="1"/>
      <c r="AK201" s="1"/>
      <c r="AL201" s="1"/>
      <c r="AM201" s="1"/>
      <c r="AN201" s="1"/>
      <c r="AO201" s="1"/>
      <c r="AP201" s="1"/>
      <c r="AQ201" s="1"/>
      <c r="AR201" s="1"/>
      <c r="AS201" s="1"/>
      <c r="AT201" s="1"/>
      <c r="AU201" s="1"/>
      <c r="AV201" s="1"/>
      <c r="AW201" s="36"/>
      <c r="AX201" s="36"/>
      <c r="AY201" s="36"/>
      <c r="AZ201" s="36"/>
      <c r="BA201" s="36"/>
      <c r="BB201" s="36"/>
      <c r="BC201" s="36"/>
    </row>
    <row r="202" ht="14.25" hidden="1" customHeight="1">
      <c r="A202" s="1"/>
      <c r="B202" s="1"/>
      <c r="C202" s="226" t="str">
        <f t="shared" si="28"/>
        <v>Potable water </v>
      </c>
      <c r="D202" s="229" t="str">
        <f>RVAT_Output!C295</f>
        <v>Low</v>
      </c>
      <c r="E202" s="69"/>
      <c r="F202" s="69"/>
      <c r="G202" s="69"/>
      <c r="H202" s="69"/>
      <c r="I202" s="69"/>
      <c r="J202" s="178"/>
      <c r="K202" s="229" t="str">
        <f>RVAT_Output!J295</f>
        <v>Low</v>
      </c>
      <c r="L202" s="69"/>
      <c r="M202" s="69"/>
      <c r="N202" s="69"/>
      <c r="O202" s="69"/>
      <c r="P202" s="69"/>
      <c r="Q202" s="69"/>
      <c r="R202" s="69"/>
      <c r="S202" s="69"/>
      <c r="T202" s="69"/>
      <c r="U202" s="69"/>
      <c r="V202" s="69"/>
      <c r="W202" s="69"/>
      <c r="X202" s="178"/>
      <c r="Y202" s="229" t="str">
        <f>RVAT_Output!X295</f>
        <v>Low</v>
      </c>
      <c r="Z202" s="69"/>
      <c r="AA202" s="69"/>
      <c r="AB202" s="178"/>
      <c r="AC202" s="1"/>
      <c r="AD202" s="1"/>
      <c r="AE202" s="1"/>
      <c r="AF202" s="1"/>
      <c r="AG202" s="1"/>
      <c r="AH202" s="1"/>
      <c r="AI202" s="1"/>
      <c r="AJ202" s="1"/>
      <c r="AK202" s="1"/>
      <c r="AL202" s="1"/>
      <c r="AM202" s="1"/>
      <c r="AN202" s="1"/>
      <c r="AO202" s="1"/>
      <c r="AP202" s="1"/>
      <c r="AQ202" s="1"/>
      <c r="AR202" s="1"/>
      <c r="AS202" s="1"/>
      <c r="AT202" s="1"/>
      <c r="AU202" s="1"/>
      <c r="AV202" s="1"/>
      <c r="AW202" s="36"/>
      <c r="AX202" s="36"/>
      <c r="AY202" s="36"/>
      <c r="AZ202" s="36"/>
      <c r="BA202" s="36"/>
      <c r="BB202" s="36"/>
      <c r="BC202" s="36"/>
    </row>
    <row r="203" ht="14.25" hidden="1" customHeight="1">
      <c r="A203" s="289"/>
      <c r="B203" s="253"/>
      <c r="C203" s="226" t="str">
        <f t="shared" si="28"/>
        <v>EBS</v>
      </c>
      <c r="D203" s="233" t="str">
        <f>RVAT_Output!C296</f>
        <v>Low</v>
      </c>
      <c r="E203" s="229" t="str">
        <f>RVAT_Output!D296</f>
        <v>Low</v>
      </c>
      <c r="F203" s="69"/>
      <c r="G203" s="178"/>
      <c r="H203" s="229" t="str">
        <f>RVAT_Output!G296</f>
        <v>Low</v>
      </c>
      <c r="I203" s="69"/>
      <c r="J203" s="178"/>
      <c r="K203" s="229" t="str">
        <f>RVAT_Output!J296</f>
        <v>Low</v>
      </c>
      <c r="L203" s="69"/>
      <c r="M203" s="178"/>
      <c r="N203" s="229" t="str">
        <f>RVAT_Output!M296</f>
        <v>Low</v>
      </c>
      <c r="O203" s="69"/>
      <c r="P203" s="69"/>
      <c r="Q203" s="69"/>
      <c r="R203" s="178"/>
      <c r="S203" s="229" t="str">
        <f>RVAT_Output!R296</f>
        <v>Low</v>
      </c>
      <c r="T203" s="69"/>
      <c r="U203" s="69"/>
      <c r="V203" s="69"/>
      <c r="W203" s="69"/>
      <c r="X203" s="178"/>
      <c r="Y203" s="233" t="str">
        <f>RVAT_Output!X296</f>
        <v>Low</v>
      </c>
      <c r="Z203" s="233" t="str">
        <f>RVAT_Output!Y296</f>
        <v>Low</v>
      </c>
      <c r="AA203" s="233" t="str">
        <f>RVAT_Output!Z296</f>
        <v>Low</v>
      </c>
      <c r="AB203" s="233" t="str">
        <f>RVAT_Output!AA296</f>
        <v>Low</v>
      </c>
      <c r="AC203" s="1"/>
      <c r="AD203" s="1"/>
      <c r="AE203" s="1"/>
      <c r="AF203" s="1"/>
      <c r="AG203" s="1"/>
      <c r="AH203" s="1"/>
      <c r="AI203" s="1"/>
      <c r="AJ203" s="1"/>
      <c r="AK203" s="1"/>
      <c r="AL203" s="1"/>
      <c r="AM203" s="1"/>
      <c r="AN203" s="1"/>
      <c r="AO203" s="1"/>
      <c r="AP203" s="1"/>
      <c r="AQ203" s="1"/>
      <c r="AR203" s="1"/>
      <c r="AS203" s="1"/>
      <c r="AT203" s="1"/>
      <c r="AU203" s="1"/>
      <c r="AV203" s="1"/>
      <c r="AW203" s="36"/>
      <c r="AX203" s="36"/>
      <c r="AY203" s="36"/>
      <c r="AZ203" s="36"/>
      <c r="BA203" s="36"/>
      <c r="BB203" s="36"/>
      <c r="BC203" s="36"/>
    </row>
    <row r="204" ht="14.25" hidden="1" customHeight="1">
      <c r="A204" s="264"/>
      <c r="B204" s="253"/>
      <c r="C204" s="226" t="str">
        <f t="shared" si="28"/>
        <v>Institutions</v>
      </c>
      <c r="D204" s="233" t="str">
        <f>RVAT_Output!C297</f>
        <v>Low</v>
      </c>
      <c r="E204" s="229" t="str">
        <f>RVAT_Output!D297</f>
        <v>Low</v>
      </c>
      <c r="F204" s="69"/>
      <c r="G204" s="178"/>
      <c r="H204" s="229" t="str">
        <f>RVAT_Output!G297</f>
        <v>Low</v>
      </c>
      <c r="I204" s="69"/>
      <c r="J204" s="69"/>
      <c r="K204" s="178"/>
      <c r="L204" s="229" t="str">
        <f>RVAT_Output!K297</f>
        <v>Low</v>
      </c>
      <c r="M204" s="69"/>
      <c r="N204" s="69"/>
      <c r="O204" s="178"/>
      <c r="P204" s="229" t="str">
        <f>RVAT_Output!O297</f>
        <v>Low</v>
      </c>
      <c r="Q204" s="69"/>
      <c r="R204" s="69"/>
      <c r="S204" s="69"/>
      <c r="T204" s="69"/>
      <c r="U204" s="69"/>
      <c r="V204" s="178"/>
      <c r="W204" s="229" t="str">
        <f>RVAT_Output!V297</f>
        <v>Low</v>
      </c>
      <c r="X204" s="69"/>
      <c r="Y204" s="178"/>
      <c r="Z204" s="233" t="str">
        <f>RVAT_Output!Y297</f>
        <v>Low</v>
      </c>
      <c r="AA204" s="233" t="str">
        <f>RVAT_Output!Z297</f>
        <v>Low</v>
      </c>
      <c r="AB204" s="233" t="str">
        <f>RVAT_Output!AA297</f>
        <v>Low</v>
      </c>
      <c r="AC204" s="1"/>
      <c r="AD204" s="1"/>
      <c r="AE204" s="1"/>
      <c r="AF204" s="1"/>
      <c r="AG204" s="1"/>
      <c r="AH204" s="1"/>
      <c r="AI204" s="1"/>
      <c r="AJ204" s="1"/>
      <c r="AK204" s="1"/>
      <c r="AL204" s="1"/>
      <c r="AM204" s="1"/>
      <c r="AN204" s="1"/>
      <c r="AO204" s="1"/>
      <c r="AP204" s="1"/>
      <c r="AQ204" s="1"/>
      <c r="AR204" s="1"/>
      <c r="AS204" s="1"/>
      <c r="AT204" s="1"/>
      <c r="AU204" s="1"/>
      <c r="AV204" s="1"/>
      <c r="AW204" s="36"/>
      <c r="AX204" s="36"/>
      <c r="AY204" s="36"/>
      <c r="AZ204" s="36"/>
      <c r="BA204" s="36"/>
      <c r="BB204" s="36"/>
      <c r="BC204" s="36"/>
    </row>
    <row r="205" ht="14.25" hidden="1" customHeight="1">
      <c r="A205" s="210"/>
      <c r="B205" s="253"/>
      <c r="C205" s="288"/>
      <c r="D205" s="288"/>
      <c r="E205" s="288"/>
      <c r="F205" s="288"/>
      <c r="G205" s="288"/>
      <c r="H205" s="288"/>
      <c r="I205" s="288"/>
      <c r="J205" s="288"/>
      <c r="K205" s="288"/>
      <c r="L205" s="288"/>
      <c r="M205" s="288"/>
      <c r="N205" s="288"/>
      <c r="O205" s="288"/>
      <c r="P205" s="288"/>
      <c r="Q205" s="288"/>
      <c r="R205" s="288"/>
      <c r="S205" s="288"/>
      <c r="T205" s="288"/>
      <c r="U205" s="288"/>
      <c r="V205" s="288"/>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36"/>
      <c r="AX205" s="36"/>
      <c r="AY205" s="36"/>
      <c r="AZ205" s="36"/>
      <c r="BA205" s="36"/>
      <c r="BB205" s="36"/>
      <c r="BC205" s="36"/>
    </row>
    <row r="206" ht="14.25" hidden="1" customHeight="1">
      <c r="A206" s="264"/>
      <c r="B206" s="253"/>
      <c r="C206" s="222" t="s">
        <v>615</v>
      </c>
      <c r="D206" s="223"/>
      <c r="E206" s="424"/>
      <c r="F206" s="425"/>
      <c r="G206" s="425"/>
      <c r="H206" s="425"/>
      <c r="I206" s="426"/>
      <c r="J206" s="424"/>
      <c r="K206" s="425"/>
      <c r="L206" s="425"/>
      <c r="M206" s="425"/>
      <c r="N206" s="426"/>
      <c r="O206" s="424"/>
      <c r="P206" s="425"/>
      <c r="Q206" s="425"/>
      <c r="R206" s="425"/>
      <c r="S206" s="426"/>
      <c r="T206" s="424"/>
      <c r="U206" s="425"/>
      <c r="V206" s="425"/>
      <c r="W206" s="425"/>
      <c r="X206" s="426"/>
      <c r="Y206" s="225"/>
      <c r="Z206" s="225"/>
      <c r="AA206" s="225"/>
      <c r="AB206" s="36"/>
      <c r="AC206" s="1"/>
      <c r="AD206" s="1"/>
      <c r="AE206" s="1"/>
      <c r="AF206" s="1"/>
      <c r="AG206" s="1"/>
      <c r="AH206" s="1"/>
      <c r="AI206" s="1"/>
      <c r="AJ206" s="1"/>
      <c r="AK206" s="1"/>
      <c r="AL206" s="1"/>
      <c r="AM206" s="1"/>
      <c r="AN206" s="1"/>
      <c r="AO206" s="1"/>
      <c r="AP206" s="1"/>
      <c r="AQ206" s="1"/>
      <c r="AR206" s="1"/>
      <c r="AS206" s="1"/>
      <c r="AT206" s="1"/>
      <c r="AU206" s="1"/>
      <c r="AV206" s="1"/>
      <c r="AW206" s="36"/>
      <c r="AX206" s="36"/>
      <c r="AY206" s="36"/>
      <c r="AZ206" s="36"/>
      <c r="BA206" s="36"/>
      <c r="BB206" s="36"/>
      <c r="BC206" s="36"/>
    </row>
    <row r="207" ht="14.25" hidden="1" customHeight="1">
      <c r="A207" s="289"/>
      <c r="B207" s="253"/>
      <c r="C207" s="266" t="str">
        <f>RVAT_Output!B260</f>
        <v>Livelihoods</v>
      </c>
      <c r="D207" s="178"/>
      <c r="E207" s="266" t="str">
        <f>RVAT_Output!D260</f>
        <v>Health &amp; Safety</v>
      </c>
      <c r="F207" s="69"/>
      <c r="G207" s="69"/>
      <c r="H207" s="178"/>
      <c r="I207" s="266" t="str">
        <f>RVAT_Output!H260</f>
        <v>Assets and Utilities</v>
      </c>
      <c r="J207" s="69"/>
      <c r="K207" s="69"/>
      <c r="L207" s="69"/>
      <c r="M207" s="69"/>
      <c r="N207" s="178"/>
      <c r="O207" s="266" t="str">
        <f>RVAT_Output!N260</f>
        <v>Potable water </v>
      </c>
      <c r="P207" s="69"/>
      <c r="Q207" s="69"/>
      <c r="R207" s="69"/>
      <c r="S207" s="69"/>
      <c r="T207" s="69"/>
      <c r="U207" s="178"/>
      <c r="V207" s="266" t="str">
        <f>RVAT_Output!U260</f>
        <v>EBS</v>
      </c>
      <c r="W207" s="69"/>
      <c r="X207" s="69"/>
      <c r="Y207" s="178"/>
      <c r="Z207" s="266" t="str">
        <f>RVAT_Output!Y260</f>
        <v>Institutions</v>
      </c>
      <c r="AA207" s="178"/>
      <c r="AB207" s="36"/>
      <c r="AC207" s="1"/>
      <c r="AD207" s="1"/>
      <c r="AE207" s="1"/>
      <c r="AF207" s="1"/>
      <c r="AG207" s="1"/>
      <c r="AH207" s="1"/>
      <c r="AI207" s="1"/>
      <c r="AJ207" s="1"/>
      <c r="AK207" s="1"/>
      <c r="AL207" s="1"/>
      <c r="AM207" s="1"/>
      <c r="AN207" s="1"/>
      <c r="AO207" s="1"/>
      <c r="AP207" s="1"/>
      <c r="AQ207" s="1"/>
      <c r="AR207" s="1"/>
      <c r="AS207" s="1"/>
      <c r="AT207" s="1"/>
      <c r="AU207" s="1"/>
      <c r="AV207" s="1"/>
      <c r="AW207" s="36"/>
      <c r="AX207" s="36"/>
      <c r="AY207" s="36"/>
      <c r="AZ207" s="36"/>
      <c r="BA207" s="36"/>
      <c r="BB207" s="36"/>
      <c r="BC207" s="36"/>
    </row>
    <row r="208" ht="14.25" hidden="1" customHeight="1">
      <c r="A208" s="264"/>
      <c r="B208" s="253"/>
      <c r="C208" s="267"/>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9"/>
      <c r="AA208" s="269"/>
      <c r="AB208" s="1"/>
      <c r="AC208" s="1"/>
      <c r="AD208" s="1"/>
      <c r="AE208" s="1"/>
      <c r="AF208" s="1"/>
      <c r="AG208" s="1"/>
      <c r="AH208" s="1"/>
      <c r="AI208" s="1"/>
      <c r="AJ208" s="1"/>
      <c r="AK208" s="1"/>
      <c r="AL208" s="1"/>
      <c r="AM208" s="1"/>
      <c r="AN208" s="1"/>
      <c r="AO208" s="1"/>
      <c r="AP208" s="1"/>
      <c r="AQ208" s="1"/>
      <c r="AR208" s="1"/>
      <c r="AS208" s="1"/>
      <c r="AT208" s="1"/>
      <c r="AU208" s="1"/>
      <c r="AV208" s="1"/>
      <c r="AW208" s="36"/>
      <c r="AX208" s="36"/>
      <c r="AY208" s="36"/>
      <c r="AZ208" s="36"/>
      <c r="BA208" s="36"/>
      <c r="BB208" s="36"/>
      <c r="BC208" s="36"/>
    </row>
    <row r="209" ht="14.25" hidden="1" customHeight="1">
      <c r="A209" s="264"/>
      <c r="B209" s="253"/>
      <c r="C209" s="266" t="str">
        <f>RVAT_Output!B262</f>
        <v>Low</v>
      </c>
      <c r="D209" s="178"/>
      <c r="E209" s="266" t="str">
        <f>RVAT_Output!D262</f>
        <v>Low</v>
      </c>
      <c r="F209" s="69"/>
      <c r="G209" s="69"/>
      <c r="H209" s="178"/>
      <c r="I209" s="266" t="str">
        <f>RVAT_Output!H262</f>
        <v>Low</v>
      </c>
      <c r="J209" s="69"/>
      <c r="K209" s="69"/>
      <c r="L209" s="69"/>
      <c r="M209" s="69"/>
      <c r="N209" s="178"/>
      <c r="O209" s="266" t="str">
        <f>RVAT_Output!N262</f>
        <v>Low</v>
      </c>
      <c r="P209" s="69"/>
      <c r="Q209" s="69"/>
      <c r="R209" s="69"/>
      <c r="S209" s="69"/>
      <c r="T209" s="69"/>
      <c r="U209" s="178"/>
      <c r="V209" s="266" t="str">
        <f>RVAT_Output!U262</f>
        <v>Low</v>
      </c>
      <c r="W209" s="69"/>
      <c r="X209" s="69"/>
      <c r="Y209" s="178"/>
      <c r="Z209" s="266" t="str">
        <f>RVAT_Output!Y262</f>
        <v>Low</v>
      </c>
      <c r="AA209" s="178"/>
      <c r="AB209" s="1"/>
      <c r="AC209" s="1"/>
      <c r="AD209" s="1"/>
      <c r="AE209" s="1"/>
      <c r="AF209" s="1"/>
      <c r="AG209" s="1"/>
      <c r="AH209" s="1"/>
      <c r="AI209" s="1"/>
      <c r="AJ209" s="1"/>
      <c r="AK209" s="1"/>
      <c r="AL209" s="1"/>
      <c r="AM209" s="1"/>
      <c r="AN209" s="1"/>
      <c r="AO209" s="1"/>
      <c r="AP209" s="1"/>
      <c r="AQ209" s="1"/>
      <c r="AR209" s="1"/>
      <c r="AS209" s="1"/>
      <c r="AT209" s="1"/>
      <c r="AU209" s="1"/>
      <c r="AV209" s="1"/>
      <c r="AW209" s="36"/>
      <c r="AX209" s="36"/>
      <c r="AY209" s="36"/>
      <c r="AZ209" s="36"/>
      <c r="BA209" s="36"/>
      <c r="BB209" s="36"/>
      <c r="BC209" s="36"/>
    </row>
    <row r="210" ht="14.25" hidden="1" customHeight="1">
      <c r="A210" s="264"/>
      <c r="B210" s="253"/>
      <c r="C210" s="1"/>
      <c r="D210" s="270"/>
      <c r="E210" s="283"/>
      <c r="F210" s="281"/>
      <c r="G210" s="281"/>
      <c r="H210" s="281"/>
      <c r="I210" s="281"/>
      <c r="J210" s="283"/>
      <c r="K210" s="281"/>
      <c r="L210" s="281"/>
      <c r="M210" s="281"/>
      <c r="N210" s="281"/>
      <c r="O210" s="283"/>
      <c r="P210" s="281"/>
      <c r="Q210" s="281"/>
      <c r="R210" s="281"/>
      <c r="S210" s="281"/>
      <c r="T210" s="283"/>
      <c r="U210" s="281"/>
      <c r="V210" s="281"/>
      <c r="W210" s="281"/>
      <c r="X210" s="281"/>
      <c r="Y210" s="271"/>
      <c r="Z210" s="96"/>
      <c r="AA210" s="203"/>
      <c r="AB210" s="1"/>
      <c r="AC210" s="1"/>
      <c r="AD210" s="1"/>
      <c r="AE210" s="1"/>
      <c r="AF210" s="1"/>
      <c r="AG210" s="1"/>
      <c r="AH210" s="1"/>
      <c r="AI210" s="1"/>
      <c r="AJ210" s="1"/>
      <c r="AK210" s="1"/>
      <c r="AL210" s="1"/>
      <c r="AM210" s="1"/>
      <c r="AN210" s="1"/>
      <c r="AO210" s="1"/>
      <c r="AP210" s="1"/>
      <c r="AQ210" s="1"/>
      <c r="AR210" s="1"/>
      <c r="AS210" s="1"/>
      <c r="AT210" s="1"/>
      <c r="AU210" s="1"/>
      <c r="AV210" s="1"/>
      <c r="AW210" s="36"/>
      <c r="AX210" s="36"/>
      <c r="AY210" s="36"/>
      <c r="AZ210" s="36"/>
      <c r="BA210" s="36"/>
      <c r="BB210" s="36"/>
      <c r="BC210" s="36"/>
    </row>
    <row r="211" ht="14.25" hidden="1" customHeight="1">
      <c r="A211" s="264"/>
      <c r="B211" s="253"/>
      <c r="C211" s="222" t="s">
        <v>616</v>
      </c>
      <c r="D211" s="223"/>
      <c r="E211" s="424"/>
      <c r="F211" s="425"/>
      <c r="G211" s="425"/>
      <c r="H211" s="425"/>
      <c r="I211" s="426"/>
      <c r="J211" s="424"/>
      <c r="K211" s="425"/>
      <c r="L211" s="425"/>
      <c r="M211" s="425"/>
      <c r="N211" s="426"/>
      <c r="O211" s="424"/>
      <c r="P211" s="425"/>
      <c r="Q211" s="425"/>
      <c r="R211" s="425"/>
      <c r="S211" s="426"/>
      <c r="T211" s="424"/>
      <c r="U211" s="425"/>
      <c r="V211" s="425"/>
      <c r="W211" s="425"/>
      <c r="X211" s="426"/>
      <c r="Y211" s="225"/>
      <c r="Z211" s="225"/>
      <c r="AA211" s="225"/>
      <c r="AB211" s="225"/>
      <c r="AC211" s="1"/>
      <c r="AD211" s="1"/>
      <c r="AE211" s="1"/>
      <c r="AF211" s="1"/>
      <c r="AG211" s="1"/>
      <c r="AH211" s="1"/>
      <c r="AI211" s="1"/>
      <c r="AJ211" s="1"/>
      <c r="AK211" s="1"/>
      <c r="AL211" s="1"/>
      <c r="AM211" s="1"/>
      <c r="AN211" s="1"/>
      <c r="AO211" s="1"/>
      <c r="AP211" s="1"/>
      <c r="AQ211" s="1"/>
      <c r="AR211" s="1"/>
      <c r="AS211" s="1"/>
      <c r="AT211" s="1"/>
      <c r="AU211" s="1"/>
      <c r="AV211" s="1"/>
      <c r="AW211" s="36"/>
      <c r="AX211" s="36"/>
      <c r="AY211" s="36"/>
      <c r="AZ211" s="36"/>
      <c r="BA211" s="36"/>
      <c r="BB211" s="36"/>
      <c r="BC211" s="36"/>
    </row>
    <row r="212" ht="14.25" hidden="1" customHeight="1">
      <c r="A212" s="264"/>
      <c r="B212" s="253"/>
      <c r="C212" s="226" t="str">
        <f>RVAT_Output!B265</f>
        <v>Livelihoods</v>
      </c>
      <c r="D212" s="233" t="str">
        <f>RVAT_Output!C265</f>
        <v>Food Security</v>
      </c>
      <c r="E212" s="229" t="str">
        <f>RVAT_Output!D265</f>
        <v>Grazing/Farm Land</v>
      </c>
      <c r="F212" s="178"/>
      <c r="G212" s="229" t="str">
        <f>RVAT_Output!F265</f>
        <v>Crops</v>
      </c>
      <c r="H212" s="178"/>
      <c r="I212" s="229" t="str">
        <f>RVAT_Output!H265</f>
        <v>Livestock</v>
      </c>
      <c r="J212" s="69"/>
      <c r="K212" s="178"/>
      <c r="L212" s="229" t="str">
        <f>RVAT_Output!K265</f>
        <v>Fishstock</v>
      </c>
      <c r="M212" s="69"/>
      <c r="N212" s="178"/>
      <c r="O212" s="229" t="str">
        <f>RVAT_Output!N265</f>
        <v>Local commerce</v>
      </c>
      <c r="P212" s="69"/>
      <c r="Q212" s="69"/>
      <c r="R212" s="178"/>
      <c r="S212" s="229" t="str">
        <f>RVAT_Output!R265</f>
        <v>Gender </v>
      </c>
      <c r="T212" s="69"/>
      <c r="U212" s="178"/>
      <c r="V212" s="229" t="str">
        <f>RVAT_Output!U265</f>
        <v>Conviviality </v>
      </c>
      <c r="W212" s="69"/>
      <c r="X212" s="178"/>
      <c r="Y212" s="233" t="str">
        <f>RVAT_Output!X265</f>
        <v>Education </v>
      </c>
      <c r="Z212" s="233" t="str">
        <f>RVAT_Output!Y265</f>
        <v>WFI/WFDU</v>
      </c>
      <c r="AA212" s="233" t="str">
        <f>RVAT_Output!Z265</f>
        <v>ATF/I</v>
      </c>
      <c r="AB212" s="233" t="str">
        <f>RVAT_Output!AA265</f>
        <v>Disaster Events</v>
      </c>
      <c r="AC212" s="1"/>
      <c r="AD212" s="1"/>
      <c r="AE212" s="1"/>
      <c r="AF212" s="1"/>
      <c r="AG212" s="1"/>
      <c r="AH212" s="1"/>
      <c r="AI212" s="1"/>
      <c r="AJ212" s="1"/>
      <c r="AK212" s="1"/>
      <c r="AL212" s="1"/>
      <c r="AM212" s="1"/>
      <c r="AN212" s="1"/>
      <c r="AO212" s="1"/>
      <c r="AP212" s="1"/>
      <c r="AQ212" s="1"/>
      <c r="AR212" s="1"/>
      <c r="AS212" s="1"/>
      <c r="AT212" s="1"/>
      <c r="AU212" s="1"/>
      <c r="AV212" s="1"/>
      <c r="AW212" s="36"/>
      <c r="AX212" s="36"/>
      <c r="AY212" s="36"/>
      <c r="AZ212" s="36"/>
      <c r="BA212" s="36"/>
      <c r="BB212" s="36"/>
      <c r="BC212" s="36"/>
    </row>
    <row r="213" ht="14.25" hidden="1" customHeight="1">
      <c r="A213" s="210"/>
      <c r="B213" s="1"/>
      <c r="C213" s="226" t="str">
        <f>RVAT_Output!B266</f>
        <v>Health &amp; Safety</v>
      </c>
      <c r="D213" s="233" t="str">
        <f>RVAT_Output!C266</f>
        <v>Borne Diseases</v>
      </c>
      <c r="E213" s="229" t="str">
        <f>RVAT_Output!D266</f>
        <v>SLUP&amp;C</v>
      </c>
      <c r="F213" s="69"/>
      <c r="G213" s="178"/>
      <c r="H213" s="229" t="str">
        <f>RVAT_Output!G266</f>
        <v>SWM</v>
      </c>
      <c r="I213" s="69"/>
      <c r="J213" s="69"/>
      <c r="K213" s="69"/>
      <c r="L213" s="178"/>
      <c r="M213" s="229" t="str">
        <f>RVAT_Output!L266</f>
        <v>LWM</v>
      </c>
      <c r="N213" s="69"/>
      <c r="O213" s="69"/>
      <c r="P213" s="69"/>
      <c r="Q213" s="69"/>
      <c r="R213" s="178"/>
      <c r="S213" s="229" t="str">
        <f>RVAT_Output!R266</f>
        <v>ATHS</v>
      </c>
      <c r="T213" s="69"/>
      <c r="U213" s="69"/>
      <c r="V213" s="69"/>
      <c r="W213" s="69"/>
      <c r="X213" s="69"/>
      <c r="Y213" s="178"/>
      <c r="Z213" s="229" t="str">
        <f>RVAT_Output!Y266</f>
        <v>ATHE</v>
      </c>
      <c r="AA213" s="69"/>
      <c r="AB213" s="178"/>
      <c r="AC213" s="1"/>
      <c r="AD213" s="1"/>
      <c r="AE213" s="1"/>
      <c r="AF213" s="1"/>
      <c r="AG213" s="1"/>
      <c r="AH213" s="1"/>
      <c r="AI213" s="1"/>
      <c r="AJ213" s="1"/>
      <c r="AK213" s="1"/>
      <c r="AL213" s="1"/>
      <c r="AM213" s="1"/>
      <c r="AN213" s="1"/>
      <c r="AO213" s="1"/>
      <c r="AP213" s="1"/>
      <c r="AQ213" s="1"/>
      <c r="AR213" s="1"/>
      <c r="AS213" s="1"/>
      <c r="AT213" s="1"/>
      <c r="AU213" s="1"/>
      <c r="AV213" s="1"/>
      <c r="AW213" s="36"/>
      <c r="AX213" s="36"/>
      <c r="AY213" s="36"/>
      <c r="AZ213" s="36"/>
      <c r="BA213" s="36"/>
      <c r="BB213" s="36"/>
      <c r="BC213" s="36"/>
    </row>
    <row r="214" ht="14.25" hidden="1" customHeight="1">
      <c r="A214" s="272"/>
      <c r="B214" s="253"/>
      <c r="C214" s="226" t="str">
        <f>RVAT_Output!B267</f>
        <v>Assets and Utilities</v>
      </c>
      <c r="D214" s="233" t="str">
        <f>RVAT_Output!C267</f>
        <v>Housing</v>
      </c>
      <c r="E214" s="229" t="str">
        <f>RVAT_Output!D267</f>
        <v>Public facilities </v>
      </c>
      <c r="F214" s="178"/>
      <c r="G214" s="229" t="str">
        <f>RVAT_Output!F267</f>
        <v>SWD</v>
      </c>
      <c r="H214" s="178"/>
      <c r="I214" s="229" t="str">
        <f>RVAT_Output!H267</f>
        <v>Sanitary facilities </v>
      </c>
      <c r="J214" s="69"/>
      <c r="K214" s="178"/>
      <c r="L214" s="229" t="str">
        <f>RVAT_Output!K267</f>
        <v>Sewer lines </v>
      </c>
      <c r="M214" s="69"/>
      <c r="N214" s="178"/>
      <c r="O214" s="229" t="str">
        <f>RVAT_Output!N267</f>
        <v>Power lines/supply</v>
      </c>
      <c r="P214" s="69"/>
      <c r="Q214" s="69"/>
      <c r="R214" s="178"/>
      <c r="S214" s="229" t="str">
        <f>RVAT_Output!R267</f>
        <v>Energy for HH use </v>
      </c>
      <c r="T214" s="69"/>
      <c r="U214" s="178"/>
      <c r="V214" s="229" t="str">
        <f>RVAT_Output!U267</f>
        <v>Water pipes </v>
      </c>
      <c r="W214" s="69"/>
      <c r="X214" s="178"/>
      <c r="Y214" s="233" t="str">
        <f>RVAT_Output!X267</f>
        <v>PWT</v>
      </c>
      <c r="Z214" s="233" t="str">
        <f>RVAT_Output!Y267</f>
        <v>Water Storage</v>
      </c>
      <c r="AA214" s="233" t="str">
        <f>RVAT_Output!Z267</f>
        <v>R &amp; T</v>
      </c>
      <c r="AB214" s="233" t="str">
        <f>RVAT_Output!AA267</f>
        <v>Communication </v>
      </c>
      <c r="AC214" s="1"/>
      <c r="AD214" s="1"/>
      <c r="AE214" s="1"/>
      <c r="AF214" s="1"/>
      <c r="AG214" s="1"/>
      <c r="AH214" s="1"/>
      <c r="AI214" s="1"/>
      <c r="AJ214" s="1"/>
      <c r="AK214" s="1"/>
      <c r="AL214" s="1"/>
      <c r="AM214" s="1"/>
      <c r="AN214" s="1"/>
      <c r="AO214" s="1"/>
      <c r="AP214" s="1"/>
      <c r="AQ214" s="1"/>
      <c r="AR214" s="1"/>
      <c r="AS214" s="1"/>
      <c r="AT214" s="1"/>
      <c r="AU214" s="1"/>
      <c r="AV214" s="1"/>
      <c r="AW214" s="36"/>
      <c r="AX214" s="36"/>
      <c r="AY214" s="36"/>
      <c r="AZ214" s="36"/>
      <c r="BA214" s="36"/>
      <c r="BB214" s="36"/>
      <c r="BC214" s="36"/>
    </row>
    <row r="215" ht="14.25" hidden="1" customHeight="1">
      <c r="A215" s="264"/>
      <c r="B215" s="253"/>
      <c r="C215" s="226" t="str">
        <f>RVAT_Output!B268</f>
        <v>Potable water </v>
      </c>
      <c r="D215" s="229" t="str">
        <f>RVAT_Output!C268</f>
        <v>Access</v>
      </c>
      <c r="E215" s="69"/>
      <c r="F215" s="69"/>
      <c r="G215" s="69"/>
      <c r="H215" s="69"/>
      <c r="I215" s="69"/>
      <c r="J215" s="178"/>
      <c r="K215" s="229" t="str">
        <f>RVAT_Output!J268</f>
        <v>Scarcities </v>
      </c>
      <c r="L215" s="69"/>
      <c r="M215" s="69"/>
      <c r="N215" s="69"/>
      <c r="O215" s="69"/>
      <c r="P215" s="69"/>
      <c r="Q215" s="69"/>
      <c r="R215" s="69"/>
      <c r="S215" s="69"/>
      <c r="T215" s="69"/>
      <c r="U215" s="69"/>
      <c r="V215" s="69"/>
      <c r="W215" s="69"/>
      <c r="X215" s="178"/>
      <c r="Y215" s="229" t="str">
        <f>RVAT_Output!X268</f>
        <v>Quality</v>
      </c>
      <c r="Z215" s="69"/>
      <c r="AA215" s="69"/>
      <c r="AB215" s="178"/>
      <c r="AC215" s="1"/>
      <c r="AD215" s="1"/>
      <c r="AE215" s="1"/>
      <c r="AF215" s="1"/>
      <c r="AG215" s="1"/>
      <c r="AH215" s="1"/>
      <c r="AI215" s="1"/>
      <c r="AJ215" s="1"/>
      <c r="AK215" s="1"/>
      <c r="AL215" s="1"/>
      <c r="AM215" s="1"/>
      <c r="AN215" s="1"/>
      <c r="AO215" s="1"/>
      <c r="AP215" s="1"/>
      <c r="AQ215" s="1"/>
      <c r="AR215" s="1"/>
      <c r="AS215" s="1"/>
      <c r="AT215" s="1"/>
      <c r="AU215" s="1"/>
      <c r="AV215" s="1"/>
      <c r="AW215" s="36"/>
      <c r="AX215" s="36"/>
      <c r="AY215" s="36"/>
      <c r="AZ215" s="36"/>
      <c r="BA215" s="36"/>
      <c r="BB215" s="36"/>
      <c r="BC215" s="36"/>
    </row>
    <row r="216" ht="14.25" hidden="1" customHeight="1">
      <c r="A216" s="289"/>
      <c r="B216" s="253"/>
      <c r="C216" s="226" t="str">
        <f>RVAT_Output!B269</f>
        <v>EBS</v>
      </c>
      <c r="D216" s="233" t="str">
        <f>RVAT_Output!C269</f>
        <v>Soil </v>
      </c>
      <c r="E216" s="229" t="str">
        <f>RVAT_Output!D269</f>
        <v>LC &amp; P</v>
      </c>
      <c r="F216" s="69"/>
      <c r="G216" s="178"/>
      <c r="H216" s="229" t="str">
        <f>RVAT_Output!G269</f>
        <v>NV</v>
      </c>
      <c r="I216" s="69"/>
      <c r="J216" s="178"/>
      <c r="K216" s="229" t="str">
        <f>RVAT_Output!J269</f>
        <v>Wetland </v>
      </c>
      <c r="L216" s="69"/>
      <c r="M216" s="178"/>
      <c r="N216" s="229" t="str">
        <f>RVAT_Output!M269</f>
        <v>Biodiversity</v>
      </c>
      <c r="O216" s="69"/>
      <c r="P216" s="69"/>
      <c r="Q216" s="69"/>
      <c r="R216" s="178"/>
      <c r="S216" s="229" t="str">
        <f>RVAT_Output!R269</f>
        <v>NWB</v>
      </c>
      <c r="T216" s="69"/>
      <c r="U216" s="69"/>
      <c r="V216" s="69"/>
      <c r="W216" s="69"/>
      <c r="X216" s="178"/>
      <c r="Y216" s="233" t="str">
        <f>RVAT_Output!X269</f>
        <v>Sea</v>
      </c>
      <c r="Z216" s="233" t="str">
        <f>RVAT_Output!Y269</f>
        <v>EF</v>
      </c>
      <c r="AA216" s="233" t="str">
        <f>RVAT_Output!Z269</f>
        <v>Land use </v>
      </c>
      <c r="AB216" s="233" t="str">
        <f>RVAT_Output!AA269</f>
        <v>Topography</v>
      </c>
      <c r="AC216" s="1"/>
      <c r="AD216" s="1"/>
      <c r="AE216" s="1"/>
      <c r="AF216" s="1"/>
      <c r="AG216" s="1"/>
      <c r="AH216" s="1"/>
      <c r="AI216" s="1"/>
      <c r="AJ216" s="1"/>
      <c r="AK216" s="1"/>
      <c r="AL216" s="1"/>
      <c r="AM216" s="1"/>
      <c r="AN216" s="1"/>
      <c r="AO216" s="1"/>
      <c r="AP216" s="1"/>
      <c r="AQ216" s="1"/>
      <c r="AR216" s="1"/>
      <c r="AS216" s="1"/>
      <c r="AT216" s="1"/>
      <c r="AU216" s="1"/>
      <c r="AV216" s="1"/>
      <c r="AW216" s="36"/>
      <c r="AX216" s="36"/>
      <c r="AY216" s="36"/>
      <c r="AZ216" s="36"/>
      <c r="BA216" s="36"/>
      <c r="BB216" s="36"/>
      <c r="BC216" s="36"/>
    </row>
    <row r="217" ht="14.25" hidden="1" customHeight="1">
      <c r="A217" s="264"/>
      <c r="B217" s="253"/>
      <c r="C217" s="226" t="str">
        <f>RVAT_Output!B270</f>
        <v>Institutions</v>
      </c>
      <c r="D217" s="233" t="str">
        <f>RVAT_Output!C270</f>
        <v>EWS</v>
      </c>
      <c r="E217" s="229" t="str">
        <f>RVAT_Output!D270</f>
        <v>A &amp; I</v>
      </c>
      <c r="F217" s="69"/>
      <c r="G217" s="178"/>
      <c r="H217" s="229" t="str">
        <f>RVAT_Output!G270</f>
        <v>EC</v>
      </c>
      <c r="I217" s="69"/>
      <c r="J217" s="69"/>
      <c r="K217" s="178"/>
      <c r="L217" s="229" t="str">
        <f>RVAT_Output!K270</f>
        <v>R/RP</v>
      </c>
      <c r="M217" s="69"/>
      <c r="N217" s="69"/>
      <c r="O217" s="178"/>
      <c r="P217" s="229" t="str">
        <f>RVAT_Output!O270</f>
        <v>HFO</v>
      </c>
      <c r="Q217" s="69"/>
      <c r="R217" s="69"/>
      <c r="S217" s="69"/>
      <c r="T217" s="69"/>
      <c r="U217" s="69"/>
      <c r="V217" s="178"/>
      <c r="W217" s="229" t="str">
        <f>RVAT_Output!V270</f>
        <v>DP</v>
      </c>
      <c r="X217" s="69"/>
      <c r="Y217" s="178"/>
      <c r="Z217" s="233" t="str">
        <f>RVAT_Output!Y270</f>
        <v>DR</v>
      </c>
      <c r="AA217" s="233" t="str">
        <f>RVAT_Output!Z270</f>
        <v>PFR</v>
      </c>
      <c r="AB217" s="233" t="str">
        <f>RVAT_Output!AA270</f>
        <v>PFM</v>
      </c>
      <c r="AC217" s="1"/>
      <c r="AD217" s="1"/>
      <c r="AE217" s="1"/>
      <c r="AF217" s="1"/>
      <c r="AG217" s="1"/>
      <c r="AH217" s="1"/>
      <c r="AI217" s="1"/>
      <c r="AJ217" s="1"/>
      <c r="AK217" s="1"/>
      <c r="AL217" s="1"/>
      <c r="AM217" s="1"/>
      <c r="AN217" s="1"/>
      <c r="AO217" s="1"/>
      <c r="AP217" s="1"/>
      <c r="AQ217" s="1"/>
      <c r="AR217" s="1"/>
      <c r="AS217" s="1"/>
      <c r="AT217" s="1"/>
      <c r="AU217" s="1"/>
      <c r="AV217" s="1"/>
      <c r="AW217" s="36"/>
      <c r="AX217" s="36"/>
      <c r="AY217" s="36"/>
      <c r="AZ217" s="36"/>
      <c r="BA217" s="36"/>
      <c r="BB217" s="36"/>
      <c r="BC217" s="36"/>
    </row>
    <row r="218" ht="14.25" hidden="1" customHeight="1">
      <c r="A218" s="264"/>
      <c r="B218" s="253"/>
      <c r="C218" s="236"/>
      <c r="D218" s="427"/>
      <c r="E218" s="427"/>
      <c r="F218" s="427"/>
      <c r="G218" s="427"/>
      <c r="H218" s="427"/>
      <c r="I218" s="427"/>
      <c r="J218" s="427"/>
      <c r="K218" s="427"/>
      <c r="L218" s="427"/>
      <c r="M218" s="427"/>
      <c r="N218" s="427"/>
      <c r="O218" s="427"/>
      <c r="P218" s="427"/>
      <c r="Q218" s="427"/>
      <c r="R218" s="427"/>
      <c r="S218" s="427"/>
      <c r="T218" s="427"/>
      <c r="U218" s="427"/>
      <c r="V218" s="427"/>
      <c r="W218" s="427"/>
      <c r="X218" s="427"/>
      <c r="Y218" s="427"/>
      <c r="Z218" s="427"/>
      <c r="AA218" s="427"/>
      <c r="AB218" s="427"/>
      <c r="AC218" s="1"/>
      <c r="AD218" s="1"/>
      <c r="AE218" s="1"/>
      <c r="AF218" s="1"/>
      <c r="AG218" s="1"/>
      <c r="AH218" s="1"/>
      <c r="AI218" s="1"/>
      <c r="AJ218" s="1"/>
      <c r="AK218" s="1"/>
      <c r="AL218" s="1"/>
      <c r="AM218" s="1"/>
      <c r="AN218" s="1"/>
      <c r="AO218" s="1"/>
      <c r="AP218" s="1"/>
      <c r="AQ218" s="1"/>
      <c r="AR218" s="1"/>
      <c r="AS218" s="1"/>
      <c r="AT218" s="1"/>
      <c r="AU218" s="1"/>
      <c r="AV218" s="1"/>
      <c r="AW218" s="36"/>
      <c r="AX218" s="36"/>
      <c r="AY218" s="36"/>
      <c r="AZ218" s="36"/>
      <c r="BA218" s="36"/>
      <c r="BB218" s="36"/>
      <c r="BC218" s="36"/>
    </row>
    <row r="219" ht="14.25" hidden="1" customHeight="1">
      <c r="A219" s="264"/>
      <c r="B219" s="253"/>
      <c r="C219" s="226" t="str">
        <f>RVAT_Output!B272</f>
        <v>Livelihoods</v>
      </c>
      <c r="D219" s="233" t="str">
        <f>RVAT_Output!C272</f>
        <v>Low</v>
      </c>
      <c r="E219" s="229" t="str">
        <f>RVAT_Output!D272</f>
        <v>Low</v>
      </c>
      <c r="F219" s="178"/>
      <c r="G219" s="229" t="str">
        <f>RVAT_Output!F272</f>
        <v>Low</v>
      </c>
      <c r="H219" s="178"/>
      <c r="I219" s="229" t="str">
        <f>RVAT_Output!H272</f>
        <v>Low</v>
      </c>
      <c r="J219" s="69"/>
      <c r="K219" s="178"/>
      <c r="L219" s="229" t="str">
        <f>RVAT_Output!K272</f>
        <v>Low</v>
      </c>
      <c r="M219" s="69"/>
      <c r="N219" s="178"/>
      <c r="O219" s="229" t="str">
        <f>RVAT_Output!N272</f>
        <v>Low</v>
      </c>
      <c r="P219" s="69"/>
      <c r="Q219" s="69"/>
      <c r="R219" s="178"/>
      <c r="S219" s="229" t="str">
        <f>RVAT_Output!R272</f>
        <v>Low</v>
      </c>
      <c r="T219" s="69"/>
      <c r="U219" s="178"/>
      <c r="V219" s="229" t="str">
        <f>RVAT_Output!U272</f>
        <v>Low</v>
      </c>
      <c r="W219" s="69"/>
      <c r="X219" s="178"/>
      <c r="Y219" s="233" t="str">
        <f>RVAT_Output!X272</f>
        <v>Low</v>
      </c>
      <c r="Z219" s="233" t="str">
        <f>RVAT_Output!Y272</f>
        <v>Low</v>
      </c>
      <c r="AA219" s="233" t="str">
        <f>RVAT_Output!Z272</f>
        <v>Low</v>
      </c>
      <c r="AB219" s="233" t="str">
        <f>RVAT_Output!AA272</f>
        <v>Low</v>
      </c>
      <c r="AC219" s="1"/>
      <c r="AD219" s="1"/>
      <c r="AE219" s="1"/>
      <c r="AF219" s="1"/>
      <c r="AG219" s="1"/>
      <c r="AH219" s="1"/>
      <c r="AI219" s="1"/>
      <c r="AJ219" s="1"/>
      <c r="AK219" s="1"/>
      <c r="AL219" s="1"/>
      <c r="AM219" s="1"/>
      <c r="AN219" s="1"/>
      <c r="AO219" s="1"/>
      <c r="AP219" s="1"/>
      <c r="AQ219" s="1"/>
      <c r="AR219" s="1"/>
      <c r="AS219" s="1"/>
      <c r="AT219" s="1"/>
      <c r="AU219" s="1"/>
      <c r="AV219" s="1"/>
      <c r="AW219" s="36"/>
      <c r="AX219" s="36"/>
      <c r="AY219" s="36"/>
      <c r="AZ219" s="36"/>
      <c r="BA219" s="36"/>
      <c r="BB219" s="36"/>
      <c r="BC219" s="36"/>
    </row>
    <row r="220" ht="14.25" hidden="1" customHeight="1">
      <c r="A220" s="264"/>
      <c r="B220" s="253"/>
      <c r="C220" s="226" t="str">
        <f>RVAT_Output!B273</f>
        <v>Health &amp; Safety</v>
      </c>
      <c r="D220" s="233" t="str">
        <f>RVAT_Output!C273</f>
        <v>Low</v>
      </c>
      <c r="E220" s="229" t="str">
        <f>RVAT_Output!D273</f>
        <v>Low</v>
      </c>
      <c r="F220" s="69"/>
      <c r="G220" s="178"/>
      <c r="H220" s="229" t="str">
        <f>RVAT_Output!G273</f>
        <v>Low</v>
      </c>
      <c r="I220" s="69"/>
      <c r="J220" s="69"/>
      <c r="K220" s="69"/>
      <c r="L220" s="178"/>
      <c r="M220" s="229" t="str">
        <f>RVAT_Output!L273</f>
        <v>Low</v>
      </c>
      <c r="N220" s="69"/>
      <c r="O220" s="69"/>
      <c r="P220" s="69"/>
      <c r="Q220" s="69"/>
      <c r="R220" s="178"/>
      <c r="S220" s="229" t="str">
        <f>RVAT_Output!R273</f>
        <v>Low</v>
      </c>
      <c r="T220" s="69"/>
      <c r="U220" s="69"/>
      <c r="V220" s="69"/>
      <c r="W220" s="69"/>
      <c r="X220" s="69"/>
      <c r="Y220" s="178"/>
      <c r="Z220" s="229" t="str">
        <f>RVAT_Output!Y273</f>
        <v>Low</v>
      </c>
      <c r="AA220" s="69"/>
      <c r="AB220" s="178"/>
      <c r="AC220" s="1"/>
      <c r="AD220" s="1"/>
      <c r="AE220" s="1"/>
      <c r="AF220" s="1"/>
      <c r="AG220" s="1"/>
      <c r="AH220" s="1"/>
      <c r="AI220" s="1"/>
      <c r="AJ220" s="1"/>
      <c r="AK220" s="1"/>
      <c r="AL220" s="1"/>
      <c r="AM220" s="1"/>
      <c r="AN220" s="1"/>
      <c r="AO220" s="1"/>
      <c r="AP220" s="1"/>
      <c r="AQ220" s="1"/>
      <c r="AR220" s="1"/>
      <c r="AS220" s="1"/>
      <c r="AT220" s="1"/>
      <c r="AU220" s="1"/>
      <c r="AV220" s="1"/>
      <c r="AW220" s="36"/>
      <c r="AX220" s="36"/>
      <c r="AY220" s="36"/>
      <c r="AZ220" s="36"/>
      <c r="BA220" s="36"/>
      <c r="BB220" s="36"/>
      <c r="BC220" s="36"/>
    </row>
    <row r="221" ht="14.25" hidden="1" customHeight="1">
      <c r="A221" s="264"/>
      <c r="B221" s="253"/>
      <c r="C221" s="226" t="str">
        <f>RVAT_Output!B274</f>
        <v>Assets and Utilities</v>
      </c>
      <c r="D221" s="233" t="str">
        <f>RVAT_Output!C274</f>
        <v>Low</v>
      </c>
      <c r="E221" s="229" t="str">
        <f>RVAT_Output!D274</f>
        <v>Low</v>
      </c>
      <c r="F221" s="178"/>
      <c r="G221" s="229" t="str">
        <f>RVAT_Output!F274</f>
        <v>Low</v>
      </c>
      <c r="H221" s="178"/>
      <c r="I221" s="229" t="str">
        <f>RVAT_Output!H274</f>
        <v>Low</v>
      </c>
      <c r="J221" s="69"/>
      <c r="K221" s="178"/>
      <c r="L221" s="229" t="str">
        <f>RVAT_Output!K274</f>
        <v>Low</v>
      </c>
      <c r="M221" s="69"/>
      <c r="N221" s="178"/>
      <c r="O221" s="229" t="str">
        <f>RVAT_Output!N274</f>
        <v>Low</v>
      </c>
      <c r="P221" s="69"/>
      <c r="Q221" s="69"/>
      <c r="R221" s="178"/>
      <c r="S221" s="229" t="str">
        <f>RVAT_Output!R274</f>
        <v>Low</v>
      </c>
      <c r="T221" s="69"/>
      <c r="U221" s="178"/>
      <c r="V221" s="229" t="str">
        <f>RVAT_Output!U274</f>
        <v>Low</v>
      </c>
      <c r="W221" s="69"/>
      <c r="X221" s="178"/>
      <c r="Y221" s="233" t="str">
        <f>RVAT_Output!X274</f>
        <v>Low</v>
      </c>
      <c r="Z221" s="233" t="str">
        <f>RVAT_Output!Y274</f>
        <v>Low</v>
      </c>
      <c r="AA221" s="233" t="str">
        <f>RVAT_Output!Z274</f>
        <v>Low</v>
      </c>
      <c r="AB221" s="233" t="str">
        <f>RVAT_Output!AA274</f>
        <v>Low</v>
      </c>
      <c r="AC221" s="1"/>
      <c r="AD221" s="1"/>
      <c r="AE221" s="1"/>
      <c r="AF221" s="1"/>
      <c r="AG221" s="1"/>
      <c r="AH221" s="1"/>
      <c r="AI221" s="1"/>
      <c r="AJ221" s="1"/>
      <c r="AK221" s="1"/>
      <c r="AL221" s="1"/>
      <c r="AM221" s="1"/>
      <c r="AN221" s="1"/>
      <c r="AO221" s="1"/>
      <c r="AP221" s="1"/>
      <c r="AQ221" s="1"/>
      <c r="AR221" s="1"/>
      <c r="AS221" s="1"/>
      <c r="AT221" s="1"/>
      <c r="AU221" s="1"/>
      <c r="AV221" s="1"/>
      <c r="AW221" s="36"/>
      <c r="AX221" s="36"/>
      <c r="AY221" s="36"/>
      <c r="AZ221" s="36"/>
      <c r="BA221" s="36"/>
      <c r="BB221" s="36"/>
      <c r="BC221" s="36"/>
    </row>
    <row r="222" ht="14.25" hidden="1" customHeight="1">
      <c r="A222" s="210"/>
      <c r="B222" s="1"/>
      <c r="C222" s="226" t="str">
        <f>RVAT_Output!B275</f>
        <v>Potable water </v>
      </c>
      <c r="D222" s="229" t="str">
        <f>RVAT_Output!C275</f>
        <v>Low</v>
      </c>
      <c r="E222" s="69"/>
      <c r="F222" s="69"/>
      <c r="G222" s="69"/>
      <c r="H222" s="69"/>
      <c r="I222" s="69"/>
      <c r="J222" s="178"/>
      <c r="K222" s="229" t="str">
        <f>RVAT_Output!J275</f>
        <v>Low</v>
      </c>
      <c r="L222" s="69"/>
      <c r="M222" s="69"/>
      <c r="N222" s="69"/>
      <c r="O222" s="69"/>
      <c r="P222" s="69"/>
      <c r="Q222" s="69"/>
      <c r="R222" s="69"/>
      <c r="S222" s="69"/>
      <c r="T222" s="69"/>
      <c r="U222" s="69"/>
      <c r="V222" s="69"/>
      <c r="W222" s="69"/>
      <c r="X222" s="178"/>
      <c r="Y222" s="229" t="str">
        <f>RVAT_Output!X275</f>
        <v>Low</v>
      </c>
      <c r="Z222" s="69"/>
      <c r="AA222" s="69"/>
      <c r="AB222" s="178"/>
      <c r="AC222" s="1"/>
      <c r="AD222" s="1"/>
      <c r="AE222" s="1"/>
      <c r="AF222" s="1"/>
      <c r="AG222" s="1"/>
      <c r="AH222" s="1"/>
      <c r="AI222" s="1"/>
      <c r="AJ222" s="1"/>
      <c r="AK222" s="1"/>
      <c r="AL222" s="1"/>
      <c r="AM222" s="1"/>
      <c r="AN222" s="1"/>
      <c r="AO222" s="1"/>
      <c r="AP222" s="1"/>
      <c r="AQ222" s="1"/>
      <c r="AR222" s="1"/>
      <c r="AS222" s="1"/>
      <c r="AT222" s="1"/>
      <c r="AU222" s="1"/>
      <c r="AV222" s="1"/>
      <c r="AW222" s="36"/>
      <c r="AX222" s="36"/>
      <c r="AY222" s="36"/>
      <c r="AZ222" s="36"/>
      <c r="BA222" s="36"/>
      <c r="BB222" s="36"/>
      <c r="BC222" s="36"/>
    </row>
    <row r="223" ht="14.25" hidden="1" customHeight="1">
      <c r="A223" s="272"/>
      <c r="B223" s="253"/>
      <c r="C223" s="226" t="str">
        <f>RVAT_Output!B276</f>
        <v>EBS</v>
      </c>
      <c r="D223" s="233" t="str">
        <f>RVAT_Output!C276</f>
        <v>Low</v>
      </c>
      <c r="E223" s="229" t="str">
        <f>RVAT_Output!D276</f>
        <v>Low</v>
      </c>
      <c r="F223" s="69"/>
      <c r="G223" s="178"/>
      <c r="H223" s="229" t="str">
        <f>RVAT_Output!G276</f>
        <v>Low</v>
      </c>
      <c r="I223" s="69"/>
      <c r="J223" s="178"/>
      <c r="K223" s="229" t="str">
        <f>RVAT_Output!J276</f>
        <v>Low</v>
      </c>
      <c r="L223" s="69"/>
      <c r="M223" s="178"/>
      <c r="N223" s="229" t="str">
        <f>RVAT_Output!M276</f>
        <v>Low</v>
      </c>
      <c r="O223" s="69"/>
      <c r="P223" s="69"/>
      <c r="Q223" s="69"/>
      <c r="R223" s="178"/>
      <c r="S223" s="229" t="str">
        <f>RVAT_Output!R276</f>
        <v>Low</v>
      </c>
      <c r="T223" s="69"/>
      <c r="U223" s="69"/>
      <c r="V223" s="69"/>
      <c r="W223" s="69"/>
      <c r="X223" s="178"/>
      <c r="Y223" s="233" t="str">
        <f>RVAT_Output!X276</f>
        <v>Low</v>
      </c>
      <c r="Z223" s="233" t="str">
        <f>RVAT_Output!Y276</f>
        <v>Low</v>
      </c>
      <c r="AA223" s="233" t="str">
        <f>RVAT_Output!Z276</f>
        <v>Low</v>
      </c>
      <c r="AB223" s="233" t="str">
        <f>RVAT_Output!AA276</f>
        <v>Low</v>
      </c>
      <c r="AC223" s="1"/>
      <c r="AD223" s="1"/>
      <c r="AE223" s="1"/>
      <c r="AF223" s="1"/>
      <c r="AG223" s="1"/>
      <c r="AH223" s="1"/>
      <c r="AI223" s="1"/>
      <c r="AJ223" s="1"/>
      <c r="AK223" s="1"/>
      <c r="AL223" s="1"/>
      <c r="AM223" s="1"/>
      <c r="AN223" s="1"/>
      <c r="AO223" s="1"/>
      <c r="AP223" s="1"/>
      <c r="AQ223" s="1"/>
      <c r="AR223" s="1"/>
      <c r="AS223" s="1"/>
      <c r="AT223" s="1"/>
      <c r="AU223" s="1"/>
      <c r="AV223" s="1"/>
      <c r="AW223" s="36"/>
      <c r="AX223" s="36"/>
      <c r="AY223" s="36"/>
      <c r="AZ223" s="36"/>
      <c r="BA223" s="36"/>
      <c r="BB223" s="36"/>
      <c r="BC223" s="36"/>
    </row>
    <row r="224" ht="14.25" hidden="1" customHeight="1">
      <c r="A224" s="264"/>
      <c r="B224" s="253"/>
      <c r="C224" s="226" t="str">
        <f>RVAT_Output!B277</f>
        <v>Institutions</v>
      </c>
      <c r="D224" s="233" t="str">
        <f>RVAT_Output!C277</f>
        <v>Low</v>
      </c>
      <c r="E224" s="229" t="str">
        <f>RVAT_Output!D277</f>
        <v>Low</v>
      </c>
      <c r="F224" s="69"/>
      <c r="G224" s="178"/>
      <c r="H224" s="229" t="str">
        <f>RVAT_Output!G277</f>
        <v>Low</v>
      </c>
      <c r="I224" s="69"/>
      <c r="J224" s="69"/>
      <c r="K224" s="178"/>
      <c r="L224" s="229" t="str">
        <f>RVAT_Output!K277</f>
        <v>Low</v>
      </c>
      <c r="M224" s="69"/>
      <c r="N224" s="69"/>
      <c r="O224" s="178"/>
      <c r="P224" s="229" t="str">
        <f>RVAT_Output!O277</f>
        <v>Low</v>
      </c>
      <c r="Q224" s="69"/>
      <c r="R224" s="69"/>
      <c r="S224" s="69"/>
      <c r="T224" s="69"/>
      <c r="U224" s="69"/>
      <c r="V224" s="178"/>
      <c r="W224" s="229" t="str">
        <f>RVAT_Output!V277</f>
        <v>Low</v>
      </c>
      <c r="X224" s="69"/>
      <c r="Y224" s="178"/>
      <c r="Z224" s="233" t="str">
        <f>RVAT_Output!Y277</f>
        <v>Low</v>
      </c>
      <c r="AA224" s="233" t="str">
        <f>RVAT_Output!Z277</f>
        <v>Low</v>
      </c>
      <c r="AB224" s="233" t="str">
        <f>RVAT_Output!AA277</f>
        <v>Low</v>
      </c>
      <c r="AC224" s="1"/>
      <c r="AD224" s="1"/>
      <c r="AE224" s="1"/>
      <c r="AF224" s="1"/>
      <c r="AG224" s="1"/>
      <c r="AH224" s="1"/>
      <c r="AI224" s="1"/>
      <c r="AJ224" s="1"/>
      <c r="AK224" s="1"/>
      <c r="AL224" s="1"/>
      <c r="AM224" s="1"/>
      <c r="AN224" s="1"/>
      <c r="AO224" s="1"/>
      <c r="AP224" s="1"/>
      <c r="AQ224" s="1"/>
      <c r="AR224" s="1"/>
      <c r="AS224" s="1"/>
      <c r="AT224" s="1"/>
      <c r="AU224" s="1"/>
      <c r="AV224" s="1"/>
      <c r="AW224" s="36"/>
      <c r="AX224" s="36"/>
      <c r="AY224" s="36"/>
      <c r="AZ224" s="36"/>
      <c r="BA224" s="36"/>
      <c r="BB224" s="36"/>
      <c r="BC224" s="36"/>
    </row>
    <row r="225" ht="14.25" hidden="1" customHeight="1">
      <c r="A225" s="264"/>
      <c r="B225" s="253"/>
      <c r="C225" s="287"/>
      <c r="D225" s="3"/>
      <c r="E225" s="3"/>
      <c r="F225" s="4"/>
      <c r="G225" s="287"/>
      <c r="H225" s="3"/>
      <c r="I225" s="3"/>
      <c r="J225" s="4"/>
      <c r="K225" s="287"/>
      <c r="L225" s="3"/>
      <c r="M225" s="3"/>
      <c r="N225" s="4"/>
      <c r="O225" s="287"/>
      <c r="P225" s="3"/>
      <c r="Q225" s="3"/>
      <c r="R225" s="4"/>
      <c r="S225" s="287"/>
      <c r="T225" s="3"/>
      <c r="U225" s="3"/>
      <c r="V225" s="4"/>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36"/>
      <c r="AX225" s="36"/>
      <c r="AY225" s="36"/>
      <c r="AZ225" s="36"/>
      <c r="BA225" s="36"/>
      <c r="BB225" s="36"/>
      <c r="BC225" s="36"/>
    </row>
    <row r="226" ht="14.25" hidden="1" customHeight="1">
      <c r="A226" s="264"/>
      <c r="B226" s="253"/>
      <c r="C226" s="287"/>
      <c r="D226" s="3"/>
      <c r="E226" s="3"/>
      <c r="F226" s="4"/>
      <c r="G226" s="287"/>
      <c r="H226" s="3"/>
      <c r="I226" s="3"/>
      <c r="J226" s="4"/>
      <c r="K226" s="287"/>
      <c r="L226" s="3"/>
      <c r="M226" s="3"/>
      <c r="N226" s="4"/>
      <c r="O226" s="287"/>
      <c r="P226" s="3"/>
      <c r="Q226" s="3"/>
      <c r="R226" s="4"/>
      <c r="S226" s="287"/>
      <c r="T226" s="3"/>
      <c r="U226" s="3"/>
      <c r="V226" s="4"/>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36"/>
      <c r="AX226" s="36"/>
      <c r="AY226" s="36"/>
      <c r="AZ226" s="36"/>
      <c r="BA226" s="36"/>
      <c r="BB226" s="36"/>
      <c r="BC226" s="36"/>
    </row>
    <row r="227" ht="14.25" hidden="1" customHeight="1">
      <c r="A227" s="264"/>
      <c r="B227" s="253"/>
      <c r="C227" s="287"/>
      <c r="D227" s="3"/>
      <c r="E227" s="4"/>
      <c r="F227" s="287"/>
      <c r="G227" s="3"/>
      <c r="H227" s="3"/>
      <c r="I227" s="4"/>
      <c r="J227" s="287"/>
      <c r="K227" s="3"/>
      <c r="L227" s="4"/>
      <c r="M227" s="287"/>
      <c r="N227" s="3"/>
      <c r="O227" s="4"/>
      <c r="P227" s="287"/>
      <c r="Q227" s="3"/>
      <c r="R227" s="3"/>
      <c r="S227" s="4"/>
      <c r="T227" s="287"/>
      <c r="U227" s="3"/>
      <c r="V227" s="4"/>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36"/>
      <c r="AX227" s="36"/>
      <c r="AY227" s="36"/>
      <c r="AZ227" s="36"/>
      <c r="BA227" s="36"/>
      <c r="BB227" s="36"/>
      <c r="BC227" s="36"/>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36"/>
      <c r="AX228" s="36"/>
      <c r="AY228" s="36"/>
      <c r="AZ228" s="36"/>
      <c r="BA228" s="36"/>
      <c r="BB228" s="36"/>
      <c r="BC228" s="36"/>
    </row>
    <row r="229" ht="14.25" hidden="1"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row>
    <row r="230" ht="14.25" hidden="1"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row>
    <row r="231" ht="14.25" hidden="1"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row>
    <row r="232" ht="14.25" hidden="1"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row>
    <row r="233" ht="14.25" hidden="1"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row>
    <row r="234" ht="14.25" hidden="1"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row>
    <row r="235" ht="14.25" hidden="1"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row>
    <row r="236" ht="14.25" hidden="1"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row>
    <row r="237" ht="14.25" hidden="1"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row>
    <row r="238" ht="14.25" hidden="1"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row>
    <row r="239" ht="14.25" hidden="1"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row>
    <row r="240" ht="14.25" hidden="1"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row>
    <row r="241" ht="14.25" hidden="1"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row>
    <row r="242" ht="14.25" hidden="1"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row>
    <row r="243" ht="14.25" hidden="1"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row>
    <row r="244" ht="14.25" hidden="1"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row>
    <row r="245" ht="14.25" hidden="1"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row>
    <row r="246" ht="14.25" hidden="1"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row>
    <row r="247" ht="14.25" hidden="1"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row>
    <row r="248" ht="14.25" hidden="1"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row>
    <row r="249" ht="14.25" hidden="1"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row>
    <row r="250" ht="14.25" hidden="1"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row>
    <row r="251" ht="14.25" hidden="1"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row>
    <row r="252" ht="14.25" hidden="1"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row>
    <row r="253" ht="14.25" hidden="1"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row>
    <row r="254" ht="14.25" hidden="1"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row>
    <row r="255" ht="14.25" hidden="1"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row>
    <row r="256" ht="14.25" hidden="1"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row>
    <row r="257" ht="14.25" hidden="1"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row>
    <row r="258" ht="14.25" hidden="1"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row>
    <row r="259" ht="14.25" hidden="1"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row>
    <row r="260" ht="14.25" hidden="1"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row>
    <row r="261" ht="14.25" hidden="1"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row>
    <row r="262" ht="14.25" hidden="1"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row>
    <row r="263" ht="14.25" hidden="1"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row>
    <row r="264" ht="14.25" hidden="1"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row>
    <row r="265" ht="14.25" hidden="1"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row>
    <row r="266" ht="14.25" hidden="1"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row>
    <row r="267" ht="14.25" hidden="1"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row>
    <row r="268" ht="14.25" hidden="1"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row>
    <row r="269" ht="14.25" hidden="1"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row>
    <row r="270" ht="14.25" hidden="1"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row>
    <row r="271" ht="14.25" hidden="1"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row>
    <row r="272" ht="14.25" hidden="1"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row>
    <row r="273" ht="14.25" hidden="1"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row>
    <row r="274" ht="14.25" hidden="1"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row>
    <row r="275" ht="14.25" hidden="1"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row>
    <row r="276" ht="14.25" hidden="1"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row>
    <row r="277" ht="14.25" hidden="1"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row>
    <row r="278" ht="14.25" hidden="1"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row>
    <row r="279" ht="14.25" hidden="1"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row>
    <row r="280" ht="14.25" hidden="1"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row>
    <row r="281" ht="14.25" hidden="1"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row>
    <row r="282" ht="14.25" hidden="1"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row>
    <row r="283" ht="14.25" hidden="1"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row>
    <row r="284" ht="14.25" hidden="1"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row>
    <row r="285" ht="14.25" hidden="1"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row>
    <row r="286" ht="14.25" hidden="1"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row>
    <row r="287" ht="14.25" hidden="1"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row>
    <row r="288" ht="14.25" hidden="1"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row>
    <row r="289" ht="14.25" hidden="1"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row>
    <row r="290" ht="14.25" hidden="1"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row>
    <row r="291" ht="14.25" hidden="1"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row>
    <row r="292" ht="14.25" hidden="1"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row>
    <row r="293" ht="14.25" hidden="1"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row>
    <row r="294" ht="14.25" hidden="1"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row>
    <row r="295" ht="14.25" hidden="1"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row>
    <row r="296" ht="14.25" hidden="1"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row>
    <row r="297" ht="14.25" hidden="1"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row>
    <row r="298" ht="14.25" hidden="1"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row>
    <row r="299" ht="14.25" hidden="1"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row>
    <row r="300" ht="14.25" hidden="1"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row>
    <row r="301" ht="14.25" hidden="1"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row>
    <row r="302" ht="14.25" hidden="1"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row>
    <row r="303" ht="14.25" hidden="1"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row>
    <row r="304" ht="14.25" hidden="1"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row>
    <row r="305" ht="14.25" hidden="1"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row>
    <row r="306" ht="14.25" hidden="1"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row>
    <row r="307" ht="14.25" hidden="1"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row>
    <row r="308" ht="14.25" hidden="1"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row>
    <row r="309" ht="14.25" hidden="1"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row>
    <row r="310" ht="14.25" hidden="1"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row>
    <row r="311" ht="14.25" hidden="1"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row>
    <row r="312" ht="14.25" hidden="1"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row>
    <row r="313" ht="14.25" hidden="1"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row>
    <row r="314" ht="14.25" hidden="1"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row>
    <row r="315" ht="14.25" hidden="1"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row>
    <row r="316" ht="14.25" hidden="1"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row>
    <row r="317" ht="14.25" hidden="1"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row>
    <row r="318" ht="14.25" hidden="1"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row>
    <row r="319" ht="14.25" hidden="1"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row>
    <row r="320" ht="14.25" hidden="1"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row>
    <row r="321" ht="14.25" hidden="1"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row>
    <row r="322" ht="14.25" hidden="1"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row>
    <row r="323" ht="14.25" hidden="1"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row>
    <row r="324" ht="14.25" hidden="1"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row>
    <row r="325" ht="14.25" hidden="1"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row>
    <row r="326" ht="14.25" hidden="1"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row>
    <row r="327" ht="14.25" hidden="1"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row>
    <row r="328" ht="14.25" hidden="1"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row>
    <row r="329" ht="14.25" hidden="1"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row>
    <row r="330" ht="14.25" hidden="1"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row>
    <row r="331" ht="14.25" hidden="1"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row>
    <row r="332" ht="14.25" hidden="1"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row>
    <row r="333" ht="14.25" hidden="1"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row>
    <row r="334" ht="14.25" hidden="1"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row>
    <row r="335" ht="14.25" hidden="1"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row>
    <row r="336" ht="14.25" hidden="1"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row>
    <row r="337" ht="14.25" hidden="1"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row>
    <row r="338" ht="14.25" hidden="1"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row>
    <row r="339" ht="14.25" hidden="1"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row>
    <row r="340" ht="14.25" hidden="1"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row>
    <row r="341" ht="14.25" hidden="1"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row>
    <row r="342" ht="14.25" hidden="1"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row>
    <row r="343" ht="14.25" hidden="1"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row>
    <row r="344" ht="14.25" hidden="1"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row>
    <row r="345" ht="14.25" hidden="1"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row>
    <row r="346" ht="14.25" hidden="1"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row>
    <row r="347" ht="14.25" hidden="1"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row>
    <row r="348" ht="14.25" hidden="1"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row>
    <row r="349" ht="14.25" hidden="1"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row>
    <row r="350" ht="14.25" hidden="1"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row>
    <row r="351" ht="14.25" hidden="1"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row>
    <row r="352" ht="14.25" hidden="1"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row>
    <row r="353" ht="14.25" hidden="1"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row>
    <row r="354" ht="14.25" hidden="1"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row>
    <row r="355" ht="14.25" hidden="1"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row>
    <row r="356" ht="14.25" hidden="1"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row>
    <row r="357" ht="14.25" hidden="1"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row>
    <row r="358" ht="14.25" hidden="1"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row>
    <row r="359" ht="14.25" hidden="1"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row>
    <row r="360" ht="14.25" hidden="1"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row>
    <row r="361" ht="14.25" hidden="1"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row>
    <row r="362" ht="14.25" hidden="1"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row>
    <row r="363" ht="14.25" hidden="1"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row>
    <row r="364" ht="14.25" hidden="1"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row>
    <row r="365" ht="14.25" hidden="1"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row>
    <row r="366" ht="14.25" hidden="1"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row>
    <row r="367" ht="14.25" hidden="1"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row>
    <row r="368" ht="14.25" hidden="1"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row>
    <row r="369" ht="14.25" hidden="1"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row>
    <row r="370" ht="14.25" hidden="1"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row>
    <row r="371" ht="14.25" hidden="1"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row>
    <row r="372" ht="14.25" hidden="1"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row>
    <row r="373" ht="14.25" hidden="1"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row>
    <row r="374" ht="14.25" hidden="1"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row>
    <row r="375" ht="14.25" hidden="1"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row>
    <row r="376" ht="14.25" hidden="1"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row>
    <row r="377" ht="14.25" hidden="1"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row>
    <row r="378" ht="14.25" hidden="1"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row>
    <row r="379" ht="14.25" hidden="1"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row>
    <row r="380" ht="14.25" hidden="1"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row>
    <row r="381" ht="14.25" hidden="1"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row>
    <row r="382" ht="14.25" hidden="1"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row>
    <row r="383" ht="14.25" hidden="1"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row>
    <row r="384" ht="14.25" hidden="1"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row>
    <row r="385" ht="14.25" hidden="1"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row>
    <row r="386" ht="14.25" hidden="1"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row>
    <row r="387" ht="14.25" hidden="1"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row>
    <row r="388" ht="14.25" hidden="1"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row>
    <row r="389" ht="14.25" hidden="1"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row>
    <row r="390" ht="14.25" hidden="1"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row>
    <row r="391" ht="14.25" hidden="1"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row>
    <row r="392" ht="14.25" hidden="1"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row>
    <row r="393" ht="14.25" hidden="1"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row>
    <row r="394" ht="14.25" hidden="1"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row>
    <row r="395" ht="14.25" hidden="1"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row>
    <row r="396" ht="14.25" hidden="1"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row>
    <row r="397" ht="14.25" hidden="1"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row>
    <row r="398" ht="14.25" hidden="1"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row>
    <row r="399" ht="14.25" hidden="1"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row>
    <row r="400" ht="14.25" hidden="1"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row>
    <row r="401" ht="14.25" hidden="1"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row>
    <row r="402" ht="14.25" hidden="1"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row>
    <row r="403" ht="14.25" hidden="1"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row>
    <row r="404" ht="14.25" hidden="1"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row>
    <row r="405" ht="14.25" hidden="1"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row>
    <row r="406" ht="14.25" hidden="1"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row>
    <row r="407" ht="14.25" hidden="1"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row>
    <row r="408" ht="14.25" hidden="1"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row>
    <row r="409" ht="14.25" hidden="1"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row>
    <row r="410" ht="14.25" hidden="1"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row>
    <row r="411" ht="14.25" hidden="1"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row>
    <row r="412" ht="14.25" hidden="1"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row>
    <row r="413" ht="14.25" hidden="1"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row>
    <row r="414" ht="14.25" hidden="1"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row>
    <row r="415" ht="14.25" hidden="1"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row>
    <row r="416" ht="14.25" hidden="1"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row>
    <row r="417" ht="14.25" hidden="1"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row>
    <row r="418" ht="14.25" hidden="1"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row>
    <row r="419" ht="14.25" hidden="1"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row>
    <row r="420" ht="14.25" hidden="1"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row>
    <row r="421" ht="14.25" hidden="1"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row>
    <row r="422" ht="14.25" hidden="1"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row>
    <row r="423" ht="14.25" hidden="1"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row>
    <row r="424" ht="14.25" hidden="1"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row>
    <row r="425"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row>
    <row r="4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row>
    <row r="427"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row>
    <row r="428"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row>
    <row r="429"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row>
    <row r="430"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row>
    <row r="431"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row>
    <row r="432"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row>
    <row r="433"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row>
    <row r="434"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row>
    <row r="435"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row>
    <row r="43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row>
    <row r="437"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row>
    <row r="438"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row>
    <row r="439"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row>
    <row r="440"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row>
    <row r="441"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row>
    <row r="442"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row>
    <row r="443"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row>
    <row r="444"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row>
    <row r="445"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row>
    <row r="44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row>
    <row r="447"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row>
    <row r="448"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row>
    <row r="449"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row>
    <row r="450"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row>
    <row r="451"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row>
    <row r="452"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row>
    <row r="453"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row>
    <row r="454"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row>
    <row r="455"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row>
    <row r="45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row>
    <row r="457"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row>
    <row r="458"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row>
    <row r="459"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row>
    <row r="460"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row>
    <row r="461"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row>
    <row r="462"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row>
    <row r="463"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row>
    <row r="464"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row>
    <row r="465"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row>
    <row r="46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row>
    <row r="467"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row>
    <row r="468"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row>
    <row r="469"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row>
    <row r="470"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row>
    <row r="471"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row>
    <row r="472"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row>
    <row r="473"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row>
    <row r="474"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row>
    <row r="475"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row>
    <row r="47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row>
    <row r="477"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row>
    <row r="478"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row>
    <row r="479"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row>
    <row r="480"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row>
    <row r="481"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row>
    <row r="482"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row>
    <row r="483"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row>
    <row r="484"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row>
    <row r="485"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row>
    <row r="48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row>
    <row r="487"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row>
    <row r="488"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row>
    <row r="489"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row>
    <row r="490"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row>
    <row r="491"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row>
    <row r="492"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row>
    <row r="493"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row>
    <row r="494"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row>
    <row r="495"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row>
    <row r="49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row>
    <row r="497"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row>
    <row r="498"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row>
    <row r="499"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row>
    <row r="500"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row>
    <row r="501"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row>
    <row r="502"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row>
    <row r="503"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row>
    <row r="504"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row>
    <row r="505"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row>
    <row r="50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row>
    <row r="507"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row>
    <row r="508"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row>
    <row r="509"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row>
    <row r="510"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row>
    <row r="511"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row>
    <row r="512"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row>
    <row r="513"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row>
    <row r="514"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row>
    <row r="515"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row>
    <row r="51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row>
    <row r="517"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row>
    <row r="518"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row>
    <row r="519"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row>
    <row r="520"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row>
    <row r="521"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row>
    <row r="522"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row>
    <row r="523"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row>
    <row r="524"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row>
    <row r="525"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row>
    <row r="5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row>
    <row r="527"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row>
    <row r="528"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row>
    <row r="529"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row>
    <row r="530"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row>
    <row r="531"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row>
    <row r="532"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row>
    <row r="533"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row>
    <row r="534"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row>
    <row r="535"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row>
    <row r="53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row>
    <row r="537"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row>
    <row r="538"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row>
    <row r="539"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row>
    <row r="540"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row>
    <row r="541"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row>
    <row r="542"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row>
    <row r="543"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row>
    <row r="544"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row>
    <row r="545"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row>
    <row r="54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row>
    <row r="547"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row>
    <row r="548"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row>
    <row r="549"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row>
    <row r="550"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row>
    <row r="551"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row>
    <row r="552"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row>
    <row r="553"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row>
    <row r="554"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row>
    <row r="555"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row>
    <row r="55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row>
    <row r="557"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row>
    <row r="558"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row>
    <row r="559"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row>
    <row r="560"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row>
    <row r="561"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row>
    <row r="562"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row>
    <row r="563"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row>
    <row r="564"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row>
    <row r="565"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row>
    <row r="56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row>
    <row r="567"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row>
    <row r="568"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row>
    <row r="569"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36"/>
      <c r="AX570" s="36"/>
      <c r="AY570" s="36"/>
      <c r="AZ570" s="36"/>
      <c r="BA570" s="36"/>
      <c r="BB570" s="36"/>
      <c r="BC570" s="36"/>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36"/>
      <c r="AX571" s="36"/>
      <c r="AY571" s="36"/>
      <c r="AZ571" s="36"/>
      <c r="BA571" s="36"/>
      <c r="BB571" s="36"/>
      <c r="BC571" s="36"/>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36"/>
      <c r="AX572" s="36"/>
      <c r="AY572" s="36"/>
      <c r="AZ572" s="36"/>
      <c r="BA572" s="36"/>
      <c r="BB572" s="36"/>
      <c r="BC572" s="36"/>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36"/>
      <c r="AX573" s="36"/>
      <c r="AY573" s="36"/>
      <c r="AZ573" s="36"/>
      <c r="BA573" s="36"/>
      <c r="BB573" s="36"/>
      <c r="BC573" s="36"/>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36"/>
      <c r="AX574" s="36"/>
      <c r="AY574" s="36"/>
      <c r="AZ574" s="36"/>
      <c r="BA574" s="36"/>
      <c r="BB574" s="36"/>
      <c r="BC574" s="36"/>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36"/>
      <c r="AX575" s="36"/>
      <c r="AY575" s="36"/>
      <c r="AZ575" s="36"/>
      <c r="BA575" s="36"/>
      <c r="BB575" s="36"/>
      <c r="BC575" s="36"/>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36"/>
      <c r="AX576" s="36"/>
      <c r="AY576" s="36"/>
      <c r="AZ576" s="36"/>
      <c r="BA576" s="36"/>
      <c r="BB576" s="36"/>
      <c r="BC576" s="36"/>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36"/>
      <c r="AX577" s="36"/>
      <c r="AY577" s="36"/>
      <c r="AZ577" s="36"/>
      <c r="BA577" s="36"/>
      <c r="BB577" s="36"/>
      <c r="BC577" s="36"/>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36"/>
      <c r="AX578" s="36"/>
      <c r="AY578" s="36"/>
      <c r="AZ578" s="36"/>
      <c r="BA578" s="36"/>
      <c r="BB578" s="36"/>
      <c r="BC578" s="36"/>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36"/>
      <c r="AX579" s="36"/>
      <c r="AY579" s="36"/>
      <c r="AZ579" s="36"/>
      <c r="BA579" s="36"/>
      <c r="BB579" s="36"/>
      <c r="BC579" s="36"/>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36"/>
      <c r="AX580" s="36"/>
      <c r="AY580" s="36"/>
      <c r="AZ580" s="36"/>
      <c r="BA580" s="36"/>
      <c r="BB580" s="36"/>
      <c r="BC580" s="36"/>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36"/>
      <c r="AX581" s="36"/>
      <c r="AY581" s="36"/>
      <c r="AZ581" s="36"/>
      <c r="BA581" s="36"/>
      <c r="BB581" s="36"/>
      <c r="BC581" s="36"/>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36"/>
      <c r="AX582" s="36"/>
      <c r="AY582" s="36"/>
      <c r="AZ582" s="36"/>
      <c r="BA582" s="36"/>
      <c r="BB582" s="36"/>
      <c r="BC582" s="36"/>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36"/>
      <c r="AX583" s="36"/>
      <c r="AY583" s="36"/>
      <c r="AZ583" s="36"/>
      <c r="BA583" s="36"/>
      <c r="BB583" s="36"/>
      <c r="BC583" s="36"/>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36"/>
      <c r="AX584" s="36"/>
      <c r="AY584" s="36"/>
      <c r="AZ584" s="36"/>
      <c r="BA584" s="36"/>
      <c r="BB584" s="36"/>
      <c r="BC584" s="36"/>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36"/>
      <c r="AX585" s="36"/>
      <c r="AY585" s="36"/>
      <c r="AZ585" s="36"/>
      <c r="BA585" s="36"/>
      <c r="BB585" s="36"/>
      <c r="BC585" s="36"/>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36"/>
      <c r="AX586" s="36"/>
      <c r="AY586" s="36"/>
      <c r="AZ586" s="36"/>
      <c r="BA586" s="36"/>
      <c r="BB586" s="36"/>
      <c r="BC586" s="36"/>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36"/>
      <c r="AX587" s="36"/>
      <c r="AY587" s="36"/>
      <c r="AZ587" s="36"/>
      <c r="BA587" s="36"/>
      <c r="BB587" s="36"/>
      <c r="BC587" s="36"/>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36"/>
      <c r="AX588" s="36"/>
      <c r="AY588" s="36"/>
      <c r="AZ588" s="36"/>
      <c r="BA588" s="36"/>
      <c r="BB588" s="36"/>
      <c r="BC588" s="36"/>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36"/>
      <c r="AX589" s="36"/>
      <c r="AY589" s="36"/>
      <c r="AZ589" s="36"/>
      <c r="BA589" s="36"/>
      <c r="BB589" s="36"/>
      <c r="BC589" s="36"/>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36"/>
      <c r="AX590" s="36"/>
      <c r="AY590" s="36"/>
      <c r="AZ590" s="36"/>
      <c r="BA590" s="36"/>
      <c r="BB590" s="36"/>
      <c r="BC590" s="36"/>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36"/>
      <c r="AX591" s="36"/>
      <c r="AY591" s="36"/>
      <c r="AZ591" s="36"/>
      <c r="BA591" s="36"/>
      <c r="BB591" s="36"/>
      <c r="BC591" s="36"/>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36"/>
      <c r="AX592" s="36"/>
      <c r="AY592" s="36"/>
      <c r="AZ592" s="36"/>
      <c r="BA592" s="36"/>
      <c r="BB592" s="36"/>
      <c r="BC592" s="36"/>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36"/>
      <c r="AX593" s="36"/>
      <c r="AY593" s="36"/>
      <c r="AZ593" s="36"/>
      <c r="BA593" s="36"/>
      <c r="BB593" s="36"/>
      <c r="BC593" s="36"/>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36"/>
      <c r="AX594" s="36"/>
      <c r="AY594" s="36"/>
      <c r="AZ594" s="36"/>
      <c r="BA594" s="36"/>
      <c r="BB594" s="36"/>
      <c r="BC594" s="36"/>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36"/>
      <c r="AX595" s="36"/>
      <c r="AY595" s="36"/>
      <c r="AZ595" s="36"/>
      <c r="BA595" s="36"/>
      <c r="BB595" s="36"/>
      <c r="BC595" s="36"/>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36"/>
      <c r="AX596" s="36"/>
      <c r="AY596" s="36"/>
      <c r="AZ596" s="36"/>
      <c r="BA596" s="36"/>
      <c r="BB596" s="36"/>
      <c r="BC596" s="36"/>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36"/>
      <c r="AX597" s="36"/>
      <c r="AY597" s="36"/>
      <c r="AZ597" s="36"/>
      <c r="BA597" s="36"/>
      <c r="BB597" s="36"/>
      <c r="BC597" s="36"/>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36"/>
      <c r="AX598" s="36"/>
      <c r="AY598" s="36"/>
      <c r="AZ598" s="36"/>
      <c r="BA598" s="36"/>
      <c r="BB598" s="36"/>
      <c r="BC598" s="36"/>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36"/>
      <c r="AX599" s="36"/>
      <c r="AY599" s="36"/>
      <c r="AZ599" s="36"/>
      <c r="BA599" s="36"/>
      <c r="BB599" s="36"/>
      <c r="BC599" s="36"/>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36"/>
      <c r="AX600" s="36"/>
      <c r="AY600" s="36"/>
      <c r="AZ600" s="36"/>
      <c r="BA600" s="36"/>
      <c r="BB600" s="36"/>
      <c r="BC600" s="36"/>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36"/>
      <c r="AX601" s="36"/>
      <c r="AY601" s="36"/>
      <c r="AZ601" s="36"/>
      <c r="BA601" s="36"/>
      <c r="BB601" s="36"/>
      <c r="BC601" s="36"/>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36"/>
      <c r="AX602" s="36"/>
      <c r="AY602" s="36"/>
      <c r="AZ602" s="36"/>
      <c r="BA602" s="36"/>
      <c r="BB602" s="36"/>
      <c r="BC602" s="36"/>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36"/>
      <c r="AX603" s="36"/>
      <c r="AY603" s="36"/>
      <c r="AZ603" s="36"/>
      <c r="BA603" s="36"/>
      <c r="BB603" s="36"/>
      <c r="BC603" s="36"/>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36"/>
      <c r="AX604" s="36"/>
      <c r="AY604" s="36"/>
      <c r="AZ604" s="36"/>
      <c r="BA604" s="36"/>
      <c r="BB604" s="36"/>
      <c r="BC604" s="36"/>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36"/>
      <c r="AX605" s="36"/>
      <c r="AY605" s="36"/>
      <c r="AZ605" s="36"/>
      <c r="BA605" s="36"/>
      <c r="BB605" s="36"/>
      <c r="BC605" s="36"/>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36"/>
      <c r="AX606" s="36"/>
      <c r="AY606" s="36"/>
      <c r="AZ606" s="36"/>
      <c r="BA606" s="36"/>
      <c r="BB606" s="36"/>
      <c r="BC606" s="36"/>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36"/>
      <c r="AX607" s="36"/>
      <c r="AY607" s="36"/>
      <c r="AZ607" s="36"/>
      <c r="BA607" s="36"/>
      <c r="BB607" s="36"/>
      <c r="BC607" s="36"/>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36"/>
      <c r="AX608" s="36"/>
      <c r="AY608" s="36"/>
      <c r="AZ608" s="36"/>
      <c r="BA608" s="36"/>
      <c r="BB608" s="36"/>
      <c r="BC608" s="36"/>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36"/>
      <c r="AX609" s="36"/>
      <c r="AY609" s="36"/>
      <c r="AZ609" s="36"/>
      <c r="BA609" s="36"/>
      <c r="BB609" s="36"/>
      <c r="BC609" s="36"/>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36"/>
      <c r="AX610" s="36"/>
      <c r="AY610" s="36"/>
      <c r="AZ610" s="36"/>
      <c r="BA610" s="36"/>
      <c r="BB610" s="36"/>
      <c r="BC610" s="36"/>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36"/>
      <c r="AX611" s="36"/>
      <c r="AY611" s="36"/>
      <c r="AZ611" s="36"/>
      <c r="BA611" s="36"/>
      <c r="BB611" s="36"/>
      <c r="BC611" s="36"/>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36"/>
      <c r="AX612" s="36"/>
      <c r="AY612" s="36"/>
      <c r="AZ612" s="36"/>
      <c r="BA612" s="36"/>
      <c r="BB612" s="36"/>
      <c r="BC612" s="36"/>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36"/>
      <c r="AX613" s="36"/>
      <c r="AY613" s="36"/>
      <c r="AZ613" s="36"/>
      <c r="BA613" s="36"/>
      <c r="BB613" s="36"/>
      <c r="BC613" s="36"/>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36"/>
      <c r="AX614" s="36"/>
      <c r="AY614" s="36"/>
      <c r="AZ614" s="36"/>
      <c r="BA614" s="36"/>
      <c r="BB614" s="36"/>
      <c r="BC614" s="36"/>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36"/>
      <c r="AX615" s="36"/>
      <c r="AY615" s="36"/>
      <c r="AZ615" s="36"/>
      <c r="BA615" s="36"/>
      <c r="BB615" s="36"/>
      <c r="BC615" s="36"/>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36"/>
      <c r="AX616" s="36"/>
      <c r="AY616" s="36"/>
      <c r="AZ616" s="36"/>
      <c r="BA616" s="36"/>
      <c r="BB616" s="36"/>
      <c r="BC616" s="36"/>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36"/>
      <c r="AX617" s="36"/>
      <c r="AY617" s="36"/>
      <c r="AZ617" s="36"/>
      <c r="BA617" s="36"/>
      <c r="BB617" s="36"/>
      <c r="BC617" s="36"/>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36"/>
      <c r="AX618" s="36"/>
      <c r="AY618" s="36"/>
      <c r="AZ618" s="36"/>
      <c r="BA618" s="36"/>
      <c r="BB618" s="36"/>
      <c r="BC618" s="36"/>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36"/>
      <c r="AX619" s="36"/>
      <c r="AY619" s="36"/>
      <c r="AZ619" s="36"/>
      <c r="BA619" s="36"/>
      <c r="BB619" s="36"/>
      <c r="BC619" s="36"/>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36"/>
      <c r="AX620" s="36"/>
      <c r="AY620" s="36"/>
      <c r="AZ620" s="36"/>
      <c r="BA620" s="36"/>
      <c r="BB620" s="36"/>
      <c r="BC620" s="36"/>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36"/>
      <c r="AX621" s="36"/>
      <c r="AY621" s="36"/>
      <c r="AZ621" s="36"/>
      <c r="BA621" s="36"/>
      <c r="BB621" s="36"/>
      <c r="BC621" s="36"/>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36"/>
      <c r="AX622" s="36"/>
      <c r="AY622" s="36"/>
      <c r="AZ622" s="36"/>
      <c r="BA622" s="36"/>
      <c r="BB622" s="36"/>
      <c r="BC622" s="36"/>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36"/>
      <c r="AX623" s="36"/>
      <c r="AY623" s="36"/>
      <c r="AZ623" s="36"/>
      <c r="BA623" s="36"/>
      <c r="BB623" s="36"/>
      <c r="BC623" s="36"/>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36"/>
      <c r="AX624" s="36"/>
      <c r="AY624" s="36"/>
      <c r="AZ624" s="36"/>
      <c r="BA624" s="36"/>
      <c r="BB624" s="36"/>
      <c r="BC624" s="36"/>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36"/>
      <c r="AX625" s="36"/>
      <c r="AY625" s="36"/>
      <c r="AZ625" s="36"/>
      <c r="BA625" s="36"/>
      <c r="BB625" s="36"/>
      <c r="BC625" s="36"/>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36"/>
      <c r="AX626" s="36"/>
      <c r="AY626" s="36"/>
      <c r="AZ626" s="36"/>
      <c r="BA626" s="36"/>
      <c r="BB626" s="36"/>
      <c r="BC626" s="36"/>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36"/>
      <c r="AX627" s="36"/>
      <c r="AY627" s="36"/>
      <c r="AZ627" s="36"/>
      <c r="BA627" s="36"/>
      <c r="BB627" s="36"/>
      <c r="BC627" s="36"/>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36"/>
      <c r="AX628" s="36"/>
      <c r="AY628" s="36"/>
      <c r="AZ628" s="36"/>
      <c r="BA628" s="36"/>
      <c r="BB628" s="36"/>
      <c r="BC628" s="36"/>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36"/>
      <c r="AX629" s="36"/>
      <c r="AY629" s="36"/>
      <c r="AZ629" s="36"/>
      <c r="BA629" s="36"/>
      <c r="BB629" s="36"/>
      <c r="BC629" s="36"/>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36"/>
      <c r="AX630" s="36"/>
      <c r="AY630" s="36"/>
      <c r="AZ630" s="36"/>
      <c r="BA630" s="36"/>
      <c r="BB630" s="36"/>
      <c r="BC630" s="36"/>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36"/>
      <c r="AX631" s="36"/>
      <c r="AY631" s="36"/>
      <c r="AZ631" s="36"/>
      <c r="BA631" s="36"/>
      <c r="BB631" s="36"/>
      <c r="BC631" s="36"/>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36"/>
      <c r="AX632" s="36"/>
      <c r="AY632" s="36"/>
      <c r="AZ632" s="36"/>
      <c r="BA632" s="36"/>
      <c r="BB632" s="36"/>
      <c r="BC632" s="36"/>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36"/>
      <c r="AX633" s="36"/>
      <c r="AY633" s="36"/>
      <c r="AZ633" s="36"/>
      <c r="BA633" s="36"/>
      <c r="BB633" s="36"/>
      <c r="BC633" s="36"/>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36"/>
      <c r="AX634" s="36"/>
      <c r="AY634" s="36"/>
      <c r="AZ634" s="36"/>
      <c r="BA634" s="36"/>
      <c r="BB634" s="36"/>
      <c r="BC634" s="36"/>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36"/>
      <c r="AX635" s="36"/>
      <c r="AY635" s="36"/>
      <c r="AZ635" s="36"/>
      <c r="BA635" s="36"/>
      <c r="BB635" s="36"/>
      <c r="BC635" s="36"/>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36"/>
      <c r="AX636" s="36"/>
      <c r="AY636" s="36"/>
      <c r="AZ636" s="36"/>
      <c r="BA636" s="36"/>
      <c r="BB636" s="36"/>
      <c r="BC636" s="36"/>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36"/>
      <c r="AX637" s="36"/>
      <c r="AY637" s="36"/>
      <c r="AZ637" s="36"/>
      <c r="BA637" s="36"/>
      <c r="BB637" s="36"/>
      <c r="BC637" s="36"/>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36"/>
      <c r="AX638" s="36"/>
      <c r="AY638" s="36"/>
      <c r="AZ638" s="36"/>
      <c r="BA638" s="36"/>
      <c r="BB638" s="36"/>
      <c r="BC638" s="36"/>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36"/>
      <c r="AX639" s="36"/>
      <c r="AY639" s="36"/>
      <c r="AZ639" s="36"/>
      <c r="BA639" s="36"/>
      <c r="BB639" s="36"/>
      <c r="BC639" s="36"/>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36"/>
      <c r="AX640" s="36"/>
      <c r="AY640" s="36"/>
      <c r="AZ640" s="36"/>
      <c r="BA640" s="36"/>
      <c r="BB640" s="36"/>
      <c r="BC640" s="36"/>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36"/>
      <c r="AX641" s="36"/>
      <c r="AY641" s="36"/>
      <c r="AZ641" s="36"/>
      <c r="BA641" s="36"/>
      <c r="BB641" s="36"/>
      <c r="BC641" s="36"/>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36"/>
      <c r="AX642" s="36"/>
      <c r="AY642" s="36"/>
      <c r="AZ642" s="36"/>
      <c r="BA642" s="36"/>
      <c r="BB642" s="36"/>
      <c r="BC642" s="36"/>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36"/>
      <c r="AX643" s="36"/>
      <c r="AY643" s="36"/>
      <c r="AZ643" s="36"/>
      <c r="BA643" s="36"/>
      <c r="BB643" s="36"/>
      <c r="BC643" s="36"/>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36"/>
      <c r="AX644" s="36"/>
      <c r="AY644" s="36"/>
      <c r="AZ644" s="36"/>
      <c r="BA644" s="36"/>
      <c r="BB644" s="36"/>
      <c r="BC644" s="36"/>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36"/>
      <c r="AX645" s="36"/>
      <c r="AY645" s="36"/>
      <c r="AZ645" s="36"/>
      <c r="BA645" s="36"/>
      <c r="BB645" s="36"/>
      <c r="BC645" s="36"/>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36"/>
      <c r="AX646" s="36"/>
      <c r="AY646" s="36"/>
      <c r="AZ646" s="36"/>
      <c r="BA646" s="36"/>
      <c r="BB646" s="36"/>
      <c r="BC646" s="36"/>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36"/>
      <c r="AX647" s="36"/>
      <c r="AY647" s="36"/>
      <c r="AZ647" s="36"/>
      <c r="BA647" s="36"/>
      <c r="BB647" s="36"/>
      <c r="BC647" s="36"/>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36"/>
      <c r="AX648" s="36"/>
      <c r="AY648" s="36"/>
      <c r="AZ648" s="36"/>
      <c r="BA648" s="36"/>
      <c r="BB648" s="36"/>
      <c r="BC648" s="36"/>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36"/>
      <c r="AX649" s="36"/>
      <c r="AY649" s="36"/>
      <c r="AZ649" s="36"/>
      <c r="BA649" s="36"/>
      <c r="BB649" s="36"/>
      <c r="BC649" s="36"/>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36"/>
      <c r="AX650" s="36"/>
      <c r="AY650" s="36"/>
      <c r="AZ650" s="36"/>
      <c r="BA650" s="36"/>
      <c r="BB650" s="36"/>
      <c r="BC650" s="36"/>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36"/>
      <c r="AX651" s="36"/>
      <c r="AY651" s="36"/>
      <c r="AZ651" s="36"/>
      <c r="BA651" s="36"/>
      <c r="BB651" s="36"/>
      <c r="BC651" s="36"/>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36"/>
      <c r="AX652" s="36"/>
      <c r="AY652" s="36"/>
      <c r="AZ652" s="36"/>
      <c r="BA652" s="36"/>
      <c r="BB652" s="36"/>
      <c r="BC652" s="36"/>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36"/>
      <c r="AX653" s="36"/>
      <c r="AY653" s="36"/>
      <c r="AZ653" s="36"/>
      <c r="BA653" s="36"/>
      <c r="BB653" s="36"/>
      <c r="BC653" s="36"/>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36"/>
      <c r="AX654" s="36"/>
      <c r="AY654" s="36"/>
      <c r="AZ654" s="36"/>
      <c r="BA654" s="36"/>
      <c r="BB654" s="36"/>
      <c r="BC654" s="36"/>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36"/>
      <c r="AX655" s="36"/>
      <c r="AY655" s="36"/>
      <c r="AZ655" s="36"/>
      <c r="BA655" s="36"/>
      <c r="BB655" s="36"/>
      <c r="BC655" s="36"/>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36"/>
      <c r="AX656" s="36"/>
      <c r="AY656" s="36"/>
      <c r="AZ656" s="36"/>
      <c r="BA656" s="36"/>
      <c r="BB656" s="36"/>
      <c r="BC656" s="36"/>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36"/>
      <c r="AX657" s="36"/>
      <c r="AY657" s="36"/>
      <c r="AZ657" s="36"/>
      <c r="BA657" s="36"/>
      <c r="BB657" s="36"/>
      <c r="BC657" s="36"/>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36"/>
      <c r="AX658" s="36"/>
      <c r="AY658" s="36"/>
      <c r="AZ658" s="36"/>
      <c r="BA658" s="36"/>
      <c r="BB658" s="36"/>
      <c r="BC658" s="36"/>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36"/>
      <c r="AX659" s="36"/>
      <c r="AY659" s="36"/>
      <c r="AZ659" s="36"/>
      <c r="BA659" s="36"/>
      <c r="BB659" s="36"/>
      <c r="BC659" s="36"/>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36"/>
      <c r="AX660" s="36"/>
      <c r="AY660" s="36"/>
      <c r="AZ660" s="36"/>
      <c r="BA660" s="36"/>
      <c r="BB660" s="36"/>
      <c r="BC660" s="36"/>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36"/>
      <c r="AX661" s="36"/>
      <c r="AY661" s="36"/>
      <c r="AZ661" s="36"/>
      <c r="BA661" s="36"/>
      <c r="BB661" s="36"/>
      <c r="BC661" s="36"/>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36"/>
      <c r="AX662" s="36"/>
      <c r="AY662" s="36"/>
      <c r="AZ662" s="36"/>
      <c r="BA662" s="36"/>
      <c r="BB662" s="36"/>
      <c r="BC662" s="36"/>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36"/>
      <c r="AX663" s="36"/>
      <c r="AY663" s="36"/>
      <c r="AZ663" s="36"/>
      <c r="BA663" s="36"/>
      <c r="BB663" s="36"/>
      <c r="BC663" s="36"/>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36"/>
      <c r="AX664" s="36"/>
      <c r="AY664" s="36"/>
      <c r="AZ664" s="36"/>
      <c r="BA664" s="36"/>
      <c r="BB664" s="36"/>
      <c r="BC664" s="36"/>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36"/>
      <c r="AX665" s="36"/>
      <c r="AY665" s="36"/>
      <c r="AZ665" s="36"/>
      <c r="BA665" s="36"/>
      <c r="BB665" s="36"/>
      <c r="BC665" s="36"/>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36"/>
      <c r="AX666" s="36"/>
      <c r="AY666" s="36"/>
      <c r="AZ666" s="36"/>
      <c r="BA666" s="36"/>
      <c r="BB666" s="36"/>
      <c r="BC666" s="36"/>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36"/>
      <c r="AX667" s="36"/>
      <c r="AY667" s="36"/>
      <c r="AZ667" s="36"/>
      <c r="BA667" s="36"/>
      <c r="BB667" s="36"/>
      <c r="BC667" s="36"/>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36"/>
      <c r="AX668" s="36"/>
      <c r="AY668" s="36"/>
      <c r="AZ668" s="36"/>
      <c r="BA668" s="36"/>
      <c r="BB668" s="36"/>
      <c r="BC668" s="36"/>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36"/>
      <c r="AX669" s="36"/>
      <c r="AY669" s="36"/>
      <c r="AZ669" s="36"/>
      <c r="BA669" s="36"/>
      <c r="BB669" s="36"/>
      <c r="BC669" s="36"/>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36"/>
      <c r="AX670" s="36"/>
      <c r="AY670" s="36"/>
      <c r="AZ670" s="36"/>
      <c r="BA670" s="36"/>
      <c r="BB670" s="36"/>
      <c r="BC670" s="36"/>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36"/>
      <c r="AX671" s="36"/>
      <c r="AY671" s="36"/>
      <c r="AZ671" s="36"/>
      <c r="BA671" s="36"/>
      <c r="BB671" s="36"/>
      <c r="BC671" s="36"/>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36"/>
      <c r="AX672" s="36"/>
      <c r="AY672" s="36"/>
      <c r="AZ672" s="36"/>
      <c r="BA672" s="36"/>
      <c r="BB672" s="36"/>
      <c r="BC672" s="36"/>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36"/>
      <c r="AX673" s="36"/>
      <c r="AY673" s="36"/>
      <c r="AZ673" s="36"/>
      <c r="BA673" s="36"/>
      <c r="BB673" s="36"/>
      <c r="BC673" s="36"/>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36"/>
      <c r="AX674" s="36"/>
      <c r="AY674" s="36"/>
      <c r="AZ674" s="36"/>
      <c r="BA674" s="36"/>
      <c r="BB674" s="36"/>
      <c r="BC674" s="36"/>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36"/>
      <c r="AX675" s="36"/>
      <c r="AY675" s="36"/>
      <c r="AZ675" s="36"/>
      <c r="BA675" s="36"/>
      <c r="BB675" s="36"/>
      <c r="BC675" s="36"/>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36"/>
      <c r="AX676" s="36"/>
      <c r="AY676" s="36"/>
      <c r="AZ676" s="36"/>
      <c r="BA676" s="36"/>
      <c r="BB676" s="36"/>
      <c r="BC676" s="36"/>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36"/>
      <c r="AX677" s="36"/>
      <c r="AY677" s="36"/>
      <c r="AZ677" s="36"/>
      <c r="BA677" s="36"/>
      <c r="BB677" s="36"/>
      <c r="BC677" s="36"/>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36"/>
      <c r="AX678" s="36"/>
      <c r="AY678" s="36"/>
      <c r="AZ678" s="36"/>
      <c r="BA678" s="36"/>
      <c r="BB678" s="36"/>
      <c r="BC678" s="36"/>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36"/>
      <c r="AX679" s="36"/>
      <c r="AY679" s="36"/>
      <c r="AZ679" s="36"/>
      <c r="BA679" s="36"/>
      <c r="BB679" s="36"/>
      <c r="BC679" s="36"/>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36"/>
      <c r="AX680" s="36"/>
      <c r="AY680" s="36"/>
      <c r="AZ680" s="36"/>
      <c r="BA680" s="36"/>
      <c r="BB680" s="36"/>
      <c r="BC680" s="36"/>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36"/>
      <c r="AX681" s="36"/>
      <c r="AY681" s="36"/>
      <c r="AZ681" s="36"/>
      <c r="BA681" s="36"/>
      <c r="BB681" s="36"/>
      <c r="BC681" s="36"/>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36"/>
      <c r="AX682" s="36"/>
      <c r="AY682" s="36"/>
      <c r="AZ682" s="36"/>
      <c r="BA682" s="36"/>
      <c r="BB682" s="36"/>
      <c r="BC682" s="36"/>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36"/>
      <c r="AX683" s="36"/>
      <c r="AY683" s="36"/>
      <c r="AZ683" s="36"/>
      <c r="BA683" s="36"/>
      <c r="BB683" s="36"/>
      <c r="BC683" s="36"/>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36"/>
      <c r="AX684" s="36"/>
      <c r="AY684" s="36"/>
      <c r="AZ684" s="36"/>
      <c r="BA684" s="36"/>
      <c r="BB684" s="36"/>
      <c r="BC684" s="36"/>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36"/>
      <c r="AX685" s="36"/>
      <c r="AY685" s="36"/>
      <c r="AZ685" s="36"/>
      <c r="BA685" s="36"/>
      <c r="BB685" s="36"/>
      <c r="BC685" s="36"/>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36"/>
      <c r="AX686" s="36"/>
      <c r="AY686" s="36"/>
      <c r="AZ686" s="36"/>
      <c r="BA686" s="36"/>
      <c r="BB686" s="36"/>
      <c r="BC686" s="36"/>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36"/>
      <c r="AX687" s="36"/>
      <c r="AY687" s="36"/>
      <c r="AZ687" s="36"/>
      <c r="BA687" s="36"/>
      <c r="BB687" s="36"/>
      <c r="BC687" s="36"/>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36"/>
      <c r="AX688" s="36"/>
      <c r="AY688" s="36"/>
      <c r="AZ688" s="36"/>
      <c r="BA688" s="36"/>
      <c r="BB688" s="36"/>
      <c r="BC688" s="36"/>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36"/>
      <c r="AX689" s="36"/>
      <c r="AY689" s="36"/>
      <c r="AZ689" s="36"/>
      <c r="BA689" s="36"/>
      <c r="BB689" s="36"/>
      <c r="BC689" s="36"/>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36"/>
      <c r="AX690" s="36"/>
      <c r="AY690" s="36"/>
      <c r="AZ690" s="36"/>
      <c r="BA690" s="36"/>
      <c r="BB690" s="36"/>
      <c r="BC690" s="36"/>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36"/>
      <c r="AX691" s="36"/>
      <c r="AY691" s="36"/>
      <c r="AZ691" s="36"/>
      <c r="BA691" s="36"/>
      <c r="BB691" s="36"/>
      <c r="BC691" s="36"/>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36"/>
      <c r="AX692" s="36"/>
      <c r="AY692" s="36"/>
      <c r="AZ692" s="36"/>
      <c r="BA692" s="36"/>
      <c r="BB692" s="36"/>
      <c r="BC692" s="36"/>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36"/>
      <c r="AX693" s="36"/>
      <c r="AY693" s="36"/>
      <c r="AZ693" s="36"/>
      <c r="BA693" s="36"/>
      <c r="BB693" s="36"/>
      <c r="BC693" s="36"/>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36"/>
      <c r="AX694" s="36"/>
      <c r="AY694" s="36"/>
      <c r="AZ694" s="36"/>
      <c r="BA694" s="36"/>
      <c r="BB694" s="36"/>
      <c r="BC694" s="36"/>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36"/>
      <c r="AX695" s="36"/>
      <c r="AY695" s="36"/>
      <c r="AZ695" s="36"/>
      <c r="BA695" s="36"/>
      <c r="BB695" s="36"/>
      <c r="BC695" s="36"/>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36"/>
      <c r="AX696" s="36"/>
      <c r="AY696" s="36"/>
      <c r="AZ696" s="36"/>
      <c r="BA696" s="36"/>
      <c r="BB696" s="36"/>
      <c r="BC696" s="36"/>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36"/>
      <c r="AX697" s="36"/>
      <c r="AY697" s="36"/>
      <c r="AZ697" s="36"/>
      <c r="BA697" s="36"/>
      <c r="BB697" s="36"/>
      <c r="BC697" s="36"/>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36"/>
      <c r="AX698" s="36"/>
      <c r="AY698" s="36"/>
      <c r="AZ698" s="36"/>
      <c r="BA698" s="36"/>
      <c r="BB698" s="36"/>
      <c r="BC698" s="36"/>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36"/>
      <c r="AX699" s="36"/>
      <c r="AY699" s="36"/>
      <c r="AZ699" s="36"/>
      <c r="BA699" s="36"/>
      <c r="BB699" s="36"/>
      <c r="BC699" s="36"/>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36"/>
      <c r="AX700" s="36"/>
      <c r="AY700" s="36"/>
      <c r="AZ700" s="36"/>
      <c r="BA700" s="36"/>
      <c r="BB700" s="36"/>
      <c r="BC700" s="36"/>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36"/>
      <c r="AX701" s="36"/>
      <c r="AY701" s="36"/>
      <c r="AZ701" s="36"/>
      <c r="BA701" s="36"/>
      <c r="BB701" s="36"/>
      <c r="BC701" s="36"/>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36"/>
      <c r="AX702" s="36"/>
      <c r="AY702" s="36"/>
      <c r="AZ702" s="36"/>
      <c r="BA702" s="36"/>
      <c r="BB702" s="36"/>
      <c r="BC702" s="36"/>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36"/>
      <c r="AX703" s="36"/>
      <c r="AY703" s="36"/>
      <c r="AZ703" s="36"/>
      <c r="BA703" s="36"/>
      <c r="BB703" s="36"/>
      <c r="BC703" s="36"/>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36"/>
      <c r="AX704" s="36"/>
      <c r="AY704" s="36"/>
      <c r="AZ704" s="36"/>
      <c r="BA704" s="36"/>
      <c r="BB704" s="36"/>
      <c r="BC704" s="36"/>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36"/>
      <c r="AX705" s="36"/>
      <c r="AY705" s="36"/>
      <c r="AZ705" s="36"/>
      <c r="BA705" s="36"/>
      <c r="BB705" s="36"/>
      <c r="BC705" s="36"/>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36"/>
      <c r="AX706" s="36"/>
      <c r="AY706" s="36"/>
      <c r="AZ706" s="36"/>
      <c r="BA706" s="36"/>
      <c r="BB706" s="36"/>
      <c r="BC706" s="36"/>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36"/>
      <c r="AX707" s="36"/>
      <c r="AY707" s="36"/>
      <c r="AZ707" s="36"/>
      <c r="BA707" s="36"/>
      <c r="BB707" s="36"/>
      <c r="BC707" s="36"/>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36"/>
      <c r="AX708" s="36"/>
      <c r="AY708" s="36"/>
      <c r="AZ708" s="36"/>
      <c r="BA708" s="36"/>
      <c r="BB708" s="36"/>
      <c r="BC708" s="36"/>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36"/>
      <c r="AX709" s="36"/>
      <c r="AY709" s="36"/>
      <c r="AZ709" s="36"/>
      <c r="BA709" s="36"/>
      <c r="BB709" s="36"/>
      <c r="BC709" s="36"/>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36"/>
      <c r="AX710" s="36"/>
      <c r="AY710" s="36"/>
      <c r="AZ710" s="36"/>
      <c r="BA710" s="36"/>
      <c r="BB710" s="36"/>
      <c r="BC710" s="36"/>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36"/>
      <c r="AX711" s="36"/>
      <c r="AY711" s="36"/>
      <c r="AZ711" s="36"/>
      <c r="BA711" s="36"/>
      <c r="BB711" s="36"/>
      <c r="BC711" s="36"/>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36"/>
      <c r="AX712" s="36"/>
      <c r="AY712" s="36"/>
      <c r="AZ712" s="36"/>
      <c r="BA712" s="36"/>
      <c r="BB712" s="36"/>
      <c r="BC712" s="36"/>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36"/>
      <c r="AX713" s="36"/>
      <c r="AY713" s="36"/>
      <c r="AZ713" s="36"/>
      <c r="BA713" s="36"/>
      <c r="BB713" s="36"/>
      <c r="BC713" s="36"/>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36"/>
      <c r="AX714" s="36"/>
      <c r="AY714" s="36"/>
      <c r="AZ714" s="36"/>
      <c r="BA714" s="36"/>
      <c r="BB714" s="36"/>
      <c r="BC714" s="36"/>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36"/>
      <c r="AX715" s="36"/>
      <c r="AY715" s="36"/>
      <c r="AZ715" s="36"/>
      <c r="BA715" s="36"/>
      <c r="BB715" s="36"/>
      <c r="BC715" s="36"/>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36"/>
      <c r="AX716" s="36"/>
      <c r="AY716" s="36"/>
      <c r="AZ716" s="36"/>
      <c r="BA716" s="36"/>
      <c r="BB716" s="36"/>
      <c r="BC716" s="36"/>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36"/>
      <c r="AX717" s="36"/>
      <c r="AY717" s="36"/>
      <c r="AZ717" s="36"/>
      <c r="BA717" s="36"/>
      <c r="BB717" s="36"/>
      <c r="BC717" s="36"/>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36"/>
      <c r="AX718" s="36"/>
      <c r="AY718" s="36"/>
      <c r="AZ718" s="36"/>
      <c r="BA718" s="36"/>
      <c r="BB718" s="36"/>
      <c r="BC718" s="36"/>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36"/>
      <c r="AX719" s="36"/>
      <c r="AY719" s="36"/>
      <c r="AZ719" s="36"/>
      <c r="BA719" s="36"/>
      <c r="BB719" s="36"/>
      <c r="BC719" s="36"/>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36"/>
      <c r="AX720" s="36"/>
      <c r="AY720" s="36"/>
      <c r="AZ720" s="36"/>
      <c r="BA720" s="36"/>
      <c r="BB720" s="36"/>
      <c r="BC720" s="36"/>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36"/>
      <c r="AX721" s="36"/>
      <c r="AY721" s="36"/>
      <c r="AZ721" s="36"/>
      <c r="BA721" s="36"/>
      <c r="BB721" s="36"/>
      <c r="BC721" s="36"/>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36"/>
      <c r="AX722" s="36"/>
      <c r="AY722" s="36"/>
      <c r="AZ722" s="36"/>
      <c r="BA722" s="36"/>
      <c r="BB722" s="36"/>
      <c r="BC722" s="36"/>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36"/>
      <c r="AX723" s="36"/>
      <c r="AY723" s="36"/>
      <c r="AZ723" s="36"/>
      <c r="BA723" s="36"/>
      <c r="BB723" s="36"/>
      <c r="BC723" s="36"/>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36"/>
      <c r="AX724" s="36"/>
      <c r="AY724" s="36"/>
      <c r="AZ724" s="36"/>
      <c r="BA724" s="36"/>
      <c r="BB724" s="36"/>
      <c r="BC724" s="36"/>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36"/>
      <c r="AX725" s="36"/>
      <c r="AY725" s="36"/>
      <c r="AZ725" s="36"/>
      <c r="BA725" s="36"/>
      <c r="BB725" s="36"/>
      <c r="BC725" s="36"/>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36"/>
      <c r="AX726" s="36"/>
      <c r="AY726" s="36"/>
      <c r="AZ726" s="36"/>
      <c r="BA726" s="36"/>
      <c r="BB726" s="36"/>
      <c r="BC726" s="36"/>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36"/>
      <c r="AX727" s="36"/>
      <c r="AY727" s="36"/>
      <c r="AZ727" s="36"/>
      <c r="BA727" s="36"/>
      <c r="BB727" s="36"/>
      <c r="BC727" s="36"/>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36"/>
      <c r="AX728" s="36"/>
      <c r="AY728" s="36"/>
      <c r="AZ728" s="36"/>
      <c r="BA728" s="36"/>
      <c r="BB728" s="36"/>
      <c r="BC728" s="36"/>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36"/>
      <c r="AX729" s="36"/>
      <c r="AY729" s="36"/>
      <c r="AZ729" s="36"/>
      <c r="BA729" s="36"/>
      <c r="BB729" s="36"/>
      <c r="BC729" s="36"/>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36"/>
      <c r="AX730" s="36"/>
      <c r="AY730" s="36"/>
      <c r="AZ730" s="36"/>
      <c r="BA730" s="36"/>
      <c r="BB730" s="36"/>
      <c r="BC730" s="36"/>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36"/>
      <c r="AX731" s="36"/>
      <c r="AY731" s="36"/>
      <c r="AZ731" s="36"/>
      <c r="BA731" s="36"/>
      <c r="BB731" s="36"/>
      <c r="BC731" s="36"/>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36"/>
      <c r="AX732" s="36"/>
      <c r="AY732" s="36"/>
      <c r="AZ732" s="36"/>
      <c r="BA732" s="36"/>
      <c r="BB732" s="36"/>
      <c r="BC732" s="36"/>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36"/>
      <c r="AX733" s="36"/>
      <c r="AY733" s="36"/>
      <c r="AZ733" s="36"/>
      <c r="BA733" s="36"/>
      <c r="BB733" s="36"/>
      <c r="BC733" s="36"/>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36"/>
      <c r="AX734" s="36"/>
      <c r="AY734" s="36"/>
      <c r="AZ734" s="36"/>
      <c r="BA734" s="36"/>
      <c r="BB734" s="36"/>
      <c r="BC734" s="36"/>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36"/>
      <c r="AX735" s="36"/>
      <c r="AY735" s="36"/>
      <c r="AZ735" s="36"/>
      <c r="BA735" s="36"/>
      <c r="BB735" s="36"/>
      <c r="BC735" s="36"/>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36"/>
      <c r="AX736" s="36"/>
      <c r="AY736" s="36"/>
      <c r="AZ736" s="36"/>
      <c r="BA736" s="36"/>
      <c r="BB736" s="36"/>
      <c r="BC736" s="36"/>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36"/>
      <c r="AX737" s="36"/>
      <c r="AY737" s="36"/>
      <c r="AZ737" s="36"/>
      <c r="BA737" s="36"/>
      <c r="BB737" s="36"/>
      <c r="BC737" s="36"/>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36"/>
      <c r="AX738" s="36"/>
      <c r="AY738" s="36"/>
      <c r="AZ738" s="36"/>
      <c r="BA738" s="36"/>
      <c r="BB738" s="36"/>
      <c r="BC738" s="36"/>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36"/>
      <c r="AX739" s="36"/>
      <c r="AY739" s="36"/>
      <c r="AZ739" s="36"/>
      <c r="BA739" s="36"/>
      <c r="BB739" s="36"/>
      <c r="BC739" s="36"/>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36"/>
      <c r="AX740" s="36"/>
      <c r="AY740" s="36"/>
      <c r="AZ740" s="36"/>
      <c r="BA740" s="36"/>
      <c r="BB740" s="36"/>
      <c r="BC740" s="36"/>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36"/>
      <c r="AX741" s="36"/>
      <c r="AY741" s="36"/>
      <c r="AZ741" s="36"/>
      <c r="BA741" s="36"/>
      <c r="BB741" s="36"/>
      <c r="BC741" s="36"/>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36"/>
      <c r="AX742" s="36"/>
      <c r="AY742" s="36"/>
      <c r="AZ742" s="36"/>
      <c r="BA742" s="36"/>
      <c r="BB742" s="36"/>
      <c r="BC742" s="36"/>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36"/>
      <c r="AX743" s="36"/>
      <c r="AY743" s="36"/>
      <c r="AZ743" s="36"/>
      <c r="BA743" s="36"/>
      <c r="BB743" s="36"/>
      <c r="BC743" s="36"/>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36"/>
      <c r="AX744" s="36"/>
      <c r="AY744" s="36"/>
      <c r="AZ744" s="36"/>
      <c r="BA744" s="36"/>
      <c r="BB744" s="36"/>
      <c r="BC744" s="36"/>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36"/>
      <c r="AX745" s="36"/>
      <c r="AY745" s="36"/>
      <c r="AZ745" s="36"/>
      <c r="BA745" s="36"/>
      <c r="BB745" s="36"/>
      <c r="BC745" s="36"/>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36"/>
      <c r="AX746" s="36"/>
      <c r="AY746" s="36"/>
      <c r="AZ746" s="36"/>
      <c r="BA746" s="36"/>
      <c r="BB746" s="36"/>
      <c r="BC746" s="36"/>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36"/>
      <c r="AX747" s="36"/>
      <c r="AY747" s="36"/>
      <c r="AZ747" s="36"/>
      <c r="BA747" s="36"/>
      <c r="BB747" s="36"/>
      <c r="BC747" s="36"/>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36"/>
      <c r="AX748" s="36"/>
      <c r="AY748" s="36"/>
      <c r="AZ748" s="36"/>
      <c r="BA748" s="36"/>
      <c r="BB748" s="36"/>
      <c r="BC748" s="36"/>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36"/>
      <c r="AX749" s="36"/>
      <c r="AY749" s="36"/>
      <c r="AZ749" s="36"/>
      <c r="BA749" s="36"/>
      <c r="BB749" s="36"/>
      <c r="BC749" s="36"/>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36"/>
      <c r="AX750" s="36"/>
      <c r="AY750" s="36"/>
      <c r="AZ750" s="36"/>
      <c r="BA750" s="36"/>
      <c r="BB750" s="36"/>
      <c r="BC750" s="36"/>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36"/>
      <c r="AX751" s="36"/>
      <c r="AY751" s="36"/>
      <c r="AZ751" s="36"/>
      <c r="BA751" s="36"/>
      <c r="BB751" s="36"/>
      <c r="BC751" s="36"/>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36"/>
      <c r="AX752" s="36"/>
      <c r="AY752" s="36"/>
      <c r="AZ752" s="36"/>
      <c r="BA752" s="36"/>
      <c r="BB752" s="36"/>
      <c r="BC752" s="36"/>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36"/>
      <c r="AX753" s="36"/>
      <c r="AY753" s="36"/>
      <c r="AZ753" s="36"/>
      <c r="BA753" s="36"/>
      <c r="BB753" s="36"/>
      <c r="BC753" s="36"/>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36"/>
      <c r="AX754" s="36"/>
      <c r="AY754" s="36"/>
      <c r="AZ754" s="36"/>
      <c r="BA754" s="36"/>
      <c r="BB754" s="36"/>
      <c r="BC754" s="36"/>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36"/>
      <c r="AX755" s="36"/>
      <c r="AY755" s="36"/>
      <c r="AZ755" s="36"/>
      <c r="BA755" s="36"/>
      <c r="BB755" s="36"/>
      <c r="BC755" s="36"/>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36"/>
      <c r="AX756" s="36"/>
      <c r="AY756" s="36"/>
      <c r="AZ756" s="36"/>
      <c r="BA756" s="36"/>
      <c r="BB756" s="36"/>
      <c r="BC756" s="36"/>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36"/>
      <c r="AX757" s="36"/>
      <c r="AY757" s="36"/>
      <c r="AZ757" s="36"/>
      <c r="BA757" s="36"/>
      <c r="BB757" s="36"/>
      <c r="BC757" s="36"/>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36"/>
      <c r="AX758" s="36"/>
      <c r="AY758" s="36"/>
      <c r="AZ758" s="36"/>
      <c r="BA758" s="36"/>
      <c r="BB758" s="36"/>
      <c r="BC758" s="36"/>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36"/>
      <c r="AX759" s="36"/>
      <c r="AY759" s="36"/>
      <c r="AZ759" s="36"/>
      <c r="BA759" s="36"/>
      <c r="BB759" s="36"/>
      <c r="BC759" s="36"/>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36"/>
      <c r="AX760" s="36"/>
      <c r="AY760" s="36"/>
      <c r="AZ760" s="36"/>
      <c r="BA760" s="36"/>
      <c r="BB760" s="36"/>
      <c r="BC760" s="36"/>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36"/>
      <c r="AX761" s="36"/>
      <c r="AY761" s="36"/>
      <c r="AZ761" s="36"/>
      <c r="BA761" s="36"/>
      <c r="BB761" s="36"/>
      <c r="BC761" s="36"/>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36"/>
      <c r="AX762" s="36"/>
      <c r="AY762" s="36"/>
      <c r="AZ762" s="36"/>
      <c r="BA762" s="36"/>
      <c r="BB762" s="36"/>
      <c r="BC762" s="36"/>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36"/>
      <c r="AX763" s="36"/>
      <c r="AY763" s="36"/>
      <c r="AZ763" s="36"/>
      <c r="BA763" s="36"/>
      <c r="BB763" s="36"/>
      <c r="BC763" s="36"/>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36"/>
      <c r="AX764" s="36"/>
      <c r="AY764" s="36"/>
      <c r="AZ764" s="36"/>
      <c r="BA764" s="36"/>
      <c r="BB764" s="36"/>
      <c r="BC764" s="36"/>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36"/>
      <c r="AX765" s="36"/>
      <c r="AY765" s="36"/>
      <c r="AZ765" s="36"/>
      <c r="BA765" s="36"/>
      <c r="BB765" s="36"/>
      <c r="BC765" s="36"/>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36"/>
      <c r="AX766" s="36"/>
      <c r="AY766" s="36"/>
      <c r="AZ766" s="36"/>
      <c r="BA766" s="36"/>
      <c r="BB766" s="36"/>
      <c r="BC766" s="36"/>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36"/>
      <c r="AX767" s="36"/>
      <c r="AY767" s="36"/>
      <c r="AZ767" s="36"/>
      <c r="BA767" s="36"/>
      <c r="BB767" s="36"/>
      <c r="BC767" s="36"/>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36"/>
      <c r="AX768" s="36"/>
      <c r="AY768" s="36"/>
      <c r="AZ768" s="36"/>
      <c r="BA768" s="36"/>
      <c r="BB768" s="36"/>
      <c r="BC768" s="36"/>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36"/>
      <c r="AX769" s="36"/>
      <c r="AY769" s="36"/>
      <c r="AZ769" s="36"/>
      <c r="BA769" s="36"/>
      <c r="BB769" s="36"/>
      <c r="BC769" s="36"/>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36"/>
      <c r="AX770" s="36"/>
      <c r="AY770" s="36"/>
      <c r="AZ770" s="36"/>
      <c r="BA770" s="36"/>
      <c r="BB770" s="36"/>
      <c r="BC770" s="36"/>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36"/>
      <c r="AX771" s="36"/>
      <c r="AY771" s="36"/>
      <c r="AZ771" s="36"/>
      <c r="BA771" s="36"/>
      <c r="BB771" s="36"/>
      <c r="BC771" s="36"/>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36"/>
      <c r="AX772" s="36"/>
      <c r="AY772" s="36"/>
      <c r="AZ772" s="36"/>
      <c r="BA772" s="36"/>
      <c r="BB772" s="36"/>
      <c r="BC772" s="36"/>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36"/>
      <c r="AX773" s="36"/>
      <c r="AY773" s="36"/>
      <c r="AZ773" s="36"/>
      <c r="BA773" s="36"/>
      <c r="BB773" s="36"/>
      <c r="BC773" s="36"/>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36"/>
      <c r="AX774" s="36"/>
      <c r="AY774" s="36"/>
      <c r="AZ774" s="36"/>
      <c r="BA774" s="36"/>
      <c r="BB774" s="36"/>
      <c r="BC774" s="36"/>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36"/>
      <c r="AX775" s="36"/>
      <c r="AY775" s="36"/>
      <c r="AZ775" s="36"/>
      <c r="BA775" s="36"/>
      <c r="BB775" s="36"/>
      <c r="BC775" s="36"/>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36"/>
      <c r="AX776" s="36"/>
      <c r="AY776" s="36"/>
      <c r="AZ776" s="36"/>
      <c r="BA776" s="36"/>
      <c r="BB776" s="36"/>
      <c r="BC776" s="36"/>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36"/>
      <c r="AX777" s="36"/>
      <c r="AY777" s="36"/>
      <c r="AZ777" s="36"/>
      <c r="BA777" s="36"/>
      <c r="BB777" s="36"/>
      <c r="BC777" s="36"/>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36"/>
      <c r="AX778" s="36"/>
      <c r="AY778" s="36"/>
      <c r="AZ778" s="36"/>
      <c r="BA778" s="36"/>
      <c r="BB778" s="36"/>
      <c r="BC778" s="36"/>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36"/>
      <c r="AX779" s="36"/>
      <c r="AY779" s="36"/>
      <c r="AZ779" s="36"/>
      <c r="BA779" s="36"/>
      <c r="BB779" s="36"/>
      <c r="BC779" s="36"/>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36"/>
      <c r="AX780" s="36"/>
      <c r="AY780" s="36"/>
      <c r="AZ780" s="36"/>
      <c r="BA780" s="36"/>
      <c r="BB780" s="36"/>
      <c r="BC780" s="36"/>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36"/>
      <c r="AX781" s="36"/>
      <c r="AY781" s="36"/>
      <c r="AZ781" s="36"/>
      <c r="BA781" s="36"/>
      <c r="BB781" s="36"/>
      <c r="BC781" s="36"/>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36"/>
      <c r="AX782" s="36"/>
      <c r="AY782" s="36"/>
      <c r="AZ782" s="36"/>
      <c r="BA782" s="36"/>
      <c r="BB782" s="36"/>
      <c r="BC782" s="36"/>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36"/>
      <c r="AX783" s="36"/>
      <c r="AY783" s="36"/>
      <c r="AZ783" s="36"/>
      <c r="BA783" s="36"/>
      <c r="BB783" s="36"/>
      <c r="BC783" s="36"/>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36"/>
      <c r="AX784" s="36"/>
      <c r="AY784" s="36"/>
      <c r="AZ784" s="36"/>
      <c r="BA784" s="36"/>
      <c r="BB784" s="36"/>
      <c r="BC784" s="36"/>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36"/>
      <c r="AX785" s="36"/>
      <c r="AY785" s="36"/>
      <c r="AZ785" s="36"/>
      <c r="BA785" s="36"/>
      <c r="BB785" s="36"/>
      <c r="BC785" s="36"/>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36"/>
      <c r="AX786" s="36"/>
      <c r="AY786" s="36"/>
      <c r="AZ786" s="36"/>
      <c r="BA786" s="36"/>
      <c r="BB786" s="36"/>
      <c r="BC786" s="36"/>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36"/>
      <c r="AX787" s="36"/>
      <c r="AY787" s="36"/>
      <c r="AZ787" s="36"/>
      <c r="BA787" s="36"/>
      <c r="BB787" s="36"/>
      <c r="BC787" s="36"/>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36"/>
      <c r="AX788" s="36"/>
      <c r="AY788" s="36"/>
      <c r="AZ788" s="36"/>
      <c r="BA788" s="36"/>
      <c r="BB788" s="36"/>
      <c r="BC788" s="36"/>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36"/>
      <c r="AX789" s="36"/>
      <c r="AY789" s="36"/>
      <c r="AZ789" s="36"/>
      <c r="BA789" s="36"/>
      <c r="BB789" s="36"/>
      <c r="BC789" s="36"/>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36"/>
      <c r="AX790" s="36"/>
      <c r="AY790" s="36"/>
      <c r="AZ790" s="36"/>
      <c r="BA790" s="36"/>
      <c r="BB790" s="36"/>
      <c r="BC790" s="36"/>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36"/>
      <c r="AX791" s="36"/>
      <c r="AY791" s="36"/>
      <c r="AZ791" s="36"/>
      <c r="BA791" s="36"/>
      <c r="BB791" s="36"/>
      <c r="BC791" s="36"/>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36"/>
      <c r="AX792" s="36"/>
      <c r="AY792" s="36"/>
      <c r="AZ792" s="36"/>
      <c r="BA792" s="36"/>
      <c r="BB792" s="36"/>
      <c r="BC792" s="36"/>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36"/>
      <c r="AX793" s="36"/>
      <c r="AY793" s="36"/>
      <c r="AZ793" s="36"/>
      <c r="BA793" s="36"/>
      <c r="BB793" s="36"/>
      <c r="BC793" s="36"/>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36"/>
      <c r="AX794" s="36"/>
      <c r="AY794" s="36"/>
      <c r="AZ794" s="36"/>
      <c r="BA794" s="36"/>
      <c r="BB794" s="36"/>
      <c r="BC794" s="36"/>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36"/>
      <c r="AX795" s="36"/>
      <c r="AY795" s="36"/>
      <c r="AZ795" s="36"/>
      <c r="BA795" s="36"/>
      <c r="BB795" s="36"/>
      <c r="BC795" s="36"/>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36"/>
      <c r="AX796" s="36"/>
      <c r="AY796" s="36"/>
      <c r="AZ796" s="36"/>
      <c r="BA796" s="36"/>
      <c r="BB796" s="36"/>
      <c r="BC796" s="36"/>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36"/>
      <c r="AX797" s="36"/>
      <c r="AY797" s="36"/>
      <c r="AZ797" s="36"/>
      <c r="BA797" s="36"/>
      <c r="BB797" s="36"/>
      <c r="BC797" s="36"/>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36"/>
      <c r="AX798" s="36"/>
      <c r="AY798" s="36"/>
      <c r="AZ798" s="36"/>
      <c r="BA798" s="36"/>
      <c r="BB798" s="36"/>
      <c r="BC798" s="36"/>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36"/>
      <c r="AX799" s="36"/>
      <c r="AY799" s="36"/>
      <c r="AZ799" s="36"/>
      <c r="BA799" s="36"/>
      <c r="BB799" s="36"/>
      <c r="BC799" s="36"/>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36"/>
      <c r="AX800" s="36"/>
      <c r="AY800" s="36"/>
      <c r="AZ800" s="36"/>
      <c r="BA800" s="36"/>
      <c r="BB800" s="36"/>
      <c r="BC800" s="36"/>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36"/>
      <c r="AX801" s="36"/>
      <c r="AY801" s="36"/>
      <c r="AZ801" s="36"/>
      <c r="BA801" s="36"/>
      <c r="BB801" s="36"/>
      <c r="BC801" s="36"/>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36"/>
      <c r="AX802" s="36"/>
      <c r="AY802" s="36"/>
      <c r="AZ802" s="36"/>
      <c r="BA802" s="36"/>
      <c r="BB802" s="36"/>
      <c r="BC802" s="36"/>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36"/>
      <c r="AX803" s="36"/>
      <c r="AY803" s="36"/>
      <c r="AZ803" s="36"/>
      <c r="BA803" s="36"/>
      <c r="BB803" s="36"/>
      <c r="BC803" s="36"/>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36"/>
      <c r="AX804" s="36"/>
      <c r="AY804" s="36"/>
      <c r="AZ804" s="36"/>
      <c r="BA804" s="36"/>
      <c r="BB804" s="36"/>
      <c r="BC804" s="36"/>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36"/>
      <c r="AX805" s="36"/>
      <c r="AY805" s="36"/>
      <c r="AZ805" s="36"/>
      <c r="BA805" s="36"/>
      <c r="BB805" s="36"/>
      <c r="BC805" s="36"/>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36"/>
      <c r="AX806" s="36"/>
      <c r="AY806" s="36"/>
      <c r="AZ806" s="36"/>
      <c r="BA806" s="36"/>
      <c r="BB806" s="36"/>
      <c r="BC806" s="36"/>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36"/>
      <c r="AX807" s="36"/>
      <c r="AY807" s="36"/>
      <c r="AZ807" s="36"/>
      <c r="BA807" s="36"/>
      <c r="BB807" s="36"/>
      <c r="BC807" s="36"/>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36"/>
      <c r="AX808" s="36"/>
      <c r="AY808" s="36"/>
      <c r="AZ808" s="36"/>
      <c r="BA808" s="36"/>
      <c r="BB808" s="36"/>
      <c r="BC808" s="36"/>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36"/>
      <c r="AX809" s="36"/>
      <c r="AY809" s="36"/>
      <c r="AZ809" s="36"/>
      <c r="BA809" s="36"/>
      <c r="BB809" s="36"/>
      <c r="BC809" s="36"/>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36"/>
      <c r="AX810" s="36"/>
      <c r="AY810" s="36"/>
      <c r="AZ810" s="36"/>
      <c r="BA810" s="36"/>
      <c r="BB810" s="36"/>
      <c r="BC810" s="36"/>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36"/>
      <c r="AX811" s="36"/>
      <c r="AY811" s="36"/>
      <c r="AZ811" s="36"/>
      <c r="BA811" s="36"/>
      <c r="BB811" s="36"/>
      <c r="BC811" s="36"/>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36"/>
      <c r="AX812" s="36"/>
      <c r="AY812" s="36"/>
      <c r="AZ812" s="36"/>
      <c r="BA812" s="36"/>
      <c r="BB812" s="36"/>
      <c r="BC812" s="36"/>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36"/>
      <c r="AX813" s="36"/>
      <c r="AY813" s="36"/>
      <c r="AZ813" s="36"/>
      <c r="BA813" s="36"/>
      <c r="BB813" s="36"/>
      <c r="BC813" s="36"/>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36"/>
      <c r="AX814" s="36"/>
      <c r="AY814" s="36"/>
      <c r="AZ814" s="36"/>
      <c r="BA814" s="36"/>
      <c r="BB814" s="36"/>
      <c r="BC814" s="36"/>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36"/>
      <c r="AX815" s="36"/>
      <c r="AY815" s="36"/>
      <c r="AZ815" s="36"/>
      <c r="BA815" s="36"/>
      <c r="BB815" s="36"/>
      <c r="BC815" s="36"/>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36"/>
      <c r="AX816" s="36"/>
      <c r="AY816" s="36"/>
      <c r="AZ816" s="36"/>
      <c r="BA816" s="36"/>
      <c r="BB816" s="36"/>
      <c r="BC816" s="36"/>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36"/>
      <c r="AX817" s="36"/>
      <c r="AY817" s="36"/>
      <c r="AZ817" s="36"/>
      <c r="BA817" s="36"/>
      <c r="BB817" s="36"/>
      <c r="BC817" s="36"/>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36"/>
      <c r="AX818" s="36"/>
      <c r="AY818" s="36"/>
      <c r="AZ818" s="36"/>
      <c r="BA818" s="36"/>
      <c r="BB818" s="36"/>
      <c r="BC818" s="36"/>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36"/>
      <c r="AX819" s="36"/>
      <c r="AY819" s="36"/>
      <c r="AZ819" s="36"/>
      <c r="BA819" s="36"/>
      <c r="BB819" s="36"/>
      <c r="BC819" s="36"/>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36"/>
      <c r="AX820" s="36"/>
      <c r="AY820" s="36"/>
      <c r="AZ820" s="36"/>
      <c r="BA820" s="36"/>
      <c r="BB820" s="36"/>
      <c r="BC820" s="36"/>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36"/>
      <c r="AX821" s="36"/>
      <c r="AY821" s="36"/>
      <c r="AZ821" s="36"/>
      <c r="BA821" s="36"/>
      <c r="BB821" s="36"/>
      <c r="BC821" s="36"/>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36"/>
      <c r="AX822" s="36"/>
      <c r="AY822" s="36"/>
      <c r="AZ822" s="36"/>
      <c r="BA822" s="36"/>
      <c r="BB822" s="36"/>
      <c r="BC822" s="36"/>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36"/>
      <c r="AX823" s="36"/>
      <c r="AY823" s="36"/>
      <c r="AZ823" s="36"/>
      <c r="BA823" s="36"/>
      <c r="BB823" s="36"/>
      <c r="BC823" s="36"/>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36"/>
      <c r="AX824" s="36"/>
      <c r="AY824" s="36"/>
      <c r="AZ824" s="36"/>
      <c r="BA824" s="36"/>
      <c r="BB824" s="36"/>
      <c r="BC824" s="36"/>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36"/>
      <c r="AX825" s="36"/>
      <c r="AY825" s="36"/>
      <c r="AZ825" s="36"/>
      <c r="BA825" s="36"/>
      <c r="BB825" s="36"/>
      <c r="BC825" s="36"/>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36"/>
      <c r="AX826" s="36"/>
      <c r="AY826" s="36"/>
      <c r="AZ826" s="36"/>
      <c r="BA826" s="36"/>
      <c r="BB826" s="36"/>
      <c r="BC826" s="36"/>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36"/>
      <c r="AX827" s="36"/>
      <c r="AY827" s="36"/>
      <c r="AZ827" s="36"/>
      <c r="BA827" s="36"/>
      <c r="BB827" s="36"/>
      <c r="BC827" s="36"/>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36"/>
      <c r="AX828" s="36"/>
      <c r="AY828" s="36"/>
      <c r="AZ828" s="36"/>
      <c r="BA828" s="36"/>
      <c r="BB828" s="36"/>
      <c r="BC828" s="36"/>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36"/>
      <c r="AX829" s="36"/>
      <c r="AY829" s="36"/>
      <c r="AZ829" s="36"/>
      <c r="BA829" s="36"/>
      <c r="BB829" s="36"/>
      <c r="BC829" s="36"/>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36"/>
      <c r="AX830" s="36"/>
      <c r="AY830" s="36"/>
      <c r="AZ830" s="36"/>
      <c r="BA830" s="36"/>
      <c r="BB830" s="36"/>
      <c r="BC830" s="36"/>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36"/>
      <c r="AX831" s="36"/>
      <c r="AY831" s="36"/>
      <c r="AZ831" s="36"/>
      <c r="BA831" s="36"/>
      <c r="BB831" s="36"/>
      <c r="BC831" s="36"/>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36"/>
      <c r="AX832" s="36"/>
      <c r="AY832" s="36"/>
      <c r="AZ832" s="36"/>
      <c r="BA832" s="36"/>
      <c r="BB832" s="36"/>
      <c r="BC832" s="36"/>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36"/>
      <c r="AX833" s="36"/>
      <c r="AY833" s="36"/>
      <c r="AZ833" s="36"/>
      <c r="BA833" s="36"/>
      <c r="BB833" s="36"/>
      <c r="BC833" s="36"/>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36"/>
      <c r="AX834" s="36"/>
      <c r="AY834" s="36"/>
      <c r="AZ834" s="36"/>
      <c r="BA834" s="36"/>
      <c r="BB834" s="36"/>
      <c r="BC834" s="36"/>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36"/>
      <c r="AX835" s="36"/>
      <c r="AY835" s="36"/>
      <c r="AZ835" s="36"/>
      <c r="BA835" s="36"/>
      <c r="BB835" s="36"/>
      <c r="BC835" s="36"/>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36"/>
      <c r="AX836" s="36"/>
      <c r="AY836" s="36"/>
      <c r="AZ836" s="36"/>
      <c r="BA836" s="36"/>
      <c r="BB836" s="36"/>
      <c r="BC836" s="36"/>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36"/>
      <c r="AX837" s="36"/>
      <c r="AY837" s="36"/>
      <c r="AZ837" s="36"/>
      <c r="BA837" s="36"/>
      <c r="BB837" s="36"/>
      <c r="BC837" s="36"/>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36"/>
      <c r="AX838" s="36"/>
      <c r="AY838" s="36"/>
      <c r="AZ838" s="36"/>
      <c r="BA838" s="36"/>
      <c r="BB838" s="36"/>
      <c r="BC838" s="36"/>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36"/>
      <c r="AX839" s="36"/>
      <c r="AY839" s="36"/>
      <c r="AZ839" s="36"/>
      <c r="BA839" s="36"/>
      <c r="BB839" s="36"/>
      <c r="BC839" s="36"/>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36"/>
      <c r="AX840" s="36"/>
      <c r="AY840" s="36"/>
      <c r="AZ840" s="36"/>
      <c r="BA840" s="36"/>
      <c r="BB840" s="36"/>
      <c r="BC840" s="36"/>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36"/>
      <c r="AX841" s="36"/>
      <c r="AY841" s="36"/>
      <c r="AZ841" s="36"/>
      <c r="BA841" s="36"/>
      <c r="BB841" s="36"/>
      <c r="BC841" s="36"/>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36"/>
      <c r="AX842" s="36"/>
      <c r="AY842" s="36"/>
      <c r="AZ842" s="36"/>
      <c r="BA842" s="36"/>
      <c r="BB842" s="36"/>
      <c r="BC842" s="36"/>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36"/>
      <c r="AX843" s="36"/>
      <c r="AY843" s="36"/>
      <c r="AZ843" s="36"/>
      <c r="BA843" s="36"/>
      <c r="BB843" s="36"/>
      <c r="BC843" s="36"/>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36"/>
      <c r="AX844" s="36"/>
      <c r="AY844" s="36"/>
      <c r="AZ844" s="36"/>
      <c r="BA844" s="36"/>
      <c r="BB844" s="36"/>
      <c r="BC844" s="36"/>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36"/>
      <c r="AX845" s="36"/>
      <c r="AY845" s="36"/>
      <c r="AZ845" s="36"/>
      <c r="BA845" s="36"/>
      <c r="BB845" s="36"/>
      <c r="BC845" s="36"/>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36"/>
      <c r="AX846" s="36"/>
      <c r="AY846" s="36"/>
      <c r="AZ846" s="36"/>
      <c r="BA846" s="36"/>
      <c r="BB846" s="36"/>
      <c r="BC846" s="36"/>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36"/>
      <c r="AX847" s="36"/>
      <c r="AY847" s="36"/>
      <c r="AZ847" s="36"/>
      <c r="BA847" s="36"/>
      <c r="BB847" s="36"/>
      <c r="BC847" s="36"/>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36"/>
      <c r="AX848" s="36"/>
      <c r="AY848" s="36"/>
      <c r="AZ848" s="36"/>
      <c r="BA848" s="36"/>
      <c r="BB848" s="36"/>
      <c r="BC848" s="36"/>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36"/>
      <c r="AX849" s="36"/>
      <c r="AY849" s="36"/>
      <c r="AZ849" s="36"/>
      <c r="BA849" s="36"/>
      <c r="BB849" s="36"/>
      <c r="BC849" s="36"/>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36"/>
      <c r="AX850" s="36"/>
      <c r="AY850" s="36"/>
      <c r="AZ850" s="36"/>
      <c r="BA850" s="36"/>
      <c r="BB850" s="36"/>
      <c r="BC850" s="36"/>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36"/>
      <c r="AX851" s="36"/>
      <c r="AY851" s="36"/>
      <c r="AZ851" s="36"/>
      <c r="BA851" s="36"/>
      <c r="BB851" s="36"/>
      <c r="BC851" s="36"/>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36"/>
      <c r="AX852" s="36"/>
      <c r="AY852" s="36"/>
      <c r="AZ852" s="36"/>
      <c r="BA852" s="36"/>
      <c r="BB852" s="36"/>
      <c r="BC852" s="36"/>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36"/>
      <c r="AX853" s="36"/>
      <c r="AY853" s="36"/>
      <c r="AZ853" s="36"/>
      <c r="BA853" s="36"/>
      <c r="BB853" s="36"/>
      <c r="BC853" s="36"/>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36"/>
      <c r="AX854" s="36"/>
      <c r="AY854" s="36"/>
      <c r="AZ854" s="36"/>
      <c r="BA854" s="36"/>
      <c r="BB854" s="36"/>
      <c r="BC854" s="36"/>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36"/>
      <c r="AX855" s="36"/>
      <c r="AY855" s="36"/>
      <c r="AZ855" s="36"/>
      <c r="BA855" s="36"/>
      <c r="BB855" s="36"/>
      <c r="BC855" s="36"/>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36"/>
      <c r="AX856" s="36"/>
      <c r="AY856" s="36"/>
      <c r="AZ856" s="36"/>
      <c r="BA856" s="36"/>
      <c r="BB856" s="36"/>
      <c r="BC856" s="36"/>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36"/>
      <c r="AX857" s="36"/>
      <c r="AY857" s="36"/>
      <c r="AZ857" s="36"/>
      <c r="BA857" s="36"/>
      <c r="BB857" s="36"/>
      <c r="BC857" s="36"/>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36"/>
      <c r="AX858" s="36"/>
      <c r="AY858" s="36"/>
      <c r="AZ858" s="36"/>
      <c r="BA858" s="36"/>
      <c r="BB858" s="36"/>
      <c r="BC858" s="36"/>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36"/>
      <c r="AX859" s="36"/>
      <c r="AY859" s="36"/>
      <c r="AZ859" s="36"/>
      <c r="BA859" s="36"/>
      <c r="BB859" s="36"/>
      <c r="BC859" s="36"/>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36"/>
      <c r="AX860" s="36"/>
      <c r="AY860" s="36"/>
      <c r="AZ860" s="36"/>
      <c r="BA860" s="36"/>
      <c r="BB860" s="36"/>
      <c r="BC860" s="36"/>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36"/>
      <c r="AX861" s="36"/>
      <c r="AY861" s="36"/>
      <c r="AZ861" s="36"/>
      <c r="BA861" s="36"/>
      <c r="BB861" s="36"/>
      <c r="BC861" s="36"/>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36"/>
      <c r="AX862" s="36"/>
      <c r="AY862" s="36"/>
      <c r="AZ862" s="36"/>
      <c r="BA862" s="36"/>
      <c r="BB862" s="36"/>
      <c r="BC862" s="36"/>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36"/>
      <c r="AX863" s="36"/>
      <c r="AY863" s="36"/>
      <c r="AZ863" s="36"/>
      <c r="BA863" s="36"/>
      <c r="BB863" s="36"/>
      <c r="BC863" s="36"/>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36"/>
      <c r="AX864" s="36"/>
      <c r="AY864" s="36"/>
      <c r="AZ864" s="36"/>
      <c r="BA864" s="36"/>
      <c r="BB864" s="36"/>
      <c r="BC864" s="36"/>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36"/>
      <c r="AX865" s="36"/>
      <c r="AY865" s="36"/>
      <c r="AZ865" s="36"/>
      <c r="BA865" s="36"/>
      <c r="BB865" s="36"/>
      <c r="BC865" s="36"/>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36"/>
      <c r="AX866" s="36"/>
      <c r="AY866" s="36"/>
      <c r="AZ866" s="36"/>
      <c r="BA866" s="36"/>
      <c r="BB866" s="36"/>
      <c r="BC866" s="36"/>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36"/>
      <c r="AX867" s="36"/>
      <c r="AY867" s="36"/>
      <c r="AZ867" s="36"/>
      <c r="BA867" s="36"/>
      <c r="BB867" s="36"/>
      <c r="BC867" s="36"/>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36"/>
      <c r="AX868" s="36"/>
      <c r="AY868" s="36"/>
      <c r="AZ868" s="36"/>
      <c r="BA868" s="36"/>
      <c r="BB868" s="36"/>
      <c r="BC868" s="36"/>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36"/>
      <c r="AX869" s="36"/>
      <c r="AY869" s="36"/>
      <c r="AZ869" s="36"/>
      <c r="BA869" s="36"/>
      <c r="BB869" s="36"/>
      <c r="BC869" s="36"/>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36"/>
      <c r="AX870" s="36"/>
      <c r="AY870" s="36"/>
      <c r="AZ870" s="36"/>
      <c r="BA870" s="36"/>
      <c r="BB870" s="36"/>
      <c r="BC870" s="36"/>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36"/>
      <c r="AX871" s="36"/>
      <c r="AY871" s="36"/>
      <c r="AZ871" s="36"/>
      <c r="BA871" s="36"/>
      <c r="BB871" s="36"/>
      <c r="BC871" s="36"/>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36"/>
      <c r="AX872" s="36"/>
      <c r="AY872" s="36"/>
      <c r="AZ872" s="36"/>
      <c r="BA872" s="36"/>
      <c r="BB872" s="36"/>
      <c r="BC872" s="36"/>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36"/>
      <c r="AX873" s="36"/>
      <c r="AY873" s="36"/>
      <c r="AZ873" s="36"/>
      <c r="BA873" s="36"/>
      <c r="BB873" s="36"/>
      <c r="BC873" s="36"/>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36"/>
      <c r="AX874" s="36"/>
      <c r="AY874" s="36"/>
      <c r="AZ874" s="36"/>
      <c r="BA874" s="36"/>
      <c r="BB874" s="36"/>
      <c r="BC874" s="36"/>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36"/>
      <c r="AX875" s="36"/>
      <c r="AY875" s="36"/>
      <c r="AZ875" s="36"/>
      <c r="BA875" s="36"/>
      <c r="BB875" s="36"/>
      <c r="BC875" s="36"/>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36"/>
      <c r="AX876" s="36"/>
      <c r="AY876" s="36"/>
      <c r="AZ876" s="36"/>
      <c r="BA876" s="36"/>
      <c r="BB876" s="36"/>
      <c r="BC876" s="36"/>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36"/>
      <c r="AX877" s="36"/>
      <c r="AY877" s="36"/>
      <c r="AZ877" s="36"/>
      <c r="BA877" s="36"/>
      <c r="BB877" s="36"/>
      <c r="BC877" s="36"/>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36"/>
      <c r="AX878" s="36"/>
      <c r="AY878" s="36"/>
      <c r="AZ878" s="36"/>
      <c r="BA878" s="36"/>
      <c r="BB878" s="36"/>
      <c r="BC878" s="36"/>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36"/>
      <c r="AX879" s="36"/>
      <c r="AY879" s="36"/>
      <c r="AZ879" s="36"/>
      <c r="BA879" s="36"/>
      <c r="BB879" s="36"/>
      <c r="BC879" s="36"/>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36"/>
      <c r="AX880" s="36"/>
      <c r="AY880" s="36"/>
      <c r="AZ880" s="36"/>
      <c r="BA880" s="36"/>
      <c r="BB880" s="36"/>
      <c r="BC880" s="36"/>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36"/>
      <c r="AX881" s="36"/>
      <c r="AY881" s="36"/>
      <c r="AZ881" s="36"/>
      <c r="BA881" s="36"/>
      <c r="BB881" s="36"/>
      <c r="BC881" s="36"/>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36"/>
      <c r="AX882" s="36"/>
      <c r="AY882" s="36"/>
      <c r="AZ882" s="36"/>
      <c r="BA882" s="36"/>
      <c r="BB882" s="36"/>
      <c r="BC882" s="36"/>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36"/>
      <c r="AX883" s="36"/>
      <c r="AY883" s="36"/>
      <c r="AZ883" s="36"/>
      <c r="BA883" s="36"/>
      <c r="BB883" s="36"/>
      <c r="BC883" s="36"/>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36"/>
      <c r="AX884" s="36"/>
      <c r="AY884" s="36"/>
      <c r="AZ884" s="36"/>
      <c r="BA884" s="36"/>
      <c r="BB884" s="36"/>
      <c r="BC884" s="36"/>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36"/>
      <c r="AX885" s="36"/>
      <c r="AY885" s="36"/>
      <c r="AZ885" s="36"/>
      <c r="BA885" s="36"/>
      <c r="BB885" s="36"/>
      <c r="BC885" s="36"/>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36"/>
      <c r="AX886" s="36"/>
      <c r="AY886" s="36"/>
      <c r="AZ886" s="36"/>
      <c r="BA886" s="36"/>
      <c r="BB886" s="36"/>
      <c r="BC886" s="36"/>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36"/>
      <c r="AX887" s="36"/>
      <c r="AY887" s="36"/>
      <c r="AZ887" s="36"/>
      <c r="BA887" s="36"/>
      <c r="BB887" s="36"/>
      <c r="BC887" s="36"/>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36"/>
      <c r="AX888" s="36"/>
      <c r="AY888" s="36"/>
      <c r="AZ888" s="36"/>
      <c r="BA888" s="36"/>
      <c r="BB888" s="36"/>
      <c r="BC888" s="36"/>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36"/>
      <c r="AX889" s="36"/>
      <c r="AY889" s="36"/>
      <c r="AZ889" s="36"/>
      <c r="BA889" s="36"/>
      <c r="BB889" s="36"/>
      <c r="BC889" s="36"/>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36"/>
      <c r="AX890" s="36"/>
      <c r="AY890" s="36"/>
      <c r="AZ890" s="36"/>
      <c r="BA890" s="36"/>
      <c r="BB890" s="36"/>
      <c r="BC890" s="36"/>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36"/>
      <c r="AX891" s="36"/>
      <c r="AY891" s="36"/>
      <c r="AZ891" s="36"/>
      <c r="BA891" s="36"/>
      <c r="BB891" s="36"/>
      <c r="BC891" s="36"/>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36"/>
      <c r="AX892" s="36"/>
      <c r="AY892" s="36"/>
      <c r="AZ892" s="36"/>
      <c r="BA892" s="36"/>
      <c r="BB892" s="36"/>
      <c r="BC892" s="36"/>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36"/>
      <c r="AX893" s="36"/>
      <c r="AY893" s="36"/>
      <c r="AZ893" s="36"/>
      <c r="BA893" s="36"/>
      <c r="BB893" s="36"/>
      <c r="BC893" s="36"/>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36"/>
      <c r="AX894" s="36"/>
      <c r="AY894" s="36"/>
      <c r="AZ894" s="36"/>
      <c r="BA894" s="36"/>
      <c r="BB894" s="36"/>
      <c r="BC894" s="36"/>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36"/>
      <c r="AX895" s="36"/>
      <c r="AY895" s="36"/>
      <c r="AZ895" s="36"/>
      <c r="BA895" s="36"/>
      <c r="BB895" s="36"/>
      <c r="BC895" s="36"/>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36"/>
      <c r="AX896" s="36"/>
      <c r="AY896" s="36"/>
      <c r="AZ896" s="36"/>
      <c r="BA896" s="36"/>
      <c r="BB896" s="36"/>
      <c r="BC896" s="36"/>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36"/>
      <c r="AX897" s="36"/>
      <c r="AY897" s="36"/>
      <c r="AZ897" s="36"/>
      <c r="BA897" s="36"/>
      <c r="BB897" s="36"/>
      <c r="BC897" s="36"/>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36"/>
      <c r="AX898" s="36"/>
      <c r="AY898" s="36"/>
      <c r="AZ898" s="36"/>
      <c r="BA898" s="36"/>
      <c r="BB898" s="36"/>
      <c r="BC898" s="36"/>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36"/>
      <c r="AX899" s="36"/>
      <c r="AY899" s="36"/>
      <c r="AZ899" s="36"/>
      <c r="BA899" s="36"/>
      <c r="BB899" s="36"/>
      <c r="BC899" s="36"/>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36"/>
      <c r="AX900" s="36"/>
      <c r="AY900" s="36"/>
      <c r="AZ900" s="36"/>
      <c r="BA900" s="36"/>
      <c r="BB900" s="36"/>
      <c r="BC900" s="36"/>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36"/>
      <c r="AX901" s="36"/>
      <c r="AY901" s="36"/>
      <c r="AZ901" s="36"/>
      <c r="BA901" s="36"/>
      <c r="BB901" s="36"/>
      <c r="BC901" s="36"/>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36"/>
      <c r="AX902" s="36"/>
      <c r="AY902" s="36"/>
      <c r="AZ902" s="36"/>
      <c r="BA902" s="36"/>
      <c r="BB902" s="36"/>
      <c r="BC902" s="36"/>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36"/>
      <c r="AX903" s="36"/>
      <c r="AY903" s="36"/>
      <c r="AZ903" s="36"/>
      <c r="BA903" s="36"/>
      <c r="BB903" s="36"/>
      <c r="BC903" s="36"/>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36"/>
      <c r="AX904" s="36"/>
      <c r="AY904" s="36"/>
      <c r="AZ904" s="36"/>
      <c r="BA904" s="36"/>
      <c r="BB904" s="36"/>
      <c r="BC904" s="36"/>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36"/>
      <c r="AX905" s="36"/>
      <c r="AY905" s="36"/>
      <c r="AZ905" s="36"/>
      <c r="BA905" s="36"/>
      <c r="BB905" s="36"/>
      <c r="BC905" s="36"/>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36"/>
      <c r="AX906" s="36"/>
      <c r="AY906" s="36"/>
      <c r="AZ906" s="36"/>
      <c r="BA906" s="36"/>
      <c r="BB906" s="36"/>
      <c r="BC906" s="36"/>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36"/>
      <c r="AX907" s="36"/>
      <c r="AY907" s="36"/>
      <c r="AZ907" s="36"/>
      <c r="BA907" s="36"/>
      <c r="BB907" s="36"/>
      <c r="BC907" s="36"/>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36"/>
      <c r="AX908" s="36"/>
      <c r="AY908" s="36"/>
      <c r="AZ908" s="36"/>
      <c r="BA908" s="36"/>
      <c r="BB908" s="36"/>
      <c r="BC908" s="36"/>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36"/>
      <c r="AX909" s="36"/>
      <c r="AY909" s="36"/>
      <c r="AZ909" s="36"/>
      <c r="BA909" s="36"/>
      <c r="BB909" s="36"/>
      <c r="BC909" s="36"/>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36"/>
      <c r="AX910" s="36"/>
      <c r="AY910" s="36"/>
      <c r="AZ910" s="36"/>
      <c r="BA910" s="36"/>
      <c r="BB910" s="36"/>
      <c r="BC910" s="36"/>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36"/>
      <c r="AX911" s="36"/>
      <c r="AY911" s="36"/>
      <c r="AZ911" s="36"/>
      <c r="BA911" s="36"/>
      <c r="BB911" s="36"/>
      <c r="BC911" s="36"/>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36"/>
      <c r="AX912" s="36"/>
      <c r="AY912" s="36"/>
      <c r="AZ912" s="36"/>
      <c r="BA912" s="36"/>
      <c r="BB912" s="36"/>
      <c r="BC912" s="36"/>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36"/>
      <c r="AX913" s="36"/>
      <c r="AY913" s="36"/>
      <c r="AZ913" s="36"/>
      <c r="BA913" s="36"/>
      <c r="BB913" s="36"/>
      <c r="BC913" s="36"/>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36"/>
      <c r="AX914" s="36"/>
      <c r="AY914" s="36"/>
      <c r="AZ914" s="36"/>
      <c r="BA914" s="36"/>
      <c r="BB914" s="36"/>
      <c r="BC914" s="36"/>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36"/>
      <c r="AX915" s="36"/>
      <c r="AY915" s="36"/>
      <c r="AZ915" s="36"/>
      <c r="BA915" s="36"/>
      <c r="BB915" s="36"/>
      <c r="BC915" s="36"/>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36"/>
      <c r="AX916" s="36"/>
      <c r="AY916" s="36"/>
      <c r="AZ916" s="36"/>
      <c r="BA916" s="36"/>
      <c r="BB916" s="36"/>
      <c r="BC916" s="36"/>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36"/>
      <c r="AX917" s="36"/>
      <c r="AY917" s="36"/>
      <c r="AZ917" s="36"/>
      <c r="BA917" s="36"/>
      <c r="BB917" s="36"/>
      <c r="BC917" s="36"/>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36"/>
      <c r="AX918" s="36"/>
      <c r="AY918" s="36"/>
      <c r="AZ918" s="36"/>
      <c r="BA918" s="36"/>
      <c r="BB918" s="36"/>
      <c r="BC918" s="36"/>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36"/>
      <c r="AX919" s="36"/>
      <c r="AY919" s="36"/>
      <c r="AZ919" s="36"/>
      <c r="BA919" s="36"/>
      <c r="BB919" s="36"/>
      <c r="BC919" s="36"/>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36"/>
      <c r="AX920" s="36"/>
      <c r="AY920" s="36"/>
      <c r="AZ920" s="36"/>
      <c r="BA920" s="36"/>
      <c r="BB920" s="36"/>
      <c r="BC920" s="36"/>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36"/>
      <c r="AX921" s="36"/>
      <c r="AY921" s="36"/>
      <c r="AZ921" s="36"/>
      <c r="BA921" s="36"/>
      <c r="BB921" s="36"/>
      <c r="BC921" s="36"/>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36"/>
      <c r="AX922" s="36"/>
      <c r="AY922" s="36"/>
      <c r="AZ922" s="36"/>
      <c r="BA922" s="36"/>
      <c r="BB922" s="36"/>
      <c r="BC922" s="36"/>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36"/>
      <c r="AX923" s="36"/>
      <c r="AY923" s="36"/>
      <c r="AZ923" s="36"/>
      <c r="BA923" s="36"/>
      <c r="BB923" s="36"/>
      <c r="BC923" s="36"/>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36"/>
      <c r="AX924" s="36"/>
      <c r="AY924" s="36"/>
      <c r="AZ924" s="36"/>
      <c r="BA924" s="36"/>
      <c r="BB924" s="36"/>
      <c r="BC924" s="36"/>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36"/>
      <c r="AX925" s="36"/>
      <c r="AY925" s="36"/>
      <c r="AZ925" s="36"/>
      <c r="BA925" s="36"/>
      <c r="BB925" s="36"/>
      <c r="BC925" s="36"/>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36"/>
      <c r="AX926" s="36"/>
      <c r="AY926" s="36"/>
      <c r="AZ926" s="36"/>
      <c r="BA926" s="36"/>
      <c r="BB926" s="36"/>
      <c r="BC926" s="36"/>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36"/>
      <c r="AX927" s="36"/>
      <c r="AY927" s="36"/>
      <c r="AZ927" s="36"/>
      <c r="BA927" s="36"/>
      <c r="BB927" s="36"/>
      <c r="BC927" s="36"/>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36"/>
      <c r="AX928" s="36"/>
      <c r="AY928" s="36"/>
      <c r="AZ928" s="36"/>
      <c r="BA928" s="36"/>
      <c r="BB928" s="36"/>
      <c r="BC928" s="36"/>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36"/>
      <c r="AX929" s="36"/>
      <c r="AY929" s="36"/>
      <c r="AZ929" s="36"/>
      <c r="BA929" s="36"/>
      <c r="BB929" s="36"/>
      <c r="BC929" s="36"/>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36"/>
      <c r="AX930" s="36"/>
      <c r="AY930" s="36"/>
      <c r="AZ930" s="36"/>
      <c r="BA930" s="36"/>
      <c r="BB930" s="36"/>
      <c r="BC930" s="36"/>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36"/>
      <c r="AX931" s="36"/>
      <c r="AY931" s="36"/>
      <c r="AZ931" s="36"/>
      <c r="BA931" s="36"/>
      <c r="BB931" s="36"/>
      <c r="BC931" s="36"/>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36"/>
      <c r="AX932" s="36"/>
      <c r="AY932" s="36"/>
      <c r="AZ932" s="36"/>
      <c r="BA932" s="36"/>
      <c r="BB932" s="36"/>
      <c r="BC932" s="36"/>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36"/>
      <c r="AX933" s="36"/>
      <c r="AY933" s="36"/>
      <c r="AZ933" s="36"/>
      <c r="BA933" s="36"/>
      <c r="BB933" s="36"/>
      <c r="BC933" s="36"/>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36"/>
      <c r="AX934" s="36"/>
      <c r="AY934" s="36"/>
      <c r="AZ934" s="36"/>
      <c r="BA934" s="36"/>
      <c r="BB934" s="36"/>
      <c r="BC934" s="36"/>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36"/>
      <c r="AX935" s="36"/>
      <c r="AY935" s="36"/>
      <c r="AZ935" s="36"/>
      <c r="BA935" s="36"/>
      <c r="BB935" s="36"/>
      <c r="BC935" s="36"/>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36"/>
      <c r="AX936" s="36"/>
      <c r="AY936" s="36"/>
      <c r="AZ936" s="36"/>
      <c r="BA936" s="36"/>
      <c r="BB936" s="36"/>
      <c r="BC936" s="36"/>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36"/>
      <c r="AX937" s="36"/>
      <c r="AY937" s="36"/>
      <c r="AZ937" s="36"/>
      <c r="BA937" s="36"/>
      <c r="BB937" s="36"/>
      <c r="BC937" s="36"/>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36"/>
      <c r="AX938" s="36"/>
      <c r="AY938" s="36"/>
      <c r="AZ938" s="36"/>
      <c r="BA938" s="36"/>
      <c r="BB938" s="36"/>
      <c r="BC938" s="36"/>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36"/>
      <c r="AX939" s="36"/>
      <c r="AY939" s="36"/>
      <c r="AZ939" s="36"/>
      <c r="BA939" s="36"/>
      <c r="BB939" s="36"/>
      <c r="BC939" s="36"/>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36"/>
      <c r="AX940" s="36"/>
      <c r="AY940" s="36"/>
      <c r="AZ940" s="36"/>
      <c r="BA940" s="36"/>
      <c r="BB940" s="36"/>
      <c r="BC940" s="36"/>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36"/>
      <c r="AX941" s="36"/>
      <c r="AY941" s="36"/>
      <c r="AZ941" s="36"/>
      <c r="BA941" s="36"/>
      <c r="BB941" s="36"/>
      <c r="BC941" s="36"/>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36"/>
      <c r="AX942" s="36"/>
      <c r="AY942" s="36"/>
      <c r="AZ942" s="36"/>
      <c r="BA942" s="36"/>
      <c r="BB942" s="36"/>
      <c r="BC942" s="36"/>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36"/>
      <c r="AX943" s="36"/>
      <c r="AY943" s="36"/>
      <c r="AZ943" s="36"/>
      <c r="BA943" s="36"/>
      <c r="BB943" s="36"/>
      <c r="BC943" s="36"/>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36"/>
      <c r="AX944" s="36"/>
      <c r="AY944" s="36"/>
      <c r="AZ944" s="36"/>
      <c r="BA944" s="36"/>
      <c r="BB944" s="36"/>
      <c r="BC944" s="36"/>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36"/>
      <c r="AX945" s="36"/>
      <c r="AY945" s="36"/>
      <c r="AZ945" s="36"/>
      <c r="BA945" s="36"/>
      <c r="BB945" s="36"/>
      <c r="BC945" s="36"/>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36"/>
      <c r="AX946" s="36"/>
      <c r="AY946" s="36"/>
      <c r="AZ946" s="36"/>
      <c r="BA946" s="36"/>
      <c r="BB946" s="36"/>
      <c r="BC946" s="36"/>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36"/>
      <c r="AX947" s="36"/>
      <c r="AY947" s="36"/>
      <c r="AZ947" s="36"/>
      <c r="BA947" s="36"/>
      <c r="BB947" s="36"/>
      <c r="BC947" s="36"/>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36"/>
      <c r="AX948" s="36"/>
      <c r="AY948" s="36"/>
      <c r="AZ948" s="36"/>
      <c r="BA948" s="36"/>
      <c r="BB948" s="36"/>
      <c r="BC948" s="36"/>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36"/>
      <c r="AX949" s="36"/>
      <c r="AY949" s="36"/>
      <c r="AZ949" s="36"/>
      <c r="BA949" s="36"/>
      <c r="BB949" s="36"/>
      <c r="BC949" s="36"/>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36"/>
      <c r="AX950" s="36"/>
      <c r="AY950" s="36"/>
      <c r="AZ950" s="36"/>
      <c r="BA950" s="36"/>
      <c r="BB950" s="36"/>
      <c r="BC950" s="36"/>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36"/>
      <c r="AX951" s="36"/>
      <c r="AY951" s="36"/>
      <c r="AZ951" s="36"/>
      <c r="BA951" s="36"/>
      <c r="BB951" s="36"/>
      <c r="BC951" s="36"/>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36"/>
      <c r="AX952" s="36"/>
      <c r="AY952" s="36"/>
      <c r="AZ952" s="36"/>
      <c r="BA952" s="36"/>
      <c r="BB952" s="36"/>
      <c r="BC952" s="36"/>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36"/>
      <c r="AX953" s="36"/>
      <c r="AY953" s="36"/>
      <c r="AZ953" s="36"/>
      <c r="BA953" s="36"/>
      <c r="BB953" s="36"/>
      <c r="BC953" s="36"/>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36"/>
      <c r="AX954" s="36"/>
      <c r="AY954" s="36"/>
      <c r="AZ954" s="36"/>
      <c r="BA954" s="36"/>
      <c r="BB954" s="36"/>
      <c r="BC954" s="36"/>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36"/>
      <c r="AX955" s="36"/>
      <c r="AY955" s="36"/>
      <c r="AZ955" s="36"/>
      <c r="BA955" s="36"/>
      <c r="BB955" s="36"/>
      <c r="BC955" s="36"/>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36"/>
      <c r="AX956" s="36"/>
      <c r="AY956" s="36"/>
      <c r="AZ956" s="36"/>
      <c r="BA956" s="36"/>
      <c r="BB956" s="36"/>
      <c r="BC956" s="36"/>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36"/>
      <c r="AX957" s="36"/>
      <c r="AY957" s="36"/>
      <c r="AZ957" s="36"/>
      <c r="BA957" s="36"/>
      <c r="BB957" s="36"/>
      <c r="BC957" s="36"/>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36"/>
      <c r="AX958" s="36"/>
      <c r="AY958" s="36"/>
      <c r="AZ958" s="36"/>
      <c r="BA958" s="36"/>
      <c r="BB958" s="36"/>
      <c r="BC958" s="36"/>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36"/>
      <c r="AX959" s="36"/>
      <c r="AY959" s="36"/>
      <c r="AZ959" s="36"/>
      <c r="BA959" s="36"/>
      <c r="BB959" s="36"/>
      <c r="BC959" s="36"/>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36"/>
      <c r="AX960" s="36"/>
      <c r="AY960" s="36"/>
      <c r="AZ960" s="36"/>
      <c r="BA960" s="36"/>
      <c r="BB960" s="36"/>
      <c r="BC960" s="36"/>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36"/>
      <c r="AX961" s="36"/>
      <c r="AY961" s="36"/>
      <c r="AZ961" s="36"/>
      <c r="BA961" s="36"/>
      <c r="BB961" s="36"/>
      <c r="BC961" s="36"/>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36"/>
      <c r="AX962" s="36"/>
      <c r="AY962" s="36"/>
      <c r="AZ962" s="36"/>
      <c r="BA962" s="36"/>
      <c r="BB962" s="36"/>
      <c r="BC962" s="36"/>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36"/>
      <c r="AX963" s="36"/>
      <c r="AY963" s="36"/>
      <c r="AZ963" s="36"/>
      <c r="BA963" s="36"/>
      <c r="BB963" s="36"/>
      <c r="BC963" s="36"/>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36"/>
      <c r="AX964" s="36"/>
      <c r="AY964" s="36"/>
      <c r="AZ964" s="36"/>
      <c r="BA964" s="36"/>
      <c r="BB964" s="36"/>
      <c r="BC964" s="36"/>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36"/>
      <c r="AX965" s="36"/>
      <c r="AY965" s="36"/>
      <c r="AZ965" s="36"/>
      <c r="BA965" s="36"/>
      <c r="BB965" s="36"/>
      <c r="BC965" s="36"/>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36"/>
      <c r="AX966" s="36"/>
      <c r="AY966" s="36"/>
      <c r="AZ966" s="36"/>
      <c r="BA966" s="36"/>
      <c r="BB966" s="36"/>
      <c r="BC966" s="36"/>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36"/>
      <c r="AX967" s="36"/>
      <c r="AY967" s="36"/>
      <c r="AZ967" s="36"/>
      <c r="BA967" s="36"/>
      <c r="BB967" s="36"/>
      <c r="BC967" s="36"/>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36"/>
      <c r="AX968" s="36"/>
      <c r="AY968" s="36"/>
      <c r="AZ968" s="36"/>
      <c r="BA968" s="36"/>
      <c r="BB968" s="36"/>
      <c r="BC968" s="36"/>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36"/>
      <c r="AX969" s="36"/>
      <c r="AY969" s="36"/>
      <c r="AZ969" s="36"/>
      <c r="BA969" s="36"/>
      <c r="BB969" s="36"/>
      <c r="BC969" s="36"/>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36"/>
      <c r="AX970" s="36"/>
      <c r="AY970" s="36"/>
      <c r="AZ970" s="36"/>
      <c r="BA970" s="36"/>
      <c r="BB970" s="36"/>
      <c r="BC970" s="36"/>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36"/>
      <c r="AX971" s="36"/>
      <c r="AY971" s="36"/>
      <c r="AZ971" s="36"/>
      <c r="BA971" s="36"/>
      <c r="BB971" s="36"/>
      <c r="BC971" s="36"/>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36"/>
      <c r="AX972" s="36"/>
      <c r="AY972" s="36"/>
      <c r="AZ972" s="36"/>
      <c r="BA972" s="36"/>
      <c r="BB972" s="36"/>
      <c r="BC972" s="36"/>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36"/>
      <c r="AX973" s="36"/>
      <c r="AY973" s="36"/>
      <c r="AZ973" s="36"/>
      <c r="BA973" s="36"/>
      <c r="BB973" s="36"/>
      <c r="BC973" s="36"/>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36"/>
      <c r="AX974" s="36"/>
      <c r="AY974" s="36"/>
      <c r="AZ974" s="36"/>
      <c r="BA974" s="36"/>
      <c r="BB974" s="36"/>
      <c r="BC974" s="36"/>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36"/>
      <c r="AX975" s="36"/>
      <c r="AY975" s="36"/>
      <c r="AZ975" s="36"/>
      <c r="BA975" s="36"/>
      <c r="BB975" s="36"/>
      <c r="BC975" s="36"/>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36"/>
      <c r="AX976" s="36"/>
      <c r="AY976" s="36"/>
      <c r="AZ976" s="36"/>
      <c r="BA976" s="36"/>
      <c r="BB976" s="36"/>
      <c r="BC976" s="36"/>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36"/>
      <c r="AX977" s="36"/>
      <c r="AY977" s="36"/>
      <c r="AZ977" s="36"/>
      <c r="BA977" s="36"/>
      <c r="BB977" s="36"/>
      <c r="BC977" s="36"/>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36"/>
      <c r="AX978" s="36"/>
      <c r="AY978" s="36"/>
      <c r="AZ978" s="36"/>
      <c r="BA978" s="36"/>
      <c r="BB978" s="36"/>
      <c r="BC978" s="36"/>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36"/>
      <c r="AX979" s="36"/>
      <c r="AY979" s="36"/>
      <c r="AZ979" s="36"/>
      <c r="BA979" s="36"/>
      <c r="BB979" s="36"/>
      <c r="BC979" s="36"/>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36"/>
      <c r="AX980" s="36"/>
      <c r="AY980" s="36"/>
      <c r="AZ980" s="36"/>
      <c r="BA980" s="36"/>
      <c r="BB980" s="36"/>
      <c r="BC980" s="36"/>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36"/>
      <c r="AX981" s="36"/>
      <c r="AY981" s="36"/>
      <c r="AZ981" s="36"/>
      <c r="BA981" s="36"/>
      <c r="BB981" s="36"/>
      <c r="BC981" s="36"/>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36"/>
      <c r="AX982" s="36"/>
      <c r="AY982" s="36"/>
      <c r="AZ982" s="36"/>
      <c r="BA982" s="36"/>
      <c r="BB982" s="36"/>
      <c r="BC982" s="36"/>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36"/>
      <c r="AX983" s="36"/>
      <c r="AY983" s="36"/>
      <c r="AZ983" s="36"/>
      <c r="BA983" s="36"/>
      <c r="BB983" s="36"/>
      <c r="BC983" s="36"/>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36"/>
      <c r="AX984" s="36"/>
      <c r="AY984" s="36"/>
      <c r="AZ984" s="36"/>
      <c r="BA984" s="36"/>
      <c r="BB984" s="36"/>
      <c r="BC984" s="36"/>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36"/>
      <c r="AX985" s="36"/>
      <c r="AY985" s="36"/>
      <c r="AZ985" s="36"/>
      <c r="BA985" s="36"/>
      <c r="BB985" s="36"/>
      <c r="BC985" s="36"/>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36"/>
      <c r="AX986" s="36"/>
      <c r="AY986" s="36"/>
      <c r="AZ986" s="36"/>
      <c r="BA986" s="36"/>
      <c r="BB986" s="36"/>
      <c r="BC986" s="36"/>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36"/>
      <c r="AX987" s="36"/>
      <c r="AY987" s="36"/>
      <c r="AZ987" s="36"/>
      <c r="BA987" s="36"/>
      <c r="BB987" s="36"/>
      <c r="BC987" s="36"/>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36"/>
      <c r="AX988" s="36"/>
      <c r="AY988" s="36"/>
      <c r="AZ988" s="36"/>
      <c r="BA988" s="36"/>
      <c r="BB988" s="36"/>
      <c r="BC988" s="36"/>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36"/>
      <c r="AX989" s="36"/>
      <c r="AY989" s="36"/>
      <c r="AZ989" s="36"/>
      <c r="BA989" s="36"/>
      <c r="BB989" s="36"/>
      <c r="BC989" s="36"/>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36"/>
      <c r="AX990" s="36"/>
      <c r="AY990" s="36"/>
      <c r="AZ990" s="36"/>
      <c r="BA990" s="36"/>
      <c r="BB990" s="36"/>
      <c r="BC990" s="36"/>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36"/>
      <c r="AX991" s="36"/>
      <c r="AY991" s="36"/>
      <c r="AZ991" s="36"/>
      <c r="BA991" s="36"/>
      <c r="BB991" s="36"/>
      <c r="BC991" s="36"/>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36"/>
      <c r="AX992" s="36"/>
      <c r="AY992" s="36"/>
      <c r="AZ992" s="36"/>
      <c r="BA992" s="36"/>
      <c r="BB992" s="36"/>
      <c r="BC992" s="36"/>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36"/>
      <c r="AX993" s="36"/>
      <c r="AY993" s="36"/>
      <c r="AZ993" s="36"/>
      <c r="BA993" s="36"/>
      <c r="BB993" s="36"/>
      <c r="BC993" s="36"/>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36"/>
      <c r="AX994" s="36"/>
      <c r="AY994" s="36"/>
      <c r="AZ994" s="36"/>
      <c r="BA994" s="36"/>
      <c r="BB994" s="36"/>
      <c r="BC994" s="36"/>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36"/>
      <c r="AX995" s="36"/>
      <c r="AY995" s="36"/>
      <c r="AZ995" s="36"/>
      <c r="BA995" s="36"/>
      <c r="BB995" s="36"/>
      <c r="BC995" s="36"/>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36"/>
      <c r="AX996" s="36"/>
      <c r="AY996" s="36"/>
      <c r="AZ996" s="36"/>
      <c r="BA996" s="36"/>
      <c r="BB996" s="36"/>
      <c r="BC996" s="36"/>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36"/>
      <c r="AX997" s="36"/>
      <c r="AY997" s="36"/>
      <c r="AZ997" s="36"/>
      <c r="BA997" s="36"/>
      <c r="BB997" s="36"/>
      <c r="BC997" s="36"/>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36"/>
      <c r="AX998" s="36"/>
      <c r="AY998" s="36"/>
      <c r="AZ998" s="36"/>
      <c r="BA998" s="36"/>
      <c r="BB998" s="36"/>
      <c r="BC998" s="36"/>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36"/>
      <c r="AX999" s="36"/>
      <c r="AY999" s="36"/>
      <c r="AZ999" s="36"/>
      <c r="BA999" s="36"/>
      <c r="BB999" s="36"/>
      <c r="BC999" s="36"/>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36"/>
      <c r="AX1000" s="36"/>
      <c r="AY1000" s="36"/>
      <c r="AZ1000" s="36"/>
      <c r="BA1000" s="36"/>
      <c r="BB1000" s="36"/>
      <c r="BC1000" s="36"/>
    </row>
  </sheetData>
  <mergeCells count="545">
    <mergeCell ref="AI81:AT81"/>
    <mergeCell ref="AI82:AT82"/>
    <mergeCell ref="AI73:AT73"/>
    <mergeCell ref="AI75:AT75"/>
    <mergeCell ref="AI76:AT76"/>
    <mergeCell ref="AI77:AT77"/>
    <mergeCell ref="AI78:AT78"/>
    <mergeCell ref="AI79:AT79"/>
    <mergeCell ref="AI80:AT80"/>
    <mergeCell ref="AA49:AH49"/>
    <mergeCell ref="AA51:AH51"/>
    <mergeCell ref="AA52:AH52"/>
    <mergeCell ref="AA53:AH53"/>
    <mergeCell ref="AI53:AT53"/>
    <mergeCell ref="AA54:AH54"/>
    <mergeCell ref="AI54:AT54"/>
    <mergeCell ref="AA55:AH55"/>
    <mergeCell ref="AI55:AT55"/>
    <mergeCell ref="AA56:AH56"/>
    <mergeCell ref="AI56:AT56"/>
    <mergeCell ref="AA58:AH58"/>
    <mergeCell ref="AI58:AT58"/>
    <mergeCell ref="AI59:AT59"/>
    <mergeCell ref="AA61:AH61"/>
    <mergeCell ref="AI61:AT61"/>
    <mergeCell ref="AA62:AH62"/>
    <mergeCell ref="AI62:AT62"/>
    <mergeCell ref="AA63:AH63"/>
    <mergeCell ref="AI63:AT63"/>
    <mergeCell ref="AI64:AT64"/>
    <mergeCell ref="AA64:AH64"/>
    <mergeCell ref="AA65:AH65"/>
    <mergeCell ref="AA66:AH66"/>
    <mergeCell ref="AA67:AH67"/>
    <mergeCell ref="AA68:AH68"/>
    <mergeCell ref="AA69:AH69"/>
    <mergeCell ref="AA71:AH71"/>
    <mergeCell ref="AI65:AT65"/>
    <mergeCell ref="AI66:AT66"/>
    <mergeCell ref="AI67:AT67"/>
    <mergeCell ref="AI68:AT68"/>
    <mergeCell ref="AI69:AT69"/>
    <mergeCell ref="AI71:AT71"/>
    <mergeCell ref="AI72:AT72"/>
    <mergeCell ref="AA72:AH72"/>
    <mergeCell ref="AA73:AH73"/>
    <mergeCell ref="AA75:AH75"/>
    <mergeCell ref="AA76:AH76"/>
    <mergeCell ref="AA77:AH77"/>
    <mergeCell ref="AA78:AH78"/>
    <mergeCell ref="AA79:AH79"/>
    <mergeCell ref="AA80:AH80"/>
    <mergeCell ref="AA81:AH81"/>
    <mergeCell ref="AA82:AH82"/>
    <mergeCell ref="AA83:AH83"/>
    <mergeCell ref="AI83:AT83"/>
    <mergeCell ref="AA84:AH84"/>
    <mergeCell ref="AI84:AT84"/>
    <mergeCell ref="D7:W7"/>
    <mergeCell ref="F9:H9"/>
    <mergeCell ref="I9:L9"/>
    <mergeCell ref="M9:O9"/>
    <mergeCell ref="P9:S9"/>
    <mergeCell ref="T9:W9"/>
    <mergeCell ref="D10:W10"/>
    <mergeCell ref="D9:E9"/>
    <mergeCell ref="G11:H11"/>
    <mergeCell ref="I11:K11"/>
    <mergeCell ref="L11:N11"/>
    <mergeCell ref="O11:R11"/>
    <mergeCell ref="S11:V11"/>
    <mergeCell ref="W11:X11"/>
    <mergeCell ref="E11:F11"/>
    <mergeCell ref="D12:F12"/>
    <mergeCell ref="G12:K12"/>
    <mergeCell ref="L12:R12"/>
    <mergeCell ref="S12:X12"/>
    <mergeCell ref="Y12:Z12"/>
    <mergeCell ref="AA12:AB12"/>
    <mergeCell ref="E13:F13"/>
    <mergeCell ref="G13:H13"/>
    <mergeCell ref="I13:K13"/>
    <mergeCell ref="L13:N13"/>
    <mergeCell ref="O13:R13"/>
    <mergeCell ref="S13:V13"/>
    <mergeCell ref="W13:X13"/>
    <mergeCell ref="R15:V15"/>
    <mergeCell ref="W15:X15"/>
    <mergeCell ref="D14:J14"/>
    <mergeCell ref="K14:X14"/>
    <mergeCell ref="Y14:AB14"/>
    <mergeCell ref="D15:E15"/>
    <mergeCell ref="F15:H15"/>
    <mergeCell ref="I15:L15"/>
    <mergeCell ref="M15:Q15"/>
    <mergeCell ref="D16:E16"/>
    <mergeCell ref="F16:H16"/>
    <mergeCell ref="I16:K16"/>
    <mergeCell ref="L16:O16"/>
    <mergeCell ref="P16:W16"/>
    <mergeCell ref="X16:Y16"/>
    <mergeCell ref="D18:W18"/>
    <mergeCell ref="D20:E20"/>
    <mergeCell ref="F20:H20"/>
    <mergeCell ref="I20:L20"/>
    <mergeCell ref="M20:O20"/>
    <mergeCell ref="P20:S20"/>
    <mergeCell ref="T20:W20"/>
    <mergeCell ref="D21:W21"/>
    <mergeCell ref="E22:F22"/>
    <mergeCell ref="G22:H22"/>
    <mergeCell ref="I22:K22"/>
    <mergeCell ref="L22:N22"/>
    <mergeCell ref="O22:R22"/>
    <mergeCell ref="S22:V22"/>
    <mergeCell ref="W22:X22"/>
    <mergeCell ref="L24:N24"/>
    <mergeCell ref="O24:R24"/>
    <mergeCell ref="K25:X25"/>
    <mergeCell ref="Y25:AB25"/>
    <mergeCell ref="S24:V24"/>
    <mergeCell ref="W24:X24"/>
    <mergeCell ref="R26:V26"/>
    <mergeCell ref="W26:X26"/>
    <mergeCell ref="D23:F23"/>
    <mergeCell ref="G23:K23"/>
    <mergeCell ref="L23:R23"/>
    <mergeCell ref="S23:X23"/>
    <mergeCell ref="Y23:Z23"/>
    <mergeCell ref="AA23:AB23"/>
    <mergeCell ref="E24:F24"/>
    <mergeCell ref="D27:E27"/>
    <mergeCell ref="F27:H27"/>
    <mergeCell ref="I27:K27"/>
    <mergeCell ref="L27:O27"/>
    <mergeCell ref="P27:W27"/>
    <mergeCell ref="X27:Y27"/>
    <mergeCell ref="C30:AK31"/>
    <mergeCell ref="G24:H24"/>
    <mergeCell ref="I24:K24"/>
    <mergeCell ref="D25:J25"/>
    <mergeCell ref="D26:E26"/>
    <mergeCell ref="F26:H26"/>
    <mergeCell ref="I26:L26"/>
    <mergeCell ref="M26:Q26"/>
    <mergeCell ref="S39:Z39"/>
    <mergeCell ref="S40:Z40"/>
    <mergeCell ref="S41:Z41"/>
    <mergeCell ref="S42:Z42"/>
    <mergeCell ref="S43:Z43"/>
    <mergeCell ref="S44:Z44"/>
    <mergeCell ref="S45:Z45"/>
    <mergeCell ref="S46:Z46"/>
    <mergeCell ref="S47:Z47"/>
    <mergeCell ref="S49:Z49"/>
    <mergeCell ref="S51:Z51"/>
    <mergeCell ref="S52:Z52"/>
    <mergeCell ref="S53:Z53"/>
    <mergeCell ref="S54:Z54"/>
    <mergeCell ref="S55:Z55"/>
    <mergeCell ref="S56:Z56"/>
    <mergeCell ref="S58:Z58"/>
    <mergeCell ref="S59:Z59"/>
    <mergeCell ref="S60:Z60"/>
    <mergeCell ref="S61:Z61"/>
    <mergeCell ref="S62:Z62"/>
    <mergeCell ref="S63:Z63"/>
    <mergeCell ref="S64:Z64"/>
    <mergeCell ref="S65:Z65"/>
    <mergeCell ref="S66:Z66"/>
    <mergeCell ref="S67:Z67"/>
    <mergeCell ref="S68:Z68"/>
    <mergeCell ref="S69:Z69"/>
    <mergeCell ref="S71:Z71"/>
    <mergeCell ref="S72:Z72"/>
    <mergeCell ref="S73:Z73"/>
    <mergeCell ref="S75:Z75"/>
    <mergeCell ref="S76:Z76"/>
    <mergeCell ref="S77:Z77"/>
    <mergeCell ref="S78:Z78"/>
    <mergeCell ref="S87:Z87"/>
    <mergeCell ref="S88:Z88"/>
    <mergeCell ref="S89:Z89"/>
    <mergeCell ref="S90:Z90"/>
    <mergeCell ref="S91:Z91"/>
    <mergeCell ref="S92:Z92"/>
    <mergeCell ref="S93:Z93"/>
    <mergeCell ref="S94:Z94"/>
    <mergeCell ref="S79:Z79"/>
    <mergeCell ref="S80:Z80"/>
    <mergeCell ref="S81:Z81"/>
    <mergeCell ref="S82:Z82"/>
    <mergeCell ref="S83:Z83"/>
    <mergeCell ref="S84:Z84"/>
    <mergeCell ref="S86:Z86"/>
    <mergeCell ref="AI51:AT51"/>
    <mergeCell ref="AI52:AT52"/>
    <mergeCell ref="AI43:AT43"/>
    <mergeCell ref="AI44:AT44"/>
    <mergeCell ref="AI45:AT45"/>
    <mergeCell ref="AI46:AT46"/>
    <mergeCell ref="AI47:AT47"/>
    <mergeCell ref="AI48:AT48"/>
    <mergeCell ref="AI49:AT49"/>
    <mergeCell ref="B35:D36"/>
    <mergeCell ref="F35:K35"/>
    <mergeCell ref="L35:Q35"/>
    <mergeCell ref="S35:AT36"/>
    <mergeCell ref="F36:K36"/>
    <mergeCell ref="L36:Q36"/>
    <mergeCell ref="F38:K38"/>
    <mergeCell ref="L38:Q38"/>
    <mergeCell ref="S38:Z38"/>
    <mergeCell ref="F39:K39"/>
    <mergeCell ref="L39:Q39"/>
    <mergeCell ref="AA39:AH39"/>
    <mergeCell ref="L40:Q40"/>
    <mergeCell ref="AA40:AH40"/>
    <mergeCell ref="F40:K40"/>
    <mergeCell ref="F41:K41"/>
    <mergeCell ref="L41:Q41"/>
    <mergeCell ref="F42:K42"/>
    <mergeCell ref="L42:Q42"/>
    <mergeCell ref="F43:K43"/>
    <mergeCell ref="L43:Q43"/>
    <mergeCell ref="AA38:AH38"/>
    <mergeCell ref="AI38:AT38"/>
    <mergeCell ref="AI39:AT39"/>
    <mergeCell ref="AI40:AT40"/>
    <mergeCell ref="AA41:AH41"/>
    <mergeCell ref="AI41:AT41"/>
    <mergeCell ref="AI42:AT42"/>
    <mergeCell ref="F47:K47"/>
    <mergeCell ref="F48:K48"/>
    <mergeCell ref="S48:Z48"/>
    <mergeCell ref="AA42:AH42"/>
    <mergeCell ref="AA43:AH43"/>
    <mergeCell ref="AA44:AH44"/>
    <mergeCell ref="AA45:AH45"/>
    <mergeCell ref="AA46:AH46"/>
    <mergeCell ref="AA47:AH47"/>
    <mergeCell ref="AA48:AH48"/>
    <mergeCell ref="AA59:AH59"/>
    <mergeCell ref="AA60:AH60"/>
    <mergeCell ref="AI60:AT60"/>
    <mergeCell ref="F78:K78"/>
    <mergeCell ref="L78:Q78"/>
    <mergeCell ref="F79:K79"/>
    <mergeCell ref="L79:Q79"/>
    <mergeCell ref="F80:K80"/>
    <mergeCell ref="L80:Q80"/>
    <mergeCell ref="L81:Q81"/>
    <mergeCell ref="F89:K89"/>
    <mergeCell ref="F90:K90"/>
    <mergeCell ref="F91:K91"/>
    <mergeCell ref="F92:K92"/>
    <mergeCell ref="F93:K93"/>
    <mergeCell ref="F94:K94"/>
    <mergeCell ref="F81:K81"/>
    <mergeCell ref="F82:K82"/>
    <mergeCell ref="F83:K83"/>
    <mergeCell ref="F84:K84"/>
    <mergeCell ref="F86:K86"/>
    <mergeCell ref="F87:K87"/>
    <mergeCell ref="F88:K88"/>
    <mergeCell ref="L90:Q90"/>
    <mergeCell ref="L91:Q91"/>
    <mergeCell ref="L92:Q92"/>
    <mergeCell ref="L93:Q93"/>
    <mergeCell ref="L94:Q94"/>
    <mergeCell ref="L82:Q82"/>
    <mergeCell ref="L83:Q83"/>
    <mergeCell ref="L84:Q84"/>
    <mergeCell ref="L86:Q86"/>
    <mergeCell ref="L87:Q87"/>
    <mergeCell ref="L88:Q88"/>
    <mergeCell ref="L89:Q89"/>
    <mergeCell ref="AA89:AH89"/>
    <mergeCell ref="AA90:AH90"/>
    <mergeCell ref="AA91:AH91"/>
    <mergeCell ref="AA92:AH92"/>
    <mergeCell ref="AA93:AH93"/>
    <mergeCell ref="AA94:AH94"/>
    <mergeCell ref="AI90:AT90"/>
    <mergeCell ref="AI91:AT91"/>
    <mergeCell ref="AI92:AT92"/>
    <mergeCell ref="AI93:AT93"/>
    <mergeCell ref="AI94:AT94"/>
    <mergeCell ref="AA86:AH86"/>
    <mergeCell ref="AI86:AT86"/>
    <mergeCell ref="AA87:AH87"/>
    <mergeCell ref="AI87:AT87"/>
    <mergeCell ref="AA88:AH88"/>
    <mergeCell ref="AI88:AT88"/>
    <mergeCell ref="AI89:AT89"/>
    <mergeCell ref="D202:J202"/>
    <mergeCell ref="E203:G203"/>
    <mergeCell ref="H203:J203"/>
    <mergeCell ref="K203:M203"/>
    <mergeCell ref="N203:R203"/>
    <mergeCell ref="S203:X203"/>
    <mergeCell ref="E204:G204"/>
    <mergeCell ref="H204:K204"/>
    <mergeCell ref="L204:O204"/>
    <mergeCell ref="E206:I206"/>
    <mergeCell ref="J206:N206"/>
    <mergeCell ref="O206:S206"/>
    <mergeCell ref="T206:X206"/>
    <mergeCell ref="C207:D207"/>
    <mergeCell ref="C209:D209"/>
    <mergeCell ref="E209:H209"/>
    <mergeCell ref="I209:N209"/>
    <mergeCell ref="O209:U209"/>
    <mergeCell ref="V209:Y209"/>
    <mergeCell ref="Z209:AA209"/>
    <mergeCell ref="E210:I210"/>
    <mergeCell ref="T210:X210"/>
    <mergeCell ref="S212:U212"/>
    <mergeCell ref="V212:X212"/>
    <mergeCell ref="S213:Y213"/>
    <mergeCell ref="Z213:AB213"/>
    <mergeCell ref="J210:N210"/>
    <mergeCell ref="O210:S210"/>
    <mergeCell ref="E211:I211"/>
    <mergeCell ref="J211:N211"/>
    <mergeCell ref="O211:S211"/>
    <mergeCell ref="T211:X211"/>
    <mergeCell ref="E212:F212"/>
    <mergeCell ref="G212:H212"/>
    <mergeCell ref="I212:K212"/>
    <mergeCell ref="E213:G213"/>
    <mergeCell ref="H213:L213"/>
    <mergeCell ref="E214:F214"/>
    <mergeCell ref="I214:K214"/>
    <mergeCell ref="L214:N214"/>
    <mergeCell ref="I219:K219"/>
    <mergeCell ref="L219:N219"/>
    <mergeCell ref="O219:R219"/>
    <mergeCell ref="S219:U219"/>
    <mergeCell ref="M220:R220"/>
    <mergeCell ref="S220:Y220"/>
    <mergeCell ref="Z220:AB220"/>
    <mergeCell ref="E217:G217"/>
    <mergeCell ref="H217:K217"/>
    <mergeCell ref="L217:O217"/>
    <mergeCell ref="P217:V217"/>
    <mergeCell ref="W217:Y217"/>
    <mergeCell ref="G219:H219"/>
    <mergeCell ref="V219:X219"/>
    <mergeCell ref="O221:R221"/>
    <mergeCell ref="S221:U221"/>
    <mergeCell ref="V221:X221"/>
    <mergeCell ref="K222:X222"/>
    <mergeCell ref="Y222:AB222"/>
    <mergeCell ref="E219:F219"/>
    <mergeCell ref="E220:G220"/>
    <mergeCell ref="H220:L220"/>
    <mergeCell ref="E221:F221"/>
    <mergeCell ref="G221:H221"/>
    <mergeCell ref="I221:K221"/>
    <mergeCell ref="L221:N221"/>
    <mergeCell ref="P224:V224"/>
    <mergeCell ref="W224:Y224"/>
    <mergeCell ref="D222:J222"/>
    <mergeCell ref="E223:G223"/>
    <mergeCell ref="H223:J223"/>
    <mergeCell ref="K223:M223"/>
    <mergeCell ref="N223:R223"/>
    <mergeCell ref="S223:X223"/>
    <mergeCell ref="E224:G224"/>
    <mergeCell ref="H224:K224"/>
    <mergeCell ref="L224:O224"/>
    <mergeCell ref="C225:F225"/>
    <mergeCell ref="G225:J225"/>
    <mergeCell ref="K225:N225"/>
    <mergeCell ref="O225:R225"/>
    <mergeCell ref="S225:V225"/>
    <mergeCell ref="L73:Q73"/>
    <mergeCell ref="L75:Q75"/>
    <mergeCell ref="L65:Q65"/>
    <mergeCell ref="L66:Q66"/>
    <mergeCell ref="L67:Q67"/>
    <mergeCell ref="L68:Q68"/>
    <mergeCell ref="L69:Q69"/>
    <mergeCell ref="L71:Q71"/>
    <mergeCell ref="L72:Q72"/>
    <mergeCell ref="F44:K44"/>
    <mergeCell ref="L44:Q44"/>
    <mergeCell ref="F45:K45"/>
    <mergeCell ref="L45:Q45"/>
    <mergeCell ref="F46:K46"/>
    <mergeCell ref="L46:Q46"/>
    <mergeCell ref="L47:Q47"/>
    <mergeCell ref="L48:Q48"/>
    <mergeCell ref="F49:K49"/>
    <mergeCell ref="L49:Q49"/>
    <mergeCell ref="F51:K51"/>
    <mergeCell ref="L51:Q51"/>
    <mergeCell ref="F52:K52"/>
    <mergeCell ref="L52:Q52"/>
    <mergeCell ref="F53:K53"/>
    <mergeCell ref="L53:Q53"/>
    <mergeCell ref="F54:K54"/>
    <mergeCell ref="L54:Q54"/>
    <mergeCell ref="F55:K55"/>
    <mergeCell ref="L55:Q55"/>
    <mergeCell ref="L56:Q56"/>
    <mergeCell ref="F56:K56"/>
    <mergeCell ref="F58:K58"/>
    <mergeCell ref="L58:Q58"/>
    <mergeCell ref="F59:K59"/>
    <mergeCell ref="L59:Q59"/>
    <mergeCell ref="F60:K60"/>
    <mergeCell ref="L60:Q60"/>
    <mergeCell ref="F61:K61"/>
    <mergeCell ref="L61:Q61"/>
    <mergeCell ref="F62:K62"/>
    <mergeCell ref="L62:Q62"/>
    <mergeCell ref="F63:K63"/>
    <mergeCell ref="L63:Q63"/>
    <mergeCell ref="L64:Q64"/>
    <mergeCell ref="F72:K72"/>
    <mergeCell ref="F73:K73"/>
    <mergeCell ref="F75:K75"/>
    <mergeCell ref="F76:K76"/>
    <mergeCell ref="L76:Q76"/>
    <mergeCell ref="F77:K77"/>
    <mergeCell ref="L77:Q77"/>
    <mergeCell ref="F64:K64"/>
    <mergeCell ref="F65:K65"/>
    <mergeCell ref="F66:K66"/>
    <mergeCell ref="F67:K67"/>
    <mergeCell ref="F68:K68"/>
    <mergeCell ref="F69:K69"/>
    <mergeCell ref="F71:K71"/>
    <mergeCell ref="L192:N192"/>
    <mergeCell ref="O192:R192"/>
    <mergeCell ref="M193:R193"/>
    <mergeCell ref="O194:R194"/>
    <mergeCell ref="S194:U194"/>
    <mergeCell ref="V194:X194"/>
    <mergeCell ref="K195:X195"/>
    <mergeCell ref="Y195:AB195"/>
    <mergeCell ref="G194:H194"/>
    <mergeCell ref="D195:J195"/>
    <mergeCell ref="E196:G196"/>
    <mergeCell ref="H196:J196"/>
    <mergeCell ref="K196:M196"/>
    <mergeCell ref="N196:R196"/>
    <mergeCell ref="S196:X196"/>
    <mergeCell ref="O187:U187"/>
    <mergeCell ref="V187:Y187"/>
    <mergeCell ref="Z187:AA187"/>
    <mergeCell ref="E186:I186"/>
    <mergeCell ref="J186:N186"/>
    <mergeCell ref="O186:S186"/>
    <mergeCell ref="T186:X186"/>
    <mergeCell ref="C187:D187"/>
    <mergeCell ref="E187:H187"/>
    <mergeCell ref="I187:N187"/>
    <mergeCell ref="C189:D189"/>
    <mergeCell ref="E189:H189"/>
    <mergeCell ref="I189:N189"/>
    <mergeCell ref="O189:U189"/>
    <mergeCell ref="V189:Y189"/>
    <mergeCell ref="Z189:AA189"/>
    <mergeCell ref="E190:I190"/>
    <mergeCell ref="T190:X190"/>
    <mergeCell ref="S192:U192"/>
    <mergeCell ref="V192:X192"/>
    <mergeCell ref="S193:Y193"/>
    <mergeCell ref="Z193:AB193"/>
    <mergeCell ref="J190:N190"/>
    <mergeCell ref="O190:S190"/>
    <mergeCell ref="E191:I191"/>
    <mergeCell ref="J191:N191"/>
    <mergeCell ref="O191:S191"/>
    <mergeCell ref="T191:X191"/>
    <mergeCell ref="E192:F192"/>
    <mergeCell ref="G192:H192"/>
    <mergeCell ref="I192:K192"/>
    <mergeCell ref="E193:G193"/>
    <mergeCell ref="H193:L193"/>
    <mergeCell ref="E194:F194"/>
    <mergeCell ref="I194:K194"/>
    <mergeCell ref="L194:N194"/>
    <mergeCell ref="I199:K199"/>
    <mergeCell ref="L199:N199"/>
    <mergeCell ref="O199:R199"/>
    <mergeCell ref="S199:U199"/>
    <mergeCell ref="M200:R200"/>
    <mergeCell ref="S200:Y200"/>
    <mergeCell ref="Z200:AB200"/>
    <mergeCell ref="E197:G197"/>
    <mergeCell ref="H197:K197"/>
    <mergeCell ref="L197:O197"/>
    <mergeCell ref="P197:V197"/>
    <mergeCell ref="W197:Y197"/>
    <mergeCell ref="G199:H199"/>
    <mergeCell ref="V199:X199"/>
    <mergeCell ref="O201:R201"/>
    <mergeCell ref="S201:U201"/>
    <mergeCell ref="V201:X201"/>
    <mergeCell ref="K202:X202"/>
    <mergeCell ref="Y202:AB202"/>
    <mergeCell ref="E199:F199"/>
    <mergeCell ref="E200:G200"/>
    <mergeCell ref="H200:L200"/>
    <mergeCell ref="E201:F201"/>
    <mergeCell ref="G201:H201"/>
    <mergeCell ref="I201:K201"/>
    <mergeCell ref="L201:N201"/>
    <mergeCell ref="P204:V204"/>
    <mergeCell ref="W204:Y204"/>
    <mergeCell ref="E207:H207"/>
    <mergeCell ref="I207:N207"/>
    <mergeCell ref="O207:U207"/>
    <mergeCell ref="V207:Y207"/>
    <mergeCell ref="Z207:AA207"/>
    <mergeCell ref="L212:N212"/>
    <mergeCell ref="O212:R212"/>
    <mergeCell ref="M213:R213"/>
    <mergeCell ref="O214:R214"/>
    <mergeCell ref="S214:U214"/>
    <mergeCell ref="V214:X214"/>
    <mergeCell ref="K215:X215"/>
    <mergeCell ref="Y215:AB215"/>
    <mergeCell ref="G214:H214"/>
    <mergeCell ref="D215:J215"/>
    <mergeCell ref="E216:G216"/>
    <mergeCell ref="H216:J216"/>
    <mergeCell ref="K216:M216"/>
    <mergeCell ref="N216:R216"/>
    <mergeCell ref="S216:X216"/>
    <mergeCell ref="J227:L227"/>
    <mergeCell ref="M227:O227"/>
    <mergeCell ref="P227:S227"/>
    <mergeCell ref="T227:V227"/>
    <mergeCell ref="C226:F226"/>
    <mergeCell ref="G226:J226"/>
    <mergeCell ref="K226:N226"/>
    <mergeCell ref="O226:R226"/>
    <mergeCell ref="S226:V226"/>
    <mergeCell ref="C227:E227"/>
    <mergeCell ref="F227:I227"/>
  </mergeCells>
  <conditionalFormatting sqref="F38:Q94">
    <cfRule type="containsText" dxfId="2" priority="1" operator="containsText" text="High">
      <formula>NOT(ISERROR(SEARCH(("High"),(F38))))</formula>
    </cfRule>
  </conditionalFormatting>
  <conditionalFormatting sqref="F38:Q94">
    <cfRule type="containsText" dxfId="1" priority="2" operator="containsText" text="Med">
      <formula>NOT(ISERROR(SEARCH(("Med"),(F38))))</formula>
    </cfRule>
  </conditionalFormatting>
  <conditionalFormatting sqref="D9:W9">
    <cfRule type="expression" dxfId="2" priority="3">
      <formula>$C$209:$AA$209=$K$106</formula>
    </cfRule>
  </conditionalFormatting>
  <conditionalFormatting sqref="D11:AB16">
    <cfRule type="expression" dxfId="2" priority="4">
      <formula>$D$219:$AB$224=$K$106</formula>
    </cfRule>
  </conditionalFormatting>
  <conditionalFormatting sqref="D20:W20">
    <cfRule type="expression" dxfId="2" priority="5">
      <formula>$C$189:$AA$189=$K$106</formula>
    </cfRule>
  </conditionalFormatting>
  <conditionalFormatting sqref="D22:AB27">
    <cfRule type="expression" dxfId="2" priority="6">
      <formula>$D$199:$AB$204=$K$106</formula>
    </cfRule>
  </conditionalFormatting>
  <printOptions/>
  <pageMargins bottom="0.75" footer="0.0" header="0.0" left="0.7" right="0.7" top="0.75"/>
  <pageSetup paperSize="9" orientation="portrait"/>
  <headerFooter>
    <oddFooter>&amp;R#000000C2 - Safaricom Internal</oddFooter>
  </headerFooter>
  <drawing r:id="rId4"/>
  <legacyDrawing r:id="rId5"/>
</worksheet>
</file>